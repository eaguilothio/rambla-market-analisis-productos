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728" firstSheet="4" activeTab="10"/>
  </bookViews>
  <sheets>
    <sheet name="00_maestro_productos" sheetId="1" r:id="rId1"/>
    <sheet name="01_datos_crudos" sheetId="2" r:id="rId2"/>
    <sheet name="TD01_volumen_ventas" sheetId="5" r:id="rId3"/>
    <sheet name="TD02_ingresos_costes_beneficios" sheetId="6" r:id="rId4"/>
    <sheet name="TD03_beneficios_pct" sheetId="11" r:id="rId5"/>
    <sheet name="TD04_gama" sheetId="15" r:id="rId6"/>
    <sheet name="TD05_analisis_productos" sheetId="17" r:id="rId7"/>
    <sheet name="TD06_beneficios_smartwatch" sheetId="20" r:id="rId8"/>
    <sheet name="KPIS" sheetId="12" r:id="rId9"/>
    <sheet name="TOP_productos" sheetId="18" r:id="rId10"/>
    <sheet name="informe_final" sheetId="21" r:id="rId11"/>
  </sheets>
  <calcPr calcId="124519" iterateDelta="1E-4"/>
  <pivotCaches>
    <pivotCache cacheId="0" r:id="rId12"/>
  </pivotCaches>
</workbook>
</file>

<file path=xl/calcChain.xml><?xml version="1.0" encoding="utf-8"?>
<calcChain xmlns="http://schemas.openxmlformats.org/spreadsheetml/2006/main">
  <c r="C7" i="18"/>
  <c r="C6"/>
  <c r="C5"/>
  <c r="C4"/>
  <c r="P2309" i="2"/>
  <c r="O2309"/>
  <c r="I2309"/>
  <c r="E2309"/>
  <c r="D2309"/>
  <c r="C2309"/>
  <c r="P2308"/>
  <c r="O2308"/>
  <c r="I2308"/>
  <c r="E2308"/>
  <c r="D2308"/>
  <c r="C2308"/>
  <c r="P2307"/>
  <c r="O2307"/>
  <c r="I2307"/>
  <c r="E2307"/>
  <c r="D2307"/>
  <c r="C2307"/>
  <c r="P2306"/>
  <c r="O2306"/>
  <c r="I2306"/>
  <c r="E2306"/>
  <c r="D2306"/>
  <c r="C2306"/>
  <c r="P2305"/>
  <c r="O2305"/>
  <c r="I2305"/>
  <c r="E2305"/>
  <c r="D2305"/>
  <c r="C2305"/>
  <c r="P2304"/>
  <c r="O2304"/>
  <c r="I2304"/>
  <c r="E2304"/>
  <c r="D2304"/>
  <c r="C2304"/>
  <c r="P2303"/>
  <c r="O2303"/>
  <c r="I2303"/>
  <c r="E2303"/>
  <c r="D2303"/>
  <c r="C2303"/>
  <c r="P2302"/>
  <c r="L2302"/>
  <c r="C12" i="12"/>
  <c r="C4"/>
  <c r="C10"/>
  <c r="C8"/>
  <c r="C6"/>
  <c r="F2303" i="2" l="1"/>
  <c r="F2305"/>
  <c r="Q2305"/>
  <c r="R2305" s="1"/>
  <c r="Q2309"/>
  <c r="R2309" s="1"/>
  <c r="O2302"/>
  <c r="F2307"/>
  <c r="F2309"/>
  <c r="F2306"/>
  <c r="F2308"/>
  <c r="F2304"/>
  <c r="I2302"/>
  <c r="E2302"/>
  <c r="D2302"/>
  <c r="C2302"/>
  <c r="P2301"/>
  <c r="O2301"/>
  <c r="I2301"/>
  <c r="E2301"/>
  <c r="D2301"/>
  <c r="C2301"/>
  <c r="P2300"/>
  <c r="O2300"/>
  <c r="I2300"/>
  <c r="E2300"/>
  <c r="D2300"/>
  <c r="C2300"/>
  <c r="P2299"/>
  <c r="O2299"/>
  <c r="I2299"/>
  <c r="E2299"/>
  <c r="D2299"/>
  <c r="C2299"/>
  <c r="P2298"/>
  <c r="O2298"/>
  <c r="I2298"/>
  <c r="E2298"/>
  <c r="D2298"/>
  <c r="C2298"/>
  <c r="P2297"/>
  <c r="O2297"/>
  <c r="I2297"/>
  <c r="E2297"/>
  <c r="D2297"/>
  <c r="C2297"/>
  <c r="P2296"/>
  <c r="O2296"/>
  <c r="I2296"/>
  <c r="E2296"/>
  <c r="D2296"/>
  <c r="C2296"/>
  <c r="P2295"/>
  <c r="O2295"/>
  <c r="I2295"/>
  <c r="E2295"/>
  <c r="D2295"/>
  <c r="C2295"/>
  <c r="P2294"/>
  <c r="O2294"/>
  <c r="I2294"/>
  <c r="E2294"/>
  <c r="D2294"/>
  <c r="C2294"/>
  <c r="P2293"/>
  <c r="O2293"/>
  <c r="I2293"/>
  <c r="E2293"/>
  <c r="D2293"/>
  <c r="C2293"/>
  <c r="P2292"/>
  <c r="O2292"/>
  <c r="I2292"/>
  <c r="E2292"/>
  <c r="D2292"/>
  <c r="C2292"/>
  <c r="P2291"/>
  <c r="O2291"/>
  <c r="I2291"/>
  <c r="E2291"/>
  <c r="D2291"/>
  <c r="C2291"/>
  <c r="P2290"/>
  <c r="O2290"/>
  <c r="I2290"/>
  <c r="E2290"/>
  <c r="D2290"/>
  <c r="C2290"/>
  <c r="P2289"/>
  <c r="O2289"/>
  <c r="I2289"/>
  <c r="E2289"/>
  <c r="D2289"/>
  <c r="C2289"/>
  <c r="P2288"/>
  <c r="L2288"/>
  <c r="I2288" s="1"/>
  <c r="E2288"/>
  <c r="D2288"/>
  <c r="C2288"/>
  <c r="P2287"/>
  <c r="O2287"/>
  <c r="I2287"/>
  <c r="E2287"/>
  <c r="D2287"/>
  <c r="C2287"/>
  <c r="P2286"/>
  <c r="O2286"/>
  <c r="I2286"/>
  <c r="E2286"/>
  <c r="D2286"/>
  <c r="C2286"/>
  <c r="P2285"/>
  <c r="O2285"/>
  <c r="I2285"/>
  <c r="E2285"/>
  <c r="D2285"/>
  <c r="C2285"/>
  <c r="P2284"/>
  <c r="O2284"/>
  <c r="I2284"/>
  <c r="E2284"/>
  <c r="D2284"/>
  <c r="C2284"/>
  <c r="P2283"/>
  <c r="O2283"/>
  <c r="I2283"/>
  <c r="E2283"/>
  <c r="D2283"/>
  <c r="C2283"/>
  <c r="P2282"/>
  <c r="O2282"/>
  <c r="I2282"/>
  <c r="E2282"/>
  <c r="D2282"/>
  <c r="C2282"/>
  <c r="P2281"/>
  <c r="O2281"/>
  <c r="I2281"/>
  <c r="E2281"/>
  <c r="D2281"/>
  <c r="C2281"/>
  <c r="P2280"/>
  <c r="O2280"/>
  <c r="I2280"/>
  <c r="E2280"/>
  <c r="D2280"/>
  <c r="C2280"/>
  <c r="P2279"/>
  <c r="O2279"/>
  <c r="I2279"/>
  <c r="E2279"/>
  <c r="D2279"/>
  <c r="C2279"/>
  <c r="P2278"/>
  <c r="O2278"/>
  <c r="I2278"/>
  <c r="E2278"/>
  <c r="D2278"/>
  <c r="C2278"/>
  <c r="P2277"/>
  <c r="O2277"/>
  <c r="I2277"/>
  <c r="E2277"/>
  <c r="D2277"/>
  <c r="C2277"/>
  <c r="P2276"/>
  <c r="O2276"/>
  <c r="I2276"/>
  <c r="E2276"/>
  <c r="D2276"/>
  <c r="C2276"/>
  <c r="P2275"/>
  <c r="O2275"/>
  <c r="I2275"/>
  <c r="E2275"/>
  <c r="D2275"/>
  <c r="C2275"/>
  <c r="P2274"/>
  <c r="O2274"/>
  <c r="I2274"/>
  <c r="E2274"/>
  <c r="D2274"/>
  <c r="C2274"/>
  <c r="P2273"/>
  <c r="O2273"/>
  <c r="I2273"/>
  <c r="E2273"/>
  <c r="D2273"/>
  <c r="C2273"/>
  <c r="P2272"/>
  <c r="O2272"/>
  <c r="I2272"/>
  <c r="E2272"/>
  <c r="D2272"/>
  <c r="C2272"/>
  <c r="P2271"/>
  <c r="O2271"/>
  <c r="I2271"/>
  <c r="E2271"/>
  <c r="D2271"/>
  <c r="C2271"/>
  <c r="P2270"/>
  <c r="O2270"/>
  <c r="I2270"/>
  <c r="E2270"/>
  <c r="D2270"/>
  <c r="C2270"/>
  <c r="P2269"/>
  <c r="O2269"/>
  <c r="I2269"/>
  <c r="E2269"/>
  <c r="D2269"/>
  <c r="C2269"/>
  <c r="O2268"/>
  <c r="M2268"/>
  <c r="I2268"/>
  <c r="E2268"/>
  <c r="D2268"/>
  <c r="C2268"/>
  <c r="P2267"/>
  <c r="O2267"/>
  <c r="I2267"/>
  <c r="E2267"/>
  <c r="D2267"/>
  <c r="C2267"/>
  <c r="P2266"/>
  <c r="O2266"/>
  <c r="I2266"/>
  <c r="E2266"/>
  <c r="D2266"/>
  <c r="C2266"/>
  <c r="P2265"/>
  <c r="O2265"/>
  <c r="I2265"/>
  <c r="E2265"/>
  <c r="D2265"/>
  <c r="C2265"/>
  <c r="P2264"/>
  <c r="O2264"/>
  <c r="I2264"/>
  <c r="E2264"/>
  <c r="D2264"/>
  <c r="C2264"/>
  <c r="P2263"/>
  <c r="O2263"/>
  <c r="I2263"/>
  <c r="E2263"/>
  <c r="D2263"/>
  <c r="C2263"/>
  <c r="P2262"/>
  <c r="O2262"/>
  <c r="I2262"/>
  <c r="E2262"/>
  <c r="D2262"/>
  <c r="C2262"/>
  <c r="P2261"/>
  <c r="O2261"/>
  <c r="I2261"/>
  <c r="E2261"/>
  <c r="D2261"/>
  <c r="C2261"/>
  <c r="P2260"/>
  <c r="O2260"/>
  <c r="I2260"/>
  <c r="E2260"/>
  <c r="D2260"/>
  <c r="C2260"/>
  <c r="O2259"/>
  <c r="M2259"/>
  <c r="I2259"/>
  <c r="E2259"/>
  <c r="D2259"/>
  <c r="C2259"/>
  <c r="P2258"/>
  <c r="O2258"/>
  <c r="I2258"/>
  <c r="E2258"/>
  <c r="D2258"/>
  <c r="C2258"/>
  <c r="P2257"/>
  <c r="O2257"/>
  <c r="I2257"/>
  <c r="E2257"/>
  <c r="D2257"/>
  <c r="C2257"/>
  <c r="P2256"/>
  <c r="O2256"/>
  <c r="I2256"/>
  <c r="E2256"/>
  <c r="D2256"/>
  <c r="C2256"/>
  <c r="P2255"/>
  <c r="O2255"/>
  <c r="I2255"/>
  <c r="E2255"/>
  <c r="D2255"/>
  <c r="C2255"/>
  <c r="P2254"/>
  <c r="O2254"/>
  <c r="I2254"/>
  <c r="E2254"/>
  <c r="D2254"/>
  <c r="C2254"/>
  <c r="P2253"/>
  <c r="O2253"/>
  <c r="I2253"/>
  <c r="E2253"/>
  <c r="D2253"/>
  <c r="C2253"/>
  <c r="P2252"/>
  <c r="O2252"/>
  <c r="I2252"/>
  <c r="E2252"/>
  <c r="D2252"/>
  <c r="C2252"/>
  <c r="P2251"/>
  <c r="O2251"/>
  <c r="I2251"/>
  <c r="E2251"/>
  <c r="D2251"/>
  <c r="C2251"/>
  <c r="P2250"/>
  <c r="O2250"/>
  <c r="I2250"/>
  <c r="E2250"/>
  <c r="D2250"/>
  <c r="C2250"/>
  <c r="P2249"/>
  <c r="O2249"/>
  <c r="I2249"/>
  <c r="E2249"/>
  <c r="D2249"/>
  <c r="C2249"/>
  <c r="P2248"/>
  <c r="O2248"/>
  <c r="I2248"/>
  <c r="E2248"/>
  <c r="D2248"/>
  <c r="C2248"/>
  <c r="P2247"/>
  <c r="O2247"/>
  <c r="I2247"/>
  <c r="E2247"/>
  <c r="D2247"/>
  <c r="C2247"/>
  <c r="P2246"/>
  <c r="O2246"/>
  <c r="I2246"/>
  <c r="E2246"/>
  <c r="D2246"/>
  <c r="C2246"/>
  <c r="P2245"/>
  <c r="O2245"/>
  <c r="I2245"/>
  <c r="E2245"/>
  <c r="D2245"/>
  <c r="C2245"/>
  <c r="P2244"/>
  <c r="O2244"/>
  <c r="I2244"/>
  <c r="E2244"/>
  <c r="D2244"/>
  <c r="C2244"/>
  <c r="P2243"/>
  <c r="O2243"/>
  <c r="I2243"/>
  <c r="E2243"/>
  <c r="D2243"/>
  <c r="C2243"/>
  <c r="P2242"/>
  <c r="O2242"/>
  <c r="I2242"/>
  <c r="E2242"/>
  <c r="D2242"/>
  <c r="C2242"/>
  <c r="P2241"/>
  <c r="O2241"/>
  <c r="I2241"/>
  <c r="E2241"/>
  <c r="D2241"/>
  <c r="C2241"/>
  <c r="P2240"/>
  <c r="O2240"/>
  <c r="I2240"/>
  <c r="E2240"/>
  <c r="D2240"/>
  <c r="C2240"/>
  <c r="P2239"/>
  <c r="O2239"/>
  <c r="I2239"/>
  <c r="E2239"/>
  <c r="D2239"/>
  <c r="C2239"/>
  <c r="P2238"/>
  <c r="O2238"/>
  <c r="I2238"/>
  <c r="E2238"/>
  <c r="D2238"/>
  <c r="C2238"/>
  <c r="P2237"/>
  <c r="O2237"/>
  <c r="I2237"/>
  <c r="E2237"/>
  <c r="D2237"/>
  <c r="C2237"/>
  <c r="P2236"/>
  <c r="O2236"/>
  <c r="I2236"/>
  <c r="E2236"/>
  <c r="D2236"/>
  <c r="C2236"/>
  <c r="P2235"/>
  <c r="O2235"/>
  <c r="I2235"/>
  <c r="E2235"/>
  <c r="D2235"/>
  <c r="C2235"/>
  <c r="P2234"/>
  <c r="O2234"/>
  <c r="I2234"/>
  <c r="E2234"/>
  <c r="D2234"/>
  <c r="C2234"/>
  <c r="P2233"/>
  <c r="O2233"/>
  <c r="I2233"/>
  <c r="E2233"/>
  <c r="D2233"/>
  <c r="C2233"/>
  <c r="P2232"/>
  <c r="O2232"/>
  <c r="I2232"/>
  <c r="E2232"/>
  <c r="D2232"/>
  <c r="C2232"/>
  <c r="P2231"/>
  <c r="O2231"/>
  <c r="I2231"/>
  <c r="E2231"/>
  <c r="D2231"/>
  <c r="C2231"/>
  <c r="P2230"/>
  <c r="O2230"/>
  <c r="I2230"/>
  <c r="E2230"/>
  <c r="D2230"/>
  <c r="C2230"/>
  <c r="P2229"/>
  <c r="O2229"/>
  <c r="I2229"/>
  <c r="E2229"/>
  <c r="D2229"/>
  <c r="C2229"/>
  <c r="P2228"/>
  <c r="O2228"/>
  <c r="I2228"/>
  <c r="E2228"/>
  <c r="D2228"/>
  <c r="C2228"/>
  <c r="P2227"/>
  <c r="O2227"/>
  <c r="Q2227" s="1"/>
  <c r="I2227"/>
  <c r="E2227"/>
  <c r="D2227"/>
  <c r="C2227"/>
  <c r="P2226"/>
  <c r="O2226"/>
  <c r="I2226"/>
  <c r="E2226"/>
  <c r="D2226"/>
  <c r="C2226"/>
  <c r="P2225"/>
  <c r="O2225"/>
  <c r="I2225"/>
  <c r="E2225"/>
  <c r="D2225"/>
  <c r="C2225"/>
  <c r="P2224"/>
  <c r="O2224"/>
  <c r="I2224"/>
  <c r="E2224"/>
  <c r="D2224"/>
  <c r="C2224"/>
  <c r="P2223"/>
  <c r="O2223"/>
  <c r="I2223"/>
  <c r="E2223"/>
  <c r="D2223"/>
  <c r="C2223"/>
  <c r="P2222"/>
  <c r="O2222"/>
  <c r="I2222"/>
  <c r="E2222"/>
  <c r="D2222"/>
  <c r="C2222"/>
  <c r="P2221"/>
  <c r="O2221"/>
  <c r="I2221"/>
  <c r="E2221"/>
  <c r="D2221"/>
  <c r="C2221"/>
  <c r="P2220"/>
  <c r="O2220"/>
  <c r="I2220"/>
  <c r="E2220"/>
  <c r="D2220"/>
  <c r="C2220"/>
  <c r="P2219"/>
  <c r="O2219"/>
  <c r="I2219"/>
  <c r="E2219"/>
  <c r="D2219"/>
  <c r="C2219"/>
  <c r="P2218"/>
  <c r="O2218"/>
  <c r="I2218"/>
  <c r="E2218"/>
  <c r="D2218"/>
  <c r="C2218"/>
  <c r="P2217"/>
  <c r="O2217"/>
  <c r="I2217"/>
  <c r="E2217"/>
  <c r="D2217"/>
  <c r="C2217"/>
  <c r="P2216"/>
  <c r="O2216"/>
  <c r="I2216"/>
  <c r="E2216"/>
  <c r="D2216"/>
  <c r="C2216"/>
  <c r="P2215"/>
  <c r="O2215"/>
  <c r="I2215"/>
  <c r="E2215"/>
  <c r="D2215"/>
  <c r="C2215"/>
  <c r="P2214"/>
  <c r="O2214"/>
  <c r="I2214"/>
  <c r="E2214"/>
  <c r="D2214"/>
  <c r="C2214"/>
  <c r="P2213"/>
  <c r="O2213"/>
  <c r="I2213"/>
  <c r="E2213"/>
  <c r="D2213"/>
  <c r="C2213"/>
  <c r="P2212"/>
  <c r="O2212"/>
  <c r="I2212"/>
  <c r="E2212"/>
  <c r="D2212"/>
  <c r="C2212"/>
  <c r="P2211"/>
  <c r="O2211"/>
  <c r="I2211"/>
  <c r="E2211"/>
  <c r="D2211"/>
  <c r="C2211"/>
  <c r="P2210"/>
  <c r="O2210"/>
  <c r="I2210"/>
  <c r="E2210"/>
  <c r="D2210"/>
  <c r="C2210"/>
  <c r="P2209"/>
  <c r="O2209"/>
  <c r="I2209"/>
  <c r="E2209"/>
  <c r="D2209"/>
  <c r="C2209"/>
  <c r="P2208"/>
  <c r="O2208"/>
  <c r="I2208"/>
  <c r="E2208"/>
  <c r="D2208"/>
  <c r="C2208"/>
  <c r="P2207"/>
  <c r="O2207"/>
  <c r="I2207"/>
  <c r="E2207"/>
  <c r="D2207"/>
  <c r="C2207"/>
  <c r="P2206"/>
  <c r="O2206"/>
  <c r="I2206"/>
  <c r="E2206"/>
  <c r="D2206"/>
  <c r="C2206"/>
  <c r="P2205"/>
  <c r="O2205"/>
  <c r="I2205"/>
  <c r="E2205"/>
  <c r="D2205"/>
  <c r="C2205"/>
  <c r="P2204"/>
  <c r="O2204"/>
  <c r="I2204"/>
  <c r="E2204"/>
  <c r="D2204"/>
  <c r="C2204"/>
  <c r="P2203"/>
  <c r="O2203"/>
  <c r="I2203"/>
  <c r="E2203"/>
  <c r="D2203"/>
  <c r="C2203"/>
  <c r="P2202"/>
  <c r="O2202"/>
  <c r="I2202"/>
  <c r="E2202"/>
  <c r="D2202"/>
  <c r="C2202"/>
  <c r="P2201"/>
  <c r="O2201"/>
  <c r="I2201"/>
  <c r="E2201"/>
  <c r="D2201"/>
  <c r="C2201"/>
  <c r="P2200"/>
  <c r="O2200"/>
  <c r="I2200"/>
  <c r="E2200"/>
  <c r="D2200"/>
  <c r="C2200"/>
  <c r="P2199"/>
  <c r="O2199"/>
  <c r="I2199"/>
  <c r="E2199"/>
  <c r="D2199"/>
  <c r="C2199"/>
  <c r="P2198"/>
  <c r="O2198"/>
  <c r="I2198"/>
  <c r="E2198"/>
  <c r="D2198"/>
  <c r="C2198"/>
  <c r="P2197"/>
  <c r="O2197"/>
  <c r="I2197"/>
  <c r="E2197"/>
  <c r="D2197"/>
  <c r="C2197"/>
  <c r="P2196"/>
  <c r="O2196"/>
  <c r="I2196"/>
  <c r="E2196"/>
  <c r="D2196"/>
  <c r="C2196"/>
  <c r="P2195"/>
  <c r="O2195"/>
  <c r="I2195"/>
  <c r="E2195"/>
  <c r="D2195"/>
  <c r="C2195"/>
  <c r="P2194"/>
  <c r="O2194"/>
  <c r="I2194"/>
  <c r="E2194"/>
  <c r="D2194"/>
  <c r="C2194"/>
  <c r="P2193"/>
  <c r="O2193"/>
  <c r="I2193"/>
  <c r="E2193"/>
  <c r="D2193"/>
  <c r="C2193"/>
  <c r="P2192"/>
  <c r="O2192"/>
  <c r="I2192"/>
  <c r="E2192"/>
  <c r="D2192"/>
  <c r="C2192"/>
  <c r="P2191"/>
  <c r="O2191"/>
  <c r="I2191"/>
  <c r="E2191"/>
  <c r="D2191"/>
  <c r="C2191"/>
  <c r="O2190"/>
  <c r="M2190"/>
  <c r="I2190"/>
  <c r="E2190"/>
  <c r="D2190"/>
  <c r="C2190"/>
  <c r="P2189"/>
  <c r="O2189"/>
  <c r="I2189"/>
  <c r="E2189"/>
  <c r="D2189"/>
  <c r="C2189"/>
  <c r="O2188"/>
  <c r="M2188"/>
  <c r="I2188"/>
  <c r="E2188"/>
  <c r="D2188"/>
  <c r="C2188"/>
  <c r="P2187"/>
  <c r="O2187"/>
  <c r="I2187"/>
  <c r="E2187"/>
  <c r="D2187"/>
  <c r="C2187"/>
  <c r="P2186"/>
  <c r="O2186"/>
  <c r="I2186"/>
  <c r="E2186"/>
  <c r="D2186"/>
  <c r="C2186"/>
  <c r="P2185"/>
  <c r="O2185"/>
  <c r="I2185"/>
  <c r="E2185"/>
  <c r="D2185"/>
  <c r="C2185"/>
  <c r="P2184"/>
  <c r="O2184"/>
  <c r="I2184"/>
  <c r="E2184"/>
  <c r="D2184"/>
  <c r="C2184"/>
  <c r="P2183"/>
  <c r="O2183"/>
  <c r="I2183"/>
  <c r="E2183"/>
  <c r="D2183"/>
  <c r="C2183"/>
  <c r="P2182"/>
  <c r="O2182"/>
  <c r="I2182"/>
  <c r="E2182"/>
  <c r="D2182"/>
  <c r="C2182"/>
  <c r="P2181"/>
  <c r="O2181"/>
  <c r="I2181"/>
  <c r="E2181"/>
  <c r="D2181"/>
  <c r="C2181"/>
  <c r="P2180"/>
  <c r="O2180"/>
  <c r="I2180"/>
  <c r="E2180"/>
  <c r="D2180"/>
  <c r="C2180"/>
  <c r="P2179"/>
  <c r="O2179"/>
  <c r="I2179"/>
  <c r="E2179"/>
  <c r="D2179"/>
  <c r="C2179"/>
  <c r="P2178"/>
  <c r="O2178"/>
  <c r="I2178"/>
  <c r="E2178"/>
  <c r="D2178"/>
  <c r="C2178"/>
  <c r="O2177"/>
  <c r="M2177"/>
  <c r="I2177"/>
  <c r="E2177"/>
  <c r="D2177"/>
  <c r="C2177"/>
  <c r="P2176"/>
  <c r="O2176"/>
  <c r="I2176"/>
  <c r="E2176"/>
  <c r="D2176"/>
  <c r="C2176"/>
  <c r="P2175"/>
  <c r="O2175"/>
  <c r="I2175"/>
  <c r="E2175"/>
  <c r="D2175"/>
  <c r="C2175"/>
  <c r="P2174"/>
  <c r="O2174"/>
  <c r="I2174"/>
  <c r="E2174"/>
  <c r="D2174"/>
  <c r="C2174"/>
  <c r="P2173"/>
  <c r="O2173"/>
  <c r="I2173"/>
  <c r="E2173"/>
  <c r="D2173"/>
  <c r="C2173"/>
  <c r="P2172"/>
  <c r="O2172"/>
  <c r="I2172"/>
  <c r="E2172"/>
  <c r="D2172"/>
  <c r="C2172"/>
  <c r="P2171"/>
  <c r="O2171"/>
  <c r="I2171"/>
  <c r="E2171"/>
  <c r="D2171"/>
  <c r="C2171"/>
  <c r="P2170"/>
  <c r="O2170"/>
  <c r="I2170"/>
  <c r="E2170"/>
  <c r="D2170"/>
  <c r="C2170"/>
  <c r="P2169"/>
  <c r="L2169"/>
  <c r="I2169" s="1"/>
  <c r="E2169"/>
  <c r="D2169"/>
  <c r="C2169"/>
  <c r="P2168"/>
  <c r="O2168"/>
  <c r="I2168"/>
  <c r="E2168"/>
  <c r="D2168"/>
  <c r="C2168"/>
  <c r="P2167"/>
  <c r="O2167"/>
  <c r="I2167"/>
  <c r="E2167"/>
  <c r="D2167"/>
  <c r="C2167"/>
  <c r="P2166"/>
  <c r="O2166"/>
  <c r="I2166"/>
  <c r="E2166"/>
  <c r="D2166"/>
  <c r="C2166"/>
  <c r="P2165"/>
  <c r="O2165"/>
  <c r="I2165"/>
  <c r="E2165"/>
  <c r="D2165"/>
  <c r="C2165"/>
  <c r="P2164"/>
  <c r="O2164"/>
  <c r="I2164"/>
  <c r="E2164"/>
  <c r="D2164"/>
  <c r="C2164"/>
  <c r="P2163"/>
  <c r="O2163"/>
  <c r="I2163"/>
  <c r="E2163"/>
  <c r="D2163"/>
  <c r="C2163"/>
  <c r="P2162"/>
  <c r="O2162"/>
  <c r="I2162"/>
  <c r="E2162"/>
  <c r="D2162"/>
  <c r="C2162"/>
  <c r="P2161"/>
  <c r="O2161"/>
  <c r="I2161"/>
  <c r="E2161"/>
  <c r="D2161"/>
  <c r="C2161"/>
  <c r="P2160"/>
  <c r="O2160"/>
  <c r="I2160"/>
  <c r="E2160"/>
  <c r="D2160"/>
  <c r="C2160"/>
  <c r="P2159"/>
  <c r="O2159"/>
  <c r="I2159"/>
  <c r="E2159"/>
  <c r="D2159"/>
  <c r="C2159"/>
  <c r="P2158"/>
  <c r="O2158"/>
  <c r="I2158"/>
  <c r="E2158"/>
  <c r="D2158"/>
  <c r="C2158"/>
  <c r="P2157"/>
  <c r="O2157"/>
  <c r="I2157"/>
  <c r="E2157"/>
  <c r="D2157"/>
  <c r="C2157"/>
  <c r="P2156"/>
  <c r="O2156"/>
  <c r="I2156"/>
  <c r="E2156"/>
  <c r="D2156"/>
  <c r="C2156"/>
  <c r="P2155"/>
  <c r="O2155"/>
  <c r="I2155"/>
  <c r="E2155"/>
  <c r="D2155"/>
  <c r="C2155"/>
  <c r="P2154"/>
  <c r="O2154"/>
  <c r="I2154"/>
  <c r="E2154"/>
  <c r="D2154"/>
  <c r="C2154"/>
  <c r="P2153"/>
  <c r="O2153"/>
  <c r="I2153"/>
  <c r="E2153"/>
  <c r="D2153"/>
  <c r="C2153"/>
  <c r="P2152"/>
  <c r="O2152"/>
  <c r="I2152"/>
  <c r="E2152"/>
  <c r="D2152"/>
  <c r="C2152"/>
  <c r="P2151"/>
  <c r="O2151"/>
  <c r="I2151"/>
  <c r="E2151"/>
  <c r="D2151"/>
  <c r="C2151"/>
  <c r="P2150"/>
  <c r="O2150"/>
  <c r="I2150"/>
  <c r="E2150"/>
  <c r="D2150"/>
  <c r="C2150"/>
  <c r="P2149"/>
  <c r="O2149"/>
  <c r="I2149"/>
  <c r="E2149"/>
  <c r="D2149"/>
  <c r="C2149"/>
  <c r="P2148"/>
  <c r="O2148"/>
  <c r="I2148"/>
  <c r="E2148"/>
  <c r="D2148"/>
  <c r="C2148"/>
  <c r="P2147"/>
  <c r="O2147"/>
  <c r="I2147"/>
  <c r="E2147"/>
  <c r="D2147"/>
  <c r="C2147"/>
  <c r="P2146"/>
  <c r="O2146"/>
  <c r="I2146"/>
  <c r="E2146"/>
  <c r="D2146"/>
  <c r="C2146"/>
  <c r="P2145"/>
  <c r="O2145"/>
  <c r="I2145"/>
  <c r="E2145"/>
  <c r="D2145"/>
  <c r="C2145"/>
  <c r="P2144"/>
  <c r="O2144"/>
  <c r="I2144"/>
  <c r="E2144"/>
  <c r="D2144"/>
  <c r="C2144"/>
  <c r="P2143"/>
  <c r="Q2143" s="1"/>
  <c r="O2143"/>
  <c r="I2143"/>
  <c r="E2143"/>
  <c r="D2143"/>
  <c r="C2143"/>
  <c r="P2142"/>
  <c r="O2142"/>
  <c r="I2142"/>
  <c r="E2142"/>
  <c r="D2142"/>
  <c r="C2142"/>
  <c r="P2141"/>
  <c r="O2141"/>
  <c r="I2141"/>
  <c r="E2141"/>
  <c r="D2141"/>
  <c r="C2141"/>
  <c r="P2140"/>
  <c r="O2140"/>
  <c r="I2140"/>
  <c r="E2140"/>
  <c r="D2140"/>
  <c r="C2140"/>
  <c r="P2139"/>
  <c r="O2139"/>
  <c r="I2139"/>
  <c r="E2139"/>
  <c r="D2139"/>
  <c r="C2139"/>
  <c r="P2138"/>
  <c r="O2138"/>
  <c r="I2138"/>
  <c r="E2138"/>
  <c r="D2138"/>
  <c r="C2138"/>
  <c r="P2137"/>
  <c r="O2137"/>
  <c r="I2137"/>
  <c r="E2137"/>
  <c r="D2137"/>
  <c r="C2137"/>
  <c r="P2136"/>
  <c r="O2136"/>
  <c r="I2136"/>
  <c r="E2136"/>
  <c r="D2136"/>
  <c r="C2136"/>
  <c r="P2135"/>
  <c r="O2135"/>
  <c r="I2135"/>
  <c r="E2135"/>
  <c r="D2135"/>
  <c r="C2135"/>
  <c r="P2134"/>
  <c r="O2134"/>
  <c r="I2134"/>
  <c r="E2134"/>
  <c r="D2134"/>
  <c r="C2134"/>
  <c r="P2133"/>
  <c r="O2133"/>
  <c r="I2133"/>
  <c r="E2133"/>
  <c r="D2133"/>
  <c r="C2133"/>
  <c r="P2132"/>
  <c r="O2132"/>
  <c r="I2132"/>
  <c r="E2132"/>
  <c r="D2132"/>
  <c r="C2132"/>
  <c r="P2131"/>
  <c r="O2131"/>
  <c r="I2131"/>
  <c r="E2131"/>
  <c r="D2131"/>
  <c r="C2131"/>
  <c r="P2130"/>
  <c r="O2130"/>
  <c r="I2130"/>
  <c r="E2130"/>
  <c r="D2130"/>
  <c r="C2130"/>
  <c r="P2129"/>
  <c r="O2129"/>
  <c r="I2129"/>
  <c r="E2129"/>
  <c r="D2129"/>
  <c r="C2129"/>
  <c r="P2128"/>
  <c r="O2128"/>
  <c r="I2128"/>
  <c r="E2128"/>
  <c r="D2128"/>
  <c r="C2128"/>
  <c r="P2127"/>
  <c r="O2127"/>
  <c r="I2127"/>
  <c r="E2127"/>
  <c r="D2127"/>
  <c r="C2127"/>
  <c r="P2126"/>
  <c r="O2126"/>
  <c r="I2126"/>
  <c r="E2126"/>
  <c r="D2126"/>
  <c r="C2126"/>
  <c r="P2125"/>
  <c r="O2125"/>
  <c r="I2125"/>
  <c r="E2125"/>
  <c r="D2125"/>
  <c r="C2125"/>
  <c r="P2124"/>
  <c r="O2124"/>
  <c r="I2124"/>
  <c r="E2124"/>
  <c r="D2124"/>
  <c r="C2124"/>
  <c r="P2123"/>
  <c r="O2123"/>
  <c r="I2123"/>
  <c r="E2123"/>
  <c r="D2123"/>
  <c r="C2123"/>
  <c r="P2122"/>
  <c r="O2122"/>
  <c r="I2122"/>
  <c r="E2122"/>
  <c r="D2122"/>
  <c r="C2122"/>
  <c r="P2121"/>
  <c r="O2121"/>
  <c r="I2121"/>
  <c r="E2121"/>
  <c r="D2121"/>
  <c r="C2121"/>
  <c r="P2120"/>
  <c r="O2120"/>
  <c r="I2120"/>
  <c r="E2120"/>
  <c r="D2120"/>
  <c r="C2120"/>
  <c r="P2119"/>
  <c r="O2119"/>
  <c r="I2119"/>
  <c r="E2119"/>
  <c r="D2119"/>
  <c r="C2119"/>
  <c r="P2118"/>
  <c r="O2118"/>
  <c r="I2118"/>
  <c r="E2118"/>
  <c r="D2118"/>
  <c r="C2118"/>
  <c r="O2117"/>
  <c r="M2117"/>
  <c r="I2117"/>
  <c r="E2117"/>
  <c r="D2117"/>
  <c r="C2117"/>
  <c r="P2116"/>
  <c r="O2116"/>
  <c r="I2116"/>
  <c r="E2116"/>
  <c r="D2116"/>
  <c r="C2116"/>
  <c r="P2115"/>
  <c r="O2115"/>
  <c r="I2115"/>
  <c r="E2115"/>
  <c r="D2115"/>
  <c r="C2115"/>
  <c r="P2114"/>
  <c r="O2114"/>
  <c r="I2114"/>
  <c r="E2114"/>
  <c r="D2114"/>
  <c r="C2114"/>
  <c r="P2113"/>
  <c r="O2113"/>
  <c r="I2113"/>
  <c r="E2113"/>
  <c r="D2113"/>
  <c r="C2113"/>
  <c r="P2112"/>
  <c r="O2112"/>
  <c r="I2112"/>
  <c r="E2112"/>
  <c r="D2112"/>
  <c r="C2112"/>
  <c r="P2111"/>
  <c r="O2111"/>
  <c r="I2111"/>
  <c r="E2111"/>
  <c r="D2111"/>
  <c r="C2111"/>
  <c r="P2110"/>
  <c r="O2110"/>
  <c r="I2110"/>
  <c r="E2110"/>
  <c r="D2110"/>
  <c r="C2110"/>
  <c r="P2109"/>
  <c r="O2109"/>
  <c r="I2109"/>
  <c r="E2109"/>
  <c r="D2109"/>
  <c r="C2109"/>
  <c r="P2108"/>
  <c r="O2108"/>
  <c r="I2108"/>
  <c r="E2108"/>
  <c r="D2108"/>
  <c r="C2108"/>
  <c r="O2107"/>
  <c r="M2107"/>
  <c r="I2107"/>
  <c r="E2107"/>
  <c r="D2107"/>
  <c r="C2107"/>
  <c r="P2106"/>
  <c r="O2106"/>
  <c r="I2106"/>
  <c r="E2106"/>
  <c r="D2106"/>
  <c r="C2106"/>
  <c r="P2105"/>
  <c r="O2105"/>
  <c r="I2105"/>
  <c r="E2105"/>
  <c r="D2105"/>
  <c r="C2105"/>
  <c r="O2104"/>
  <c r="M2104"/>
  <c r="I2104"/>
  <c r="E2104"/>
  <c r="D2104"/>
  <c r="C2104"/>
  <c r="P2103"/>
  <c r="O2103"/>
  <c r="I2103"/>
  <c r="E2103"/>
  <c r="D2103"/>
  <c r="C2103"/>
  <c r="P2102"/>
  <c r="O2102"/>
  <c r="I2102"/>
  <c r="E2102"/>
  <c r="D2102"/>
  <c r="C2102"/>
  <c r="P2101"/>
  <c r="O2101"/>
  <c r="I2101"/>
  <c r="E2101"/>
  <c r="D2101"/>
  <c r="C2101"/>
  <c r="P2100"/>
  <c r="O2100"/>
  <c r="I2100"/>
  <c r="E2100"/>
  <c r="D2100"/>
  <c r="C2100"/>
  <c r="P2099"/>
  <c r="O2099"/>
  <c r="I2099"/>
  <c r="E2099"/>
  <c r="D2099"/>
  <c r="C2099"/>
  <c r="P2098"/>
  <c r="O2098"/>
  <c r="I2098"/>
  <c r="E2098"/>
  <c r="D2098"/>
  <c r="C2098"/>
  <c r="P2097"/>
  <c r="O2097"/>
  <c r="I2097"/>
  <c r="E2097"/>
  <c r="D2097"/>
  <c r="C2097"/>
  <c r="P2096"/>
  <c r="O2096"/>
  <c r="I2096"/>
  <c r="E2096"/>
  <c r="D2096"/>
  <c r="C2096"/>
  <c r="P2095"/>
  <c r="O2095"/>
  <c r="I2095"/>
  <c r="E2095"/>
  <c r="D2095"/>
  <c r="C2095"/>
  <c r="P2094"/>
  <c r="O2094"/>
  <c r="I2094"/>
  <c r="E2094"/>
  <c r="D2094"/>
  <c r="C2094"/>
  <c r="P2093"/>
  <c r="O2093"/>
  <c r="I2093"/>
  <c r="E2093"/>
  <c r="D2093"/>
  <c r="C2093"/>
  <c r="P2092"/>
  <c r="O2092"/>
  <c r="I2092"/>
  <c r="E2092"/>
  <c r="D2092"/>
  <c r="C2092"/>
  <c r="P2091"/>
  <c r="O2091"/>
  <c r="I2091"/>
  <c r="E2091"/>
  <c r="D2091"/>
  <c r="C2091"/>
  <c r="O2090"/>
  <c r="M2090"/>
  <c r="I2090"/>
  <c r="E2090"/>
  <c r="D2090"/>
  <c r="C2090"/>
  <c r="P2089"/>
  <c r="O2089"/>
  <c r="I2089"/>
  <c r="E2089"/>
  <c r="D2089"/>
  <c r="C2089"/>
  <c r="P2088"/>
  <c r="O2088"/>
  <c r="I2088"/>
  <c r="E2088"/>
  <c r="D2088"/>
  <c r="C2088"/>
  <c r="P2087"/>
  <c r="O2087"/>
  <c r="I2087"/>
  <c r="E2087"/>
  <c r="D2087"/>
  <c r="C2087"/>
  <c r="P2086"/>
  <c r="O2086"/>
  <c r="I2086"/>
  <c r="E2086"/>
  <c r="D2086"/>
  <c r="C2086"/>
  <c r="P2085"/>
  <c r="O2085"/>
  <c r="I2085"/>
  <c r="E2085"/>
  <c r="D2085"/>
  <c r="C2085"/>
  <c r="P2084"/>
  <c r="O2084"/>
  <c r="I2084"/>
  <c r="E2084"/>
  <c r="D2084"/>
  <c r="C2084"/>
  <c r="P2083"/>
  <c r="O2083"/>
  <c r="I2083"/>
  <c r="E2083"/>
  <c r="D2083"/>
  <c r="C2083"/>
  <c r="P2082"/>
  <c r="O2082"/>
  <c r="I2082"/>
  <c r="E2082"/>
  <c r="D2082"/>
  <c r="C2082"/>
  <c r="P2081"/>
  <c r="O2081"/>
  <c r="I2081"/>
  <c r="E2081"/>
  <c r="D2081"/>
  <c r="C2081"/>
  <c r="P2080"/>
  <c r="O2080"/>
  <c r="I2080"/>
  <c r="E2080"/>
  <c r="D2080"/>
  <c r="C2080"/>
  <c r="P2079"/>
  <c r="O2079"/>
  <c r="I2079"/>
  <c r="E2079"/>
  <c r="D2079"/>
  <c r="C2079"/>
  <c r="P2078"/>
  <c r="O2078"/>
  <c r="I2078"/>
  <c r="E2078"/>
  <c r="D2078"/>
  <c r="C2078"/>
  <c r="P2077"/>
  <c r="O2077"/>
  <c r="I2077"/>
  <c r="E2077"/>
  <c r="D2077"/>
  <c r="C2077"/>
  <c r="P2076"/>
  <c r="L2076"/>
  <c r="I2076" s="1"/>
  <c r="E2076"/>
  <c r="D2076"/>
  <c r="C2076"/>
  <c r="P2075"/>
  <c r="O2075"/>
  <c r="I2075"/>
  <c r="E2075"/>
  <c r="D2075"/>
  <c r="C2075"/>
  <c r="P2074"/>
  <c r="O2074"/>
  <c r="I2074"/>
  <c r="E2074"/>
  <c r="D2074"/>
  <c r="C2074"/>
  <c r="P2073"/>
  <c r="O2073"/>
  <c r="I2073"/>
  <c r="E2073"/>
  <c r="D2073"/>
  <c r="C2073"/>
  <c r="P2072"/>
  <c r="O2072"/>
  <c r="I2072"/>
  <c r="E2072"/>
  <c r="D2072"/>
  <c r="C2072"/>
  <c r="P2071"/>
  <c r="O2071"/>
  <c r="I2071"/>
  <c r="E2071"/>
  <c r="D2071"/>
  <c r="C2071"/>
  <c r="P2070"/>
  <c r="O2070"/>
  <c r="I2070"/>
  <c r="E2070"/>
  <c r="D2070"/>
  <c r="C2070"/>
  <c r="P2069"/>
  <c r="O2069"/>
  <c r="I2069"/>
  <c r="E2069"/>
  <c r="D2069"/>
  <c r="C2069"/>
  <c r="P2068"/>
  <c r="O2068"/>
  <c r="I2068"/>
  <c r="E2068"/>
  <c r="D2068"/>
  <c r="C2068"/>
  <c r="P2067"/>
  <c r="O2067"/>
  <c r="I2067"/>
  <c r="E2067"/>
  <c r="D2067"/>
  <c r="C2067"/>
  <c r="P2066"/>
  <c r="O2066"/>
  <c r="I2066"/>
  <c r="E2066"/>
  <c r="D2066"/>
  <c r="C2066"/>
  <c r="P2065"/>
  <c r="O2065"/>
  <c r="I2065"/>
  <c r="E2065"/>
  <c r="D2065"/>
  <c r="C2065"/>
  <c r="P2064"/>
  <c r="O2064"/>
  <c r="I2064"/>
  <c r="E2064"/>
  <c r="D2064"/>
  <c r="C2064"/>
  <c r="P2063"/>
  <c r="O2063"/>
  <c r="I2063"/>
  <c r="E2063"/>
  <c r="D2063"/>
  <c r="C2063"/>
  <c r="P2062"/>
  <c r="O2062"/>
  <c r="I2062"/>
  <c r="E2062"/>
  <c r="D2062"/>
  <c r="C2062"/>
  <c r="P2061"/>
  <c r="O2061"/>
  <c r="I2061"/>
  <c r="E2061"/>
  <c r="D2061"/>
  <c r="C2061"/>
  <c r="P2060"/>
  <c r="O2060"/>
  <c r="I2060"/>
  <c r="E2060"/>
  <c r="D2060"/>
  <c r="C2060"/>
  <c r="P2059"/>
  <c r="O2059"/>
  <c r="I2059"/>
  <c r="E2059"/>
  <c r="D2059"/>
  <c r="C2059"/>
  <c r="P2058"/>
  <c r="O2058"/>
  <c r="I2058"/>
  <c r="E2058"/>
  <c r="D2058"/>
  <c r="C2058"/>
  <c r="P2057"/>
  <c r="O2057"/>
  <c r="I2057"/>
  <c r="E2057"/>
  <c r="D2057"/>
  <c r="C2057"/>
  <c r="P2056"/>
  <c r="O2056"/>
  <c r="I2056"/>
  <c r="E2056"/>
  <c r="D2056"/>
  <c r="C2056"/>
  <c r="P2055"/>
  <c r="O2055"/>
  <c r="I2055"/>
  <c r="E2055"/>
  <c r="D2055"/>
  <c r="C2055"/>
  <c r="P2054"/>
  <c r="O2054"/>
  <c r="I2054"/>
  <c r="E2054"/>
  <c r="D2054"/>
  <c r="C2054"/>
  <c r="P2053"/>
  <c r="O2053"/>
  <c r="I2053"/>
  <c r="E2053"/>
  <c r="D2053"/>
  <c r="C2053"/>
  <c r="P2052"/>
  <c r="O2052"/>
  <c r="I2052"/>
  <c r="E2052"/>
  <c r="D2052"/>
  <c r="C2052"/>
  <c r="P2051"/>
  <c r="O2051"/>
  <c r="I2051"/>
  <c r="E2051"/>
  <c r="D2051"/>
  <c r="C2051"/>
  <c r="P2050"/>
  <c r="O2050"/>
  <c r="I2050"/>
  <c r="E2050"/>
  <c r="D2050"/>
  <c r="C2050"/>
  <c r="P2049"/>
  <c r="O2049"/>
  <c r="I2049"/>
  <c r="E2049"/>
  <c r="D2049"/>
  <c r="C2049"/>
  <c r="P2048"/>
  <c r="O2048"/>
  <c r="I2048"/>
  <c r="E2048"/>
  <c r="D2048"/>
  <c r="C2048"/>
  <c r="P2047"/>
  <c r="O2047"/>
  <c r="I2047"/>
  <c r="E2047"/>
  <c r="D2047"/>
  <c r="C2047"/>
  <c r="P2046"/>
  <c r="O2046"/>
  <c r="I2046"/>
  <c r="E2046"/>
  <c r="D2046"/>
  <c r="C2046"/>
  <c r="P2045"/>
  <c r="O2045"/>
  <c r="I2045"/>
  <c r="E2045"/>
  <c r="D2045"/>
  <c r="C2045"/>
  <c r="P2044"/>
  <c r="O2044"/>
  <c r="I2044"/>
  <c r="E2044"/>
  <c r="D2044"/>
  <c r="C2044"/>
  <c r="P2043"/>
  <c r="O2043"/>
  <c r="I2043"/>
  <c r="E2043"/>
  <c r="D2043"/>
  <c r="C2043"/>
  <c r="P2042"/>
  <c r="O2042"/>
  <c r="I2042"/>
  <c r="E2042"/>
  <c r="D2042"/>
  <c r="C2042"/>
  <c r="P2041"/>
  <c r="O2041"/>
  <c r="I2041"/>
  <c r="E2041"/>
  <c r="D2041"/>
  <c r="C2041"/>
  <c r="P2040"/>
  <c r="O2040"/>
  <c r="I2040"/>
  <c r="E2040"/>
  <c r="D2040"/>
  <c r="C2040"/>
  <c r="P2039"/>
  <c r="O2039"/>
  <c r="I2039"/>
  <c r="E2039"/>
  <c r="D2039"/>
  <c r="C2039"/>
  <c r="P2038"/>
  <c r="O2038"/>
  <c r="I2038"/>
  <c r="E2038"/>
  <c r="D2038"/>
  <c r="C2038"/>
  <c r="P2037"/>
  <c r="O2037"/>
  <c r="I2037"/>
  <c r="E2037"/>
  <c r="D2037"/>
  <c r="C2037"/>
  <c r="P2036"/>
  <c r="O2036"/>
  <c r="I2036"/>
  <c r="E2036"/>
  <c r="D2036"/>
  <c r="C2036"/>
  <c r="P2035"/>
  <c r="O2035"/>
  <c r="I2035"/>
  <c r="E2035"/>
  <c r="D2035"/>
  <c r="C2035"/>
  <c r="P2034"/>
  <c r="O2034"/>
  <c r="I2034"/>
  <c r="E2034"/>
  <c r="D2034"/>
  <c r="C2034"/>
  <c r="P2033"/>
  <c r="O2033"/>
  <c r="I2033"/>
  <c r="E2033"/>
  <c r="D2033"/>
  <c r="C2033"/>
  <c r="P2032"/>
  <c r="O2032"/>
  <c r="I2032"/>
  <c r="E2032"/>
  <c r="D2032"/>
  <c r="C2032"/>
  <c r="P2031"/>
  <c r="O2031"/>
  <c r="I2031"/>
  <c r="E2031"/>
  <c r="D2031"/>
  <c r="C2031"/>
  <c r="O2030"/>
  <c r="M2030"/>
  <c r="I2030"/>
  <c r="E2030"/>
  <c r="D2030"/>
  <c r="C2030"/>
  <c r="P2029"/>
  <c r="O2029"/>
  <c r="I2029"/>
  <c r="E2029"/>
  <c r="D2029"/>
  <c r="C2029"/>
  <c r="P2028"/>
  <c r="O2028"/>
  <c r="I2028"/>
  <c r="E2028"/>
  <c r="D2028"/>
  <c r="C2028"/>
  <c r="O2027"/>
  <c r="M2027"/>
  <c r="I2027"/>
  <c r="E2027"/>
  <c r="D2027"/>
  <c r="C2027"/>
  <c r="P2026"/>
  <c r="O2026"/>
  <c r="I2026"/>
  <c r="E2026"/>
  <c r="D2026"/>
  <c r="C2026"/>
  <c r="P2025"/>
  <c r="O2025"/>
  <c r="I2025"/>
  <c r="E2025"/>
  <c r="D2025"/>
  <c r="C2025"/>
  <c r="P2024"/>
  <c r="O2024"/>
  <c r="I2024"/>
  <c r="E2024"/>
  <c r="D2024"/>
  <c r="C2024"/>
  <c r="P2023"/>
  <c r="O2023"/>
  <c r="I2023"/>
  <c r="E2023"/>
  <c r="D2023"/>
  <c r="C2023"/>
  <c r="P2022"/>
  <c r="O2022"/>
  <c r="I2022"/>
  <c r="E2022"/>
  <c r="D2022"/>
  <c r="C2022"/>
  <c r="P2021"/>
  <c r="O2021"/>
  <c r="I2021"/>
  <c r="E2021"/>
  <c r="D2021"/>
  <c r="C2021"/>
  <c r="P2020"/>
  <c r="O2020"/>
  <c r="I2020"/>
  <c r="E2020"/>
  <c r="D2020"/>
  <c r="C2020"/>
  <c r="P2019"/>
  <c r="O2019"/>
  <c r="I2019"/>
  <c r="E2019"/>
  <c r="D2019"/>
  <c r="C2019"/>
  <c r="P2018"/>
  <c r="O2018"/>
  <c r="I2018"/>
  <c r="E2018"/>
  <c r="D2018"/>
  <c r="C2018"/>
  <c r="P2017"/>
  <c r="O2017"/>
  <c r="I2017"/>
  <c r="E2017"/>
  <c r="D2017"/>
  <c r="C2017"/>
  <c r="P2016"/>
  <c r="O2016"/>
  <c r="I2016"/>
  <c r="E2016"/>
  <c r="D2016"/>
  <c r="C2016"/>
  <c r="P2015"/>
  <c r="O2015"/>
  <c r="I2015"/>
  <c r="E2015"/>
  <c r="D2015"/>
  <c r="C2015"/>
  <c r="P2014"/>
  <c r="O2014"/>
  <c r="I2014"/>
  <c r="E2014"/>
  <c r="D2014"/>
  <c r="C2014"/>
  <c r="P2013"/>
  <c r="O2013"/>
  <c r="I2013"/>
  <c r="E2013"/>
  <c r="D2013"/>
  <c r="C2013"/>
  <c r="P2012"/>
  <c r="O2012"/>
  <c r="I2012"/>
  <c r="E2012"/>
  <c r="D2012"/>
  <c r="C2012"/>
  <c r="P2011"/>
  <c r="O2011"/>
  <c r="I2011"/>
  <c r="E2011"/>
  <c r="D2011"/>
  <c r="C2011"/>
  <c r="P2010"/>
  <c r="O2010"/>
  <c r="I2010"/>
  <c r="E2010"/>
  <c r="D2010"/>
  <c r="C2010"/>
  <c r="P2009"/>
  <c r="O2009"/>
  <c r="I2009"/>
  <c r="E2009"/>
  <c r="D2009"/>
  <c r="C2009"/>
  <c r="P2008"/>
  <c r="O2008"/>
  <c r="I2008"/>
  <c r="E2008"/>
  <c r="D2008"/>
  <c r="C2008"/>
  <c r="P2007"/>
  <c r="O2007"/>
  <c r="I2007"/>
  <c r="E2007"/>
  <c r="D2007"/>
  <c r="C2007"/>
  <c r="P2006"/>
  <c r="O2006"/>
  <c r="I2006"/>
  <c r="E2006"/>
  <c r="D2006"/>
  <c r="C2006"/>
  <c r="P2005"/>
  <c r="O2005"/>
  <c r="I2005"/>
  <c r="E2005"/>
  <c r="D2005"/>
  <c r="C2005"/>
  <c r="P2004"/>
  <c r="O2004"/>
  <c r="I2004"/>
  <c r="E2004"/>
  <c r="D2004"/>
  <c r="C2004"/>
  <c r="P2003"/>
  <c r="O2003"/>
  <c r="I2003"/>
  <c r="E2003"/>
  <c r="D2003"/>
  <c r="C2003"/>
  <c r="P2002"/>
  <c r="O2002"/>
  <c r="I2002"/>
  <c r="E2002"/>
  <c r="D2002"/>
  <c r="C2002"/>
  <c r="P2001"/>
  <c r="O2001"/>
  <c r="I2001"/>
  <c r="E2001"/>
  <c r="D2001"/>
  <c r="C2001"/>
  <c r="P2000"/>
  <c r="O2000"/>
  <c r="I2000"/>
  <c r="E2000"/>
  <c r="D2000"/>
  <c r="C2000"/>
  <c r="P1999"/>
  <c r="O1999"/>
  <c r="I1999"/>
  <c r="E1999"/>
  <c r="D1999"/>
  <c r="C1999"/>
  <c r="P1998"/>
  <c r="O1998"/>
  <c r="I1998"/>
  <c r="E1998"/>
  <c r="D1998"/>
  <c r="C1998"/>
  <c r="P1997"/>
  <c r="O1997"/>
  <c r="I1997"/>
  <c r="E1997"/>
  <c r="D1997"/>
  <c r="C1997"/>
  <c r="P1996"/>
  <c r="O1996"/>
  <c r="I1996"/>
  <c r="E1996"/>
  <c r="D1996"/>
  <c r="C1996"/>
  <c r="P1995"/>
  <c r="O1995"/>
  <c r="I1995"/>
  <c r="E1995"/>
  <c r="D1995"/>
  <c r="C1995"/>
  <c r="P1994"/>
  <c r="O1994"/>
  <c r="I1994"/>
  <c r="E1994"/>
  <c r="D1994"/>
  <c r="C1994"/>
  <c r="P1993"/>
  <c r="O1993"/>
  <c r="I1993"/>
  <c r="E1993"/>
  <c r="D1993"/>
  <c r="C1993"/>
  <c r="P1992"/>
  <c r="O1992"/>
  <c r="I1992"/>
  <c r="E1992"/>
  <c r="D1992"/>
  <c r="C1992"/>
  <c r="P1991"/>
  <c r="O1991"/>
  <c r="I1991"/>
  <c r="E1991"/>
  <c r="D1991"/>
  <c r="C1991"/>
  <c r="P1990"/>
  <c r="O1990"/>
  <c r="I1990"/>
  <c r="E1990"/>
  <c r="D1990"/>
  <c r="C1990"/>
  <c r="P1989"/>
  <c r="O1989"/>
  <c r="I1989"/>
  <c r="E1989"/>
  <c r="D1989"/>
  <c r="C1989"/>
  <c r="P1988"/>
  <c r="O1988"/>
  <c r="I1988"/>
  <c r="E1988"/>
  <c r="D1988"/>
  <c r="C1988"/>
  <c r="P1987"/>
  <c r="O1987"/>
  <c r="I1987"/>
  <c r="E1987"/>
  <c r="D1987"/>
  <c r="C1987"/>
  <c r="P1986"/>
  <c r="O1986"/>
  <c r="I1986"/>
  <c r="E1986"/>
  <c r="D1986"/>
  <c r="C1986"/>
  <c r="P1985"/>
  <c r="O1985"/>
  <c r="I1985"/>
  <c r="E1985"/>
  <c r="D1985"/>
  <c r="C1985"/>
  <c r="P1984"/>
  <c r="O1984"/>
  <c r="I1984"/>
  <c r="E1984"/>
  <c r="D1984"/>
  <c r="C1984"/>
  <c r="P1983"/>
  <c r="O1983"/>
  <c r="I1983"/>
  <c r="E1983"/>
  <c r="D1983"/>
  <c r="C1983"/>
  <c r="P1982"/>
  <c r="O1982"/>
  <c r="I1982"/>
  <c r="E1982"/>
  <c r="D1982"/>
  <c r="C1982"/>
  <c r="P1981"/>
  <c r="O1981"/>
  <c r="I1981"/>
  <c r="E1981"/>
  <c r="D1981"/>
  <c r="C1981"/>
  <c r="P1980"/>
  <c r="O1980"/>
  <c r="I1980"/>
  <c r="E1980"/>
  <c r="D1980"/>
  <c r="C1980"/>
  <c r="P1979"/>
  <c r="O1979"/>
  <c r="I1979"/>
  <c r="E1979"/>
  <c r="D1979"/>
  <c r="C1979"/>
  <c r="P1978"/>
  <c r="O1978"/>
  <c r="I1978"/>
  <c r="E1978"/>
  <c r="D1978"/>
  <c r="C1978"/>
  <c r="P1977"/>
  <c r="O1977"/>
  <c r="I1977"/>
  <c r="E1977"/>
  <c r="D1977"/>
  <c r="C1977"/>
  <c r="P1976"/>
  <c r="O1976"/>
  <c r="I1976"/>
  <c r="E1976"/>
  <c r="D1976"/>
  <c r="C1976"/>
  <c r="P1975"/>
  <c r="O1975"/>
  <c r="I1975"/>
  <c r="E1975"/>
  <c r="D1975"/>
  <c r="C1975"/>
  <c r="P1974"/>
  <c r="O1974"/>
  <c r="I1974"/>
  <c r="E1974"/>
  <c r="D1974"/>
  <c r="C1974"/>
  <c r="P1973"/>
  <c r="O1973"/>
  <c r="I1973"/>
  <c r="E1973"/>
  <c r="D1973"/>
  <c r="C1973"/>
  <c r="P1972"/>
  <c r="O1972"/>
  <c r="I1972"/>
  <c r="E1972"/>
  <c r="D1972"/>
  <c r="C1972"/>
  <c r="O1971"/>
  <c r="M1971"/>
  <c r="I1971"/>
  <c r="E1971"/>
  <c r="D1971"/>
  <c r="C1971"/>
  <c r="P1970"/>
  <c r="O1970"/>
  <c r="I1970"/>
  <c r="E1970"/>
  <c r="D1970"/>
  <c r="C1970"/>
  <c r="P1969"/>
  <c r="O1969"/>
  <c r="I1969"/>
  <c r="E1969"/>
  <c r="D1969"/>
  <c r="C1969"/>
  <c r="P1968"/>
  <c r="O1968"/>
  <c r="I1968"/>
  <c r="E1968"/>
  <c r="D1968"/>
  <c r="C1968"/>
  <c r="P1967"/>
  <c r="O1967"/>
  <c r="I1967"/>
  <c r="E1967"/>
  <c r="D1967"/>
  <c r="C1967"/>
  <c r="P1966"/>
  <c r="O1966"/>
  <c r="I1966"/>
  <c r="E1966"/>
  <c r="D1966"/>
  <c r="C1966"/>
  <c r="P1965"/>
  <c r="O1965"/>
  <c r="I1965"/>
  <c r="E1965"/>
  <c r="D1965"/>
  <c r="C1965"/>
  <c r="P1964"/>
  <c r="O1964"/>
  <c r="I1964"/>
  <c r="E1964"/>
  <c r="D1964"/>
  <c r="C1964"/>
  <c r="P1963"/>
  <c r="O1963"/>
  <c r="I1963"/>
  <c r="E1963"/>
  <c r="D1963"/>
  <c r="C1963"/>
  <c r="P1962"/>
  <c r="O1962"/>
  <c r="I1962"/>
  <c r="E1962"/>
  <c r="D1962"/>
  <c r="C1962"/>
  <c r="P1961"/>
  <c r="O1961"/>
  <c r="I1961"/>
  <c r="E1961"/>
  <c r="D1961"/>
  <c r="C1961"/>
  <c r="P1960"/>
  <c r="O1960"/>
  <c r="I1960"/>
  <c r="E1960"/>
  <c r="D1960"/>
  <c r="C1960"/>
  <c r="P1959"/>
  <c r="O1959"/>
  <c r="I1959"/>
  <c r="E1959"/>
  <c r="D1959"/>
  <c r="C1959"/>
  <c r="P1958"/>
  <c r="O1958"/>
  <c r="I1958"/>
  <c r="E1958"/>
  <c r="D1958"/>
  <c r="C1958"/>
  <c r="P1957"/>
  <c r="O1957"/>
  <c r="I1957"/>
  <c r="E1957"/>
  <c r="D1957"/>
  <c r="C1957"/>
  <c r="P1956"/>
  <c r="O1956"/>
  <c r="I1956"/>
  <c r="E1956"/>
  <c r="D1956"/>
  <c r="C1956"/>
  <c r="P1955"/>
  <c r="O1955"/>
  <c r="I1955"/>
  <c r="E1955"/>
  <c r="D1955"/>
  <c r="C1955"/>
  <c r="P1954"/>
  <c r="O1954"/>
  <c r="I1954"/>
  <c r="E1954"/>
  <c r="D1954"/>
  <c r="C1954"/>
  <c r="P1953"/>
  <c r="O1953"/>
  <c r="I1953"/>
  <c r="E1953"/>
  <c r="D1953"/>
  <c r="C1953"/>
  <c r="P1952"/>
  <c r="O1952"/>
  <c r="I1952"/>
  <c r="E1952"/>
  <c r="D1952"/>
  <c r="C1952"/>
  <c r="P1951"/>
  <c r="O1951"/>
  <c r="I1951"/>
  <c r="E1951"/>
  <c r="D1951"/>
  <c r="C1951"/>
  <c r="P1950"/>
  <c r="O1950"/>
  <c r="I1950"/>
  <c r="E1950"/>
  <c r="D1950"/>
  <c r="C1950"/>
  <c r="P1949"/>
  <c r="O1949"/>
  <c r="I1949"/>
  <c r="E1949"/>
  <c r="D1949"/>
  <c r="C1949"/>
  <c r="P1948"/>
  <c r="O1948"/>
  <c r="I1948"/>
  <c r="E1948"/>
  <c r="D1948"/>
  <c r="C1948"/>
  <c r="P1947"/>
  <c r="O1947"/>
  <c r="I1947"/>
  <c r="E1947"/>
  <c r="D1947"/>
  <c r="C1947"/>
  <c r="P1946"/>
  <c r="O1946"/>
  <c r="I1946"/>
  <c r="E1946"/>
  <c r="D1946"/>
  <c r="C1946"/>
  <c r="P1945"/>
  <c r="O1945"/>
  <c r="I1945"/>
  <c r="E1945"/>
  <c r="D1945"/>
  <c r="C1945"/>
  <c r="P1944"/>
  <c r="O1944"/>
  <c r="I1944"/>
  <c r="E1944"/>
  <c r="D1944"/>
  <c r="C1944"/>
  <c r="P1943"/>
  <c r="O1943"/>
  <c r="I1943"/>
  <c r="E1943"/>
  <c r="D1943"/>
  <c r="C1943"/>
  <c r="P1942"/>
  <c r="O1942"/>
  <c r="I1942"/>
  <c r="E1942"/>
  <c r="D1942"/>
  <c r="C1942"/>
  <c r="P1941"/>
  <c r="O1941"/>
  <c r="I1941"/>
  <c r="E1941"/>
  <c r="D1941"/>
  <c r="C1941"/>
  <c r="P1940"/>
  <c r="O1940"/>
  <c r="I1940"/>
  <c r="E1940"/>
  <c r="D1940"/>
  <c r="C1940"/>
  <c r="P1939"/>
  <c r="O1939"/>
  <c r="I1939"/>
  <c r="E1939"/>
  <c r="D1939"/>
  <c r="C1939"/>
  <c r="P1938"/>
  <c r="O1938"/>
  <c r="I1938"/>
  <c r="E1938"/>
  <c r="D1938"/>
  <c r="C1938"/>
  <c r="P1937"/>
  <c r="O1937"/>
  <c r="I1937"/>
  <c r="E1937"/>
  <c r="D1937"/>
  <c r="C1937"/>
  <c r="P1936"/>
  <c r="O1936"/>
  <c r="I1936"/>
  <c r="E1936"/>
  <c r="D1936"/>
  <c r="C1936"/>
  <c r="P1935"/>
  <c r="O1935"/>
  <c r="I1935"/>
  <c r="E1935"/>
  <c r="D1935"/>
  <c r="C1935"/>
  <c r="P1934"/>
  <c r="O1934"/>
  <c r="I1934"/>
  <c r="E1934"/>
  <c r="D1934"/>
  <c r="C1934"/>
  <c r="O1933"/>
  <c r="M1933"/>
  <c r="I1933"/>
  <c r="E1933"/>
  <c r="D1933"/>
  <c r="C1933"/>
  <c r="P1932"/>
  <c r="O1932"/>
  <c r="I1932"/>
  <c r="E1932"/>
  <c r="D1932"/>
  <c r="C1932"/>
  <c r="P1931"/>
  <c r="O1931"/>
  <c r="I1931"/>
  <c r="E1931"/>
  <c r="D1931"/>
  <c r="C1931"/>
  <c r="P1930"/>
  <c r="O1930"/>
  <c r="I1930"/>
  <c r="E1930"/>
  <c r="D1930"/>
  <c r="C1930"/>
  <c r="P1929"/>
  <c r="O1929"/>
  <c r="I1929"/>
  <c r="E1929"/>
  <c r="D1929"/>
  <c r="C1929"/>
  <c r="P1928"/>
  <c r="O1928"/>
  <c r="I1928"/>
  <c r="E1928"/>
  <c r="D1928"/>
  <c r="C1928"/>
  <c r="P1927"/>
  <c r="O1927"/>
  <c r="I1927"/>
  <c r="E1927"/>
  <c r="D1927"/>
  <c r="C1927"/>
  <c r="P1926"/>
  <c r="O1926"/>
  <c r="I1926"/>
  <c r="E1926"/>
  <c r="D1926"/>
  <c r="C1926"/>
  <c r="P1925"/>
  <c r="O1925"/>
  <c r="I1925"/>
  <c r="E1925"/>
  <c r="D1925"/>
  <c r="C1925"/>
  <c r="P1924"/>
  <c r="O1924"/>
  <c r="I1924"/>
  <c r="E1924"/>
  <c r="D1924"/>
  <c r="C1924"/>
  <c r="P1923"/>
  <c r="O1923"/>
  <c r="I1923"/>
  <c r="E1923"/>
  <c r="D1923"/>
  <c r="C1923"/>
  <c r="P1922"/>
  <c r="O1922"/>
  <c r="I1922"/>
  <c r="E1922"/>
  <c r="D1922"/>
  <c r="C1922"/>
  <c r="P1921"/>
  <c r="O1921"/>
  <c r="I1921"/>
  <c r="E1921"/>
  <c r="D1921"/>
  <c r="C1921"/>
  <c r="P1920"/>
  <c r="O1920"/>
  <c r="I1920"/>
  <c r="E1920"/>
  <c r="D1920"/>
  <c r="C1920"/>
  <c r="P1919"/>
  <c r="O1919"/>
  <c r="I1919"/>
  <c r="E1919"/>
  <c r="D1919"/>
  <c r="C1919"/>
  <c r="P1918"/>
  <c r="O1918"/>
  <c r="I1918"/>
  <c r="E1918"/>
  <c r="D1918"/>
  <c r="C1918"/>
  <c r="P1917"/>
  <c r="O1917"/>
  <c r="I1917"/>
  <c r="E1917"/>
  <c r="D1917"/>
  <c r="C1917"/>
  <c r="O1916"/>
  <c r="M1916"/>
  <c r="I1916"/>
  <c r="E1916"/>
  <c r="D1916"/>
  <c r="C1916"/>
  <c r="P1915"/>
  <c r="O1915"/>
  <c r="I1915"/>
  <c r="E1915"/>
  <c r="D1915"/>
  <c r="C1915"/>
  <c r="P1914"/>
  <c r="O1914"/>
  <c r="I1914"/>
  <c r="E1914"/>
  <c r="D1914"/>
  <c r="C1914"/>
  <c r="P1913"/>
  <c r="O1913"/>
  <c r="I1913"/>
  <c r="E1913"/>
  <c r="D1913"/>
  <c r="C1913"/>
  <c r="P1912"/>
  <c r="O1912"/>
  <c r="I1912"/>
  <c r="E1912"/>
  <c r="D1912"/>
  <c r="C1912"/>
  <c r="P1911"/>
  <c r="O1911"/>
  <c r="I1911"/>
  <c r="E1911"/>
  <c r="D1911"/>
  <c r="C1911"/>
  <c r="P1910"/>
  <c r="O1910"/>
  <c r="I1910"/>
  <c r="E1910"/>
  <c r="D1910"/>
  <c r="C1910"/>
  <c r="P1909"/>
  <c r="O1909"/>
  <c r="I1909"/>
  <c r="E1909"/>
  <c r="D1909"/>
  <c r="C1909"/>
  <c r="P1908"/>
  <c r="O1908"/>
  <c r="I1908"/>
  <c r="E1908"/>
  <c r="D1908"/>
  <c r="C1908"/>
  <c r="P1907"/>
  <c r="O1907"/>
  <c r="I1907"/>
  <c r="E1907"/>
  <c r="D1907"/>
  <c r="C1907"/>
  <c r="P1906"/>
  <c r="O1906"/>
  <c r="I1906"/>
  <c r="E1906"/>
  <c r="D1906"/>
  <c r="C1906"/>
  <c r="P1905"/>
  <c r="O1905"/>
  <c r="I1905"/>
  <c r="E1905"/>
  <c r="D1905"/>
  <c r="C1905"/>
  <c r="P1904"/>
  <c r="O1904"/>
  <c r="I1904"/>
  <c r="E1904"/>
  <c r="D1904"/>
  <c r="C1904"/>
  <c r="P1903"/>
  <c r="O1903"/>
  <c r="I1903"/>
  <c r="E1903"/>
  <c r="D1903"/>
  <c r="C1903"/>
  <c r="P1902"/>
  <c r="L1902"/>
  <c r="I1902" s="1"/>
  <c r="E1902"/>
  <c r="D1902"/>
  <c r="C1902"/>
  <c r="P1901"/>
  <c r="O1901"/>
  <c r="I1901"/>
  <c r="E1901"/>
  <c r="D1901"/>
  <c r="C1901"/>
  <c r="P1900"/>
  <c r="O1900"/>
  <c r="I1900"/>
  <c r="E1900"/>
  <c r="D1900"/>
  <c r="C1900"/>
  <c r="P1899"/>
  <c r="O1899"/>
  <c r="I1899"/>
  <c r="E1899"/>
  <c r="D1899"/>
  <c r="C1899"/>
  <c r="P1898"/>
  <c r="O1898"/>
  <c r="I1898"/>
  <c r="E1898"/>
  <c r="D1898"/>
  <c r="C1898"/>
  <c r="P1897"/>
  <c r="O1897"/>
  <c r="I1897"/>
  <c r="E1897"/>
  <c r="D1897"/>
  <c r="C1897"/>
  <c r="P1896"/>
  <c r="O1896"/>
  <c r="I1896"/>
  <c r="E1896"/>
  <c r="D1896"/>
  <c r="C1896"/>
  <c r="P1895"/>
  <c r="O1895"/>
  <c r="I1895"/>
  <c r="E1895"/>
  <c r="D1895"/>
  <c r="C1895"/>
  <c r="P1894"/>
  <c r="O1894"/>
  <c r="I1894"/>
  <c r="E1894"/>
  <c r="D1894"/>
  <c r="C1894"/>
  <c r="P1893"/>
  <c r="O1893"/>
  <c r="I1893"/>
  <c r="E1893"/>
  <c r="D1893"/>
  <c r="C1893"/>
  <c r="P1892"/>
  <c r="O1892"/>
  <c r="I1892"/>
  <c r="E1892"/>
  <c r="D1892"/>
  <c r="C1892"/>
  <c r="P1891"/>
  <c r="O1891"/>
  <c r="I1891"/>
  <c r="E1891"/>
  <c r="D1891"/>
  <c r="C1891"/>
  <c r="P1890"/>
  <c r="O1890"/>
  <c r="I1890"/>
  <c r="E1890"/>
  <c r="D1890"/>
  <c r="C1890"/>
  <c r="P1889"/>
  <c r="O1889"/>
  <c r="I1889"/>
  <c r="E1889"/>
  <c r="D1889"/>
  <c r="C1889"/>
  <c r="P1888"/>
  <c r="O1888"/>
  <c r="I1888"/>
  <c r="E1888"/>
  <c r="D1888"/>
  <c r="C1888"/>
  <c r="P1887"/>
  <c r="O1887"/>
  <c r="I1887"/>
  <c r="E1887"/>
  <c r="D1887"/>
  <c r="C1887"/>
  <c r="P1886"/>
  <c r="O1886"/>
  <c r="I1886"/>
  <c r="E1886"/>
  <c r="D1886"/>
  <c r="C1886"/>
  <c r="P1885"/>
  <c r="O1885"/>
  <c r="I1885"/>
  <c r="E1885"/>
  <c r="D1885"/>
  <c r="C1885"/>
  <c r="P1884"/>
  <c r="O1884"/>
  <c r="I1884"/>
  <c r="E1884"/>
  <c r="D1884"/>
  <c r="C1884"/>
  <c r="P1883"/>
  <c r="O1883"/>
  <c r="I1883"/>
  <c r="E1883"/>
  <c r="D1883"/>
  <c r="C1883"/>
  <c r="P1882"/>
  <c r="O1882"/>
  <c r="I1882"/>
  <c r="E1882"/>
  <c r="D1882"/>
  <c r="C1882"/>
  <c r="P1881"/>
  <c r="O1881"/>
  <c r="I1881"/>
  <c r="E1881"/>
  <c r="D1881"/>
  <c r="C1881"/>
  <c r="P1880"/>
  <c r="O1880"/>
  <c r="I1880"/>
  <c r="E1880"/>
  <c r="D1880"/>
  <c r="C1880"/>
  <c r="P1879"/>
  <c r="O1879"/>
  <c r="I1879"/>
  <c r="E1879"/>
  <c r="D1879"/>
  <c r="C1879"/>
  <c r="P1878"/>
  <c r="O1878"/>
  <c r="I1878"/>
  <c r="E1878"/>
  <c r="D1878"/>
  <c r="C1878"/>
  <c r="P1877"/>
  <c r="O1877"/>
  <c r="I1877"/>
  <c r="E1877"/>
  <c r="D1877"/>
  <c r="C1877"/>
  <c r="P1876"/>
  <c r="O1876"/>
  <c r="I1876"/>
  <c r="E1876"/>
  <c r="D1876"/>
  <c r="C1876"/>
  <c r="P1875"/>
  <c r="O1875"/>
  <c r="I1875"/>
  <c r="E1875"/>
  <c r="D1875"/>
  <c r="C1875"/>
  <c r="P1874"/>
  <c r="O1874"/>
  <c r="I1874"/>
  <c r="E1874"/>
  <c r="D1874"/>
  <c r="C1874"/>
  <c r="P1873"/>
  <c r="O1873"/>
  <c r="I1873"/>
  <c r="E1873"/>
  <c r="D1873"/>
  <c r="C1873"/>
  <c r="P1872"/>
  <c r="O1872"/>
  <c r="I1872"/>
  <c r="E1872"/>
  <c r="D1872"/>
  <c r="C1872"/>
  <c r="P1871"/>
  <c r="O1871"/>
  <c r="I1871"/>
  <c r="E1871"/>
  <c r="D1871"/>
  <c r="C1871"/>
  <c r="P1870"/>
  <c r="O1870"/>
  <c r="I1870"/>
  <c r="E1870"/>
  <c r="D1870"/>
  <c r="C1870"/>
  <c r="P1869"/>
  <c r="O1869"/>
  <c r="I1869"/>
  <c r="E1869"/>
  <c r="D1869"/>
  <c r="C1869"/>
  <c r="P1868"/>
  <c r="O1868"/>
  <c r="I1868"/>
  <c r="E1868"/>
  <c r="D1868"/>
  <c r="C1868"/>
  <c r="P1867"/>
  <c r="O1867"/>
  <c r="I1867"/>
  <c r="E1867"/>
  <c r="D1867"/>
  <c r="C1867"/>
  <c r="P1866"/>
  <c r="O1866"/>
  <c r="I1866"/>
  <c r="E1866"/>
  <c r="D1866"/>
  <c r="C1866"/>
  <c r="P1865"/>
  <c r="O1865"/>
  <c r="I1865"/>
  <c r="E1865"/>
  <c r="D1865"/>
  <c r="C1865"/>
  <c r="P1864"/>
  <c r="O1864"/>
  <c r="I1864"/>
  <c r="E1864"/>
  <c r="D1864"/>
  <c r="C1864"/>
  <c r="P1863"/>
  <c r="O1863"/>
  <c r="I1863"/>
  <c r="E1863"/>
  <c r="D1863"/>
  <c r="C1863"/>
  <c r="P1862"/>
  <c r="O1862"/>
  <c r="I1862"/>
  <c r="E1862"/>
  <c r="D1862"/>
  <c r="C1862"/>
  <c r="P1861"/>
  <c r="O1861"/>
  <c r="I1861"/>
  <c r="E1861"/>
  <c r="D1861"/>
  <c r="C1861"/>
  <c r="P1860"/>
  <c r="O1860"/>
  <c r="I1860"/>
  <c r="E1860"/>
  <c r="D1860"/>
  <c r="C1860"/>
  <c r="P1859"/>
  <c r="O1859"/>
  <c r="I1859"/>
  <c r="E1859"/>
  <c r="D1859"/>
  <c r="C1859"/>
  <c r="P1858"/>
  <c r="O1858"/>
  <c r="I1858"/>
  <c r="E1858"/>
  <c r="D1858"/>
  <c r="C1858"/>
  <c r="P1857"/>
  <c r="O1857"/>
  <c r="I1857"/>
  <c r="E1857"/>
  <c r="D1857"/>
  <c r="C1857"/>
  <c r="P1856"/>
  <c r="O1856"/>
  <c r="I1856"/>
  <c r="E1856"/>
  <c r="D1856"/>
  <c r="C1856"/>
  <c r="P1855"/>
  <c r="O1855"/>
  <c r="I1855"/>
  <c r="E1855"/>
  <c r="D1855"/>
  <c r="C1855"/>
  <c r="P1854"/>
  <c r="O1854"/>
  <c r="I1854"/>
  <c r="E1854"/>
  <c r="D1854"/>
  <c r="C1854"/>
  <c r="P1853"/>
  <c r="O1853"/>
  <c r="I1853"/>
  <c r="E1853"/>
  <c r="D1853"/>
  <c r="C1853"/>
  <c r="P1852"/>
  <c r="O1852"/>
  <c r="I1852"/>
  <c r="E1852"/>
  <c r="D1852"/>
  <c r="C1852"/>
  <c r="P1851"/>
  <c r="O1851"/>
  <c r="I1851"/>
  <c r="E1851"/>
  <c r="D1851"/>
  <c r="C1851"/>
  <c r="P1850"/>
  <c r="O1850"/>
  <c r="I1850"/>
  <c r="E1850"/>
  <c r="D1850"/>
  <c r="C1850"/>
  <c r="P1849"/>
  <c r="O1849"/>
  <c r="I1849"/>
  <c r="E1849"/>
  <c r="D1849"/>
  <c r="C1849"/>
  <c r="P1848"/>
  <c r="O1848"/>
  <c r="I1848"/>
  <c r="E1848"/>
  <c r="D1848"/>
  <c r="C1848"/>
  <c r="P1847"/>
  <c r="O1847"/>
  <c r="I1847"/>
  <c r="E1847"/>
  <c r="D1847"/>
  <c r="C1847"/>
  <c r="O1846"/>
  <c r="M1846"/>
  <c r="I1846"/>
  <c r="E1846"/>
  <c r="D1846"/>
  <c r="C1846"/>
  <c r="P1845"/>
  <c r="O1845"/>
  <c r="I1845"/>
  <c r="E1845"/>
  <c r="D1845"/>
  <c r="C1845"/>
  <c r="P1844"/>
  <c r="O1844"/>
  <c r="I1844"/>
  <c r="E1844"/>
  <c r="D1844"/>
  <c r="C1844"/>
  <c r="P1843"/>
  <c r="O1843"/>
  <c r="I1843"/>
  <c r="E1843"/>
  <c r="D1843"/>
  <c r="C1843"/>
  <c r="P1842"/>
  <c r="O1842"/>
  <c r="I1842"/>
  <c r="E1842"/>
  <c r="D1842"/>
  <c r="C1842"/>
  <c r="P1841"/>
  <c r="O1841"/>
  <c r="I1841"/>
  <c r="E1841"/>
  <c r="D1841"/>
  <c r="C1841"/>
  <c r="P1840"/>
  <c r="O1840"/>
  <c r="I1840"/>
  <c r="E1840"/>
  <c r="D1840"/>
  <c r="C1840"/>
  <c r="O1839"/>
  <c r="M1839"/>
  <c r="I1839"/>
  <c r="E1839"/>
  <c r="D1839"/>
  <c r="C1839"/>
  <c r="P1838"/>
  <c r="O1838"/>
  <c r="I1838"/>
  <c r="E1838"/>
  <c r="D1838"/>
  <c r="C1838"/>
  <c r="P1837"/>
  <c r="O1837"/>
  <c r="I1837"/>
  <c r="E1837"/>
  <c r="D1837"/>
  <c r="C1837"/>
  <c r="P1836"/>
  <c r="O1836"/>
  <c r="I1836"/>
  <c r="E1836"/>
  <c r="D1836"/>
  <c r="C1836"/>
  <c r="P1835"/>
  <c r="O1835"/>
  <c r="I1835"/>
  <c r="E1835"/>
  <c r="D1835"/>
  <c r="C1835"/>
  <c r="P1834"/>
  <c r="O1834"/>
  <c r="I1834"/>
  <c r="E1834"/>
  <c r="D1834"/>
  <c r="C1834"/>
  <c r="P1833"/>
  <c r="O1833"/>
  <c r="I1833"/>
  <c r="E1833"/>
  <c r="D1833"/>
  <c r="C1833"/>
  <c r="P1832"/>
  <c r="O1832"/>
  <c r="I1832"/>
  <c r="E1832"/>
  <c r="D1832"/>
  <c r="C1832"/>
  <c r="P1831"/>
  <c r="O1831"/>
  <c r="I1831"/>
  <c r="E1831"/>
  <c r="D1831"/>
  <c r="C1831"/>
  <c r="P1830"/>
  <c r="O1830"/>
  <c r="I1830"/>
  <c r="E1830"/>
  <c r="D1830"/>
  <c r="C1830"/>
  <c r="P1829"/>
  <c r="O1829"/>
  <c r="I1829"/>
  <c r="E1829"/>
  <c r="D1829"/>
  <c r="C1829"/>
  <c r="P1828"/>
  <c r="O1828"/>
  <c r="I1828"/>
  <c r="E1828"/>
  <c r="D1828"/>
  <c r="C1828"/>
  <c r="P1827"/>
  <c r="O1827"/>
  <c r="I1827"/>
  <c r="E1827"/>
  <c r="D1827"/>
  <c r="C1827"/>
  <c r="P1826"/>
  <c r="O1826"/>
  <c r="I1826"/>
  <c r="E1826"/>
  <c r="D1826"/>
  <c r="C1826"/>
  <c r="P1825"/>
  <c r="O1825"/>
  <c r="I1825"/>
  <c r="E1825"/>
  <c r="D1825"/>
  <c r="C1825"/>
  <c r="P1824"/>
  <c r="O1824"/>
  <c r="I1824"/>
  <c r="E1824"/>
  <c r="D1824"/>
  <c r="C1824"/>
  <c r="P1823"/>
  <c r="O1823"/>
  <c r="I1823"/>
  <c r="E1823"/>
  <c r="D1823"/>
  <c r="C1823"/>
  <c r="P1822"/>
  <c r="O1822"/>
  <c r="I1822"/>
  <c r="E1822"/>
  <c r="D1822"/>
  <c r="C1822"/>
  <c r="P1821"/>
  <c r="O1821"/>
  <c r="I1821"/>
  <c r="E1821"/>
  <c r="D1821"/>
  <c r="C1821"/>
  <c r="P1820"/>
  <c r="O1820"/>
  <c r="I1820"/>
  <c r="E1820"/>
  <c r="D1820"/>
  <c r="C1820"/>
  <c r="P1819"/>
  <c r="O1819"/>
  <c r="I1819"/>
  <c r="E1819"/>
  <c r="D1819"/>
  <c r="C1819"/>
  <c r="P1818"/>
  <c r="O1818"/>
  <c r="I1818"/>
  <c r="E1818"/>
  <c r="D1818"/>
  <c r="C1818"/>
  <c r="O1817"/>
  <c r="M1817"/>
  <c r="I1817"/>
  <c r="E1817"/>
  <c r="D1817"/>
  <c r="C1817"/>
  <c r="P1816"/>
  <c r="O1816"/>
  <c r="I1816"/>
  <c r="E1816"/>
  <c r="D1816"/>
  <c r="C1816"/>
  <c r="P1815"/>
  <c r="O1815"/>
  <c r="I1815"/>
  <c r="E1815"/>
  <c r="D1815"/>
  <c r="C1815"/>
  <c r="P1814"/>
  <c r="O1814"/>
  <c r="I1814"/>
  <c r="E1814"/>
  <c r="D1814"/>
  <c r="C1814"/>
  <c r="P1813"/>
  <c r="O1813"/>
  <c r="I1813"/>
  <c r="E1813"/>
  <c r="D1813"/>
  <c r="C1813"/>
  <c r="P1812"/>
  <c r="O1812"/>
  <c r="I1812"/>
  <c r="E1812"/>
  <c r="D1812"/>
  <c r="C1812"/>
  <c r="P1811"/>
  <c r="O1811"/>
  <c r="I1811"/>
  <c r="E1811"/>
  <c r="D1811"/>
  <c r="C1811"/>
  <c r="P1810"/>
  <c r="O1810"/>
  <c r="I1810"/>
  <c r="E1810"/>
  <c r="D1810"/>
  <c r="C1810"/>
  <c r="P1809"/>
  <c r="O1809"/>
  <c r="I1809"/>
  <c r="E1809"/>
  <c r="D1809"/>
  <c r="C1809"/>
  <c r="P1808"/>
  <c r="O1808"/>
  <c r="I1808"/>
  <c r="E1808"/>
  <c r="D1808"/>
  <c r="C1808"/>
  <c r="P1807"/>
  <c r="O1807"/>
  <c r="I1807"/>
  <c r="E1807"/>
  <c r="D1807"/>
  <c r="C1807"/>
  <c r="P1806"/>
  <c r="O1806"/>
  <c r="I1806"/>
  <c r="E1806"/>
  <c r="D1806"/>
  <c r="C1806"/>
  <c r="P1805"/>
  <c r="O1805"/>
  <c r="I1805"/>
  <c r="E1805"/>
  <c r="D1805"/>
  <c r="C1805"/>
  <c r="P1804"/>
  <c r="O1804"/>
  <c r="I1804"/>
  <c r="E1804"/>
  <c r="D1804"/>
  <c r="C1804"/>
  <c r="P1803"/>
  <c r="O1803"/>
  <c r="I1803"/>
  <c r="E1803"/>
  <c r="D1803"/>
  <c r="C1803"/>
  <c r="P1802"/>
  <c r="O1802"/>
  <c r="I1802"/>
  <c r="E1802"/>
  <c r="D1802"/>
  <c r="C1802"/>
  <c r="P1801"/>
  <c r="O1801"/>
  <c r="I1801"/>
  <c r="E1801"/>
  <c r="D1801"/>
  <c r="C1801"/>
  <c r="P1800"/>
  <c r="O1800"/>
  <c r="I1800"/>
  <c r="E1800"/>
  <c r="D1800"/>
  <c r="C1800"/>
  <c r="P1799"/>
  <c r="O1799"/>
  <c r="I1799"/>
  <c r="E1799"/>
  <c r="D1799"/>
  <c r="C1799"/>
  <c r="P1798"/>
  <c r="O1798"/>
  <c r="I1798"/>
  <c r="E1798"/>
  <c r="D1798"/>
  <c r="C1798"/>
  <c r="P1797"/>
  <c r="O1797"/>
  <c r="I1797"/>
  <c r="E1797"/>
  <c r="D1797"/>
  <c r="C1797"/>
  <c r="P1796"/>
  <c r="O1796"/>
  <c r="I1796"/>
  <c r="E1796"/>
  <c r="D1796"/>
  <c r="C1796"/>
  <c r="P1795"/>
  <c r="O1795"/>
  <c r="I1795"/>
  <c r="E1795"/>
  <c r="D1795"/>
  <c r="C1795"/>
  <c r="P1794"/>
  <c r="O1794"/>
  <c r="I1794"/>
  <c r="E1794"/>
  <c r="D1794"/>
  <c r="C1794"/>
  <c r="P1793"/>
  <c r="O1793"/>
  <c r="I1793"/>
  <c r="E1793"/>
  <c r="D1793"/>
  <c r="C1793"/>
  <c r="P1792"/>
  <c r="O1792"/>
  <c r="I1792"/>
  <c r="E1792"/>
  <c r="D1792"/>
  <c r="C1792"/>
  <c r="P1791"/>
  <c r="O1791"/>
  <c r="I1791"/>
  <c r="E1791"/>
  <c r="D1791"/>
  <c r="C1791"/>
  <c r="P1790"/>
  <c r="O1790"/>
  <c r="I1790"/>
  <c r="E1790"/>
  <c r="D1790"/>
  <c r="C1790"/>
  <c r="P1789"/>
  <c r="O1789"/>
  <c r="I1789"/>
  <c r="E1789"/>
  <c r="D1789"/>
  <c r="C1789"/>
  <c r="P1788"/>
  <c r="O1788"/>
  <c r="I1788"/>
  <c r="E1788"/>
  <c r="D1788"/>
  <c r="C1788"/>
  <c r="P1787"/>
  <c r="O1787"/>
  <c r="I1787"/>
  <c r="E1787"/>
  <c r="D1787"/>
  <c r="C1787"/>
  <c r="P1786"/>
  <c r="O1786"/>
  <c r="I1786"/>
  <c r="E1786"/>
  <c r="D1786"/>
  <c r="C1786"/>
  <c r="P1785"/>
  <c r="O1785"/>
  <c r="I1785"/>
  <c r="E1785"/>
  <c r="D1785"/>
  <c r="C1785"/>
  <c r="P1784"/>
  <c r="O1784"/>
  <c r="I1784"/>
  <c r="E1784"/>
  <c r="D1784"/>
  <c r="C1784"/>
  <c r="P1783"/>
  <c r="O1783"/>
  <c r="I1783"/>
  <c r="E1783"/>
  <c r="D1783"/>
  <c r="C1783"/>
  <c r="P1782"/>
  <c r="O1782"/>
  <c r="I1782"/>
  <c r="E1782"/>
  <c r="D1782"/>
  <c r="C1782"/>
  <c r="P1781"/>
  <c r="O1781"/>
  <c r="I1781"/>
  <c r="E1781"/>
  <c r="D1781"/>
  <c r="C1781"/>
  <c r="P1780"/>
  <c r="O1780"/>
  <c r="I1780"/>
  <c r="E1780"/>
  <c r="D1780"/>
  <c r="C1780"/>
  <c r="P1779"/>
  <c r="O1779"/>
  <c r="I1779"/>
  <c r="E1779"/>
  <c r="D1779"/>
  <c r="C1779"/>
  <c r="P1778"/>
  <c r="O1778"/>
  <c r="I1778"/>
  <c r="E1778"/>
  <c r="D1778"/>
  <c r="C1778"/>
  <c r="P1777"/>
  <c r="O1777"/>
  <c r="I1777"/>
  <c r="E1777"/>
  <c r="D1777"/>
  <c r="C1777"/>
  <c r="P1776"/>
  <c r="O1776"/>
  <c r="I1776"/>
  <c r="E1776"/>
  <c r="D1776"/>
  <c r="C1776"/>
  <c r="P1775"/>
  <c r="O1775"/>
  <c r="I1775"/>
  <c r="E1775"/>
  <c r="D1775"/>
  <c r="C1775"/>
  <c r="P1774"/>
  <c r="L1774"/>
  <c r="I1774" s="1"/>
  <c r="E1774"/>
  <c r="D1774"/>
  <c r="C1774"/>
  <c r="P1773"/>
  <c r="O1773"/>
  <c r="I1773"/>
  <c r="E1773"/>
  <c r="D1773"/>
  <c r="C1773"/>
  <c r="P1772"/>
  <c r="O1772"/>
  <c r="I1772"/>
  <c r="E1772"/>
  <c r="D1772"/>
  <c r="C1772"/>
  <c r="P1771"/>
  <c r="O1771"/>
  <c r="I1771"/>
  <c r="E1771"/>
  <c r="D1771"/>
  <c r="C1771"/>
  <c r="P1770"/>
  <c r="O1770"/>
  <c r="I1770"/>
  <c r="E1770"/>
  <c r="D1770"/>
  <c r="C1770"/>
  <c r="P1769"/>
  <c r="O1769"/>
  <c r="I1769"/>
  <c r="E1769"/>
  <c r="D1769"/>
  <c r="C1769"/>
  <c r="P1768"/>
  <c r="O1768"/>
  <c r="I1768"/>
  <c r="E1768"/>
  <c r="D1768"/>
  <c r="C1768"/>
  <c r="P1767"/>
  <c r="O1767"/>
  <c r="I1767"/>
  <c r="E1767"/>
  <c r="D1767"/>
  <c r="C1767"/>
  <c r="P1766"/>
  <c r="O1766"/>
  <c r="I1766"/>
  <c r="E1766"/>
  <c r="D1766"/>
  <c r="C1766"/>
  <c r="P1765"/>
  <c r="O1765"/>
  <c r="I1765"/>
  <c r="E1765"/>
  <c r="D1765"/>
  <c r="C1765"/>
  <c r="P1764"/>
  <c r="O1764"/>
  <c r="I1764"/>
  <c r="E1764"/>
  <c r="D1764"/>
  <c r="C1764"/>
  <c r="P1763"/>
  <c r="O1763"/>
  <c r="I1763"/>
  <c r="E1763"/>
  <c r="D1763"/>
  <c r="C1763"/>
  <c r="P1762"/>
  <c r="O1762"/>
  <c r="I1762"/>
  <c r="E1762"/>
  <c r="D1762"/>
  <c r="C1762"/>
  <c r="P1761"/>
  <c r="O1761"/>
  <c r="I1761"/>
  <c r="E1761"/>
  <c r="D1761"/>
  <c r="C1761"/>
  <c r="P1760"/>
  <c r="O1760"/>
  <c r="I1760"/>
  <c r="E1760"/>
  <c r="D1760"/>
  <c r="C1760"/>
  <c r="P1759"/>
  <c r="O1759"/>
  <c r="I1759"/>
  <c r="E1759"/>
  <c r="D1759"/>
  <c r="C1759"/>
  <c r="P1758"/>
  <c r="O1758"/>
  <c r="I1758"/>
  <c r="E1758"/>
  <c r="D1758"/>
  <c r="C1758"/>
  <c r="P1757"/>
  <c r="O1757"/>
  <c r="I1757"/>
  <c r="E1757"/>
  <c r="D1757"/>
  <c r="C1757"/>
  <c r="P1756"/>
  <c r="O1756"/>
  <c r="I1756"/>
  <c r="E1756"/>
  <c r="D1756"/>
  <c r="C1756"/>
  <c r="P1755"/>
  <c r="O1755"/>
  <c r="I1755"/>
  <c r="E1755"/>
  <c r="D1755"/>
  <c r="C1755"/>
  <c r="P1754"/>
  <c r="O1754"/>
  <c r="I1754"/>
  <c r="E1754"/>
  <c r="D1754"/>
  <c r="C1754"/>
  <c r="P1753"/>
  <c r="O1753"/>
  <c r="I1753"/>
  <c r="E1753"/>
  <c r="D1753"/>
  <c r="C1753"/>
  <c r="P1752"/>
  <c r="O1752"/>
  <c r="I1752"/>
  <c r="E1752"/>
  <c r="D1752"/>
  <c r="C1752"/>
  <c r="P1751"/>
  <c r="O1751"/>
  <c r="I1751"/>
  <c r="E1751"/>
  <c r="D1751"/>
  <c r="C1751"/>
  <c r="P1750"/>
  <c r="O1750"/>
  <c r="I1750"/>
  <c r="E1750"/>
  <c r="D1750"/>
  <c r="C1750"/>
  <c r="P1749"/>
  <c r="O1749"/>
  <c r="I1749"/>
  <c r="E1749"/>
  <c r="D1749"/>
  <c r="C1749"/>
  <c r="P1748"/>
  <c r="O1748"/>
  <c r="I1748"/>
  <c r="E1748"/>
  <c r="D1748"/>
  <c r="C1748"/>
  <c r="P1747"/>
  <c r="O1747"/>
  <c r="I1747"/>
  <c r="E1747"/>
  <c r="D1747"/>
  <c r="C1747"/>
  <c r="P1746"/>
  <c r="O1746"/>
  <c r="I1746"/>
  <c r="E1746"/>
  <c r="D1746"/>
  <c r="C1746"/>
  <c r="P1745"/>
  <c r="O1745"/>
  <c r="I1745"/>
  <c r="E1745"/>
  <c r="D1745"/>
  <c r="C1745"/>
  <c r="P1744"/>
  <c r="O1744"/>
  <c r="I1744"/>
  <c r="E1744"/>
  <c r="D1744"/>
  <c r="C1744"/>
  <c r="P1743"/>
  <c r="O1743"/>
  <c r="I1743"/>
  <c r="E1743"/>
  <c r="D1743"/>
  <c r="C1743"/>
  <c r="P1742"/>
  <c r="O1742"/>
  <c r="I1742"/>
  <c r="E1742"/>
  <c r="D1742"/>
  <c r="C1742"/>
  <c r="P1741"/>
  <c r="O1741"/>
  <c r="I1741"/>
  <c r="E1741"/>
  <c r="D1741"/>
  <c r="C1741"/>
  <c r="P1740"/>
  <c r="O1740"/>
  <c r="I1740"/>
  <c r="E1740"/>
  <c r="D1740"/>
  <c r="C1740"/>
  <c r="P1739"/>
  <c r="O1739"/>
  <c r="I1739"/>
  <c r="E1739"/>
  <c r="D1739"/>
  <c r="C1739"/>
  <c r="P1738"/>
  <c r="O1738"/>
  <c r="I1738"/>
  <c r="E1738"/>
  <c r="D1738"/>
  <c r="C1738"/>
  <c r="P1737"/>
  <c r="L1737"/>
  <c r="I1737" s="1"/>
  <c r="E1737"/>
  <c r="D1737"/>
  <c r="C1737"/>
  <c r="P1736"/>
  <c r="O1736"/>
  <c r="I1736"/>
  <c r="E1736"/>
  <c r="D1736"/>
  <c r="C1736"/>
  <c r="P1735"/>
  <c r="O1735"/>
  <c r="I1735"/>
  <c r="E1735"/>
  <c r="D1735"/>
  <c r="C1735"/>
  <c r="P1734"/>
  <c r="O1734"/>
  <c r="I1734"/>
  <c r="E1734"/>
  <c r="D1734"/>
  <c r="C1734"/>
  <c r="P1733"/>
  <c r="O1733"/>
  <c r="I1733"/>
  <c r="E1733"/>
  <c r="D1733"/>
  <c r="C1733"/>
  <c r="P1732"/>
  <c r="O1732"/>
  <c r="I1732"/>
  <c r="E1732"/>
  <c r="D1732"/>
  <c r="C1732"/>
  <c r="P1731"/>
  <c r="O1731"/>
  <c r="I1731"/>
  <c r="E1731"/>
  <c r="D1731"/>
  <c r="C1731"/>
  <c r="P1730"/>
  <c r="O1730"/>
  <c r="I1730"/>
  <c r="E1730"/>
  <c r="D1730"/>
  <c r="C1730"/>
  <c r="P1729"/>
  <c r="O1729"/>
  <c r="I1729"/>
  <c r="E1729"/>
  <c r="D1729"/>
  <c r="C1729"/>
  <c r="P1728"/>
  <c r="O1728"/>
  <c r="I1728"/>
  <c r="E1728"/>
  <c r="D1728"/>
  <c r="C1728"/>
  <c r="P1727"/>
  <c r="O1727"/>
  <c r="I1727"/>
  <c r="E1727"/>
  <c r="D1727"/>
  <c r="C1727"/>
  <c r="P1726"/>
  <c r="O1726"/>
  <c r="I1726"/>
  <c r="E1726"/>
  <c r="D1726"/>
  <c r="C1726"/>
  <c r="P1725"/>
  <c r="O1725"/>
  <c r="I1725"/>
  <c r="E1725"/>
  <c r="D1725"/>
  <c r="C1725"/>
  <c r="P1724"/>
  <c r="O1724"/>
  <c r="I1724"/>
  <c r="E1724"/>
  <c r="D1724"/>
  <c r="C1724"/>
  <c r="P1723"/>
  <c r="O1723"/>
  <c r="I1723"/>
  <c r="E1723"/>
  <c r="D1723"/>
  <c r="C1723"/>
  <c r="P1722"/>
  <c r="O1722"/>
  <c r="I1722"/>
  <c r="E1722"/>
  <c r="D1722"/>
  <c r="C1722"/>
  <c r="P1721"/>
  <c r="O1721"/>
  <c r="I1721"/>
  <c r="E1721"/>
  <c r="D1721"/>
  <c r="C1721"/>
  <c r="P1720"/>
  <c r="O1720"/>
  <c r="I1720"/>
  <c r="E1720"/>
  <c r="D1720"/>
  <c r="C1720"/>
  <c r="P1719"/>
  <c r="O1719"/>
  <c r="I1719"/>
  <c r="E1719"/>
  <c r="D1719"/>
  <c r="C1719"/>
  <c r="P1718"/>
  <c r="O1718"/>
  <c r="I1718"/>
  <c r="E1718"/>
  <c r="D1718"/>
  <c r="C1718"/>
  <c r="P1717"/>
  <c r="O1717"/>
  <c r="I1717"/>
  <c r="E1717"/>
  <c r="D1717"/>
  <c r="C1717"/>
  <c r="P1716"/>
  <c r="O1716"/>
  <c r="I1716"/>
  <c r="E1716"/>
  <c r="D1716"/>
  <c r="C1716"/>
  <c r="P1715"/>
  <c r="O1715"/>
  <c r="I1715"/>
  <c r="E1715"/>
  <c r="D1715"/>
  <c r="C1715"/>
  <c r="P1714"/>
  <c r="O1714"/>
  <c r="I1714"/>
  <c r="E1714"/>
  <c r="D1714"/>
  <c r="C1714"/>
  <c r="P1713"/>
  <c r="O1713"/>
  <c r="I1713"/>
  <c r="E1713"/>
  <c r="D1713"/>
  <c r="C1713"/>
  <c r="O1712"/>
  <c r="M1712"/>
  <c r="I1712"/>
  <c r="E1712"/>
  <c r="D1712"/>
  <c r="C1712"/>
  <c r="P1711"/>
  <c r="O1711"/>
  <c r="I1711"/>
  <c r="E1711"/>
  <c r="D1711"/>
  <c r="C1711"/>
  <c r="P1710"/>
  <c r="O1710"/>
  <c r="I1710"/>
  <c r="E1710"/>
  <c r="D1710"/>
  <c r="C1710"/>
  <c r="P1709"/>
  <c r="O1709"/>
  <c r="I1709"/>
  <c r="E1709"/>
  <c r="D1709"/>
  <c r="C1709"/>
  <c r="P1708"/>
  <c r="O1708"/>
  <c r="I1708"/>
  <c r="E1708"/>
  <c r="D1708"/>
  <c r="C1708"/>
  <c r="P1707"/>
  <c r="O1707"/>
  <c r="I1707"/>
  <c r="E1707"/>
  <c r="D1707"/>
  <c r="C1707"/>
  <c r="P1706"/>
  <c r="O1706"/>
  <c r="I1706"/>
  <c r="E1706"/>
  <c r="D1706"/>
  <c r="C1706"/>
  <c r="P1705"/>
  <c r="O1705"/>
  <c r="I1705"/>
  <c r="E1705"/>
  <c r="D1705"/>
  <c r="C1705"/>
  <c r="P1704"/>
  <c r="O1704"/>
  <c r="I1704"/>
  <c r="E1704"/>
  <c r="D1704"/>
  <c r="C1704"/>
  <c r="P1703"/>
  <c r="O1703"/>
  <c r="I1703"/>
  <c r="E1703"/>
  <c r="D1703"/>
  <c r="C1703"/>
  <c r="P1702"/>
  <c r="O1702"/>
  <c r="I1702"/>
  <c r="E1702"/>
  <c r="D1702"/>
  <c r="C1702"/>
  <c r="P1701"/>
  <c r="O1701"/>
  <c r="I1701"/>
  <c r="E1701"/>
  <c r="D1701"/>
  <c r="C1701"/>
  <c r="P1700"/>
  <c r="O1700"/>
  <c r="I1700"/>
  <c r="E1700"/>
  <c r="D1700"/>
  <c r="C1700"/>
  <c r="P1699"/>
  <c r="O1699"/>
  <c r="I1699"/>
  <c r="E1699"/>
  <c r="D1699"/>
  <c r="C1699"/>
  <c r="P1698"/>
  <c r="O1698"/>
  <c r="I1698"/>
  <c r="E1698"/>
  <c r="D1698"/>
  <c r="C1698"/>
  <c r="P1697"/>
  <c r="O1697"/>
  <c r="I1697"/>
  <c r="E1697"/>
  <c r="D1697"/>
  <c r="C1697"/>
  <c r="P1696"/>
  <c r="O1696"/>
  <c r="I1696"/>
  <c r="E1696"/>
  <c r="D1696"/>
  <c r="C1696"/>
  <c r="P1695"/>
  <c r="O1695"/>
  <c r="I1695"/>
  <c r="E1695"/>
  <c r="D1695"/>
  <c r="C1695"/>
  <c r="P1694"/>
  <c r="O1694"/>
  <c r="I1694"/>
  <c r="E1694"/>
  <c r="D1694"/>
  <c r="C1694"/>
  <c r="P1693"/>
  <c r="O1693"/>
  <c r="I1693"/>
  <c r="E1693"/>
  <c r="D1693"/>
  <c r="C1693"/>
  <c r="P1692"/>
  <c r="O1692"/>
  <c r="I1692"/>
  <c r="E1692"/>
  <c r="D1692"/>
  <c r="C1692"/>
  <c r="P1691"/>
  <c r="O1691"/>
  <c r="I1691"/>
  <c r="E1691"/>
  <c r="D1691"/>
  <c r="C1691"/>
  <c r="P1690"/>
  <c r="O1690"/>
  <c r="I1690"/>
  <c r="E1690"/>
  <c r="D1690"/>
  <c r="C1690"/>
  <c r="P1689"/>
  <c r="L1689"/>
  <c r="I1689" s="1"/>
  <c r="E1689"/>
  <c r="D1689"/>
  <c r="C1689"/>
  <c r="P1688"/>
  <c r="O1688"/>
  <c r="I1688"/>
  <c r="E1688"/>
  <c r="D1688"/>
  <c r="C1688"/>
  <c r="P1687"/>
  <c r="O1687"/>
  <c r="I1687"/>
  <c r="E1687"/>
  <c r="D1687"/>
  <c r="C1687"/>
  <c r="P1686"/>
  <c r="O1686"/>
  <c r="I1686"/>
  <c r="E1686"/>
  <c r="D1686"/>
  <c r="C1686"/>
  <c r="P1685"/>
  <c r="O1685"/>
  <c r="I1685"/>
  <c r="E1685"/>
  <c r="D1685"/>
  <c r="C1685"/>
  <c r="P1684"/>
  <c r="O1684"/>
  <c r="I1684"/>
  <c r="E1684"/>
  <c r="D1684"/>
  <c r="C1684"/>
  <c r="P1683"/>
  <c r="O1683"/>
  <c r="I1683"/>
  <c r="E1683"/>
  <c r="D1683"/>
  <c r="C1683"/>
  <c r="P1682"/>
  <c r="O1682"/>
  <c r="I1682"/>
  <c r="E1682"/>
  <c r="D1682"/>
  <c r="C1682"/>
  <c r="P1681"/>
  <c r="O1681"/>
  <c r="I1681"/>
  <c r="E1681"/>
  <c r="D1681"/>
  <c r="C1681"/>
  <c r="P1680"/>
  <c r="O1680"/>
  <c r="I1680"/>
  <c r="E1680"/>
  <c r="D1680"/>
  <c r="C1680"/>
  <c r="P1679"/>
  <c r="O1679"/>
  <c r="I1679"/>
  <c r="E1679"/>
  <c r="D1679"/>
  <c r="C1679"/>
  <c r="P1678"/>
  <c r="O1678"/>
  <c r="I1678"/>
  <c r="E1678"/>
  <c r="D1678"/>
  <c r="C1678"/>
  <c r="P1677"/>
  <c r="O1677"/>
  <c r="I1677"/>
  <c r="E1677"/>
  <c r="D1677"/>
  <c r="C1677"/>
  <c r="P1676"/>
  <c r="O1676"/>
  <c r="I1676"/>
  <c r="E1676"/>
  <c r="D1676"/>
  <c r="C1676"/>
  <c r="P1675"/>
  <c r="O1675"/>
  <c r="I1675"/>
  <c r="E1675"/>
  <c r="D1675"/>
  <c r="C1675"/>
  <c r="P1674"/>
  <c r="O1674"/>
  <c r="I1674"/>
  <c r="E1674"/>
  <c r="D1674"/>
  <c r="C1674"/>
  <c r="P1673"/>
  <c r="O1673"/>
  <c r="I1673"/>
  <c r="E1673"/>
  <c r="D1673"/>
  <c r="C1673"/>
  <c r="P1672"/>
  <c r="O1672"/>
  <c r="I1672"/>
  <c r="E1672"/>
  <c r="D1672"/>
  <c r="C1672"/>
  <c r="P1671"/>
  <c r="O1671"/>
  <c r="I1671"/>
  <c r="E1671"/>
  <c r="D1671"/>
  <c r="C1671"/>
  <c r="P1670"/>
  <c r="O1670"/>
  <c r="I1670"/>
  <c r="E1670"/>
  <c r="D1670"/>
  <c r="C1670"/>
  <c r="P1669"/>
  <c r="O1669"/>
  <c r="I1669"/>
  <c r="E1669"/>
  <c r="D1669"/>
  <c r="C1669"/>
  <c r="P1668"/>
  <c r="O1668"/>
  <c r="I1668"/>
  <c r="E1668"/>
  <c r="D1668"/>
  <c r="C1668"/>
  <c r="P1667"/>
  <c r="O1667"/>
  <c r="I1667"/>
  <c r="E1667"/>
  <c r="D1667"/>
  <c r="C1667"/>
  <c r="P1666"/>
  <c r="O1666"/>
  <c r="I1666"/>
  <c r="E1666"/>
  <c r="D1666"/>
  <c r="C1666"/>
  <c r="P1665"/>
  <c r="O1665"/>
  <c r="I1665"/>
  <c r="E1665"/>
  <c r="D1665"/>
  <c r="C1665"/>
  <c r="P1664"/>
  <c r="O1664"/>
  <c r="I1664"/>
  <c r="E1664"/>
  <c r="D1664"/>
  <c r="C1664"/>
  <c r="P1663"/>
  <c r="O1663"/>
  <c r="I1663"/>
  <c r="E1663"/>
  <c r="D1663"/>
  <c r="C1663"/>
  <c r="P1662"/>
  <c r="O1662"/>
  <c r="I1662"/>
  <c r="E1662"/>
  <c r="D1662"/>
  <c r="C1662"/>
  <c r="P1661"/>
  <c r="O1661"/>
  <c r="I1661"/>
  <c r="E1661"/>
  <c r="D1661"/>
  <c r="C1661"/>
  <c r="P1660"/>
  <c r="O1660"/>
  <c r="I1660"/>
  <c r="E1660"/>
  <c r="D1660"/>
  <c r="C1660"/>
  <c r="P1659"/>
  <c r="O1659"/>
  <c r="I1659"/>
  <c r="E1659"/>
  <c r="D1659"/>
  <c r="C1659"/>
  <c r="P1658"/>
  <c r="O1658"/>
  <c r="I1658"/>
  <c r="E1658"/>
  <c r="D1658"/>
  <c r="C1658"/>
  <c r="P1657"/>
  <c r="O1657"/>
  <c r="I1657"/>
  <c r="E1657"/>
  <c r="D1657"/>
  <c r="C1657"/>
  <c r="P1656"/>
  <c r="O1656"/>
  <c r="I1656"/>
  <c r="E1656"/>
  <c r="D1656"/>
  <c r="C1656"/>
  <c r="P1655"/>
  <c r="O1655"/>
  <c r="I1655"/>
  <c r="E1655"/>
  <c r="D1655"/>
  <c r="C1655"/>
  <c r="O1654"/>
  <c r="M1654"/>
  <c r="I1654"/>
  <c r="E1654"/>
  <c r="D1654"/>
  <c r="C1654"/>
  <c r="P1653"/>
  <c r="O1653"/>
  <c r="I1653"/>
  <c r="E1653"/>
  <c r="D1653"/>
  <c r="C1653"/>
  <c r="P1652"/>
  <c r="O1652"/>
  <c r="I1652"/>
  <c r="E1652"/>
  <c r="D1652"/>
  <c r="C1652"/>
  <c r="P1651"/>
  <c r="O1651"/>
  <c r="I1651"/>
  <c r="E1651"/>
  <c r="D1651"/>
  <c r="C1651"/>
  <c r="P1650"/>
  <c r="O1650"/>
  <c r="I1650"/>
  <c r="E1650"/>
  <c r="D1650"/>
  <c r="C1650"/>
  <c r="O1649"/>
  <c r="M1649"/>
  <c r="I1649"/>
  <c r="E1649"/>
  <c r="D1649"/>
  <c r="C1649"/>
  <c r="P1648"/>
  <c r="O1648"/>
  <c r="I1648"/>
  <c r="E1648"/>
  <c r="D1648"/>
  <c r="C1648"/>
  <c r="P1647"/>
  <c r="O1647"/>
  <c r="I1647"/>
  <c r="E1647"/>
  <c r="D1647"/>
  <c r="C1647"/>
  <c r="P1646"/>
  <c r="O1646"/>
  <c r="I1646"/>
  <c r="E1646"/>
  <c r="D1646"/>
  <c r="C1646"/>
  <c r="O1645"/>
  <c r="M1645"/>
  <c r="I1645"/>
  <c r="E1645"/>
  <c r="D1645"/>
  <c r="C1645"/>
  <c r="P1644"/>
  <c r="O1644"/>
  <c r="I1644"/>
  <c r="E1644"/>
  <c r="D1644"/>
  <c r="C1644"/>
  <c r="P1643"/>
  <c r="O1643"/>
  <c r="I1643"/>
  <c r="E1643"/>
  <c r="D1643"/>
  <c r="C1643"/>
  <c r="P1642"/>
  <c r="O1642"/>
  <c r="I1642"/>
  <c r="E1642"/>
  <c r="D1642"/>
  <c r="C1642"/>
  <c r="P1641"/>
  <c r="O1641"/>
  <c r="I1641"/>
  <c r="E1641"/>
  <c r="D1641"/>
  <c r="C1641"/>
  <c r="P1640"/>
  <c r="O1640"/>
  <c r="I1640"/>
  <c r="E1640"/>
  <c r="D1640"/>
  <c r="C1640"/>
  <c r="P1639"/>
  <c r="O1639"/>
  <c r="I1639"/>
  <c r="E1639"/>
  <c r="D1639"/>
  <c r="C1639"/>
  <c r="P1638"/>
  <c r="O1638"/>
  <c r="I1638"/>
  <c r="E1638"/>
  <c r="D1638"/>
  <c r="C1638"/>
  <c r="P1637"/>
  <c r="O1637"/>
  <c r="I1637"/>
  <c r="E1637"/>
  <c r="D1637"/>
  <c r="C1637"/>
  <c r="P1636"/>
  <c r="O1636"/>
  <c r="I1636"/>
  <c r="E1636"/>
  <c r="D1636"/>
  <c r="C1636"/>
  <c r="P1635"/>
  <c r="O1635"/>
  <c r="I1635"/>
  <c r="E1635"/>
  <c r="D1635"/>
  <c r="C1635"/>
  <c r="P1634"/>
  <c r="O1634"/>
  <c r="I1634"/>
  <c r="E1634"/>
  <c r="D1634"/>
  <c r="C1634"/>
  <c r="P1633"/>
  <c r="O1633"/>
  <c r="I1633"/>
  <c r="E1633"/>
  <c r="D1633"/>
  <c r="C1633"/>
  <c r="P1632"/>
  <c r="O1632"/>
  <c r="I1632"/>
  <c r="E1632"/>
  <c r="D1632"/>
  <c r="C1632"/>
  <c r="P1631"/>
  <c r="O1631"/>
  <c r="I1631"/>
  <c r="E1631"/>
  <c r="D1631"/>
  <c r="C1631"/>
  <c r="P1630"/>
  <c r="O1630"/>
  <c r="I1630"/>
  <c r="E1630"/>
  <c r="D1630"/>
  <c r="C1630"/>
  <c r="P1629"/>
  <c r="O1629"/>
  <c r="I1629"/>
  <c r="E1629"/>
  <c r="D1629"/>
  <c r="C1629"/>
  <c r="P1628"/>
  <c r="O1628"/>
  <c r="I1628"/>
  <c r="E1628"/>
  <c r="D1628"/>
  <c r="C1628"/>
  <c r="P1627"/>
  <c r="O1627"/>
  <c r="I1627"/>
  <c r="E1627"/>
  <c r="D1627"/>
  <c r="C1627"/>
  <c r="P1626"/>
  <c r="O1626"/>
  <c r="I1626"/>
  <c r="E1626"/>
  <c r="D1626"/>
  <c r="C1626"/>
  <c r="P1625"/>
  <c r="O1625"/>
  <c r="I1625"/>
  <c r="E1625"/>
  <c r="D1625"/>
  <c r="C1625"/>
  <c r="P1624"/>
  <c r="O1624"/>
  <c r="I1624"/>
  <c r="E1624"/>
  <c r="D1624"/>
  <c r="C1624"/>
  <c r="P1623"/>
  <c r="O1623"/>
  <c r="I1623"/>
  <c r="E1623"/>
  <c r="D1623"/>
  <c r="C1623"/>
  <c r="P1622"/>
  <c r="O1622"/>
  <c r="I1622"/>
  <c r="E1622"/>
  <c r="D1622"/>
  <c r="C1622"/>
  <c r="P1621"/>
  <c r="O1621"/>
  <c r="I1621"/>
  <c r="E1621"/>
  <c r="D1621"/>
  <c r="C1621"/>
  <c r="P1620"/>
  <c r="O1620"/>
  <c r="I1620"/>
  <c r="E1620"/>
  <c r="D1620"/>
  <c r="C1620"/>
  <c r="P1619"/>
  <c r="O1619"/>
  <c r="I1619"/>
  <c r="E1619"/>
  <c r="D1619"/>
  <c r="C1619"/>
  <c r="P1618"/>
  <c r="O1618"/>
  <c r="I1618"/>
  <c r="E1618"/>
  <c r="D1618"/>
  <c r="C1618"/>
  <c r="P1617"/>
  <c r="O1617"/>
  <c r="I1617"/>
  <c r="E1617"/>
  <c r="D1617"/>
  <c r="C1617"/>
  <c r="P1616"/>
  <c r="O1616"/>
  <c r="I1616"/>
  <c r="E1616"/>
  <c r="D1616"/>
  <c r="C1616"/>
  <c r="P1615"/>
  <c r="O1615"/>
  <c r="I1615"/>
  <c r="E1615"/>
  <c r="D1615"/>
  <c r="C1615"/>
  <c r="P1614"/>
  <c r="O1614"/>
  <c r="I1614"/>
  <c r="E1614"/>
  <c r="D1614"/>
  <c r="C1614"/>
  <c r="P1613"/>
  <c r="O1613"/>
  <c r="I1613"/>
  <c r="E1613"/>
  <c r="D1613"/>
  <c r="C1613"/>
  <c r="P1612"/>
  <c r="O1612"/>
  <c r="I1612"/>
  <c r="E1612"/>
  <c r="D1612"/>
  <c r="C1612"/>
  <c r="P1611"/>
  <c r="O1611"/>
  <c r="I1611"/>
  <c r="E1611"/>
  <c r="D1611"/>
  <c r="C1611"/>
  <c r="P1610"/>
  <c r="O1610"/>
  <c r="I1610"/>
  <c r="E1610"/>
  <c r="D1610"/>
  <c r="C1610"/>
  <c r="P1609"/>
  <c r="O1609"/>
  <c r="I1609"/>
  <c r="E1609"/>
  <c r="D1609"/>
  <c r="C1609"/>
  <c r="P1608"/>
  <c r="O1608"/>
  <c r="I1608"/>
  <c r="E1608"/>
  <c r="D1608"/>
  <c r="C1608"/>
  <c r="P1607"/>
  <c r="O1607"/>
  <c r="I1607"/>
  <c r="E1607"/>
  <c r="D1607"/>
  <c r="C1607"/>
  <c r="O1606"/>
  <c r="M1606"/>
  <c r="I1606"/>
  <c r="E1606"/>
  <c r="D1606"/>
  <c r="C1606"/>
  <c r="P1605"/>
  <c r="O1605"/>
  <c r="I1605"/>
  <c r="E1605"/>
  <c r="D1605"/>
  <c r="C1605"/>
  <c r="P1604"/>
  <c r="O1604"/>
  <c r="I1604"/>
  <c r="E1604"/>
  <c r="D1604"/>
  <c r="C1604"/>
  <c r="P1603"/>
  <c r="O1603"/>
  <c r="I1603"/>
  <c r="E1603"/>
  <c r="D1603"/>
  <c r="C1603"/>
  <c r="P1602"/>
  <c r="O1602"/>
  <c r="I1602"/>
  <c r="E1602"/>
  <c r="D1602"/>
  <c r="C1602"/>
  <c r="P1601"/>
  <c r="O1601"/>
  <c r="I1601"/>
  <c r="E1601"/>
  <c r="D1601"/>
  <c r="C1601"/>
  <c r="P1600"/>
  <c r="O1600"/>
  <c r="I1600"/>
  <c r="E1600"/>
  <c r="D1600"/>
  <c r="C1600"/>
  <c r="P1599"/>
  <c r="O1599"/>
  <c r="I1599"/>
  <c r="E1599"/>
  <c r="D1599"/>
  <c r="C1599"/>
  <c r="P1598"/>
  <c r="O1598"/>
  <c r="I1598"/>
  <c r="E1598"/>
  <c r="D1598"/>
  <c r="C1598"/>
  <c r="P1597"/>
  <c r="O1597"/>
  <c r="I1597"/>
  <c r="E1597"/>
  <c r="D1597"/>
  <c r="C1597"/>
  <c r="P1596"/>
  <c r="O1596"/>
  <c r="I1596"/>
  <c r="E1596"/>
  <c r="D1596"/>
  <c r="C1596"/>
  <c r="P1595"/>
  <c r="O1595"/>
  <c r="I1595"/>
  <c r="E1595"/>
  <c r="D1595"/>
  <c r="C1595"/>
  <c r="P1594"/>
  <c r="O1594"/>
  <c r="I1594"/>
  <c r="E1594"/>
  <c r="D1594"/>
  <c r="C1594"/>
  <c r="P1593"/>
  <c r="O1593"/>
  <c r="I1593"/>
  <c r="E1593"/>
  <c r="D1593"/>
  <c r="C1593"/>
  <c r="O1592"/>
  <c r="M1592"/>
  <c r="I1592"/>
  <c r="E1592"/>
  <c r="D1592"/>
  <c r="C1592"/>
  <c r="P1591"/>
  <c r="O1591"/>
  <c r="I1591"/>
  <c r="E1591"/>
  <c r="D1591"/>
  <c r="C1591"/>
  <c r="P1590"/>
  <c r="O1590"/>
  <c r="I1590"/>
  <c r="E1590"/>
  <c r="D1590"/>
  <c r="C1590"/>
  <c r="P1589"/>
  <c r="O1589"/>
  <c r="I1589"/>
  <c r="E1589"/>
  <c r="D1589"/>
  <c r="C1589"/>
  <c r="P1588"/>
  <c r="O1588"/>
  <c r="I1588"/>
  <c r="E1588"/>
  <c r="D1588"/>
  <c r="C1588"/>
  <c r="P1587"/>
  <c r="O1587"/>
  <c r="I1587"/>
  <c r="E1587"/>
  <c r="D1587"/>
  <c r="C1587"/>
  <c r="P1586"/>
  <c r="O1586"/>
  <c r="I1586"/>
  <c r="E1586"/>
  <c r="D1586"/>
  <c r="C1586"/>
  <c r="P1585"/>
  <c r="O1585"/>
  <c r="I1585"/>
  <c r="E1585"/>
  <c r="D1585"/>
  <c r="C1585"/>
  <c r="P1584"/>
  <c r="O1584"/>
  <c r="I1584"/>
  <c r="E1584"/>
  <c r="D1584"/>
  <c r="C1584"/>
  <c r="P1583"/>
  <c r="O1583"/>
  <c r="I1583"/>
  <c r="E1583"/>
  <c r="D1583"/>
  <c r="C1583"/>
  <c r="P1582"/>
  <c r="O1582"/>
  <c r="I1582"/>
  <c r="E1582"/>
  <c r="D1582"/>
  <c r="C1582"/>
  <c r="P1581"/>
  <c r="O1581"/>
  <c r="I1581"/>
  <c r="E1581"/>
  <c r="D1581"/>
  <c r="C1581"/>
  <c r="P1580"/>
  <c r="O1580"/>
  <c r="I1580"/>
  <c r="E1580"/>
  <c r="D1580"/>
  <c r="C1580"/>
  <c r="P1579"/>
  <c r="O1579"/>
  <c r="I1579"/>
  <c r="E1579"/>
  <c r="D1579"/>
  <c r="C1579"/>
  <c r="P1578"/>
  <c r="O1578"/>
  <c r="I1578"/>
  <c r="E1578"/>
  <c r="D1578"/>
  <c r="C1578"/>
  <c r="P1577"/>
  <c r="O1577"/>
  <c r="I1577"/>
  <c r="E1577"/>
  <c r="D1577"/>
  <c r="C1577"/>
  <c r="P1576"/>
  <c r="O1576"/>
  <c r="I1576"/>
  <c r="E1576"/>
  <c r="D1576"/>
  <c r="C1576"/>
  <c r="O1575"/>
  <c r="M1575"/>
  <c r="I1575"/>
  <c r="E1575"/>
  <c r="D1575"/>
  <c r="C1575"/>
  <c r="P1574"/>
  <c r="O1574"/>
  <c r="I1574"/>
  <c r="E1574"/>
  <c r="D1574"/>
  <c r="C1574"/>
  <c r="P1573"/>
  <c r="O1573"/>
  <c r="I1573"/>
  <c r="E1573"/>
  <c r="D1573"/>
  <c r="C1573"/>
  <c r="P1572"/>
  <c r="O1572"/>
  <c r="I1572"/>
  <c r="E1572"/>
  <c r="D1572"/>
  <c r="C1572"/>
  <c r="P1571"/>
  <c r="O1571"/>
  <c r="I1571"/>
  <c r="E1571"/>
  <c r="D1571"/>
  <c r="C1571"/>
  <c r="P1570"/>
  <c r="O1570"/>
  <c r="I1570"/>
  <c r="E1570"/>
  <c r="D1570"/>
  <c r="C1570"/>
  <c r="P1569"/>
  <c r="O1569"/>
  <c r="I1569"/>
  <c r="E1569"/>
  <c r="D1569"/>
  <c r="C1569"/>
  <c r="P1568"/>
  <c r="O1568"/>
  <c r="I1568"/>
  <c r="E1568"/>
  <c r="D1568"/>
  <c r="C1568"/>
  <c r="P1567"/>
  <c r="O1567"/>
  <c r="I1567"/>
  <c r="E1567"/>
  <c r="D1567"/>
  <c r="C1567"/>
  <c r="P1566"/>
  <c r="O1566"/>
  <c r="I1566"/>
  <c r="E1566"/>
  <c r="D1566"/>
  <c r="C1566"/>
  <c r="P1565"/>
  <c r="O1565"/>
  <c r="I1565"/>
  <c r="E1565"/>
  <c r="D1565"/>
  <c r="C1565"/>
  <c r="P1564"/>
  <c r="O1564"/>
  <c r="I1564"/>
  <c r="E1564"/>
  <c r="D1564"/>
  <c r="C1564"/>
  <c r="P1563"/>
  <c r="O1563"/>
  <c r="I1563"/>
  <c r="E1563"/>
  <c r="D1563"/>
  <c r="C1563"/>
  <c r="P1562"/>
  <c r="O1562"/>
  <c r="I1562"/>
  <c r="E1562"/>
  <c r="D1562"/>
  <c r="C1562"/>
  <c r="P1561"/>
  <c r="O1561"/>
  <c r="I1561"/>
  <c r="E1561"/>
  <c r="D1561"/>
  <c r="C1561"/>
  <c r="P1560"/>
  <c r="O1560"/>
  <c r="I1560"/>
  <c r="E1560"/>
  <c r="D1560"/>
  <c r="C1560"/>
  <c r="P1559"/>
  <c r="O1559"/>
  <c r="I1559"/>
  <c r="E1559"/>
  <c r="D1559"/>
  <c r="C1559"/>
  <c r="P1558"/>
  <c r="O1558"/>
  <c r="I1558"/>
  <c r="E1558"/>
  <c r="D1558"/>
  <c r="C1558"/>
  <c r="O1557"/>
  <c r="M1557"/>
  <c r="I1557"/>
  <c r="E1557"/>
  <c r="D1557"/>
  <c r="C1557"/>
  <c r="P1556"/>
  <c r="O1556"/>
  <c r="I1556"/>
  <c r="E1556"/>
  <c r="D1556"/>
  <c r="C1556"/>
  <c r="P1555"/>
  <c r="O1555"/>
  <c r="I1555"/>
  <c r="E1555"/>
  <c r="D1555"/>
  <c r="C1555"/>
  <c r="P1554"/>
  <c r="O1554"/>
  <c r="I1554"/>
  <c r="E1554"/>
  <c r="D1554"/>
  <c r="C1554"/>
  <c r="P1553"/>
  <c r="O1553"/>
  <c r="I1553"/>
  <c r="E1553"/>
  <c r="D1553"/>
  <c r="C1553"/>
  <c r="P1552"/>
  <c r="O1552"/>
  <c r="I1552"/>
  <c r="E1552"/>
  <c r="D1552"/>
  <c r="C1552"/>
  <c r="P1551"/>
  <c r="O1551"/>
  <c r="I1551"/>
  <c r="E1551"/>
  <c r="D1551"/>
  <c r="C1551"/>
  <c r="P1550"/>
  <c r="O1550"/>
  <c r="I1550"/>
  <c r="E1550"/>
  <c r="D1550"/>
  <c r="C1550"/>
  <c r="P1549"/>
  <c r="O1549"/>
  <c r="I1549"/>
  <c r="E1549"/>
  <c r="D1549"/>
  <c r="C1549"/>
  <c r="P1548"/>
  <c r="O1548"/>
  <c r="I1548"/>
  <c r="E1548"/>
  <c r="D1548"/>
  <c r="C1548"/>
  <c r="P1547"/>
  <c r="O1547"/>
  <c r="I1547"/>
  <c r="E1547"/>
  <c r="D1547"/>
  <c r="C1547"/>
  <c r="P1546"/>
  <c r="O1546"/>
  <c r="I1546"/>
  <c r="E1546"/>
  <c r="D1546"/>
  <c r="C1546"/>
  <c r="P1545"/>
  <c r="O1545"/>
  <c r="I1545"/>
  <c r="E1545"/>
  <c r="D1545"/>
  <c r="C1545"/>
  <c r="P1544"/>
  <c r="O1544"/>
  <c r="I1544"/>
  <c r="E1544"/>
  <c r="D1544"/>
  <c r="C1544"/>
  <c r="P1543"/>
  <c r="O1543"/>
  <c r="I1543"/>
  <c r="E1543"/>
  <c r="D1543"/>
  <c r="C1543"/>
  <c r="P1542"/>
  <c r="O1542"/>
  <c r="I1542"/>
  <c r="E1542"/>
  <c r="D1542"/>
  <c r="C1542"/>
  <c r="P1541"/>
  <c r="O1541"/>
  <c r="I1541"/>
  <c r="E1541"/>
  <c r="D1541"/>
  <c r="C1541"/>
  <c r="P1540"/>
  <c r="O1540"/>
  <c r="I1540"/>
  <c r="E1540"/>
  <c r="D1540"/>
  <c r="C1540"/>
  <c r="P1539"/>
  <c r="O1539"/>
  <c r="I1539"/>
  <c r="E1539"/>
  <c r="D1539"/>
  <c r="C1539"/>
  <c r="O1538"/>
  <c r="M1538"/>
  <c r="I1538"/>
  <c r="E1538"/>
  <c r="D1538"/>
  <c r="C1538"/>
  <c r="P1537"/>
  <c r="O1537"/>
  <c r="I1537"/>
  <c r="E1537"/>
  <c r="D1537"/>
  <c r="C1537"/>
  <c r="P1536"/>
  <c r="O1536"/>
  <c r="I1536"/>
  <c r="E1536"/>
  <c r="D1536"/>
  <c r="C1536"/>
  <c r="P1535"/>
  <c r="O1535"/>
  <c r="I1535"/>
  <c r="E1535"/>
  <c r="D1535"/>
  <c r="C1535"/>
  <c r="P1534"/>
  <c r="O1534"/>
  <c r="I1534"/>
  <c r="E1534"/>
  <c r="D1534"/>
  <c r="C1534"/>
  <c r="P1533"/>
  <c r="O1533"/>
  <c r="I1533"/>
  <c r="E1533"/>
  <c r="D1533"/>
  <c r="C1533"/>
  <c r="P1532"/>
  <c r="O1532"/>
  <c r="I1532"/>
  <c r="E1532"/>
  <c r="D1532"/>
  <c r="C1532"/>
  <c r="P1531"/>
  <c r="O1531"/>
  <c r="I1531"/>
  <c r="E1531"/>
  <c r="D1531"/>
  <c r="C1531"/>
  <c r="P1530"/>
  <c r="O1530"/>
  <c r="I1530"/>
  <c r="E1530"/>
  <c r="D1530"/>
  <c r="C1530"/>
  <c r="P1529"/>
  <c r="O1529"/>
  <c r="I1529"/>
  <c r="E1529"/>
  <c r="D1529"/>
  <c r="C1529"/>
  <c r="P1528"/>
  <c r="O1528"/>
  <c r="I1528"/>
  <c r="E1528"/>
  <c r="D1528"/>
  <c r="C1528"/>
  <c r="P1527"/>
  <c r="O1527"/>
  <c r="I1527"/>
  <c r="E1527"/>
  <c r="D1527"/>
  <c r="C1527"/>
  <c r="P1526"/>
  <c r="O1526"/>
  <c r="I1526"/>
  <c r="E1526"/>
  <c r="D1526"/>
  <c r="C1526"/>
  <c r="P1525"/>
  <c r="O1525"/>
  <c r="I1525"/>
  <c r="E1525"/>
  <c r="D1525"/>
  <c r="C1525"/>
  <c r="P1524"/>
  <c r="O1524"/>
  <c r="I1524"/>
  <c r="E1524"/>
  <c r="D1524"/>
  <c r="C1524"/>
  <c r="P1523"/>
  <c r="O1523"/>
  <c r="I1523"/>
  <c r="E1523"/>
  <c r="D1523"/>
  <c r="C1523"/>
  <c r="P1522"/>
  <c r="O1522"/>
  <c r="I1522"/>
  <c r="E1522"/>
  <c r="D1522"/>
  <c r="C1522"/>
  <c r="P1521"/>
  <c r="O1521"/>
  <c r="I1521"/>
  <c r="E1521"/>
  <c r="D1521"/>
  <c r="C1521"/>
  <c r="P1520"/>
  <c r="O1520"/>
  <c r="I1520"/>
  <c r="E1520"/>
  <c r="D1520"/>
  <c r="C1520"/>
  <c r="P1519"/>
  <c r="O1519"/>
  <c r="I1519"/>
  <c r="E1519"/>
  <c r="D1519"/>
  <c r="C1519"/>
  <c r="P1518"/>
  <c r="O1518"/>
  <c r="I1518"/>
  <c r="E1518"/>
  <c r="D1518"/>
  <c r="C1518"/>
  <c r="P1517"/>
  <c r="O1517"/>
  <c r="I1517"/>
  <c r="E1517"/>
  <c r="D1517"/>
  <c r="C1517"/>
  <c r="P1516"/>
  <c r="O1516"/>
  <c r="I1516"/>
  <c r="E1516"/>
  <c r="D1516"/>
  <c r="C1516"/>
  <c r="P1515"/>
  <c r="O1515"/>
  <c r="I1515"/>
  <c r="E1515"/>
  <c r="D1515"/>
  <c r="C1515"/>
  <c r="P1514"/>
  <c r="O1514"/>
  <c r="I1514"/>
  <c r="E1514"/>
  <c r="D1514"/>
  <c r="C1514"/>
  <c r="P1513"/>
  <c r="O1513"/>
  <c r="I1513"/>
  <c r="E1513"/>
  <c r="D1513"/>
  <c r="C1513"/>
  <c r="P1512"/>
  <c r="O1512"/>
  <c r="I1512"/>
  <c r="E1512"/>
  <c r="D1512"/>
  <c r="C1512"/>
  <c r="P1511"/>
  <c r="O1511"/>
  <c r="I1511"/>
  <c r="E1511"/>
  <c r="D1511"/>
  <c r="C1511"/>
  <c r="P1510"/>
  <c r="O1510"/>
  <c r="I1510"/>
  <c r="E1510"/>
  <c r="D1510"/>
  <c r="C1510"/>
  <c r="P1509"/>
  <c r="O1509"/>
  <c r="I1509"/>
  <c r="E1509"/>
  <c r="D1509"/>
  <c r="C1509"/>
  <c r="P1508"/>
  <c r="O1508"/>
  <c r="I1508"/>
  <c r="E1508"/>
  <c r="D1508"/>
  <c r="C1508"/>
  <c r="O1507"/>
  <c r="M1507"/>
  <c r="I1507"/>
  <c r="E1507"/>
  <c r="D1507"/>
  <c r="C1507"/>
  <c r="P1506"/>
  <c r="O1506"/>
  <c r="I1506"/>
  <c r="E1506"/>
  <c r="D1506"/>
  <c r="C1506"/>
  <c r="P1505"/>
  <c r="O1505"/>
  <c r="I1505"/>
  <c r="E1505"/>
  <c r="D1505"/>
  <c r="C1505"/>
  <c r="P1504"/>
  <c r="O1504"/>
  <c r="I1504"/>
  <c r="E1504"/>
  <c r="D1504"/>
  <c r="C1504"/>
  <c r="P1503"/>
  <c r="O1503"/>
  <c r="I1503"/>
  <c r="E1503"/>
  <c r="D1503"/>
  <c r="C1503"/>
  <c r="P1502"/>
  <c r="O1502"/>
  <c r="I1502"/>
  <c r="E1502"/>
  <c r="D1502"/>
  <c r="C1502"/>
  <c r="P1501"/>
  <c r="O1501"/>
  <c r="I1501"/>
  <c r="E1501"/>
  <c r="D1501"/>
  <c r="C1501"/>
  <c r="P1500"/>
  <c r="O1500"/>
  <c r="I1500"/>
  <c r="E1500"/>
  <c r="D1500"/>
  <c r="C1500"/>
  <c r="P1499"/>
  <c r="O1499"/>
  <c r="I1499"/>
  <c r="E1499"/>
  <c r="D1499"/>
  <c r="C1499"/>
  <c r="O1498"/>
  <c r="M1498"/>
  <c r="I1498"/>
  <c r="E1498"/>
  <c r="D1498"/>
  <c r="C1498"/>
  <c r="P1497"/>
  <c r="O1497"/>
  <c r="I1497"/>
  <c r="E1497"/>
  <c r="D1497"/>
  <c r="C1497"/>
  <c r="P1496"/>
  <c r="O1496"/>
  <c r="I1496"/>
  <c r="E1496"/>
  <c r="D1496"/>
  <c r="C1496"/>
  <c r="P1495"/>
  <c r="O1495"/>
  <c r="I1495"/>
  <c r="E1495"/>
  <c r="D1495"/>
  <c r="C1495"/>
  <c r="P1494"/>
  <c r="O1494"/>
  <c r="I1494"/>
  <c r="E1494"/>
  <c r="D1494"/>
  <c r="C1494"/>
  <c r="P1493"/>
  <c r="O1493"/>
  <c r="I1493"/>
  <c r="E1493"/>
  <c r="D1493"/>
  <c r="C1493"/>
  <c r="P1492"/>
  <c r="O1492"/>
  <c r="I1492"/>
  <c r="E1492"/>
  <c r="D1492"/>
  <c r="C1492"/>
  <c r="P1491"/>
  <c r="O1491"/>
  <c r="I1491"/>
  <c r="E1491"/>
  <c r="D1491"/>
  <c r="C1491"/>
  <c r="P1490"/>
  <c r="O1490"/>
  <c r="I1490"/>
  <c r="E1490"/>
  <c r="D1490"/>
  <c r="C1490"/>
  <c r="P1489"/>
  <c r="O1489"/>
  <c r="I1489"/>
  <c r="E1489"/>
  <c r="D1489"/>
  <c r="C1489"/>
  <c r="P1488"/>
  <c r="O1488"/>
  <c r="I1488"/>
  <c r="E1488"/>
  <c r="D1488"/>
  <c r="C1488"/>
  <c r="P1487"/>
  <c r="O1487"/>
  <c r="I1487"/>
  <c r="E1487"/>
  <c r="D1487"/>
  <c r="C1487"/>
  <c r="P1486"/>
  <c r="O1486"/>
  <c r="I1486"/>
  <c r="E1486"/>
  <c r="D1486"/>
  <c r="C1486"/>
  <c r="P1485"/>
  <c r="O1485"/>
  <c r="I1485"/>
  <c r="E1485"/>
  <c r="D1485"/>
  <c r="C1485"/>
  <c r="P1484"/>
  <c r="O1484"/>
  <c r="I1484"/>
  <c r="E1484"/>
  <c r="D1484"/>
  <c r="C1484"/>
  <c r="O1483"/>
  <c r="M1483"/>
  <c r="I1483"/>
  <c r="E1483"/>
  <c r="D1483"/>
  <c r="C1483"/>
  <c r="P1482"/>
  <c r="O1482"/>
  <c r="I1482"/>
  <c r="E1482"/>
  <c r="D1482"/>
  <c r="C1482"/>
  <c r="P1481"/>
  <c r="O1481"/>
  <c r="I1481"/>
  <c r="E1481"/>
  <c r="D1481"/>
  <c r="C1481"/>
  <c r="P1480"/>
  <c r="O1480"/>
  <c r="I1480"/>
  <c r="E1480"/>
  <c r="D1480"/>
  <c r="C1480"/>
  <c r="P1479"/>
  <c r="O1479"/>
  <c r="I1479"/>
  <c r="E1479"/>
  <c r="D1479"/>
  <c r="C1479"/>
  <c r="P1478"/>
  <c r="O1478"/>
  <c r="I1478"/>
  <c r="E1478"/>
  <c r="D1478"/>
  <c r="C1478"/>
  <c r="P1477"/>
  <c r="O1477"/>
  <c r="I1477"/>
  <c r="E1477"/>
  <c r="D1477"/>
  <c r="C1477"/>
  <c r="P1476"/>
  <c r="O1476"/>
  <c r="I1476"/>
  <c r="E1476"/>
  <c r="D1476"/>
  <c r="C1476"/>
  <c r="P1475"/>
  <c r="O1475"/>
  <c r="I1475"/>
  <c r="E1475"/>
  <c r="D1475"/>
  <c r="C1475"/>
  <c r="P1474"/>
  <c r="O1474"/>
  <c r="I1474"/>
  <c r="E1474"/>
  <c r="D1474"/>
  <c r="C1474"/>
  <c r="P1473"/>
  <c r="O1473"/>
  <c r="I1473"/>
  <c r="E1473"/>
  <c r="D1473"/>
  <c r="C1473"/>
  <c r="P1472"/>
  <c r="O1472"/>
  <c r="I1472"/>
  <c r="E1472"/>
  <c r="D1472"/>
  <c r="C1472"/>
  <c r="O1471"/>
  <c r="M1471"/>
  <c r="I1471"/>
  <c r="E1471"/>
  <c r="D1471"/>
  <c r="C1471"/>
  <c r="P1470"/>
  <c r="O1470"/>
  <c r="I1470"/>
  <c r="E1470"/>
  <c r="D1470"/>
  <c r="C1470"/>
  <c r="P1469"/>
  <c r="O1469"/>
  <c r="I1469"/>
  <c r="E1469"/>
  <c r="D1469"/>
  <c r="C1469"/>
  <c r="P1468"/>
  <c r="O1468"/>
  <c r="I1468"/>
  <c r="E1468"/>
  <c r="D1468"/>
  <c r="C1468"/>
  <c r="P1467"/>
  <c r="O1467"/>
  <c r="I1467"/>
  <c r="E1467"/>
  <c r="D1467"/>
  <c r="C1467"/>
  <c r="P1466"/>
  <c r="O1466"/>
  <c r="I1466"/>
  <c r="E1466"/>
  <c r="D1466"/>
  <c r="C1466"/>
  <c r="P1465"/>
  <c r="O1465"/>
  <c r="I1465"/>
  <c r="E1465"/>
  <c r="D1465"/>
  <c r="C1465"/>
  <c r="P1464"/>
  <c r="O1464"/>
  <c r="I1464"/>
  <c r="E1464"/>
  <c r="D1464"/>
  <c r="C1464"/>
  <c r="P1463"/>
  <c r="O1463"/>
  <c r="I1463"/>
  <c r="E1463"/>
  <c r="D1463"/>
  <c r="C1463"/>
  <c r="P1462"/>
  <c r="O1462"/>
  <c r="I1462"/>
  <c r="E1462"/>
  <c r="D1462"/>
  <c r="C1462"/>
  <c r="O1461"/>
  <c r="M1461"/>
  <c r="I1461"/>
  <c r="E1461"/>
  <c r="D1461"/>
  <c r="C1461"/>
  <c r="P1460"/>
  <c r="O1460"/>
  <c r="I1460"/>
  <c r="E1460"/>
  <c r="D1460"/>
  <c r="C1460"/>
  <c r="P1459"/>
  <c r="O1459"/>
  <c r="I1459"/>
  <c r="E1459"/>
  <c r="D1459"/>
  <c r="C1459"/>
  <c r="P1458"/>
  <c r="O1458"/>
  <c r="I1458"/>
  <c r="E1458"/>
  <c r="D1458"/>
  <c r="C1458"/>
  <c r="P1457"/>
  <c r="O1457"/>
  <c r="I1457"/>
  <c r="E1457"/>
  <c r="D1457"/>
  <c r="C1457"/>
  <c r="P1456"/>
  <c r="O1456"/>
  <c r="I1456"/>
  <c r="E1456"/>
  <c r="D1456"/>
  <c r="C1456"/>
  <c r="P1455"/>
  <c r="O1455"/>
  <c r="I1455"/>
  <c r="E1455"/>
  <c r="D1455"/>
  <c r="C1455"/>
  <c r="P1454"/>
  <c r="O1454"/>
  <c r="I1454"/>
  <c r="E1454"/>
  <c r="D1454"/>
  <c r="C1454"/>
  <c r="P1453"/>
  <c r="O1453"/>
  <c r="I1453"/>
  <c r="E1453"/>
  <c r="D1453"/>
  <c r="C1453"/>
  <c r="P1452"/>
  <c r="O1452"/>
  <c r="I1452"/>
  <c r="E1452"/>
  <c r="D1452"/>
  <c r="C1452"/>
  <c r="P1451"/>
  <c r="O1451"/>
  <c r="I1451"/>
  <c r="E1451"/>
  <c r="D1451"/>
  <c r="C1451"/>
  <c r="P1450"/>
  <c r="O1450"/>
  <c r="I1450"/>
  <c r="E1450"/>
  <c r="D1450"/>
  <c r="C1450"/>
  <c r="P1449"/>
  <c r="O1449"/>
  <c r="I1449"/>
  <c r="E1449"/>
  <c r="D1449"/>
  <c r="C1449"/>
  <c r="P1448"/>
  <c r="O1448"/>
  <c r="I1448"/>
  <c r="E1448"/>
  <c r="D1448"/>
  <c r="C1448"/>
  <c r="P1447"/>
  <c r="O1447"/>
  <c r="I1447"/>
  <c r="E1447"/>
  <c r="D1447"/>
  <c r="C1447"/>
  <c r="P1446"/>
  <c r="O1446"/>
  <c r="Q1446" s="1"/>
  <c r="I1446"/>
  <c r="E1446"/>
  <c r="D1446"/>
  <c r="C1446"/>
  <c r="P1445"/>
  <c r="O1445"/>
  <c r="I1445"/>
  <c r="E1445"/>
  <c r="D1445"/>
  <c r="C1445"/>
  <c r="P1444"/>
  <c r="O1444"/>
  <c r="I1444"/>
  <c r="E1444"/>
  <c r="D1444"/>
  <c r="C1444"/>
  <c r="O1443"/>
  <c r="M1443"/>
  <c r="I1443"/>
  <c r="E1443"/>
  <c r="D1443"/>
  <c r="C1443"/>
  <c r="P1442"/>
  <c r="O1442"/>
  <c r="I1442"/>
  <c r="E1442"/>
  <c r="D1442"/>
  <c r="C1442"/>
  <c r="P1441"/>
  <c r="O1441"/>
  <c r="I1441"/>
  <c r="E1441"/>
  <c r="D1441"/>
  <c r="C1441"/>
  <c r="P1440"/>
  <c r="O1440"/>
  <c r="Q1440" s="1"/>
  <c r="I1440"/>
  <c r="E1440"/>
  <c r="D1440"/>
  <c r="C1440"/>
  <c r="P1439"/>
  <c r="O1439"/>
  <c r="I1439"/>
  <c r="E1439"/>
  <c r="D1439"/>
  <c r="C1439"/>
  <c r="P1438"/>
  <c r="O1438"/>
  <c r="I1438"/>
  <c r="E1438"/>
  <c r="D1438"/>
  <c r="C1438"/>
  <c r="P1437"/>
  <c r="O1437"/>
  <c r="I1437"/>
  <c r="E1437"/>
  <c r="D1437"/>
  <c r="C1437"/>
  <c r="P1436"/>
  <c r="O1436"/>
  <c r="Q1436" s="1"/>
  <c r="I1436"/>
  <c r="E1436"/>
  <c r="D1436"/>
  <c r="C1436"/>
  <c r="P1435"/>
  <c r="O1435"/>
  <c r="I1435"/>
  <c r="E1435"/>
  <c r="D1435"/>
  <c r="C1435"/>
  <c r="P1434"/>
  <c r="O1434"/>
  <c r="I1434"/>
  <c r="E1434"/>
  <c r="D1434"/>
  <c r="C1434"/>
  <c r="P1433"/>
  <c r="O1433"/>
  <c r="I1433"/>
  <c r="E1433"/>
  <c r="D1433"/>
  <c r="C1433"/>
  <c r="P1432"/>
  <c r="O1432"/>
  <c r="Q1432" s="1"/>
  <c r="I1432"/>
  <c r="E1432"/>
  <c r="D1432"/>
  <c r="C1432"/>
  <c r="P1431"/>
  <c r="O1431"/>
  <c r="I1431"/>
  <c r="E1431"/>
  <c r="D1431"/>
  <c r="C1431"/>
  <c r="P1430"/>
  <c r="O1430"/>
  <c r="I1430"/>
  <c r="E1430"/>
  <c r="D1430"/>
  <c r="C1430"/>
  <c r="P1429"/>
  <c r="O1429"/>
  <c r="I1429"/>
  <c r="E1429"/>
  <c r="D1429"/>
  <c r="C1429"/>
  <c r="P1428"/>
  <c r="O1428"/>
  <c r="Q1428" s="1"/>
  <c r="I1428"/>
  <c r="E1428"/>
  <c r="D1428"/>
  <c r="C1428"/>
  <c r="P1427"/>
  <c r="O1427"/>
  <c r="I1427"/>
  <c r="E1427"/>
  <c r="D1427"/>
  <c r="C1427"/>
  <c r="P1426"/>
  <c r="O1426"/>
  <c r="I1426"/>
  <c r="E1426"/>
  <c r="D1426"/>
  <c r="C1426"/>
  <c r="P1425"/>
  <c r="O1425"/>
  <c r="I1425"/>
  <c r="E1425"/>
  <c r="D1425"/>
  <c r="C1425"/>
  <c r="P1424"/>
  <c r="O1424"/>
  <c r="Q1424" s="1"/>
  <c r="I1424"/>
  <c r="E1424"/>
  <c r="D1424"/>
  <c r="C1424"/>
  <c r="P1423"/>
  <c r="O1423"/>
  <c r="I1423"/>
  <c r="E1423"/>
  <c r="D1423"/>
  <c r="C1423"/>
  <c r="P1422"/>
  <c r="O1422"/>
  <c r="I1422"/>
  <c r="E1422"/>
  <c r="D1422"/>
  <c r="C1422"/>
  <c r="O1421"/>
  <c r="M1421"/>
  <c r="I1421"/>
  <c r="E1421"/>
  <c r="D1421"/>
  <c r="C1421"/>
  <c r="P1420"/>
  <c r="O1420"/>
  <c r="I1420"/>
  <c r="E1420"/>
  <c r="D1420"/>
  <c r="C1420"/>
  <c r="P1419"/>
  <c r="O1419"/>
  <c r="I1419"/>
  <c r="E1419"/>
  <c r="D1419"/>
  <c r="C1419"/>
  <c r="P1418"/>
  <c r="O1418"/>
  <c r="I1418"/>
  <c r="E1418"/>
  <c r="D1418"/>
  <c r="C1418"/>
  <c r="P1417"/>
  <c r="O1417"/>
  <c r="I1417"/>
  <c r="E1417"/>
  <c r="D1417"/>
  <c r="C1417"/>
  <c r="P1416"/>
  <c r="O1416"/>
  <c r="I1416"/>
  <c r="E1416"/>
  <c r="D1416"/>
  <c r="C1416"/>
  <c r="P1415"/>
  <c r="O1415"/>
  <c r="I1415"/>
  <c r="E1415"/>
  <c r="D1415"/>
  <c r="C1415"/>
  <c r="P1414"/>
  <c r="O1414"/>
  <c r="I1414"/>
  <c r="E1414"/>
  <c r="D1414"/>
  <c r="C1414"/>
  <c r="P1413"/>
  <c r="O1413"/>
  <c r="I1413"/>
  <c r="E1413"/>
  <c r="D1413"/>
  <c r="C1413"/>
  <c r="O1412"/>
  <c r="M1412"/>
  <c r="I1412"/>
  <c r="E1412"/>
  <c r="D1412"/>
  <c r="C1412"/>
  <c r="P1411"/>
  <c r="O1411"/>
  <c r="I1411"/>
  <c r="E1411"/>
  <c r="D1411"/>
  <c r="C1411"/>
  <c r="P1410"/>
  <c r="O1410"/>
  <c r="Q1410" s="1"/>
  <c r="I1410"/>
  <c r="E1410"/>
  <c r="D1410"/>
  <c r="C1410"/>
  <c r="P1409"/>
  <c r="O1409"/>
  <c r="I1409"/>
  <c r="E1409"/>
  <c r="D1409"/>
  <c r="C1409"/>
  <c r="O1408"/>
  <c r="M1408"/>
  <c r="I1408"/>
  <c r="E1408"/>
  <c r="D1408"/>
  <c r="C1408"/>
  <c r="P1407"/>
  <c r="O1407"/>
  <c r="I1407"/>
  <c r="E1407"/>
  <c r="D1407"/>
  <c r="C1407"/>
  <c r="P1406"/>
  <c r="O1406"/>
  <c r="I1406"/>
  <c r="E1406"/>
  <c r="D1406"/>
  <c r="C1406"/>
  <c r="P1405"/>
  <c r="L1405"/>
  <c r="I1405" s="1"/>
  <c r="E1405"/>
  <c r="D1405"/>
  <c r="C1405"/>
  <c r="P1404"/>
  <c r="O1404"/>
  <c r="I1404"/>
  <c r="E1404"/>
  <c r="D1404"/>
  <c r="C1404"/>
  <c r="O1403"/>
  <c r="M1403"/>
  <c r="I1403"/>
  <c r="E1403"/>
  <c r="D1403"/>
  <c r="C1403"/>
  <c r="P1402"/>
  <c r="O1402"/>
  <c r="I1402"/>
  <c r="E1402"/>
  <c r="D1402"/>
  <c r="C1402"/>
  <c r="P1401"/>
  <c r="O1401"/>
  <c r="I1401"/>
  <c r="E1401"/>
  <c r="D1401"/>
  <c r="C1401"/>
  <c r="O1400"/>
  <c r="M1400"/>
  <c r="I1400"/>
  <c r="E1400"/>
  <c r="D1400"/>
  <c r="C1400"/>
  <c r="P1399"/>
  <c r="O1399"/>
  <c r="I1399"/>
  <c r="E1399"/>
  <c r="D1399"/>
  <c r="C1399"/>
  <c r="P1398"/>
  <c r="O1398"/>
  <c r="I1398"/>
  <c r="E1398"/>
  <c r="D1398"/>
  <c r="C1398"/>
  <c r="P1397"/>
  <c r="O1397"/>
  <c r="I1397"/>
  <c r="E1397"/>
  <c r="D1397"/>
  <c r="C1397"/>
  <c r="P1396"/>
  <c r="O1396"/>
  <c r="I1396"/>
  <c r="E1396"/>
  <c r="D1396"/>
  <c r="C1396"/>
  <c r="P1395"/>
  <c r="O1395"/>
  <c r="I1395"/>
  <c r="E1395"/>
  <c r="D1395"/>
  <c r="C1395"/>
  <c r="P1394"/>
  <c r="O1394"/>
  <c r="I1394"/>
  <c r="E1394"/>
  <c r="D1394"/>
  <c r="C1394"/>
  <c r="P1393"/>
  <c r="O1393"/>
  <c r="I1393"/>
  <c r="E1393"/>
  <c r="D1393"/>
  <c r="C1393"/>
  <c r="P1392"/>
  <c r="O1392"/>
  <c r="I1392"/>
  <c r="E1392"/>
  <c r="D1392"/>
  <c r="C1392"/>
  <c r="P1391"/>
  <c r="O1391"/>
  <c r="I1391"/>
  <c r="E1391"/>
  <c r="D1391"/>
  <c r="C1391"/>
  <c r="P1390"/>
  <c r="O1390"/>
  <c r="I1390"/>
  <c r="E1390"/>
  <c r="D1390"/>
  <c r="C1390"/>
  <c r="P1389"/>
  <c r="O1389"/>
  <c r="I1389"/>
  <c r="E1389"/>
  <c r="D1389"/>
  <c r="C1389"/>
  <c r="P1388"/>
  <c r="O1388"/>
  <c r="I1388"/>
  <c r="E1388"/>
  <c r="D1388"/>
  <c r="C1388"/>
  <c r="P1387"/>
  <c r="O1387"/>
  <c r="I1387"/>
  <c r="E1387"/>
  <c r="D1387"/>
  <c r="C1387"/>
  <c r="P1386"/>
  <c r="O1386"/>
  <c r="I1386"/>
  <c r="E1386"/>
  <c r="D1386"/>
  <c r="C1386"/>
  <c r="P1385"/>
  <c r="O1385"/>
  <c r="I1385"/>
  <c r="E1385"/>
  <c r="D1385"/>
  <c r="C1385"/>
  <c r="P1384"/>
  <c r="O1384"/>
  <c r="I1384"/>
  <c r="E1384"/>
  <c r="D1384"/>
  <c r="C1384"/>
  <c r="P1383"/>
  <c r="O1383"/>
  <c r="I1383"/>
  <c r="E1383"/>
  <c r="D1383"/>
  <c r="C1383"/>
  <c r="P1382"/>
  <c r="O1382"/>
  <c r="I1382"/>
  <c r="E1382"/>
  <c r="D1382"/>
  <c r="C1382"/>
  <c r="P1381"/>
  <c r="O1381"/>
  <c r="I1381"/>
  <c r="E1381"/>
  <c r="D1381"/>
  <c r="C1381"/>
  <c r="P1380"/>
  <c r="O1380"/>
  <c r="I1380"/>
  <c r="E1380"/>
  <c r="D1380"/>
  <c r="C1380"/>
  <c r="P1379"/>
  <c r="O1379"/>
  <c r="I1379"/>
  <c r="E1379"/>
  <c r="D1379"/>
  <c r="C1379"/>
  <c r="P1378"/>
  <c r="O1378"/>
  <c r="I1378"/>
  <c r="E1378"/>
  <c r="D1378"/>
  <c r="C1378"/>
  <c r="P1377"/>
  <c r="O1377"/>
  <c r="I1377"/>
  <c r="E1377"/>
  <c r="D1377"/>
  <c r="C1377"/>
  <c r="P1376"/>
  <c r="O1376"/>
  <c r="I1376"/>
  <c r="E1376"/>
  <c r="D1376"/>
  <c r="C1376"/>
  <c r="P1375"/>
  <c r="O1375"/>
  <c r="I1375"/>
  <c r="E1375"/>
  <c r="D1375"/>
  <c r="C1375"/>
  <c r="P1374"/>
  <c r="O1374"/>
  <c r="I1374"/>
  <c r="E1374"/>
  <c r="D1374"/>
  <c r="C1374"/>
  <c r="P1373"/>
  <c r="O1373"/>
  <c r="I1373"/>
  <c r="E1373"/>
  <c r="D1373"/>
  <c r="C1373"/>
  <c r="P1372"/>
  <c r="O1372"/>
  <c r="I1372"/>
  <c r="E1372"/>
  <c r="D1372"/>
  <c r="C1372"/>
  <c r="P1371"/>
  <c r="O1371"/>
  <c r="I1371"/>
  <c r="E1371"/>
  <c r="D1371"/>
  <c r="C1371"/>
  <c r="P1370"/>
  <c r="O1370"/>
  <c r="I1370"/>
  <c r="E1370"/>
  <c r="D1370"/>
  <c r="C1370"/>
  <c r="P1369"/>
  <c r="O1369"/>
  <c r="I1369"/>
  <c r="E1369"/>
  <c r="D1369"/>
  <c r="C1369"/>
  <c r="P1368"/>
  <c r="O1368"/>
  <c r="I1368"/>
  <c r="E1368"/>
  <c r="D1368"/>
  <c r="C1368"/>
  <c r="P1367"/>
  <c r="O1367"/>
  <c r="I1367"/>
  <c r="E1367"/>
  <c r="D1367"/>
  <c r="C1367"/>
  <c r="P1366"/>
  <c r="O1366"/>
  <c r="I1366"/>
  <c r="E1366"/>
  <c r="D1366"/>
  <c r="C1366"/>
  <c r="P1365"/>
  <c r="O1365"/>
  <c r="I1365"/>
  <c r="E1365"/>
  <c r="D1365"/>
  <c r="C1365"/>
  <c r="P1364"/>
  <c r="O1364"/>
  <c r="I1364"/>
  <c r="E1364"/>
  <c r="D1364"/>
  <c r="C1364"/>
  <c r="P1363"/>
  <c r="O1363"/>
  <c r="I1363"/>
  <c r="E1363"/>
  <c r="D1363"/>
  <c r="C1363"/>
  <c r="P1362"/>
  <c r="O1362"/>
  <c r="I1362"/>
  <c r="E1362"/>
  <c r="D1362"/>
  <c r="C1362"/>
  <c r="P1361"/>
  <c r="O1361"/>
  <c r="I1361"/>
  <c r="E1361"/>
  <c r="D1361"/>
  <c r="C1361"/>
  <c r="P1360"/>
  <c r="O1360"/>
  <c r="I1360"/>
  <c r="E1360"/>
  <c r="D1360"/>
  <c r="C1360"/>
  <c r="P1359"/>
  <c r="O1359"/>
  <c r="I1359"/>
  <c r="E1359"/>
  <c r="D1359"/>
  <c r="C1359"/>
  <c r="P1358"/>
  <c r="O1358"/>
  <c r="I1358"/>
  <c r="E1358"/>
  <c r="D1358"/>
  <c r="C1358"/>
  <c r="P1357"/>
  <c r="O1357"/>
  <c r="I1357"/>
  <c r="E1357"/>
  <c r="D1357"/>
  <c r="C1357"/>
  <c r="P1356"/>
  <c r="O1356"/>
  <c r="I1356"/>
  <c r="E1356"/>
  <c r="D1356"/>
  <c r="C1356"/>
  <c r="P1355"/>
  <c r="O1355"/>
  <c r="I1355"/>
  <c r="E1355"/>
  <c r="D1355"/>
  <c r="C1355"/>
  <c r="O1354"/>
  <c r="M1354"/>
  <c r="I1354"/>
  <c r="E1354"/>
  <c r="D1354"/>
  <c r="C1354"/>
  <c r="P1353"/>
  <c r="O1353"/>
  <c r="I1353"/>
  <c r="E1353"/>
  <c r="D1353"/>
  <c r="C1353"/>
  <c r="P1352"/>
  <c r="O1352"/>
  <c r="I1352"/>
  <c r="E1352"/>
  <c r="D1352"/>
  <c r="C1352"/>
  <c r="P1351"/>
  <c r="O1351"/>
  <c r="I1351"/>
  <c r="E1351"/>
  <c r="D1351"/>
  <c r="C1351"/>
  <c r="P1350"/>
  <c r="O1350"/>
  <c r="I1350"/>
  <c r="E1350"/>
  <c r="D1350"/>
  <c r="C1350"/>
  <c r="P1349"/>
  <c r="O1349"/>
  <c r="I1349"/>
  <c r="E1349"/>
  <c r="D1349"/>
  <c r="C1349"/>
  <c r="P1348"/>
  <c r="O1348"/>
  <c r="I1348"/>
  <c r="E1348"/>
  <c r="D1348"/>
  <c r="C1348"/>
  <c r="P1347"/>
  <c r="O1347"/>
  <c r="I1347"/>
  <c r="E1347"/>
  <c r="D1347"/>
  <c r="C1347"/>
  <c r="P1346"/>
  <c r="O1346"/>
  <c r="I1346"/>
  <c r="E1346"/>
  <c r="D1346"/>
  <c r="C1346"/>
  <c r="P1345"/>
  <c r="O1345"/>
  <c r="I1345"/>
  <c r="E1345"/>
  <c r="D1345"/>
  <c r="C1345"/>
  <c r="P1344"/>
  <c r="O1344"/>
  <c r="I1344"/>
  <c r="E1344"/>
  <c r="D1344"/>
  <c r="C1344"/>
  <c r="P1343"/>
  <c r="O1343"/>
  <c r="I1343"/>
  <c r="E1343"/>
  <c r="D1343"/>
  <c r="C1343"/>
  <c r="P1342"/>
  <c r="O1342"/>
  <c r="I1342"/>
  <c r="E1342"/>
  <c r="D1342"/>
  <c r="C1342"/>
  <c r="P1341"/>
  <c r="O1341"/>
  <c r="I1341"/>
  <c r="E1341"/>
  <c r="D1341"/>
  <c r="C1341"/>
  <c r="P1340"/>
  <c r="O1340"/>
  <c r="I1340"/>
  <c r="E1340"/>
  <c r="D1340"/>
  <c r="C1340"/>
  <c r="P1339"/>
  <c r="O1339"/>
  <c r="I1339"/>
  <c r="E1339"/>
  <c r="D1339"/>
  <c r="C1339"/>
  <c r="P1338"/>
  <c r="O1338"/>
  <c r="I1338"/>
  <c r="E1338"/>
  <c r="D1338"/>
  <c r="C1338"/>
  <c r="P1337"/>
  <c r="O1337"/>
  <c r="I1337"/>
  <c r="E1337"/>
  <c r="D1337"/>
  <c r="C1337"/>
  <c r="P1336"/>
  <c r="O1336"/>
  <c r="I1336"/>
  <c r="E1336"/>
  <c r="D1336"/>
  <c r="C1336"/>
  <c r="P1335"/>
  <c r="O1335"/>
  <c r="I1335"/>
  <c r="E1335"/>
  <c r="D1335"/>
  <c r="C1335"/>
  <c r="P1334"/>
  <c r="O1334"/>
  <c r="I1334"/>
  <c r="E1334"/>
  <c r="D1334"/>
  <c r="C1334"/>
  <c r="P1333"/>
  <c r="L1333"/>
  <c r="I1333" s="1"/>
  <c r="E1333"/>
  <c r="D1333"/>
  <c r="C1333"/>
  <c r="P1332"/>
  <c r="O1332"/>
  <c r="I1332"/>
  <c r="E1332"/>
  <c r="D1332"/>
  <c r="C1332"/>
  <c r="P1331"/>
  <c r="O1331"/>
  <c r="I1331"/>
  <c r="E1331"/>
  <c r="D1331"/>
  <c r="C1331"/>
  <c r="P1330"/>
  <c r="O1330"/>
  <c r="I1330"/>
  <c r="E1330"/>
  <c r="D1330"/>
  <c r="C1330"/>
  <c r="P1329"/>
  <c r="O1329"/>
  <c r="I1329"/>
  <c r="E1329"/>
  <c r="D1329"/>
  <c r="C1329"/>
  <c r="P1328"/>
  <c r="O1328"/>
  <c r="I1328"/>
  <c r="E1328"/>
  <c r="D1328"/>
  <c r="C1328"/>
  <c r="P1327"/>
  <c r="O1327"/>
  <c r="I1327"/>
  <c r="E1327"/>
  <c r="D1327"/>
  <c r="C1327"/>
  <c r="P1326"/>
  <c r="O1326"/>
  <c r="I1326"/>
  <c r="E1326"/>
  <c r="D1326"/>
  <c r="C1326"/>
  <c r="P1325"/>
  <c r="O1325"/>
  <c r="I1325"/>
  <c r="E1325"/>
  <c r="D1325"/>
  <c r="C1325"/>
  <c r="P1324"/>
  <c r="O1324"/>
  <c r="I1324"/>
  <c r="E1324"/>
  <c r="D1324"/>
  <c r="C1324"/>
  <c r="P1323"/>
  <c r="O1323"/>
  <c r="I1323"/>
  <c r="E1323"/>
  <c r="D1323"/>
  <c r="C1323"/>
  <c r="O1322"/>
  <c r="M1322"/>
  <c r="I1322"/>
  <c r="E1322"/>
  <c r="D1322"/>
  <c r="C1322"/>
  <c r="P1321"/>
  <c r="O1321"/>
  <c r="I1321"/>
  <c r="E1321"/>
  <c r="D1321"/>
  <c r="C1321"/>
  <c r="P1320"/>
  <c r="O1320"/>
  <c r="I1320"/>
  <c r="E1320"/>
  <c r="D1320"/>
  <c r="C1320"/>
  <c r="P1319"/>
  <c r="O1319"/>
  <c r="I1319"/>
  <c r="E1319"/>
  <c r="D1319"/>
  <c r="C1319"/>
  <c r="P1318"/>
  <c r="O1318"/>
  <c r="I1318"/>
  <c r="E1318"/>
  <c r="D1318"/>
  <c r="C1318"/>
  <c r="P1317"/>
  <c r="O1317"/>
  <c r="I1317"/>
  <c r="E1317"/>
  <c r="D1317"/>
  <c r="C1317"/>
  <c r="P1316"/>
  <c r="O1316"/>
  <c r="I1316"/>
  <c r="E1316"/>
  <c r="D1316"/>
  <c r="C1316"/>
  <c r="P1315"/>
  <c r="O1315"/>
  <c r="I1315"/>
  <c r="E1315"/>
  <c r="D1315"/>
  <c r="C1315"/>
  <c r="P1314"/>
  <c r="O1314"/>
  <c r="I1314"/>
  <c r="E1314"/>
  <c r="D1314"/>
  <c r="C1314"/>
  <c r="P1313"/>
  <c r="O1313"/>
  <c r="I1313"/>
  <c r="E1313"/>
  <c r="D1313"/>
  <c r="C1313"/>
  <c r="P1312"/>
  <c r="O1312"/>
  <c r="I1312"/>
  <c r="E1312"/>
  <c r="D1312"/>
  <c r="C1312"/>
  <c r="P1311"/>
  <c r="O1311"/>
  <c r="I1311"/>
  <c r="E1311"/>
  <c r="D1311"/>
  <c r="C1311"/>
  <c r="P1310"/>
  <c r="O1310"/>
  <c r="I1310"/>
  <c r="E1310"/>
  <c r="D1310"/>
  <c r="C1310"/>
  <c r="P1309"/>
  <c r="O1309"/>
  <c r="I1309"/>
  <c r="E1309"/>
  <c r="D1309"/>
  <c r="C1309"/>
  <c r="P1308"/>
  <c r="O1308"/>
  <c r="I1308"/>
  <c r="E1308"/>
  <c r="D1308"/>
  <c r="C1308"/>
  <c r="P1307"/>
  <c r="O1307"/>
  <c r="I1307"/>
  <c r="E1307"/>
  <c r="D1307"/>
  <c r="C1307"/>
  <c r="P1306"/>
  <c r="O1306"/>
  <c r="I1306"/>
  <c r="E1306"/>
  <c r="D1306"/>
  <c r="C1306"/>
  <c r="P1305"/>
  <c r="O1305"/>
  <c r="I1305"/>
  <c r="E1305"/>
  <c r="D1305"/>
  <c r="C1305"/>
  <c r="P1304"/>
  <c r="O1304"/>
  <c r="I1304"/>
  <c r="E1304"/>
  <c r="D1304"/>
  <c r="C1304"/>
  <c r="P1303"/>
  <c r="O1303"/>
  <c r="I1303"/>
  <c r="E1303"/>
  <c r="D1303"/>
  <c r="C1303"/>
  <c r="P1302"/>
  <c r="O1302"/>
  <c r="I1302"/>
  <c r="E1302"/>
  <c r="D1302"/>
  <c r="C1302"/>
  <c r="P1301"/>
  <c r="O1301"/>
  <c r="I1301"/>
  <c r="E1301"/>
  <c r="D1301"/>
  <c r="C1301"/>
  <c r="P1300"/>
  <c r="O1300"/>
  <c r="I1300"/>
  <c r="E1300"/>
  <c r="D1300"/>
  <c r="C1300"/>
  <c r="P1299"/>
  <c r="O1299"/>
  <c r="I1299"/>
  <c r="E1299"/>
  <c r="D1299"/>
  <c r="C1299"/>
  <c r="P1298"/>
  <c r="O1298"/>
  <c r="I1298"/>
  <c r="E1298"/>
  <c r="D1298"/>
  <c r="C1298"/>
  <c r="P1297"/>
  <c r="O1297"/>
  <c r="I1297"/>
  <c r="E1297"/>
  <c r="D1297"/>
  <c r="C1297"/>
  <c r="P1296"/>
  <c r="O1296"/>
  <c r="I1296"/>
  <c r="E1296"/>
  <c r="D1296"/>
  <c r="C1296"/>
  <c r="P1295"/>
  <c r="O1295"/>
  <c r="I1295"/>
  <c r="E1295"/>
  <c r="D1295"/>
  <c r="C1295"/>
  <c r="P1294"/>
  <c r="O1294"/>
  <c r="I1294"/>
  <c r="E1294"/>
  <c r="D1294"/>
  <c r="C1294"/>
  <c r="P1293"/>
  <c r="O1293"/>
  <c r="I1293"/>
  <c r="E1293"/>
  <c r="D1293"/>
  <c r="C1293"/>
  <c r="P1292"/>
  <c r="O1292"/>
  <c r="I1292"/>
  <c r="E1292"/>
  <c r="D1292"/>
  <c r="C1292"/>
  <c r="P1291"/>
  <c r="O1291"/>
  <c r="I1291"/>
  <c r="E1291"/>
  <c r="D1291"/>
  <c r="C1291"/>
  <c r="P1290"/>
  <c r="O1290"/>
  <c r="I1290"/>
  <c r="E1290"/>
  <c r="D1290"/>
  <c r="C1290"/>
  <c r="P1289"/>
  <c r="O1289"/>
  <c r="I1289"/>
  <c r="E1289"/>
  <c r="D1289"/>
  <c r="C1289"/>
  <c r="P1288"/>
  <c r="O1288"/>
  <c r="I1288"/>
  <c r="E1288"/>
  <c r="D1288"/>
  <c r="C1288"/>
  <c r="P1287"/>
  <c r="O1287"/>
  <c r="I1287"/>
  <c r="E1287"/>
  <c r="D1287"/>
  <c r="C1287"/>
  <c r="P1286"/>
  <c r="O1286"/>
  <c r="I1286"/>
  <c r="E1286"/>
  <c r="D1286"/>
  <c r="C1286"/>
  <c r="P1285"/>
  <c r="O1285"/>
  <c r="I1285"/>
  <c r="E1285"/>
  <c r="D1285"/>
  <c r="C1285"/>
  <c r="P1284"/>
  <c r="O1284"/>
  <c r="I1284"/>
  <c r="E1284"/>
  <c r="D1284"/>
  <c r="C1284"/>
  <c r="P1283"/>
  <c r="O1283"/>
  <c r="I1283"/>
  <c r="E1283"/>
  <c r="D1283"/>
  <c r="C1283"/>
  <c r="P1282"/>
  <c r="O1282"/>
  <c r="I1282"/>
  <c r="E1282"/>
  <c r="D1282"/>
  <c r="C1282"/>
  <c r="P1281"/>
  <c r="O1281"/>
  <c r="I1281"/>
  <c r="E1281"/>
  <c r="D1281"/>
  <c r="C1281"/>
  <c r="P1280"/>
  <c r="O1280"/>
  <c r="I1280"/>
  <c r="E1280"/>
  <c r="D1280"/>
  <c r="C1280"/>
  <c r="P1279"/>
  <c r="O1279"/>
  <c r="I1279"/>
  <c r="E1279"/>
  <c r="D1279"/>
  <c r="C1279"/>
  <c r="P1278"/>
  <c r="O1278"/>
  <c r="I1278"/>
  <c r="E1278"/>
  <c r="D1278"/>
  <c r="C1278"/>
  <c r="P1277"/>
  <c r="O1277"/>
  <c r="I1277"/>
  <c r="E1277"/>
  <c r="D1277"/>
  <c r="C1277"/>
  <c r="P1276"/>
  <c r="O1276"/>
  <c r="I1276"/>
  <c r="E1276"/>
  <c r="D1276"/>
  <c r="C1276"/>
  <c r="O1275"/>
  <c r="M1275"/>
  <c r="I1275"/>
  <c r="E1275"/>
  <c r="D1275"/>
  <c r="C1275"/>
  <c r="P1274"/>
  <c r="O1274"/>
  <c r="I1274"/>
  <c r="E1274"/>
  <c r="D1274"/>
  <c r="C1274"/>
  <c r="P1273"/>
  <c r="O1273"/>
  <c r="I1273"/>
  <c r="E1273"/>
  <c r="D1273"/>
  <c r="C1273"/>
  <c r="P1272"/>
  <c r="O1272"/>
  <c r="I1272"/>
  <c r="E1272"/>
  <c r="D1272"/>
  <c r="C1272"/>
  <c r="P1271"/>
  <c r="O1271"/>
  <c r="I1271"/>
  <c r="E1271"/>
  <c r="D1271"/>
  <c r="C1271"/>
  <c r="P1270"/>
  <c r="O1270"/>
  <c r="I1270"/>
  <c r="E1270"/>
  <c r="D1270"/>
  <c r="C1270"/>
  <c r="P1269"/>
  <c r="O1269"/>
  <c r="I1269"/>
  <c r="E1269"/>
  <c r="D1269"/>
  <c r="C1269"/>
  <c r="O1268"/>
  <c r="M1268"/>
  <c r="I1268"/>
  <c r="E1268"/>
  <c r="D1268"/>
  <c r="C1268"/>
  <c r="P1267"/>
  <c r="O1267"/>
  <c r="I1267"/>
  <c r="E1267"/>
  <c r="D1267"/>
  <c r="C1267"/>
  <c r="P1266"/>
  <c r="O1266"/>
  <c r="I1266"/>
  <c r="E1266"/>
  <c r="D1266"/>
  <c r="C1266"/>
  <c r="P1265"/>
  <c r="O1265"/>
  <c r="I1265"/>
  <c r="E1265"/>
  <c r="D1265"/>
  <c r="C1265"/>
  <c r="P1264"/>
  <c r="O1264"/>
  <c r="I1264"/>
  <c r="E1264"/>
  <c r="D1264"/>
  <c r="C1264"/>
  <c r="P1263"/>
  <c r="O1263"/>
  <c r="I1263"/>
  <c r="E1263"/>
  <c r="D1263"/>
  <c r="C1263"/>
  <c r="P1262"/>
  <c r="O1262"/>
  <c r="I1262"/>
  <c r="E1262"/>
  <c r="D1262"/>
  <c r="C1262"/>
  <c r="P1261"/>
  <c r="O1261"/>
  <c r="I1261"/>
  <c r="E1261"/>
  <c r="D1261"/>
  <c r="C1261"/>
  <c r="P1260"/>
  <c r="O1260"/>
  <c r="I1260"/>
  <c r="E1260"/>
  <c r="D1260"/>
  <c r="C1260"/>
  <c r="P1259"/>
  <c r="O1259"/>
  <c r="I1259"/>
  <c r="E1259"/>
  <c r="D1259"/>
  <c r="C1259"/>
  <c r="P1258"/>
  <c r="O1258"/>
  <c r="I1258"/>
  <c r="E1258"/>
  <c r="D1258"/>
  <c r="C1258"/>
  <c r="P1257"/>
  <c r="O1257"/>
  <c r="I1257"/>
  <c r="E1257"/>
  <c r="D1257"/>
  <c r="C1257"/>
  <c r="P1256"/>
  <c r="O1256"/>
  <c r="I1256"/>
  <c r="E1256"/>
  <c r="D1256"/>
  <c r="C1256"/>
  <c r="P1255"/>
  <c r="O1255"/>
  <c r="I1255"/>
  <c r="E1255"/>
  <c r="D1255"/>
  <c r="C1255"/>
  <c r="P1254"/>
  <c r="O1254"/>
  <c r="I1254"/>
  <c r="E1254"/>
  <c r="D1254"/>
  <c r="C1254"/>
  <c r="P1253"/>
  <c r="O1253"/>
  <c r="I1253"/>
  <c r="E1253"/>
  <c r="D1253"/>
  <c r="C1253"/>
  <c r="P1252"/>
  <c r="O1252"/>
  <c r="I1252"/>
  <c r="E1252"/>
  <c r="D1252"/>
  <c r="C1252"/>
  <c r="O1251"/>
  <c r="M1251"/>
  <c r="I1251"/>
  <c r="E1251"/>
  <c r="D1251"/>
  <c r="C1251"/>
  <c r="P1250"/>
  <c r="O1250"/>
  <c r="I1250"/>
  <c r="E1250"/>
  <c r="D1250"/>
  <c r="C1250"/>
  <c r="P1249"/>
  <c r="O1249"/>
  <c r="I1249"/>
  <c r="E1249"/>
  <c r="D1249"/>
  <c r="C1249"/>
  <c r="P1248"/>
  <c r="O1248"/>
  <c r="I1248"/>
  <c r="E1248"/>
  <c r="D1248"/>
  <c r="C1248"/>
  <c r="P1247"/>
  <c r="O1247"/>
  <c r="I1247"/>
  <c r="E1247"/>
  <c r="D1247"/>
  <c r="C1247"/>
  <c r="P1246"/>
  <c r="O1246"/>
  <c r="I1246"/>
  <c r="E1246"/>
  <c r="D1246"/>
  <c r="C1246"/>
  <c r="P1245"/>
  <c r="O1245"/>
  <c r="I1245"/>
  <c r="E1245"/>
  <c r="D1245"/>
  <c r="C1245"/>
  <c r="P1244"/>
  <c r="O1244"/>
  <c r="I1244"/>
  <c r="E1244"/>
  <c r="D1244"/>
  <c r="C1244"/>
  <c r="P1243"/>
  <c r="O1243"/>
  <c r="I1243"/>
  <c r="E1243"/>
  <c r="D1243"/>
  <c r="C1243"/>
  <c r="P1242"/>
  <c r="O1242"/>
  <c r="I1242"/>
  <c r="E1242"/>
  <c r="D1242"/>
  <c r="C1242"/>
  <c r="P1241"/>
  <c r="O1241"/>
  <c r="I1241"/>
  <c r="E1241"/>
  <c r="D1241"/>
  <c r="C1241"/>
  <c r="P1240"/>
  <c r="O1240"/>
  <c r="I1240"/>
  <c r="E1240"/>
  <c r="D1240"/>
  <c r="C1240"/>
  <c r="P1239"/>
  <c r="O1239"/>
  <c r="I1239"/>
  <c r="E1239"/>
  <c r="D1239"/>
  <c r="C1239"/>
  <c r="P1238"/>
  <c r="O1238"/>
  <c r="I1238"/>
  <c r="E1238"/>
  <c r="D1238"/>
  <c r="C1238"/>
  <c r="P1237"/>
  <c r="O1237"/>
  <c r="I1237"/>
  <c r="E1237"/>
  <c r="D1237"/>
  <c r="C1237"/>
  <c r="P1236"/>
  <c r="O1236"/>
  <c r="I1236"/>
  <c r="E1236"/>
  <c r="D1236"/>
  <c r="C1236"/>
  <c r="P1235"/>
  <c r="L1235"/>
  <c r="I1235" s="1"/>
  <c r="E1235"/>
  <c r="D1235"/>
  <c r="C1235"/>
  <c r="P1234"/>
  <c r="O1234"/>
  <c r="I1234"/>
  <c r="E1234"/>
  <c r="D1234"/>
  <c r="C1234"/>
  <c r="P1233"/>
  <c r="O1233"/>
  <c r="I1233"/>
  <c r="E1233"/>
  <c r="D1233"/>
  <c r="C1233"/>
  <c r="P1232"/>
  <c r="O1232"/>
  <c r="I1232"/>
  <c r="E1232"/>
  <c r="D1232"/>
  <c r="C1232"/>
  <c r="P1231"/>
  <c r="O1231"/>
  <c r="I1231"/>
  <c r="E1231"/>
  <c r="D1231"/>
  <c r="C1231"/>
  <c r="P1230"/>
  <c r="O1230"/>
  <c r="I1230"/>
  <c r="E1230"/>
  <c r="D1230"/>
  <c r="C1230"/>
  <c r="P1229"/>
  <c r="L1229"/>
  <c r="I1229" s="1"/>
  <c r="E1229"/>
  <c r="D1229"/>
  <c r="C1229"/>
  <c r="O1228"/>
  <c r="M1228"/>
  <c r="I1228"/>
  <c r="E1228"/>
  <c r="D1228"/>
  <c r="C1228"/>
  <c r="P1227"/>
  <c r="O1227"/>
  <c r="I1227"/>
  <c r="E1227"/>
  <c r="D1227"/>
  <c r="C1227"/>
  <c r="P1226"/>
  <c r="O1226"/>
  <c r="I1226"/>
  <c r="E1226"/>
  <c r="D1226"/>
  <c r="C1226"/>
  <c r="P1225"/>
  <c r="O1225"/>
  <c r="I1225"/>
  <c r="E1225"/>
  <c r="D1225"/>
  <c r="C1225"/>
  <c r="P1224"/>
  <c r="O1224"/>
  <c r="I1224"/>
  <c r="E1224"/>
  <c r="D1224"/>
  <c r="C1224"/>
  <c r="P1223"/>
  <c r="O1223"/>
  <c r="I1223"/>
  <c r="E1223"/>
  <c r="D1223"/>
  <c r="C1223"/>
  <c r="P1222"/>
  <c r="O1222"/>
  <c r="I1222"/>
  <c r="E1222"/>
  <c r="D1222"/>
  <c r="C1222"/>
  <c r="P1221"/>
  <c r="O1221"/>
  <c r="I1221"/>
  <c r="E1221"/>
  <c r="D1221"/>
  <c r="C1221"/>
  <c r="P1220"/>
  <c r="O1220"/>
  <c r="I1220"/>
  <c r="E1220"/>
  <c r="D1220"/>
  <c r="C1220"/>
  <c r="P1219"/>
  <c r="L1219"/>
  <c r="I1219" s="1"/>
  <c r="E1219"/>
  <c r="D1219"/>
  <c r="C1219"/>
  <c r="P1218"/>
  <c r="O1218"/>
  <c r="I1218"/>
  <c r="E1218"/>
  <c r="D1218"/>
  <c r="C1218"/>
  <c r="P1217"/>
  <c r="O1217"/>
  <c r="I1217"/>
  <c r="E1217"/>
  <c r="D1217"/>
  <c r="C1217"/>
  <c r="P1216"/>
  <c r="O1216"/>
  <c r="I1216"/>
  <c r="E1216"/>
  <c r="D1216"/>
  <c r="C1216"/>
  <c r="P1215"/>
  <c r="O1215"/>
  <c r="I1215"/>
  <c r="E1215"/>
  <c r="D1215"/>
  <c r="C1215"/>
  <c r="P1214"/>
  <c r="O1214"/>
  <c r="I1214"/>
  <c r="E1214"/>
  <c r="D1214"/>
  <c r="C1214"/>
  <c r="P1213"/>
  <c r="O1213"/>
  <c r="I1213"/>
  <c r="E1213"/>
  <c r="D1213"/>
  <c r="C1213"/>
  <c r="P1212"/>
  <c r="O1212"/>
  <c r="I1212"/>
  <c r="E1212"/>
  <c r="D1212"/>
  <c r="C1212"/>
  <c r="P1211"/>
  <c r="O1211"/>
  <c r="I1211"/>
  <c r="E1211"/>
  <c r="D1211"/>
  <c r="C1211"/>
  <c r="P1210"/>
  <c r="O1210"/>
  <c r="I1210"/>
  <c r="E1210"/>
  <c r="D1210"/>
  <c r="C1210"/>
  <c r="P1209"/>
  <c r="O1209"/>
  <c r="I1209"/>
  <c r="E1209"/>
  <c r="D1209"/>
  <c r="C1209"/>
  <c r="P1208"/>
  <c r="O1208"/>
  <c r="I1208"/>
  <c r="E1208"/>
  <c r="D1208"/>
  <c r="C1208"/>
  <c r="P1207"/>
  <c r="O1207"/>
  <c r="I1207"/>
  <c r="E1207"/>
  <c r="D1207"/>
  <c r="C1207"/>
  <c r="P1206"/>
  <c r="O1206"/>
  <c r="I1206"/>
  <c r="E1206"/>
  <c r="D1206"/>
  <c r="C1206"/>
  <c r="P1205"/>
  <c r="O1205"/>
  <c r="I1205"/>
  <c r="E1205"/>
  <c r="D1205"/>
  <c r="C1205"/>
  <c r="P1204"/>
  <c r="O1204"/>
  <c r="I1204"/>
  <c r="E1204"/>
  <c r="D1204"/>
  <c r="C1204"/>
  <c r="P1203"/>
  <c r="O1203"/>
  <c r="I1203"/>
  <c r="E1203"/>
  <c r="D1203"/>
  <c r="C1203"/>
  <c r="P1202"/>
  <c r="O1202"/>
  <c r="I1202"/>
  <c r="E1202"/>
  <c r="D1202"/>
  <c r="C1202"/>
  <c r="P1201"/>
  <c r="O1201"/>
  <c r="I1201"/>
  <c r="E1201"/>
  <c r="D1201"/>
  <c r="C1201"/>
  <c r="P1200"/>
  <c r="O1200"/>
  <c r="I1200"/>
  <c r="E1200"/>
  <c r="D1200"/>
  <c r="C1200"/>
  <c r="P1199"/>
  <c r="O1199"/>
  <c r="I1199"/>
  <c r="E1199"/>
  <c r="D1199"/>
  <c r="C1199"/>
  <c r="P1198"/>
  <c r="O1198"/>
  <c r="I1198"/>
  <c r="E1198"/>
  <c r="D1198"/>
  <c r="C1198"/>
  <c r="P1197"/>
  <c r="O1197"/>
  <c r="I1197"/>
  <c r="E1197"/>
  <c r="D1197"/>
  <c r="C1197"/>
  <c r="P1196"/>
  <c r="O1196"/>
  <c r="I1196"/>
  <c r="E1196"/>
  <c r="D1196"/>
  <c r="C1196"/>
  <c r="P1195"/>
  <c r="O1195"/>
  <c r="I1195"/>
  <c r="E1195"/>
  <c r="D1195"/>
  <c r="C1195"/>
  <c r="P1194"/>
  <c r="O1194"/>
  <c r="I1194"/>
  <c r="E1194"/>
  <c r="D1194"/>
  <c r="C1194"/>
  <c r="P1193"/>
  <c r="O1193"/>
  <c r="I1193"/>
  <c r="E1193"/>
  <c r="D1193"/>
  <c r="C1193"/>
  <c r="P1192"/>
  <c r="O1192"/>
  <c r="I1192"/>
  <c r="E1192"/>
  <c r="D1192"/>
  <c r="C1192"/>
  <c r="P1191"/>
  <c r="O1191"/>
  <c r="I1191"/>
  <c r="E1191"/>
  <c r="D1191"/>
  <c r="C1191"/>
  <c r="P1190"/>
  <c r="L1190"/>
  <c r="I1190" s="1"/>
  <c r="E1190"/>
  <c r="D1190"/>
  <c r="C1190"/>
  <c r="P1189"/>
  <c r="L1189"/>
  <c r="I1189" s="1"/>
  <c r="E1189"/>
  <c r="D1189"/>
  <c r="C1189"/>
  <c r="P1188"/>
  <c r="O1188"/>
  <c r="I1188"/>
  <c r="E1188"/>
  <c r="D1188"/>
  <c r="C1188"/>
  <c r="P1187"/>
  <c r="O1187"/>
  <c r="I1187"/>
  <c r="E1187"/>
  <c r="D1187"/>
  <c r="C1187"/>
  <c r="P1186"/>
  <c r="O1186"/>
  <c r="I1186"/>
  <c r="E1186"/>
  <c r="D1186"/>
  <c r="C1186"/>
  <c r="P1185"/>
  <c r="O1185"/>
  <c r="I1185"/>
  <c r="E1185"/>
  <c r="D1185"/>
  <c r="C1185"/>
  <c r="P1184"/>
  <c r="O1184"/>
  <c r="I1184"/>
  <c r="E1184"/>
  <c r="D1184"/>
  <c r="C1184"/>
  <c r="P1183"/>
  <c r="O1183"/>
  <c r="I1183"/>
  <c r="E1183"/>
  <c r="D1183"/>
  <c r="C1183"/>
  <c r="P1182"/>
  <c r="O1182"/>
  <c r="I1182"/>
  <c r="E1182"/>
  <c r="D1182"/>
  <c r="C1182"/>
  <c r="P1181"/>
  <c r="O1181"/>
  <c r="I1181"/>
  <c r="E1181"/>
  <c r="D1181"/>
  <c r="C1181"/>
  <c r="P1180"/>
  <c r="O1180"/>
  <c r="I1180"/>
  <c r="E1180"/>
  <c r="D1180"/>
  <c r="C1180"/>
  <c r="P1179"/>
  <c r="O1179"/>
  <c r="I1179"/>
  <c r="E1179"/>
  <c r="D1179"/>
  <c r="C1179"/>
  <c r="P1178"/>
  <c r="O1178"/>
  <c r="I1178"/>
  <c r="E1178"/>
  <c r="D1178"/>
  <c r="C1178"/>
  <c r="P1177"/>
  <c r="O1177"/>
  <c r="I1177"/>
  <c r="E1177"/>
  <c r="D1177"/>
  <c r="C1177"/>
  <c r="P1176"/>
  <c r="O1176"/>
  <c r="I1176"/>
  <c r="E1176"/>
  <c r="D1176"/>
  <c r="C1176"/>
  <c r="P1175"/>
  <c r="O1175"/>
  <c r="I1175"/>
  <c r="E1175"/>
  <c r="D1175"/>
  <c r="C1175"/>
  <c r="P1174"/>
  <c r="O1174"/>
  <c r="I1174"/>
  <c r="E1174"/>
  <c r="D1174"/>
  <c r="C1174"/>
  <c r="P1173"/>
  <c r="O1173"/>
  <c r="I1173"/>
  <c r="E1173"/>
  <c r="D1173"/>
  <c r="C1173"/>
  <c r="P1172"/>
  <c r="O1172"/>
  <c r="I1172"/>
  <c r="E1172"/>
  <c r="D1172"/>
  <c r="C1172"/>
  <c r="P1171"/>
  <c r="O1171"/>
  <c r="I1171"/>
  <c r="E1171"/>
  <c r="D1171"/>
  <c r="C1171"/>
  <c r="P1170"/>
  <c r="O1170"/>
  <c r="I1170"/>
  <c r="E1170"/>
  <c r="D1170"/>
  <c r="C1170"/>
  <c r="O1169"/>
  <c r="M1169"/>
  <c r="I1169"/>
  <c r="E1169"/>
  <c r="D1169"/>
  <c r="C1169"/>
  <c r="P1168"/>
  <c r="O1168"/>
  <c r="I1168"/>
  <c r="E1168"/>
  <c r="D1168"/>
  <c r="C1168"/>
  <c r="P1167"/>
  <c r="O1167"/>
  <c r="I1167"/>
  <c r="E1167"/>
  <c r="D1167"/>
  <c r="C1167"/>
  <c r="P1166"/>
  <c r="O1166"/>
  <c r="I1166"/>
  <c r="E1166"/>
  <c r="D1166"/>
  <c r="C1166"/>
  <c r="P1165"/>
  <c r="O1165"/>
  <c r="I1165"/>
  <c r="E1165"/>
  <c r="D1165"/>
  <c r="C1165"/>
  <c r="P1164"/>
  <c r="O1164"/>
  <c r="I1164"/>
  <c r="E1164"/>
  <c r="D1164"/>
  <c r="C1164"/>
  <c r="P1163"/>
  <c r="O1163"/>
  <c r="I1163"/>
  <c r="E1163"/>
  <c r="D1163"/>
  <c r="C1163"/>
  <c r="P1162"/>
  <c r="O1162"/>
  <c r="I1162"/>
  <c r="E1162"/>
  <c r="D1162"/>
  <c r="C1162"/>
  <c r="P1161"/>
  <c r="O1161"/>
  <c r="I1161"/>
  <c r="E1161"/>
  <c r="D1161"/>
  <c r="C1161"/>
  <c r="P1160"/>
  <c r="O1160"/>
  <c r="I1160"/>
  <c r="E1160"/>
  <c r="D1160"/>
  <c r="C1160"/>
  <c r="P1159"/>
  <c r="O1159"/>
  <c r="I1159"/>
  <c r="E1159"/>
  <c r="D1159"/>
  <c r="C1159"/>
  <c r="P1158"/>
  <c r="O1158"/>
  <c r="I1158"/>
  <c r="E1158"/>
  <c r="D1158"/>
  <c r="C1158"/>
  <c r="O1157"/>
  <c r="M1157"/>
  <c r="I1157"/>
  <c r="E1157"/>
  <c r="D1157"/>
  <c r="C1157"/>
  <c r="P1156"/>
  <c r="O1156"/>
  <c r="I1156"/>
  <c r="E1156"/>
  <c r="D1156"/>
  <c r="C1156"/>
  <c r="P1155"/>
  <c r="O1155"/>
  <c r="I1155"/>
  <c r="E1155"/>
  <c r="D1155"/>
  <c r="C1155"/>
  <c r="P1154"/>
  <c r="O1154"/>
  <c r="I1154"/>
  <c r="E1154"/>
  <c r="D1154"/>
  <c r="C1154"/>
  <c r="P1153"/>
  <c r="O1153"/>
  <c r="I1153"/>
  <c r="E1153"/>
  <c r="D1153"/>
  <c r="C1153"/>
  <c r="P1152"/>
  <c r="O1152"/>
  <c r="I1152"/>
  <c r="E1152"/>
  <c r="D1152"/>
  <c r="C1152"/>
  <c r="P1151"/>
  <c r="O1151"/>
  <c r="I1151"/>
  <c r="E1151"/>
  <c r="D1151"/>
  <c r="C1151"/>
  <c r="O1150"/>
  <c r="M1150"/>
  <c r="I1150"/>
  <c r="E1150"/>
  <c r="D1150"/>
  <c r="C1150"/>
  <c r="P1149"/>
  <c r="O1149"/>
  <c r="I1149"/>
  <c r="E1149"/>
  <c r="D1149"/>
  <c r="C1149"/>
  <c r="P1148"/>
  <c r="O1148"/>
  <c r="I1148"/>
  <c r="E1148"/>
  <c r="D1148"/>
  <c r="C1148"/>
  <c r="O1147"/>
  <c r="M1147"/>
  <c r="I1147"/>
  <c r="E1147"/>
  <c r="D1147"/>
  <c r="C1147"/>
  <c r="P1146"/>
  <c r="O1146"/>
  <c r="I1146"/>
  <c r="E1146"/>
  <c r="D1146"/>
  <c r="C1146"/>
  <c r="P1145"/>
  <c r="O1145"/>
  <c r="I1145"/>
  <c r="E1145"/>
  <c r="D1145"/>
  <c r="C1145"/>
  <c r="P1144"/>
  <c r="O1144"/>
  <c r="I1144"/>
  <c r="E1144"/>
  <c r="D1144"/>
  <c r="C1144"/>
  <c r="P1143"/>
  <c r="O1143"/>
  <c r="I1143"/>
  <c r="E1143"/>
  <c r="D1143"/>
  <c r="C1143"/>
  <c r="P1142"/>
  <c r="O1142"/>
  <c r="I1142"/>
  <c r="E1142"/>
  <c r="D1142"/>
  <c r="C1142"/>
  <c r="P1141"/>
  <c r="O1141"/>
  <c r="I1141"/>
  <c r="E1141"/>
  <c r="D1141"/>
  <c r="C1141"/>
  <c r="P1140"/>
  <c r="O1140"/>
  <c r="I1140"/>
  <c r="E1140"/>
  <c r="D1140"/>
  <c r="C1140"/>
  <c r="P1139"/>
  <c r="O1139"/>
  <c r="I1139"/>
  <c r="E1139"/>
  <c r="D1139"/>
  <c r="C1139"/>
  <c r="P1138"/>
  <c r="O1138"/>
  <c r="I1138"/>
  <c r="E1138"/>
  <c r="D1138"/>
  <c r="C1138"/>
  <c r="P1137"/>
  <c r="O1137"/>
  <c r="I1137"/>
  <c r="E1137"/>
  <c r="D1137"/>
  <c r="C1137"/>
  <c r="P1136"/>
  <c r="O1136"/>
  <c r="I1136"/>
  <c r="E1136"/>
  <c r="D1136"/>
  <c r="C1136"/>
  <c r="P1135"/>
  <c r="O1135"/>
  <c r="I1135"/>
  <c r="E1135"/>
  <c r="D1135"/>
  <c r="C1135"/>
  <c r="P1134"/>
  <c r="O1134"/>
  <c r="I1134"/>
  <c r="E1134"/>
  <c r="D1134"/>
  <c r="C1134"/>
  <c r="P1133"/>
  <c r="O1133"/>
  <c r="I1133"/>
  <c r="E1133"/>
  <c r="D1133"/>
  <c r="C1133"/>
  <c r="P1132"/>
  <c r="O1132"/>
  <c r="I1132"/>
  <c r="E1132"/>
  <c r="D1132"/>
  <c r="C1132"/>
  <c r="P1131"/>
  <c r="O1131"/>
  <c r="I1131"/>
  <c r="E1131"/>
  <c r="D1131"/>
  <c r="C1131"/>
  <c r="P1130"/>
  <c r="O1130"/>
  <c r="I1130"/>
  <c r="E1130"/>
  <c r="D1130"/>
  <c r="C1130"/>
  <c r="P1129"/>
  <c r="O1129"/>
  <c r="I1129"/>
  <c r="E1129"/>
  <c r="D1129"/>
  <c r="C1129"/>
  <c r="P1128"/>
  <c r="O1128"/>
  <c r="I1128"/>
  <c r="E1128"/>
  <c r="D1128"/>
  <c r="C1128"/>
  <c r="P1127"/>
  <c r="O1127"/>
  <c r="I1127"/>
  <c r="E1127"/>
  <c r="D1127"/>
  <c r="C1127"/>
  <c r="P1126"/>
  <c r="O1126"/>
  <c r="I1126"/>
  <c r="E1126"/>
  <c r="D1126"/>
  <c r="C1126"/>
  <c r="P1125"/>
  <c r="O1125"/>
  <c r="I1125"/>
  <c r="E1125"/>
  <c r="D1125"/>
  <c r="C1125"/>
  <c r="O1124"/>
  <c r="M1124"/>
  <c r="I1124"/>
  <c r="E1124"/>
  <c r="D1124"/>
  <c r="C1124"/>
  <c r="P1123"/>
  <c r="O1123"/>
  <c r="I1123"/>
  <c r="E1123"/>
  <c r="D1123"/>
  <c r="C1123"/>
  <c r="P1122"/>
  <c r="O1122"/>
  <c r="I1122"/>
  <c r="E1122"/>
  <c r="D1122"/>
  <c r="C1122"/>
  <c r="P1121"/>
  <c r="O1121"/>
  <c r="I1121"/>
  <c r="E1121"/>
  <c r="D1121"/>
  <c r="C1121"/>
  <c r="P1120"/>
  <c r="O1120"/>
  <c r="I1120"/>
  <c r="E1120"/>
  <c r="D1120"/>
  <c r="C1120"/>
  <c r="P1119"/>
  <c r="O1119"/>
  <c r="I1119"/>
  <c r="E1119"/>
  <c r="D1119"/>
  <c r="C1119"/>
  <c r="P1118"/>
  <c r="O1118"/>
  <c r="I1118"/>
  <c r="E1118"/>
  <c r="D1118"/>
  <c r="C1118"/>
  <c r="P1117"/>
  <c r="O1117"/>
  <c r="I1117"/>
  <c r="E1117"/>
  <c r="D1117"/>
  <c r="C1117"/>
  <c r="P1116"/>
  <c r="O1116"/>
  <c r="I1116"/>
  <c r="E1116"/>
  <c r="D1116"/>
  <c r="C1116"/>
  <c r="P1115"/>
  <c r="O1115"/>
  <c r="I1115"/>
  <c r="E1115"/>
  <c r="D1115"/>
  <c r="C1115"/>
  <c r="O1114"/>
  <c r="M1114"/>
  <c r="I1114"/>
  <c r="E1114"/>
  <c r="D1114"/>
  <c r="C1114"/>
  <c r="P1113"/>
  <c r="O1113"/>
  <c r="I1113"/>
  <c r="E1113"/>
  <c r="D1113"/>
  <c r="C1113"/>
  <c r="P1112"/>
  <c r="O1112"/>
  <c r="I1112"/>
  <c r="E1112"/>
  <c r="D1112"/>
  <c r="C1112"/>
  <c r="P1111"/>
  <c r="O1111"/>
  <c r="I1111"/>
  <c r="E1111"/>
  <c r="D1111"/>
  <c r="C1111"/>
  <c r="P1110"/>
  <c r="O1110"/>
  <c r="I1110"/>
  <c r="E1110"/>
  <c r="D1110"/>
  <c r="C1110"/>
  <c r="P1109"/>
  <c r="O1109"/>
  <c r="I1109"/>
  <c r="E1109"/>
  <c r="D1109"/>
  <c r="C1109"/>
  <c r="P1108"/>
  <c r="O1108"/>
  <c r="I1108"/>
  <c r="E1108"/>
  <c r="D1108"/>
  <c r="C1108"/>
  <c r="P1107"/>
  <c r="O1107"/>
  <c r="I1107"/>
  <c r="E1107"/>
  <c r="D1107"/>
  <c r="C1107"/>
  <c r="P1106"/>
  <c r="O1106"/>
  <c r="I1106"/>
  <c r="E1106"/>
  <c r="D1106"/>
  <c r="C1106"/>
  <c r="P1105"/>
  <c r="O1105"/>
  <c r="I1105"/>
  <c r="E1105"/>
  <c r="D1105"/>
  <c r="C1105"/>
  <c r="P1104"/>
  <c r="O1104"/>
  <c r="I1104"/>
  <c r="E1104"/>
  <c r="D1104"/>
  <c r="C1104"/>
  <c r="P1103"/>
  <c r="O1103"/>
  <c r="I1103"/>
  <c r="E1103"/>
  <c r="D1103"/>
  <c r="C1103"/>
  <c r="P1102"/>
  <c r="O1102"/>
  <c r="I1102"/>
  <c r="E1102"/>
  <c r="D1102"/>
  <c r="C1102"/>
  <c r="P1101"/>
  <c r="O1101"/>
  <c r="I1101"/>
  <c r="E1101"/>
  <c r="D1101"/>
  <c r="C1101"/>
  <c r="P1100"/>
  <c r="O1100"/>
  <c r="I1100"/>
  <c r="E1100"/>
  <c r="D1100"/>
  <c r="C1100"/>
  <c r="P1099"/>
  <c r="O1099"/>
  <c r="I1099"/>
  <c r="E1099"/>
  <c r="D1099"/>
  <c r="C1099"/>
  <c r="P1098"/>
  <c r="O1098"/>
  <c r="I1098"/>
  <c r="E1098"/>
  <c r="D1098"/>
  <c r="C1098"/>
  <c r="P1097"/>
  <c r="O1097"/>
  <c r="I1097"/>
  <c r="E1097"/>
  <c r="D1097"/>
  <c r="C1097"/>
  <c r="P1096"/>
  <c r="O1096"/>
  <c r="I1096"/>
  <c r="E1096"/>
  <c r="D1096"/>
  <c r="C1096"/>
  <c r="P1095"/>
  <c r="O1095"/>
  <c r="I1095"/>
  <c r="E1095"/>
  <c r="D1095"/>
  <c r="C1095"/>
  <c r="P1094"/>
  <c r="O1094"/>
  <c r="I1094"/>
  <c r="E1094"/>
  <c r="D1094"/>
  <c r="C1094"/>
  <c r="P1093"/>
  <c r="O1093"/>
  <c r="I1093"/>
  <c r="E1093"/>
  <c r="D1093"/>
  <c r="C1093"/>
  <c r="P1092"/>
  <c r="O1092"/>
  <c r="I1092"/>
  <c r="E1092"/>
  <c r="D1092"/>
  <c r="C1092"/>
  <c r="P1091"/>
  <c r="O1091"/>
  <c r="I1091"/>
  <c r="E1091"/>
  <c r="D1091"/>
  <c r="C1091"/>
  <c r="P1090"/>
  <c r="O1090"/>
  <c r="I1090"/>
  <c r="E1090"/>
  <c r="D1090"/>
  <c r="C1090"/>
  <c r="P1089"/>
  <c r="L1089"/>
  <c r="I1089" s="1"/>
  <c r="E1089"/>
  <c r="D1089"/>
  <c r="C1089"/>
  <c r="P1088"/>
  <c r="O1088"/>
  <c r="I1088"/>
  <c r="E1088"/>
  <c r="D1088"/>
  <c r="C1088"/>
  <c r="P1087"/>
  <c r="O1087"/>
  <c r="I1087"/>
  <c r="E1087"/>
  <c r="D1087"/>
  <c r="C1087"/>
  <c r="P1086"/>
  <c r="O1086"/>
  <c r="I1086"/>
  <c r="E1086"/>
  <c r="D1086"/>
  <c r="C1086"/>
  <c r="P1085"/>
  <c r="O1085"/>
  <c r="I1085"/>
  <c r="E1085"/>
  <c r="D1085"/>
  <c r="C1085"/>
  <c r="P1084"/>
  <c r="O1084"/>
  <c r="I1084"/>
  <c r="E1084"/>
  <c r="D1084"/>
  <c r="C1084"/>
  <c r="P1083"/>
  <c r="O1083"/>
  <c r="I1083"/>
  <c r="E1083"/>
  <c r="D1083"/>
  <c r="C1083"/>
  <c r="O1082"/>
  <c r="M1082"/>
  <c r="I1082"/>
  <c r="E1082"/>
  <c r="D1082"/>
  <c r="C1082"/>
  <c r="P1081"/>
  <c r="O1081"/>
  <c r="I1081"/>
  <c r="E1081"/>
  <c r="D1081"/>
  <c r="C1081"/>
  <c r="P1080"/>
  <c r="O1080"/>
  <c r="I1080"/>
  <c r="E1080"/>
  <c r="D1080"/>
  <c r="C1080"/>
  <c r="P1079"/>
  <c r="O1079"/>
  <c r="I1079"/>
  <c r="E1079"/>
  <c r="D1079"/>
  <c r="C1079"/>
  <c r="P1078"/>
  <c r="O1078"/>
  <c r="Q1078" s="1"/>
  <c r="I1078"/>
  <c r="E1078"/>
  <c r="D1078"/>
  <c r="C1078"/>
  <c r="P1077"/>
  <c r="O1077"/>
  <c r="I1077"/>
  <c r="E1077"/>
  <c r="D1077"/>
  <c r="C1077"/>
  <c r="P1076"/>
  <c r="O1076"/>
  <c r="I1076"/>
  <c r="E1076"/>
  <c r="D1076"/>
  <c r="C1076"/>
  <c r="P1075"/>
  <c r="O1075"/>
  <c r="I1075"/>
  <c r="E1075"/>
  <c r="D1075"/>
  <c r="C1075"/>
  <c r="P1074"/>
  <c r="O1074"/>
  <c r="I1074"/>
  <c r="E1074"/>
  <c r="D1074"/>
  <c r="C1074"/>
  <c r="P1073"/>
  <c r="O1073"/>
  <c r="I1073"/>
  <c r="E1073"/>
  <c r="D1073"/>
  <c r="C1073"/>
  <c r="P1072"/>
  <c r="O1072"/>
  <c r="I1072"/>
  <c r="E1072"/>
  <c r="D1072"/>
  <c r="C1072"/>
  <c r="P1071"/>
  <c r="O1071"/>
  <c r="I1071"/>
  <c r="E1071"/>
  <c r="D1071"/>
  <c r="C1071"/>
  <c r="P1070"/>
  <c r="O1070"/>
  <c r="I1070"/>
  <c r="E1070"/>
  <c r="D1070"/>
  <c r="C1070"/>
  <c r="O1069"/>
  <c r="M1069"/>
  <c r="I1069"/>
  <c r="E1069"/>
  <c r="D1069"/>
  <c r="C1069"/>
  <c r="P1068"/>
  <c r="O1068"/>
  <c r="I1068"/>
  <c r="E1068"/>
  <c r="D1068"/>
  <c r="C1068"/>
  <c r="P1067"/>
  <c r="L1067"/>
  <c r="I1067" s="1"/>
  <c r="E1067"/>
  <c r="D1067"/>
  <c r="C1067"/>
  <c r="P1066"/>
  <c r="O1066"/>
  <c r="I1066"/>
  <c r="E1066"/>
  <c r="D1066"/>
  <c r="C1066"/>
  <c r="P1065"/>
  <c r="O1065"/>
  <c r="I1065"/>
  <c r="E1065"/>
  <c r="D1065"/>
  <c r="C1065"/>
  <c r="P1064"/>
  <c r="O1064"/>
  <c r="I1064"/>
  <c r="E1064"/>
  <c r="D1064"/>
  <c r="C1064"/>
  <c r="P1063"/>
  <c r="O1063"/>
  <c r="I1063"/>
  <c r="E1063"/>
  <c r="D1063"/>
  <c r="C1063"/>
  <c r="O1062"/>
  <c r="M1062"/>
  <c r="I1062"/>
  <c r="E1062"/>
  <c r="D1062"/>
  <c r="C1062"/>
  <c r="P1061"/>
  <c r="O1061"/>
  <c r="I1061"/>
  <c r="E1061"/>
  <c r="D1061"/>
  <c r="C1061"/>
  <c r="O1060"/>
  <c r="M1060"/>
  <c r="I1060"/>
  <c r="E1060"/>
  <c r="D1060"/>
  <c r="C1060"/>
  <c r="O1059"/>
  <c r="M1059"/>
  <c r="I1059"/>
  <c r="E1059"/>
  <c r="D1059"/>
  <c r="C1059"/>
  <c r="P1058"/>
  <c r="O1058"/>
  <c r="I1058"/>
  <c r="E1058"/>
  <c r="D1058"/>
  <c r="C1058"/>
  <c r="P1057"/>
  <c r="O1057"/>
  <c r="I1057"/>
  <c r="E1057"/>
  <c r="D1057"/>
  <c r="C1057"/>
  <c r="P1056"/>
  <c r="O1056"/>
  <c r="I1056"/>
  <c r="E1056"/>
  <c r="D1056"/>
  <c r="C1056"/>
  <c r="P1055"/>
  <c r="O1055"/>
  <c r="I1055"/>
  <c r="E1055"/>
  <c r="D1055"/>
  <c r="C1055"/>
  <c r="P1054"/>
  <c r="O1054"/>
  <c r="I1054"/>
  <c r="E1054"/>
  <c r="D1054"/>
  <c r="C1054"/>
  <c r="P1053"/>
  <c r="O1053"/>
  <c r="I1053"/>
  <c r="E1053"/>
  <c r="D1053"/>
  <c r="C1053"/>
  <c r="P1052"/>
  <c r="O1052"/>
  <c r="I1052"/>
  <c r="E1052"/>
  <c r="D1052"/>
  <c r="C1052"/>
  <c r="P1051"/>
  <c r="O1051"/>
  <c r="I1051"/>
  <c r="E1051"/>
  <c r="D1051"/>
  <c r="C1051"/>
  <c r="P1050"/>
  <c r="O1050"/>
  <c r="I1050"/>
  <c r="E1050"/>
  <c r="D1050"/>
  <c r="C1050"/>
  <c r="P1049"/>
  <c r="O1049"/>
  <c r="I1049"/>
  <c r="E1049"/>
  <c r="D1049"/>
  <c r="C1049"/>
  <c r="P1048"/>
  <c r="O1048"/>
  <c r="I1048"/>
  <c r="E1048"/>
  <c r="D1048"/>
  <c r="C1048"/>
  <c r="P1047"/>
  <c r="O1047"/>
  <c r="I1047"/>
  <c r="E1047"/>
  <c r="D1047"/>
  <c r="C1047"/>
  <c r="P1046"/>
  <c r="O1046"/>
  <c r="I1046"/>
  <c r="E1046"/>
  <c r="D1046"/>
  <c r="C1046"/>
  <c r="P1045"/>
  <c r="O1045"/>
  <c r="I1045"/>
  <c r="E1045"/>
  <c r="D1045"/>
  <c r="C1045"/>
  <c r="P1044"/>
  <c r="O1044"/>
  <c r="I1044"/>
  <c r="E1044"/>
  <c r="D1044"/>
  <c r="C1044"/>
  <c r="P1043"/>
  <c r="O1043"/>
  <c r="I1043"/>
  <c r="E1043"/>
  <c r="D1043"/>
  <c r="C1043"/>
  <c r="P1042"/>
  <c r="O1042"/>
  <c r="I1042"/>
  <c r="E1042"/>
  <c r="D1042"/>
  <c r="C1042"/>
  <c r="P1041"/>
  <c r="O1041"/>
  <c r="I1041"/>
  <c r="E1041"/>
  <c r="D1041"/>
  <c r="C1041"/>
  <c r="P1040"/>
  <c r="O1040"/>
  <c r="I1040"/>
  <c r="E1040"/>
  <c r="D1040"/>
  <c r="C1040"/>
  <c r="P1039"/>
  <c r="O1039"/>
  <c r="I1039"/>
  <c r="E1039"/>
  <c r="D1039"/>
  <c r="C1039"/>
  <c r="P1038"/>
  <c r="O1038"/>
  <c r="I1038"/>
  <c r="E1038"/>
  <c r="D1038"/>
  <c r="C1038"/>
  <c r="P1037"/>
  <c r="O1037"/>
  <c r="I1037"/>
  <c r="E1037"/>
  <c r="D1037"/>
  <c r="C1037"/>
  <c r="P1036"/>
  <c r="O1036"/>
  <c r="I1036"/>
  <c r="E1036"/>
  <c r="D1036"/>
  <c r="C1036"/>
  <c r="P1035"/>
  <c r="O1035"/>
  <c r="I1035"/>
  <c r="E1035"/>
  <c r="D1035"/>
  <c r="C1035"/>
  <c r="P1034"/>
  <c r="O1034"/>
  <c r="I1034"/>
  <c r="E1034"/>
  <c r="D1034"/>
  <c r="C1034"/>
  <c r="P1033"/>
  <c r="O1033"/>
  <c r="I1033"/>
  <c r="E1033"/>
  <c r="D1033"/>
  <c r="C1033"/>
  <c r="P1032"/>
  <c r="O1032"/>
  <c r="I1032"/>
  <c r="E1032"/>
  <c r="D1032"/>
  <c r="C1032"/>
  <c r="P1031"/>
  <c r="O1031"/>
  <c r="I1031"/>
  <c r="E1031"/>
  <c r="D1031"/>
  <c r="C1031"/>
  <c r="P1030"/>
  <c r="O1030"/>
  <c r="I1030"/>
  <c r="E1030"/>
  <c r="D1030"/>
  <c r="C1030"/>
  <c r="P1029"/>
  <c r="O1029"/>
  <c r="I1029"/>
  <c r="E1029"/>
  <c r="D1029"/>
  <c r="C1029"/>
  <c r="P1028"/>
  <c r="O1028"/>
  <c r="I1028"/>
  <c r="E1028"/>
  <c r="D1028"/>
  <c r="C1028"/>
  <c r="P1027"/>
  <c r="O1027"/>
  <c r="I1027"/>
  <c r="E1027"/>
  <c r="D1027"/>
  <c r="C1027"/>
  <c r="P1026"/>
  <c r="O1026"/>
  <c r="I1026"/>
  <c r="E1026"/>
  <c r="D1026"/>
  <c r="C1026"/>
  <c r="P1025"/>
  <c r="O1025"/>
  <c r="I1025"/>
  <c r="E1025"/>
  <c r="D1025"/>
  <c r="C1025"/>
  <c r="P1024"/>
  <c r="O1024"/>
  <c r="I1024"/>
  <c r="E1024"/>
  <c r="D1024"/>
  <c r="C1024"/>
  <c r="P1023"/>
  <c r="O1023"/>
  <c r="I1023"/>
  <c r="E1023"/>
  <c r="D1023"/>
  <c r="C1023"/>
  <c r="P1022"/>
  <c r="O1022"/>
  <c r="I1022"/>
  <c r="E1022"/>
  <c r="D1022"/>
  <c r="C1022"/>
  <c r="P1021"/>
  <c r="O1021"/>
  <c r="I1021"/>
  <c r="E1021"/>
  <c r="D1021"/>
  <c r="C1021"/>
  <c r="P1020"/>
  <c r="O1020"/>
  <c r="I1020"/>
  <c r="E1020"/>
  <c r="D1020"/>
  <c r="C1020"/>
  <c r="P1019"/>
  <c r="O1019"/>
  <c r="I1019"/>
  <c r="E1019"/>
  <c r="D1019"/>
  <c r="C1019"/>
  <c r="P1018"/>
  <c r="O1018"/>
  <c r="I1018"/>
  <c r="E1018"/>
  <c r="D1018"/>
  <c r="C1018"/>
  <c r="P1017"/>
  <c r="O1017"/>
  <c r="I1017"/>
  <c r="E1017"/>
  <c r="D1017"/>
  <c r="C1017"/>
  <c r="P1016"/>
  <c r="O1016"/>
  <c r="I1016"/>
  <c r="E1016"/>
  <c r="D1016"/>
  <c r="C1016"/>
  <c r="P1015"/>
  <c r="O1015"/>
  <c r="I1015"/>
  <c r="E1015"/>
  <c r="D1015"/>
  <c r="C1015"/>
  <c r="P1014"/>
  <c r="O1014"/>
  <c r="I1014"/>
  <c r="E1014"/>
  <c r="D1014"/>
  <c r="C1014"/>
  <c r="P1013"/>
  <c r="O1013"/>
  <c r="I1013"/>
  <c r="E1013"/>
  <c r="D1013"/>
  <c r="C1013"/>
  <c r="O1012"/>
  <c r="M1012"/>
  <c r="I1012"/>
  <c r="E1012"/>
  <c r="D1012"/>
  <c r="C1012"/>
  <c r="O1011"/>
  <c r="M1011"/>
  <c r="I1011"/>
  <c r="E1011"/>
  <c r="D1011"/>
  <c r="C1011"/>
  <c r="P1010"/>
  <c r="O1010"/>
  <c r="I1010"/>
  <c r="E1010"/>
  <c r="D1010"/>
  <c r="C1010"/>
  <c r="P1009"/>
  <c r="O1009"/>
  <c r="I1009"/>
  <c r="E1009"/>
  <c r="D1009"/>
  <c r="C1009"/>
  <c r="P1008"/>
  <c r="O1008"/>
  <c r="I1008"/>
  <c r="E1008"/>
  <c r="D1008"/>
  <c r="C1008"/>
  <c r="P1007"/>
  <c r="O1007"/>
  <c r="I1007"/>
  <c r="E1007"/>
  <c r="D1007"/>
  <c r="C1007"/>
  <c r="P1006"/>
  <c r="O1006"/>
  <c r="I1006"/>
  <c r="E1006"/>
  <c r="D1006"/>
  <c r="C1006"/>
  <c r="P1005"/>
  <c r="O1005"/>
  <c r="I1005"/>
  <c r="E1005"/>
  <c r="D1005"/>
  <c r="C1005"/>
  <c r="P1004"/>
  <c r="O1004"/>
  <c r="I1004"/>
  <c r="E1004"/>
  <c r="D1004"/>
  <c r="C1004"/>
  <c r="P1003"/>
  <c r="O1003"/>
  <c r="I1003"/>
  <c r="E1003"/>
  <c r="D1003"/>
  <c r="C1003"/>
  <c r="P1002"/>
  <c r="O1002"/>
  <c r="I1002"/>
  <c r="E1002"/>
  <c r="D1002"/>
  <c r="C1002"/>
  <c r="P1001"/>
  <c r="O1001"/>
  <c r="I1001"/>
  <c r="E1001"/>
  <c r="D1001"/>
  <c r="C1001"/>
  <c r="P1000"/>
  <c r="O1000"/>
  <c r="I1000"/>
  <c r="E1000"/>
  <c r="D1000"/>
  <c r="C1000"/>
  <c r="P999"/>
  <c r="O999"/>
  <c r="I999"/>
  <c r="E999"/>
  <c r="D999"/>
  <c r="C999"/>
  <c r="P998"/>
  <c r="O998"/>
  <c r="I998"/>
  <c r="E998"/>
  <c r="D998"/>
  <c r="C998"/>
  <c r="P997"/>
  <c r="O997"/>
  <c r="I997"/>
  <c r="E997"/>
  <c r="D997"/>
  <c r="C997"/>
  <c r="P996"/>
  <c r="O996"/>
  <c r="I996"/>
  <c r="E996"/>
  <c r="D996"/>
  <c r="C996"/>
  <c r="P995"/>
  <c r="O995"/>
  <c r="I995"/>
  <c r="E995"/>
  <c r="D995"/>
  <c r="C995"/>
  <c r="P994"/>
  <c r="O994"/>
  <c r="I994"/>
  <c r="E994"/>
  <c r="D994"/>
  <c r="C994"/>
  <c r="P993"/>
  <c r="O993"/>
  <c r="I993"/>
  <c r="E993"/>
  <c r="D993"/>
  <c r="C993"/>
  <c r="P992"/>
  <c r="O992"/>
  <c r="I992"/>
  <c r="E992"/>
  <c r="D992"/>
  <c r="C992"/>
  <c r="P991"/>
  <c r="O991"/>
  <c r="I991"/>
  <c r="E991"/>
  <c r="D991"/>
  <c r="C991"/>
  <c r="P990"/>
  <c r="O990"/>
  <c r="I990"/>
  <c r="E990"/>
  <c r="D990"/>
  <c r="C990"/>
  <c r="P989"/>
  <c r="O989"/>
  <c r="I989"/>
  <c r="E989"/>
  <c r="D989"/>
  <c r="C989"/>
  <c r="P988"/>
  <c r="O988"/>
  <c r="I988"/>
  <c r="E988"/>
  <c r="D988"/>
  <c r="C988"/>
  <c r="P987"/>
  <c r="O987"/>
  <c r="I987"/>
  <c r="E987"/>
  <c r="D987"/>
  <c r="C987"/>
  <c r="P986"/>
  <c r="O986"/>
  <c r="I986"/>
  <c r="E986"/>
  <c r="D986"/>
  <c r="C986"/>
  <c r="P985"/>
  <c r="Q985" s="1"/>
  <c r="O985"/>
  <c r="I985"/>
  <c r="E985"/>
  <c r="D985"/>
  <c r="C985"/>
  <c r="P984"/>
  <c r="O984"/>
  <c r="I984"/>
  <c r="E984"/>
  <c r="D984"/>
  <c r="C984"/>
  <c r="P983"/>
  <c r="O983"/>
  <c r="I983"/>
  <c r="E983"/>
  <c r="D983"/>
  <c r="C983"/>
  <c r="P982"/>
  <c r="O982"/>
  <c r="I982"/>
  <c r="E982"/>
  <c r="D982"/>
  <c r="C982"/>
  <c r="P981"/>
  <c r="O981"/>
  <c r="I981"/>
  <c r="E981"/>
  <c r="D981"/>
  <c r="C981"/>
  <c r="P980"/>
  <c r="O980"/>
  <c r="I980"/>
  <c r="E980"/>
  <c r="D980"/>
  <c r="C980"/>
  <c r="P979"/>
  <c r="O979"/>
  <c r="I979"/>
  <c r="E979"/>
  <c r="D979"/>
  <c r="C979"/>
  <c r="P978"/>
  <c r="O978"/>
  <c r="I978"/>
  <c r="E978"/>
  <c r="D978"/>
  <c r="C978"/>
  <c r="P977"/>
  <c r="O977"/>
  <c r="I977"/>
  <c r="E977"/>
  <c r="D977"/>
  <c r="C977"/>
  <c r="P976"/>
  <c r="O976"/>
  <c r="I976"/>
  <c r="E976"/>
  <c r="D976"/>
  <c r="C976"/>
  <c r="P975"/>
  <c r="O975"/>
  <c r="I975"/>
  <c r="E975"/>
  <c r="D975"/>
  <c r="C975"/>
  <c r="P974"/>
  <c r="O974"/>
  <c r="I974"/>
  <c r="E974"/>
  <c r="D974"/>
  <c r="C974"/>
  <c r="P973"/>
  <c r="O973"/>
  <c r="I973"/>
  <c r="E973"/>
  <c r="D973"/>
  <c r="C973"/>
  <c r="P972"/>
  <c r="O972"/>
  <c r="I972"/>
  <c r="E972"/>
  <c r="D972"/>
  <c r="C972"/>
  <c r="P971"/>
  <c r="O971"/>
  <c r="I971"/>
  <c r="E971"/>
  <c r="D971"/>
  <c r="C971"/>
  <c r="O970"/>
  <c r="M970"/>
  <c r="I970"/>
  <c r="E970"/>
  <c r="D970"/>
  <c r="C970"/>
  <c r="P969"/>
  <c r="O969"/>
  <c r="I969"/>
  <c r="E969"/>
  <c r="D969"/>
  <c r="C969"/>
  <c r="P968"/>
  <c r="O968"/>
  <c r="I968"/>
  <c r="E968"/>
  <c r="D968"/>
  <c r="C968"/>
  <c r="P967"/>
  <c r="O967"/>
  <c r="I967"/>
  <c r="E967"/>
  <c r="D967"/>
  <c r="C967"/>
  <c r="P966"/>
  <c r="O966"/>
  <c r="I966"/>
  <c r="E966"/>
  <c r="D966"/>
  <c r="C966"/>
  <c r="P965"/>
  <c r="O965"/>
  <c r="I965"/>
  <c r="E965"/>
  <c r="D965"/>
  <c r="C965"/>
  <c r="P964"/>
  <c r="O964"/>
  <c r="I964"/>
  <c r="E964"/>
  <c r="D964"/>
  <c r="C964"/>
  <c r="P963"/>
  <c r="O963"/>
  <c r="I963"/>
  <c r="E963"/>
  <c r="D963"/>
  <c r="C963"/>
  <c r="P962"/>
  <c r="O962"/>
  <c r="I962"/>
  <c r="E962"/>
  <c r="D962"/>
  <c r="C962"/>
  <c r="P961"/>
  <c r="O961"/>
  <c r="I961"/>
  <c r="E961"/>
  <c r="D961"/>
  <c r="C961"/>
  <c r="P960"/>
  <c r="O960"/>
  <c r="I960"/>
  <c r="E960"/>
  <c r="D960"/>
  <c r="C960"/>
  <c r="P959"/>
  <c r="O959"/>
  <c r="I959"/>
  <c r="E959"/>
  <c r="D959"/>
  <c r="C959"/>
  <c r="P958"/>
  <c r="O958"/>
  <c r="I958"/>
  <c r="E958"/>
  <c r="D958"/>
  <c r="C958"/>
  <c r="P957"/>
  <c r="L957"/>
  <c r="I957" s="1"/>
  <c r="E957"/>
  <c r="D957"/>
  <c r="C957"/>
  <c r="P956"/>
  <c r="O956"/>
  <c r="I956"/>
  <c r="E956"/>
  <c r="D956"/>
  <c r="C956"/>
  <c r="P955"/>
  <c r="O955"/>
  <c r="I955"/>
  <c r="E955"/>
  <c r="D955"/>
  <c r="C955"/>
  <c r="P954"/>
  <c r="O954"/>
  <c r="I954"/>
  <c r="E954"/>
  <c r="D954"/>
  <c r="C954"/>
  <c r="P953"/>
  <c r="O953"/>
  <c r="I953"/>
  <c r="E953"/>
  <c r="D953"/>
  <c r="C953"/>
  <c r="P952"/>
  <c r="O952"/>
  <c r="I952"/>
  <c r="E952"/>
  <c r="D952"/>
  <c r="C952"/>
  <c r="P951"/>
  <c r="O951"/>
  <c r="I951"/>
  <c r="E951"/>
  <c r="D951"/>
  <c r="C951"/>
  <c r="P950"/>
  <c r="O950"/>
  <c r="I950"/>
  <c r="E950"/>
  <c r="D950"/>
  <c r="C950"/>
  <c r="P949"/>
  <c r="O949"/>
  <c r="I949"/>
  <c r="E949"/>
  <c r="D949"/>
  <c r="C949"/>
  <c r="P948"/>
  <c r="O948"/>
  <c r="Q948" s="1"/>
  <c r="I948"/>
  <c r="E948"/>
  <c r="D948"/>
  <c r="C948"/>
  <c r="P947"/>
  <c r="O947"/>
  <c r="I947"/>
  <c r="E947"/>
  <c r="D947"/>
  <c r="C947"/>
  <c r="P946"/>
  <c r="O946"/>
  <c r="I946"/>
  <c r="E946"/>
  <c r="D946"/>
  <c r="C946"/>
  <c r="P945"/>
  <c r="O945"/>
  <c r="I945"/>
  <c r="E945"/>
  <c r="D945"/>
  <c r="C945"/>
  <c r="P944"/>
  <c r="O944"/>
  <c r="I944"/>
  <c r="E944"/>
  <c r="D944"/>
  <c r="C944"/>
  <c r="P943"/>
  <c r="O943"/>
  <c r="I943"/>
  <c r="E943"/>
  <c r="D943"/>
  <c r="C943"/>
  <c r="P942"/>
  <c r="O942"/>
  <c r="I942"/>
  <c r="E942"/>
  <c r="D942"/>
  <c r="C942"/>
  <c r="P941"/>
  <c r="O941"/>
  <c r="I941"/>
  <c r="E941"/>
  <c r="D941"/>
  <c r="C941"/>
  <c r="P940"/>
  <c r="O940"/>
  <c r="I940"/>
  <c r="E940"/>
  <c r="D940"/>
  <c r="C940"/>
  <c r="P939"/>
  <c r="O939"/>
  <c r="I939"/>
  <c r="E939"/>
  <c r="D939"/>
  <c r="C939"/>
  <c r="P938"/>
  <c r="O938"/>
  <c r="I938"/>
  <c r="E938"/>
  <c r="D938"/>
  <c r="C938"/>
  <c r="P937"/>
  <c r="O937"/>
  <c r="I937"/>
  <c r="E937"/>
  <c r="D937"/>
  <c r="C937"/>
  <c r="P936"/>
  <c r="O936"/>
  <c r="I936"/>
  <c r="E936"/>
  <c r="D936"/>
  <c r="C936"/>
  <c r="O935"/>
  <c r="M935"/>
  <c r="I935"/>
  <c r="E935"/>
  <c r="D935"/>
  <c r="C935"/>
  <c r="P934"/>
  <c r="O934"/>
  <c r="I934"/>
  <c r="E934"/>
  <c r="D934"/>
  <c r="C934"/>
  <c r="P933"/>
  <c r="O933"/>
  <c r="I933"/>
  <c r="E933"/>
  <c r="D933"/>
  <c r="C933"/>
  <c r="P932"/>
  <c r="O932"/>
  <c r="I932"/>
  <c r="E932"/>
  <c r="D932"/>
  <c r="C932"/>
  <c r="P931"/>
  <c r="O931"/>
  <c r="I931"/>
  <c r="E931"/>
  <c r="D931"/>
  <c r="C931"/>
  <c r="P930"/>
  <c r="O930"/>
  <c r="I930"/>
  <c r="E930"/>
  <c r="D930"/>
  <c r="C930"/>
  <c r="P929"/>
  <c r="O929"/>
  <c r="I929"/>
  <c r="E929"/>
  <c r="D929"/>
  <c r="C929"/>
  <c r="P928"/>
  <c r="O928"/>
  <c r="I928"/>
  <c r="E928"/>
  <c r="D928"/>
  <c r="C928"/>
  <c r="P927"/>
  <c r="O927"/>
  <c r="I927"/>
  <c r="E927"/>
  <c r="D927"/>
  <c r="C927"/>
  <c r="P926"/>
  <c r="O926"/>
  <c r="I926"/>
  <c r="E926"/>
  <c r="D926"/>
  <c r="C926"/>
  <c r="P925"/>
  <c r="O925"/>
  <c r="I925"/>
  <c r="E925"/>
  <c r="D925"/>
  <c r="C925"/>
  <c r="P924"/>
  <c r="O924"/>
  <c r="I924"/>
  <c r="E924"/>
  <c r="D924"/>
  <c r="C924"/>
  <c r="P923"/>
  <c r="O923"/>
  <c r="I923"/>
  <c r="E923"/>
  <c r="D923"/>
  <c r="C923"/>
  <c r="P922"/>
  <c r="O922"/>
  <c r="I922"/>
  <c r="E922"/>
  <c r="D922"/>
  <c r="C922"/>
  <c r="P921"/>
  <c r="O921"/>
  <c r="I921"/>
  <c r="E921"/>
  <c r="D921"/>
  <c r="C921"/>
  <c r="P920"/>
  <c r="O920"/>
  <c r="I920"/>
  <c r="E920"/>
  <c r="D920"/>
  <c r="C920"/>
  <c r="P919"/>
  <c r="O919"/>
  <c r="I919"/>
  <c r="E919"/>
  <c r="D919"/>
  <c r="C919"/>
  <c r="P918"/>
  <c r="O918"/>
  <c r="I918"/>
  <c r="E918"/>
  <c r="D918"/>
  <c r="C918"/>
  <c r="P917"/>
  <c r="O917"/>
  <c r="I917"/>
  <c r="E917"/>
  <c r="D917"/>
  <c r="C917"/>
  <c r="O916"/>
  <c r="M916"/>
  <c r="I916"/>
  <c r="E916"/>
  <c r="D916"/>
  <c r="C916"/>
  <c r="P915"/>
  <c r="O915"/>
  <c r="I915"/>
  <c r="E915"/>
  <c r="D915"/>
  <c r="C915"/>
  <c r="P914"/>
  <c r="O914"/>
  <c r="I914"/>
  <c r="E914"/>
  <c r="D914"/>
  <c r="C914"/>
  <c r="P913"/>
  <c r="O913"/>
  <c r="I913"/>
  <c r="E913"/>
  <c r="D913"/>
  <c r="C913"/>
  <c r="P912"/>
  <c r="O912"/>
  <c r="I912"/>
  <c r="E912"/>
  <c r="D912"/>
  <c r="C912"/>
  <c r="P911"/>
  <c r="O911"/>
  <c r="I911"/>
  <c r="E911"/>
  <c r="D911"/>
  <c r="C911"/>
  <c r="P910"/>
  <c r="O910"/>
  <c r="I910"/>
  <c r="E910"/>
  <c r="D910"/>
  <c r="C910"/>
  <c r="P909"/>
  <c r="O909"/>
  <c r="I909"/>
  <c r="E909"/>
  <c r="D909"/>
  <c r="C909"/>
  <c r="P908"/>
  <c r="O908"/>
  <c r="I908"/>
  <c r="E908"/>
  <c r="D908"/>
  <c r="C908"/>
  <c r="P907"/>
  <c r="O907"/>
  <c r="I907"/>
  <c r="E907"/>
  <c r="D907"/>
  <c r="C907"/>
  <c r="P906"/>
  <c r="O906"/>
  <c r="I906"/>
  <c r="E906"/>
  <c r="D906"/>
  <c r="C906"/>
  <c r="P905"/>
  <c r="O905"/>
  <c r="I905"/>
  <c r="E905"/>
  <c r="D905"/>
  <c r="C905"/>
  <c r="P904"/>
  <c r="O904"/>
  <c r="I904"/>
  <c r="E904"/>
  <c r="D904"/>
  <c r="C904"/>
  <c r="P903"/>
  <c r="O903"/>
  <c r="I903"/>
  <c r="E903"/>
  <c r="D903"/>
  <c r="C903"/>
  <c r="P902"/>
  <c r="O902"/>
  <c r="I902"/>
  <c r="E902"/>
  <c r="D902"/>
  <c r="C902"/>
  <c r="P901"/>
  <c r="O901"/>
  <c r="I901"/>
  <c r="E901"/>
  <c r="D901"/>
  <c r="C901"/>
  <c r="P900"/>
  <c r="O900"/>
  <c r="I900"/>
  <c r="E900"/>
  <c r="D900"/>
  <c r="C900"/>
  <c r="P899"/>
  <c r="O899"/>
  <c r="I899"/>
  <c r="E899"/>
  <c r="D899"/>
  <c r="C899"/>
  <c r="P898"/>
  <c r="L898"/>
  <c r="I898" s="1"/>
  <c r="E898"/>
  <c r="D898"/>
  <c r="C898"/>
  <c r="P897"/>
  <c r="O897"/>
  <c r="I897"/>
  <c r="E897"/>
  <c r="D897"/>
  <c r="C897"/>
  <c r="P896"/>
  <c r="O896"/>
  <c r="I896"/>
  <c r="E896"/>
  <c r="D896"/>
  <c r="C896"/>
  <c r="P895"/>
  <c r="O895"/>
  <c r="I895"/>
  <c r="E895"/>
  <c r="D895"/>
  <c r="C895"/>
  <c r="P894"/>
  <c r="O894"/>
  <c r="I894"/>
  <c r="E894"/>
  <c r="D894"/>
  <c r="C894"/>
  <c r="P893"/>
  <c r="O893"/>
  <c r="I893"/>
  <c r="E893"/>
  <c r="D893"/>
  <c r="C893"/>
  <c r="P892"/>
  <c r="O892"/>
  <c r="I892"/>
  <c r="E892"/>
  <c r="D892"/>
  <c r="C892"/>
  <c r="P891"/>
  <c r="O891"/>
  <c r="I891"/>
  <c r="E891"/>
  <c r="D891"/>
  <c r="C891"/>
  <c r="P890"/>
  <c r="L890"/>
  <c r="I890" s="1"/>
  <c r="E890"/>
  <c r="D890"/>
  <c r="C890"/>
  <c r="P889"/>
  <c r="O889"/>
  <c r="I889"/>
  <c r="E889"/>
  <c r="D889"/>
  <c r="C889"/>
  <c r="P888"/>
  <c r="O888"/>
  <c r="I888"/>
  <c r="E888"/>
  <c r="D888"/>
  <c r="C888"/>
  <c r="P887"/>
  <c r="L887"/>
  <c r="I887" s="1"/>
  <c r="E887"/>
  <c r="D887"/>
  <c r="C887"/>
  <c r="P886"/>
  <c r="O886"/>
  <c r="I886"/>
  <c r="E886"/>
  <c r="D886"/>
  <c r="C886"/>
  <c r="P885"/>
  <c r="O885"/>
  <c r="I885"/>
  <c r="E885"/>
  <c r="D885"/>
  <c r="C885"/>
  <c r="P884"/>
  <c r="O884"/>
  <c r="I884"/>
  <c r="E884"/>
  <c r="D884"/>
  <c r="C884"/>
  <c r="P883"/>
  <c r="O883"/>
  <c r="I883"/>
  <c r="E883"/>
  <c r="D883"/>
  <c r="C883"/>
  <c r="O882"/>
  <c r="M882"/>
  <c r="I882"/>
  <c r="E882"/>
  <c r="D882"/>
  <c r="C882"/>
  <c r="P881"/>
  <c r="O881"/>
  <c r="I881"/>
  <c r="E881"/>
  <c r="D881"/>
  <c r="C881"/>
  <c r="P880"/>
  <c r="O880"/>
  <c r="I880"/>
  <c r="E880"/>
  <c r="D880"/>
  <c r="C880"/>
  <c r="P879"/>
  <c r="O879"/>
  <c r="I879"/>
  <c r="E879"/>
  <c r="D879"/>
  <c r="C879"/>
  <c r="P878"/>
  <c r="O878"/>
  <c r="I878"/>
  <c r="E878"/>
  <c r="D878"/>
  <c r="C878"/>
  <c r="P877"/>
  <c r="L877"/>
  <c r="I877" s="1"/>
  <c r="E877"/>
  <c r="D877"/>
  <c r="C877"/>
  <c r="P876"/>
  <c r="O876"/>
  <c r="I876"/>
  <c r="E876"/>
  <c r="D876"/>
  <c r="C876"/>
  <c r="P875"/>
  <c r="O875"/>
  <c r="I875"/>
  <c r="E875"/>
  <c r="D875"/>
  <c r="C875"/>
  <c r="P874"/>
  <c r="O874"/>
  <c r="I874"/>
  <c r="E874"/>
  <c r="D874"/>
  <c r="C874"/>
  <c r="P873"/>
  <c r="O873"/>
  <c r="I873"/>
  <c r="E873"/>
  <c r="D873"/>
  <c r="C873"/>
  <c r="P872"/>
  <c r="O872"/>
  <c r="I872"/>
  <c r="E872"/>
  <c r="D872"/>
  <c r="C872"/>
  <c r="P871"/>
  <c r="O871"/>
  <c r="I871"/>
  <c r="E871"/>
  <c r="D871"/>
  <c r="C871"/>
  <c r="P870"/>
  <c r="O870"/>
  <c r="I870"/>
  <c r="E870"/>
  <c r="D870"/>
  <c r="C870"/>
  <c r="P869"/>
  <c r="O869"/>
  <c r="I869"/>
  <c r="E869"/>
  <c r="D869"/>
  <c r="C869"/>
  <c r="P868"/>
  <c r="O868"/>
  <c r="I868"/>
  <c r="E868"/>
  <c r="D868"/>
  <c r="C868"/>
  <c r="P867"/>
  <c r="O867"/>
  <c r="I867"/>
  <c r="E867"/>
  <c r="D867"/>
  <c r="C867"/>
  <c r="P866"/>
  <c r="O866"/>
  <c r="I866"/>
  <c r="E866"/>
  <c r="D866"/>
  <c r="C866"/>
  <c r="P865"/>
  <c r="O865"/>
  <c r="I865"/>
  <c r="E865"/>
  <c r="D865"/>
  <c r="C865"/>
  <c r="O864"/>
  <c r="M864"/>
  <c r="I864"/>
  <c r="E864"/>
  <c r="D864"/>
  <c r="C864"/>
  <c r="P863"/>
  <c r="O863"/>
  <c r="I863"/>
  <c r="E863"/>
  <c r="D863"/>
  <c r="C863"/>
  <c r="P862"/>
  <c r="O862"/>
  <c r="I862"/>
  <c r="E862"/>
  <c r="D862"/>
  <c r="C862"/>
  <c r="P861"/>
  <c r="O861"/>
  <c r="I861"/>
  <c r="E861"/>
  <c r="D861"/>
  <c r="C861"/>
  <c r="P860"/>
  <c r="O860"/>
  <c r="I860"/>
  <c r="E860"/>
  <c r="D860"/>
  <c r="C860"/>
  <c r="P859"/>
  <c r="O859"/>
  <c r="I859"/>
  <c r="E859"/>
  <c r="D859"/>
  <c r="C859"/>
  <c r="P858"/>
  <c r="O858"/>
  <c r="I858"/>
  <c r="E858"/>
  <c r="D858"/>
  <c r="C858"/>
  <c r="P857"/>
  <c r="O857"/>
  <c r="I857"/>
  <c r="E857"/>
  <c r="D857"/>
  <c r="C857"/>
  <c r="P856"/>
  <c r="O856"/>
  <c r="I856"/>
  <c r="E856"/>
  <c r="D856"/>
  <c r="C856"/>
  <c r="P855"/>
  <c r="O855"/>
  <c r="I855"/>
  <c r="E855"/>
  <c r="D855"/>
  <c r="C855"/>
  <c r="P854"/>
  <c r="L854"/>
  <c r="I854" s="1"/>
  <c r="E854"/>
  <c r="D854"/>
  <c r="C854"/>
  <c r="P853"/>
  <c r="O853"/>
  <c r="I853"/>
  <c r="E853"/>
  <c r="D853"/>
  <c r="C853"/>
  <c r="P852"/>
  <c r="O852"/>
  <c r="I852"/>
  <c r="E852"/>
  <c r="D852"/>
  <c r="C852"/>
  <c r="P851"/>
  <c r="O851"/>
  <c r="I851"/>
  <c r="E851"/>
  <c r="D851"/>
  <c r="C851"/>
  <c r="P850"/>
  <c r="O850"/>
  <c r="I850"/>
  <c r="E850"/>
  <c r="D850"/>
  <c r="C850"/>
  <c r="P849"/>
  <c r="O849"/>
  <c r="I849"/>
  <c r="E849"/>
  <c r="D849"/>
  <c r="C849"/>
  <c r="P848"/>
  <c r="O848"/>
  <c r="I848"/>
  <c r="E848"/>
  <c r="D848"/>
  <c r="C848"/>
  <c r="P847"/>
  <c r="O847"/>
  <c r="I847"/>
  <c r="E847"/>
  <c r="D847"/>
  <c r="C847"/>
  <c r="P846"/>
  <c r="O846"/>
  <c r="I846"/>
  <c r="E846"/>
  <c r="D846"/>
  <c r="C846"/>
  <c r="P845"/>
  <c r="O845"/>
  <c r="I845"/>
  <c r="E845"/>
  <c r="D845"/>
  <c r="C845"/>
  <c r="P844"/>
  <c r="O844"/>
  <c r="I844"/>
  <c r="E844"/>
  <c r="D844"/>
  <c r="C844"/>
  <c r="P843"/>
  <c r="O843"/>
  <c r="I843"/>
  <c r="E843"/>
  <c r="D843"/>
  <c r="C843"/>
  <c r="O842"/>
  <c r="M842"/>
  <c r="I842"/>
  <c r="E842"/>
  <c r="D842"/>
  <c r="C842"/>
  <c r="P841"/>
  <c r="O841"/>
  <c r="I841"/>
  <c r="E841"/>
  <c r="D841"/>
  <c r="C841"/>
  <c r="P840"/>
  <c r="O840"/>
  <c r="I840"/>
  <c r="E840"/>
  <c r="D840"/>
  <c r="C840"/>
  <c r="P839"/>
  <c r="O839"/>
  <c r="I839"/>
  <c r="E839"/>
  <c r="D839"/>
  <c r="C839"/>
  <c r="P838"/>
  <c r="O838"/>
  <c r="I838"/>
  <c r="E838"/>
  <c r="D838"/>
  <c r="C838"/>
  <c r="P837"/>
  <c r="O837"/>
  <c r="I837"/>
  <c r="E837"/>
  <c r="D837"/>
  <c r="C837"/>
  <c r="P836"/>
  <c r="O836"/>
  <c r="I836"/>
  <c r="E836"/>
  <c r="D836"/>
  <c r="C836"/>
  <c r="P835"/>
  <c r="O835"/>
  <c r="I835"/>
  <c r="E835"/>
  <c r="D835"/>
  <c r="C835"/>
  <c r="P834"/>
  <c r="O834"/>
  <c r="I834"/>
  <c r="E834"/>
  <c r="D834"/>
  <c r="C834"/>
  <c r="P833"/>
  <c r="O833"/>
  <c r="I833"/>
  <c r="E833"/>
  <c r="D833"/>
  <c r="C833"/>
  <c r="P832"/>
  <c r="O832"/>
  <c r="I832"/>
  <c r="E832"/>
  <c r="D832"/>
  <c r="C832"/>
  <c r="P831"/>
  <c r="O831"/>
  <c r="I831"/>
  <c r="E831"/>
  <c r="D831"/>
  <c r="C831"/>
  <c r="P830"/>
  <c r="O830"/>
  <c r="I830"/>
  <c r="E830"/>
  <c r="D830"/>
  <c r="C830"/>
  <c r="P829"/>
  <c r="O829"/>
  <c r="I829"/>
  <c r="E829"/>
  <c r="D829"/>
  <c r="C829"/>
  <c r="P828"/>
  <c r="O828"/>
  <c r="I828"/>
  <c r="E828"/>
  <c r="D828"/>
  <c r="C828"/>
  <c r="P827"/>
  <c r="O827"/>
  <c r="I827"/>
  <c r="E827"/>
  <c r="D827"/>
  <c r="C827"/>
  <c r="P826"/>
  <c r="O826"/>
  <c r="I826"/>
  <c r="E826"/>
  <c r="D826"/>
  <c r="C826"/>
  <c r="P825"/>
  <c r="O825"/>
  <c r="I825"/>
  <c r="E825"/>
  <c r="D825"/>
  <c r="C825"/>
  <c r="P824"/>
  <c r="O824"/>
  <c r="I824"/>
  <c r="E824"/>
  <c r="D824"/>
  <c r="C824"/>
  <c r="P823"/>
  <c r="O823"/>
  <c r="I823"/>
  <c r="E823"/>
  <c r="D823"/>
  <c r="C823"/>
  <c r="P822"/>
  <c r="O822"/>
  <c r="I822"/>
  <c r="E822"/>
  <c r="D822"/>
  <c r="C822"/>
  <c r="P821"/>
  <c r="O821"/>
  <c r="I821"/>
  <c r="E821"/>
  <c r="D821"/>
  <c r="C821"/>
  <c r="P820"/>
  <c r="O820"/>
  <c r="I820"/>
  <c r="E820"/>
  <c r="D820"/>
  <c r="C820"/>
  <c r="P819"/>
  <c r="O819"/>
  <c r="I819"/>
  <c r="E819"/>
  <c r="D819"/>
  <c r="C819"/>
  <c r="P818"/>
  <c r="O818"/>
  <c r="I818"/>
  <c r="E818"/>
  <c r="D818"/>
  <c r="C818"/>
  <c r="P817"/>
  <c r="O817"/>
  <c r="I817"/>
  <c r="E817"/>
  <c r="D817"/>
  <c r="C817"/>
  <c r="O816"/>
  <c r="M816"/>
  <c r="I816"/>
  <c r="E816"/>
  <c r="D816"/>
  <c r="C816"/>
  <c r="P815"/>
  <c r="L815"/>
  <c r="I815" s="1"/>
  <c r="E815"/>
  <c r="D815"/>
  <c r="C815"/>
  <c r="P814"/>
  <c r="O814"/>
  <c r="I814"/>
  <c r="E814"/>
  <c r="D814"/>
  <c r="C814"/>
  <c r="P813"/>
  <c r="O813"/>
  <c r="I813"/>
  <c r="E813"/>
  <c r="D813"/>
  <c r="C813"/>
  <c r="P812"/>
  <c r="O812"/>
  <c r="I812"/>
  <c r="E812"/>
  <c r="D812"/>
  <c r="C812"/>
  <c r="P811"/>
  <c r="L811"/>
  <c r="I811" s="1"/>
  <c r="E811"/>
  <c r="D811"/>
  <c r="C811"/>
  <c r="P810"/>
  <c r="O810"/>
  <c r="I810"/>
  <c r="E810"/>
  <c r="D810"/>
  <c r="C810"/>
  <c r="P809"/>
  <c r="O809"/>
  <c r="I809"/>
  <c r="E809"/>
  <c r="D809"/>
  <c r="C809"/>
  <c r="P808"/>
  <c r="O808"/>
  <c r="I808"/>
  <c r="E808"/>
  <c r="D808"/>
  <c r="C808"/>
  <c r="P807"/>
  <c r="L807"/>
  <c r="I807" s="1"/>
  <c r="E807"/>
  <c r="D807"/>
  <c r="C807"/>
  <c r="P806"/>
  <c r="O806"/>
  <c r="I806"/>
  <c r="E806"/>
  <c r="D806"/>
  <c r="C806"/>
  <c r="P805"/>
  <c r="O805"/>
  <c r="I805"/>
  <c r="E805"/>
  <c r="D805"/>
  <c r="C805"/>
  <c r="P804"/>
  <c r="O804"/>
  <c r="I804"/>
  <c r="E804"/>
  <c r="D804"/>
  <c r="C804"/>
  <c r="P803"/>
  <c r="O803"/>
  <c r="I803"/>
  <c r="E803"/>
  <c r="D803"/>
  <c r="C803"/>
  <c r="P802"/>
  <c r="O802"/>
  <c r="I802"/>
  <c r="E802"/>
  <c r="D802"/>
  <c r="C802"/>
  <c r="P801"/>
  <c r="O801"/>
  <c r="I801"/>
  <c r="E801"/>
  <c r="D801"/>
  <c r="C801"/>
  <c r="P800"/>
  <c r="O800"/>
  <c r="I800"/>
  <c r="E800"/>
  <c r="D800"/>
  <c r="C800"/>
  <c r="P799"/>
  <c r="O799"/>
  <c r="I799"/>
  <c r="E799"/>
  <c r="D799"/>
  <c r="C799"/>
  <c r="P798"/>
  <c r="O798"/>
  <c r="I798"/>
  <c r="E798"/>
  <c r="D798"/>
  <c r="C798"/>
  <c r="P797"/>
  <c r="O797"/>
  <c r="I797"/>
  <c r="E797"/>
  <c r="D797"/>
  <c r="C797"/>
  <c r="P796"/>
  <c r="O796"/>
  <c r="I796"/>
  <c r="E796"/>
  <c r="D796"/>
  <c r="C796"/>
  <c r="P795"/>
  <c r="O795"/>
  <c r="I795"/>
  <c r="E795"/>
  <c r="D795"/>
  <c r="C795"/>
  <c r="P794"/>
  <c r="O794"/>
  <c r="I794"/>
  <c r="E794"/>
  <c r="D794"/>
  <c r="C794"/>
  <c r="P793"/>
  <c r="O793"/>
  <c r="I793"/>
  <c r="E793"/>
  <c r="D793"/>
  <c r="C793"/>
  <c r="P792"/>
  <c r="O792"/>
  <c r="I792"/>
  <c r="E792"/>
  <c r="D792"/>
  <c r="C792"/>
  <c r="P791"/>
  <c r="O791"/>
  <c r="I791"/>
  <c r="E791"/>
  <c r="D791"/>
  <c r="C791"/>
  <c r="P790"/>
  <c r="O790"/>
  <c r="I790"/>
  <c r="E790"/>
  <c r="D790"/>
  <c r="C790"/>
  <c r="P789"/>
  <c r="O789"/>
  <c r="I789"/>
  <c r="E789"/>
  <c r="D789"/>
  <c r="C789"/>
  <c r="P788"/>
  <c r="O788"/>
  <c r="I788"/>
  <c r="E788"/>
  <c r="D788"/>
  <c r="C788"/>
  <c r="P787"/>
  <c r="O787"/>
  <c r="I787"/>
  <c r="E787"/>
  <c r="D787"/>
  <c r="C787"/>
  <c r="P786"/>
  <c r="O786"/>
  <c r="I786"/>
  <c r="E786"/>
  <c r="D786"/>
  <c r="C786"/>
  <c r="P785"/>
  <c r="O785"/>
  <c r="I785"/>
  <c r="E785"/>
  <c r="D785"/>
  <c r="C785"/>
  <c r="O784"/>
  <c r="M784"/>
  <c r="I784"/>
  <c r="E784"/>
  <c r="D784"/>
  <c r="C784"/>
  <c r="O783"/>
  <c r="M783"/>
  <c r="I783"/>
  <c r="E783"/>
  <c r="D783"/>
  <c r="C783"/>
  <c r="P782"/>
  <c r="O782"/>
  <c r="I782"/>
  <c r="E782"/>
  <c r="D782"/>
  <c r="C782"/>
  <c r="P781"/>
  <c r="O781"/>
  <c r="I781"/>
  <c r="E781"/>
  <c r="D781"/>
  <c r="C781"/>
  <c r="P780"/>
  <c r="O780"/>
  <c r="Q780" s="1"/>
  <c r="I780"/>
  <c r="E780"/>
  <c r="D780"/>
  <c r="C780"/>
  <c r="P779"/>
  <c r="O779"/>
  <c r="I779"/>
  <c r="E779"/>
  <c r="D779"/>
  <c r="C779"/>
  <c r="P778"/>
  <c r="O778"/>
  <c r="I778"/>
  <c r="E778"/>
  <c r="D778"/>
  <c r="C778"/>
  <c r="P777"/>
  <c r="O777"/>
  <c r="I777"/>
  <c r="E777"/>
  <c r="D777"/>
  <c r="C777"/>
  <c r="P776"/>
  <c r="O776"/>
  <c r="Q776" s="1"/>
  <c r="I776"/>
  <c r="E776"/>
  <c r="D776"/>
  <c r="C776"/>
  <c r="P775"/>
  <c r="O775"/>
  <c r="I775"/>
  <c r="E775"/>
  <c r="D775"/>
  <c r="C775"/>
  <c r="P774"/>
  <c r="O774"/>
  <c r="I774"/>
  <c r="E774"/>
  <c r="D774"/>
  <c r="C774"/>
  <c r="P773"/>
  <c r="O773"/>
  <c r="I773"/>
  <c r="E773"/>
  <c r="D773"/>
  <c r="C773"/>
  <c r="P772"/>
  <c r="O772"/>
  <c r="Q772" s="1"/>
  <c r="I772"/>
  <c r="E772"/>
  <c r="D772"/>
  <c r="C772"/>
  <c r="P771"/>
  <c r="O771"/>
  <c r="Q771" s="1"/>
  <c r="I771"/>
  <c r="E771"/>
  <c r="D771"/>
  <c r="C771"/>
  <c r="P770"/>
  <c r="O770"/>
  <c r="I770"/>
  <c r="E770"/>
  <c r="D770"/>
  <c r="C770"/>
  <c r="P769"/>
  <c r="O769"/>
  <c r="I769"/>
  <c r="E769"/>
  <c r="D769"/>
  <c r="C769"/>
  <c r="P768"/>
  <c r="O768"/>
  <c r="Q768" s="1"/>
  <c r="I768"/>
  <c r="E768"/>
  <c r="D768"/>
  <c r="C768"/>
  <c r="P767"/>
  <c r="O767"/>
  <c r="I767"/>
  <c r="E767"/>
  <c r="D767"/>
  <c r="C767"/>
  <c r="P766"/>
  <c r="O766"/>
  <c r="I766"/>
  <c r="E766"/>
  <c r="D766"/>
  <c r="C766"/>
  <c r="P765"/>
  <c r="O765"/>
  <c r="I765"/>
  <c r="E765"/>
  <c r="D765"/>
  <c r="C765"/>
  <c r="P764"/>
  <c r="O764"/>
  <c r="Q764" s="1"/>
  <c r="I764"/>
  <c r="E764"/>
  <c r="D764"/>
  <c r="C764"/>
  <c r="P763"/>
  <c r="O763"/>
  <c r="I763"/>
  <c r="E763"/>
  <c r="D763"/>
  <c r="C763"/>
  <c r="P762"/>
  <c r="O762"/>
  <c r="I762"/>
  <c r="E762"/>
  <c r="D762"/>
  <c r="C762"/>
  <c r="P761"/>
  <c r="O761"/>
  <c r="I761"/>
  <c r="E761"/>
  <c r="D761"/>
  <c r="C761"/>
  <c r="P760"/>
  <c r="O760"/>
  <c r="Q760" s="1"/>
  <c r="I760"/>
  <c r="E760"/>
  <c r="D760"/>
  <c r="C760"/>
  <c r="P759"/>
  <c r="O759"/>
  <c r="Q759" s="1"/>
  <c r="I759"/>
  <c r="E759"/>
  <c r="D759"/>
  <c r="C759"/>
  <c r="P758"/>
  <c r="O758"/>
  <c r="I758"/>
  <c r="E758"/>
  <c r="D758"/>
  <c r="C758"/>
  <c r="P757"/>
  <c r="O757"/>
  <c r="I757"/>
  <c r="E757"/>
  <c r="D757"/>
  <c r="C757"/>
  <c r="P756"/>
  <c r="O756"/>
  <c r="Q756" s="1"/>
  <c r="I756"/>
  <c r="E756"/>
  <c r="D756"/>
  <c r="C756"/>
  <c r="P755"/>
  <c r="O755"/>
  <c r="Q755" s="1"/>
  <c r="I755"/>
  <c r="E755"/>
  <c r="D755"/>
  <c r="C755"/>
  <c r="P754"/>
  <c r="O754"/>
  <c r="I754"/>
  <c r="E754"/>
  <c r="D754"/>
  <c r="C754"/>
  <c r="P753"/>
  <c r="O753"/>
  <c r="I753"/>
  <c r="E753"/>
  <c r="D753"/>
  <c r="C753"/>
  <c r="P752"/>
  <c r="O752"/>
  <c r="I752"/>
  <c r="E752"/>
  <c r="D752"/>
  <c r="C752"/>
  <c r="P751"/>
  <c r="O751"/>
  <c r="Q751" s="1"/>
  <c r="I751"/>
  <c r="E751"/>
  <c r="D751"/>
  <c r="C751"/>
  <c r="O750"/>
  <c r="M750"/>
  <c r="I750"/>
  <c r="E750"/>
  <c r="D750"/>
  <c r="C750"/>
  <c r="P749"/>
  <c r="O749"/>
  <c r="I749"/>
  <c r="E749"/>
  <c r="D749"/>
  <c r="C749"/>
  <c r="O748"/>
  <c r="M748"/>
  <c r="I748"/>
  <c r="E748"/>
  <c r="D748"/>
  <c r="C748"/>
  <c r="P747"/>
  <c r="O747"/>
  <c r="I747"/>
  <c r="E747"/>
  <c r="D747"/>
  <c r="C747"/>
  <c r="P746"/>
  <c r="O746"/>
  <c r="I746"/>
  <c r="E746"/>
  <c r="D746"/>
  <c r="C746"/>
  <c r="P745"/>
  <c r="O745"/>
  <c r="I745"/>
  <c r="E745"/>
  <c r="D745"/>
  <c r="C745"/>
  <c r="P744"/>
  <c r="O744"/>
  <c r="I744"/>
  <c r="E744"/>
  <c r="D744"/>
  <c r="C744"/>
  <c r="P743"/>
  <c r="O743"/>
  <c r="I743"/>
  <c r="E743"/>
  <c r="D743"/>
  <c r="C743"/>
  <c r="O742"/>
  <c r="M742"/>
  <c r="I742"/>
  <c r="E742"/>
  <c r="D742"/>
  <c r="C742"/>
  <c r="P741"/>
  <c r="L741"/>
  <c r="I741" s="1"/>
  <c r="E741"/>
  <c r="D741"/>
  <c r="C741"/>
  <c r="P740"/>
  <c r="O740"/>
  <c r="I740"/>
  <c r="E740"/>
  <c r="D740"/>
  <c r="C740"/>
  <c r="P739"/>
  <c r="O739"/>
  <c r="I739"/>
  <c r="E739"/>
  <c r="D739"/>
  <c r="C739"/>
  <c r="P738"/>
  <c r="O738"/>
  <c r="I738"/>
  <c r="E738"/>
  <c r="D738"/>
  <c r="C738"/>
  <c r="P737"/>
  <c r="O737"/>
  <c r="I737"/>
  <c r="E737"/>
  <c r="D737"/>
  <c r="C737"/>
  <c r="O736"/>
  <c r="M736"/>
  <c r="I736"/>
  <c r="E736"/>
  <c r="D736"/>
  <c r="C736"/>
  <c r="P735"/>
  <c r="O735"/>
  <c r="I735"/>
  <c r="E735"/>
  <c r="D735"/>
  <c r="C735"/>
  <c r="P734"/>
  <c r="O734"/>
  <c r="I734"/>
  <c r="E734"/>
  <c r="D734"/>
  <c r="C734"/>
  <c r="P733"/>
  <c r="O733"/>
  <c r="I733"/>
  <c r="E733"/>
  <c r="D733"/>
  <c r="C733"/>
  <c r="P732"/>
  <c r="O732"/>
  <c r="I732"/>
  <c r="E732"/>
  <c r="D732"/>
  <c r="C732"/>
  <c r="P731"/>
  <c r="O731"/>
  <c r="I731"/>
  <c r="E731"/>
  <c r="D731"/>
  <c r="C731"/>
  <c r="P730"/>
  <c r="O730"/>
  <c r="I730"/>
  <c r="E730"/>
  <c r="D730"/>
  <c r="C730"/>
  <c r="P729"/>
  <c r="O729"/>
  <c r="I729"/>
  <c r="E729"/>
  <c r="D729"/>
  <c r="C729"/>
  <c r="P728"/>
  <c r="O728"/>
  <c r="I728"/>
  <c r="E728"/>
  <c r="D728"/>
  <c r="C728"/>
  <c r="P727"/>
  <c r="O727"/>
  <c r="I727"/>
  <c r="E727"/>
  <c r="D727"/>
  <c r="C727"/>
  <c r="P726"/>
  <c r="O726"/>
  <c r="I726"/>
  <c r="E726"/>
  <c r="D726"/>
  <c r="C726"/>
  <c r="P725"/>
  <c r="O725"/>
  <c r="I725"/>
  <c r="E725"/>
  <c r="D725"/>
  <c r="C725"/>
  <c r="P724"/>
  <c r="O724"/>
  <c r="I724"/>
  <c r="E724"/>
  <c r="D724"/>
  <c r="C724"/>
  <c r="P723"/>
  <c r="O723"/>
  <c r="I723"/>
  <c r="E723"/>
  <c r="D723"/>
  <c r="C723"/>
  <c r="P722"/>
  <c r="O722"/>
  <c r="I722"/>
  <c r="E722"/>
  <c r="D722"/>
  <c r="C722"/>
  <c r="P721"/>
  <c r="O721"/>
  <c r="I721"/>
  <c r="E721"/>
  <c r="D721"/>
  <c r="C721"/>
  <c r="P720"/>
  <c r="O720"/>
  <c r="I720"/>
  <c r="E720"/>
  <c r="D720"/>
  <c r="C720"/>
  <c r="P719"/>
  <c r="O719"/>
  <c r="I719"/>
  <c r="E719"/>
  <c r="D719"/>
  <c r="C719"/>
  <c r="P718"/>
  <c r="O718"/>
  <c r="I718"/>
  <c r="E718"/>
  <c r="D718"/>
  <c r="C718"/>
  <c r="P717"/>
  <c r="O717"/>
  <c r="I717"/>
  <c r="E717"/>
  <c r="D717"/>
  <c r="C717"/>
  <c r="O716"/>
  <c r="M716"/>
  <c r="I716"/>
  <c r="E716"/>
  <c r="D716"/>
  <c r="C716"/>
  <c r="P715"/>
  <c r="O715"/>
  <c r="I715"/>
  <c r="E715"/>
  <c r="D715"/>
  <c r="C715"/>
  <c r="P714"/>
  <c r="O714"/>
  <c r="I714"/>
  <c r="E714"/>
  <c r="D714"/>
  <c r="C714"/>
  <c r="P713"/>
  <c r="O713"/>
  <c r="I713"/>
  <c r="E713"/>
  <c r="D713"/>
  <c r="C713"/>
  <c r="P712"/>
  <c r="O712"/>
  <c r="I712"/>
  <c r="E712"/>
  <c r="D712"/>
  <c r="C712"/>
  <c r="P711"/>
  <c r="L711"/>
  <c r="I711" s="1"/>
  <c r="E711"/>
  <c r="D711"/>
  <c r="C711"/>
  <c r="P710"/>
  <c r="O710"/>
  <c r="I710"/>
  <c r="E710"/>
  <c r="D710"/>
  <c r="C710"/>
  <c r="P709"/>
  <c r="O709"/>
  <c r="I709"/>
  <c r="E709"/>
  <c r="D709"/>
  <c r="C709"/>
  <c r="P708"/>
  <c r="O708"/>
  <c r="I708"/>
  <c r="E708"/>
  <c r="D708"/>
  <c r="C708"/>
  <c r="P707"/>
  <c r="O707"/>
  <c r="I707"/>
  <c r="E707"/>
  <c r="D707"/>
  <c r="C707"/>
  <c r="P706"/>
  <c r="O706"/>
  <c r="I706"/>
  <c r="E706"/>
  <c r="D706"/>
  <c r="C706"/>
  <c r="P705"/>
  <c r="O705"/>
  <c r="I705"/>
  <c r="E705"/>
  <c r="D705"/>
  <c r="C705"/>
  <c r="P704"/>
  <c r="O704"/>
  <c r="I704"/>
  <c r="E704"/>
  <c r="D704"/>
  <c r="C704"/>
  <c r="P703"/>
  <c r="O703"/>
  <c r="I703"/>
  <c r="E703"/>
  <c r="D703"/>
  <c r="C703"/>
  <c r="P702"/>
  <c r="O702"/>
  <c r="I702"/>
  <c r="E702"/>
  <c r="D702"/>
  <c r="C702"/>
  <c r="P701"/>
  <c r="O701"/>
  <c r="I701"/>
  <c r="E701"/>
  <c r="D701"/>
  <c r="C701"/>
  <c r="P700"/>
  <c r="O700"/>
  <c r="I700"/>
  <c r="E700"/>
  <c r="D700"/>
  <c r="C700"/>
  <c r="P699"/>
  <c r="O699"/>
  <c r="I699"/>
  <c r="E699"/>
  <c r="D699"/>
  <c r="C699"/>
  <c r="P698"/>
  <c r="O698"/>
  <c r="I698"/>
  <c r="E698"/>
  <c r="D698"/>
  <c r="C698"/>
  <c r="P697"/>
  <c r="O697"/>
  <c r="I697"/>
  <c r="E697"/>
  <c r="D697"/>
  <c r="C697"/>
  <c r="P696"/>
  <c r="O696"/>
  <c r="I696"/>
  <c r="E696"/>
  <c r="D696"/>
  <c r="C696"/>
  <c r="P695"/>
  <c r="O695"/>
  <c r="I695"/>
  <c r="E695"/>
  <c r="D695"/>
  <c r="C695"/>
  <c r="P694"/>
  <c r="O694"/>
  <c r="I694"/>
  <c r="E694"/>
  <c r="D694"/>
  <c r="C694"/>
  <c r="O693"/>
  <c r="M693"/>
  <c r="I693"/>
  <c r="E693"/>
  <c r="D693"/>
  <c r="C693"/>
  <c r="P692"/>
  <c r="O692"/>
  <c r="I692"/>
  <c r="E692"/>
  <c r="D692"/>
  <c r="C692"/>
  <c r="P691"/>
  <c r="O691"/>
  <c r="I691"/>
  <c r="E691"/>
  <c r="D691"/>
  <c r="C691"/>
  <c r="P690"/>
  <c r="O690"/>
  <c r="I690"/>
  <c r="E690"/>
  <c r="D690"/>
  <c r="C690"/>
  <c r="P689"/>
  <c r="O689"/>
  <c r="Q689" s="1"/>
  <c r="I689"/>
  <c r="E689"/>
  <c r="D689"/>
  <c r="C689"/>
  <c r="P688"/>
  <c r="O688"/>
  <c r="I688"/>
  <c r="E688"/>
  <c r="D688"/>
  <c r="C688"/>
  <c r="P687"/>
  <c r="O687"/>
  <c r="I687"/>
  <c r="E687"/>
  <c r="D687"/>
  <c r="C687"/>
  <c r="P686"/>
  <c r="O686"/>
  <c r="I686"/>
  <c r="E686"/>
  <c r="D686"/>
  <c r="C686"/>
  <c r="P685"/>
  <c r="O685"/>
  <c r="Q685" s="1"/>
  <c r="I685"/>
  <c r="E685"/>
  <c r="D685"/>
  <c r="C685"/>
  <c r="P684"/>
  <c r="O684"/>
  <c r="I684"/>
  <c r="E684"/>
  <c r="D684"/>
  <c r="C684"/>
  <c r="P683"/>
  <c r="O683"/>
  <c r="I683"/>
  <c r="E683"/>
  <c r="D683"/>
  <c r="C683"/>
  <c r="P682"/>
  <c r="L682"/>
  <c r="I682" s="1"/>
  <c r="E682"/>
  <c r="D682"/>
  <c r="C682"/>
  <c r="P681"/>
  <c r="O681"/>
  <c r="I681"/>
  <c r="E681"/>
  <c r="D681"/>
  <c r="C681"/>
  <c r="P680"/>
  <c r="O680"/>
  <c r="I680"/>
  <c r="E680"/>
  <c r="D680"/>
  <c r="C680"/>
  <c r="P679"/>
  <c r="O679"/>
  <c r="I679"/>
  <c r="E679"/>
  <c r="D679"/>
  <c r="C679"/>
  <c r="P678"/>
  <c r="O678"/>
  <c r="I678"/>
  <c r="E678"/>
  <c r="D678"/>
  <c r="C678"/>
  <c r="P677"/>
  <c r="O677"/>
  <c r="I677"/>
  <c r="E677"/>
  <c r="D677"/>
  <c r="C677"/>
  <c r="P676"/>
  <c r="O676"/>
  <c r="I676"/>
  <c r="E676"/>
  <c r="D676"/>
  <c r="C676"/>
  <c r="P675"/>
  <c r="O675"/>
  <c r="I675"/>
  <c r="E675"/>
  <c r="D675"/>
  <c r="C675"/>
  <c r="P674"/>
  <c r="O674"/>
  <c r="I674"/>
  <c r="E674"/>
  <c r="D674"/>
  <c r="C674"/>
  <c r="P673"/>
  <c r="O673"/>
  <c r="I673"/>
  <c r="E673"/>
  <c r="D673"/>
  <c r="C673"/>
  <c r="P672"/>
  <c r="O672"/>
  <c r="I672"/>
  <c r="E672"/>
  <c r="D672"/>
  <c r="C672"/>
  <c r="P671"/>
  <c r="O671"/>
  <c r="I671"/>
  <c r="E671"/>
  <c r="D671"/>
  <c r="C671"/>
  <c r="P670"/>
  <c r="O670"/>
  <c r="I670"/>
  <c r="E670"/>
  <c r="D670"/>
  <c r="C670"/>
  <c r="P669"/>
  <c r="O669"/>
  <c r="I669"/>
  <c r="E669"/>
  <c r="D669"/>
  <c r="C669"/>
  <c r="P668"/>
  <c r="O668"/>
  <c r="I668"/>
  <c r="E668"/>
  <c r="D668"/>
  <c r="C668"/>
  <c r="P667"/>
  <c r="O667"/>
  <c r="I667"/>
  <c r="E667"/>
  <c r="D667"/>
  <c r="C667"/>
  <c r="P666"/>
  <c r="O666"/>
  <c r="I666"/>
  <c r="E666"/>
  <c r="D666"/>
  <c r="C666"/>
  <c r="P665"/>
  <c r="O665"/>
  <c r="I665"/>
  <c r="E665"/>
  <c r="D665"/>
  <c r="C665"/>
  <c r="P664"/>
  <c r="O664"/>
  <c r="I664"/>
  <c r="E664"/>
  <c r="D664"/>
  <c r="C664"/>
  <c r="P663"/>
  <c r="O663"/>
  <c r="I663"/>
  <c r="E663"/>
  <c r="D663"/>
  <c r="C663"/>
  <c r="P662"/>
  <c r="O662"/>
  <c r="I662"/>
  <c r="E662"/>
  <c r="D662"/>
  <c r="C662"/>
  <c r="P661"/>
  <c r="O661"/>
  <c r="I661"/>
  <c r="E661"/>
  <c r="D661"/>
  <c r="C661"/>
  <c r="P660"/>
  <c r="O660"/>
  <c r="I660"/>
  <c r="E660"/>
  <c r="D660"/>
  <c r="C660"/>
  <c r="P659"/>
  <c r="O659"/>
  <c r="I659"/>
  <c r="E659"/>
  <c r="D659"/>
  <c r="C659"/>
  <c r="P658"/>
  <c r="O658"/>
  <c r="I658"/>
  <c r="E658"/>
  <c r="D658"/>
  <c r="C658"/>
  <c r="P657"/>
  <c r="O657"/>
  <c r="I657"/>
  <c r="E657"/>
  <c r="D657"/>
  <c r="C657"/>
  <c r="P656"/>
  <c r="O656"/>
  <c r="I656"/>
  <c r="E656"/>
  <c r="D656"/>
  <c r="C656"/>
  <c r="P655"/>
  <c r="O655"/>
  <c r="I655"/>
  <c r="E655"/>
  <c r="D655"/>
  <c r="C655"/>
  <c r="P654"/>
  <c r="O654"/>
  <c r="I654"/>
  <c r="E654"/>
  <c r="D654"/>
  <c r="C654"/>
  <c r="P653"/>
  <c r="O653"/>
  <c r="I653"/>
  <c r="E653"/>
  <c r="D653"/>
  <c r="C653"/>
  <c r="P652"/>
  <c r="O652"/>
  <c r="I652"/>
  <c r="E652"/>
  <c r="D652"/>
  <c r="C652"/>
  <c r="P651"/>
  <c r="O651"/>
  <c r="I651"/>
  <c r="E651"/>
  <c r="D651"/>
  <c r="C651"/>
  <c r="P650"/>
  <c r="O650"/>
  <c r="I650"/>
  <c r="E650"/>
  <c r="D650"/>
  <c r="C650"/>
  <c r="P649"/>
  <c r="O649"/>
  <c r="I649"/>
  <c r="E649"/>
  <c r="D649"/>
  <c r="C649"/>
  <c r="P648"/>
  <c r="O648"/>
  <c r="I648"/>
  <c r="E648"/>
  <c r="D648"/>
  <c r="C648"/>
  <c r="O647"/>
  <c r="M647"/>
  <c r="I647"/>
  <c r="E647"/>
  <c r="D647"/>
  <c r="C647"/>
  <c r="P646"/>
  <c r="O646"/>
  <c r="I646"/>
  <c r="E646"/>
  <c r="D646"/>
  <c r="C646"/>
  <c r="P645"/>
  <c r="L645"/>
  <c r="I645" s="1"/>
  <c r="E645"/>
  <c r="D645"/>
  <c r="C645"/>
  <c r="P644"/>
  <c r="O644"/>
  <c r="I644"/>
  <c r="E644"/>
  <c r="D644"/>
  <c r="C644"/>
  <c r="P643"/>
  <c r="O643"/>
  <c r="I643"/>
  <c r="E643"/>
  <c r="D643"/>
  <c r="C643"/>
  <c r="P642"/>
  <c r="O642"/>
  <c r="I642"/>
  <c r="E642"/>
  <c r="D642"/>
  <c r="C642"/>
  <c r="P641"/>
  <c r="O641"/>
  <c r="I641"/>
  <c r="E641"/>
  <c r="D641"/>
  <c r="C641"/>
  <c r="P640"/>
  <c r="O640"/>
  <c r="I640"/>
  <c r="E640"/>
  <c r="D640"/>
  <c r="C640"/>
  <c r="P639"/>
  <c r="O639"/>
  <c r="I639"/>
  <c r="E639"/>
  <c r="D639"/>
  <c r="C639"/>
  <c r="P638"/>
  <c r="O638"/>
  <c r="I638"/>
  <c r="E638"/>
  <c r="D638"/>
  <c r="C638"/>
  <c r="P637"/>
  <c r="O637"/>
  <c r="I637"/>
  <c r="E637"/>
  <c r="D637"/>
  <c r="C637"/>
  <c r="P636"/>
  <c r="O636"/>
  <c r="I636"/>
  <c r="E636"/>
  <c r="D636"/>
  <c r="C636"/>
  <c r="P635"/>
  <c r="L635"/>
  <c r="I635" s="1"/>
  <c r="E635"/>
  <c r="D635"/>
  <c r="C635"/>
  <c r="P634"/>
  <c r="O634"/>
  <c r="I634"/>
  <c r="E634"/>
  <c r="D634"/>
  <c r="C634"/>
  <c r="P633"/>
  <c r="O633"/>
  <c r="I633"/>
  <c r="E633"/>
  <c r="D633"/>
  <c r="C633"/>
  <c r="P632"/>
  <c r="O632"/>
  <c r="I632"/>
  <c r="E632"/>
  <c r="D632"/>
  <c r="C632"/>
  <c r="P631"/>
  <c r="O631"/>
  <c r="I631"/>
  <c r="E631"/>
  <c r="D631"/>
  <c r="C631"/>
  <c r="P630"/>
  <c r="O630"/>
  <c r="I630"/>
  <c r="E630"/>
  <c r="D630"/>
  <c r="C630"/>
  <c r="P629"/>
  <c r="O629"/>
  <c r="I629"/>
  <c r="E629"/>
  <c r="D629"/>
  <c r="C629"/>
  <c r="P628"/>
  <c r="O628"/>
  <c r="I628"/>
  <c r="E628"/>
  <c r="D628"/>
  <c r="C628"/>
  <c r="P627"/>
  <c r="O627"/>
  <c r="I627"/>
  <c r="E627"/>
  <c r="D627"/>
  <c r="C627"/>
  <c r="P626"/>
  <c r="O626"/>
  <c r="I626"/>
  <c r="E626"/>
  <c r="D626"/>
  <c r="C626"/>
  <c r="P625"/>
  <c r="O625"/>
  <c r="I625"/>
  <c r="E625"/>
  <c r="D625"/>
  <c r="C625"/>
  <c r="P624"/>
  <c r="O624"/>
  <c r="I624"/>
  <c r="E624"/>
  <c r="D624"/>
  <c r="C624"/>
  <c r="O623"/>
  <c r="M623"/>
  <c r="I623"/>
  <c r="E623"/>
  <c r="D623"/>
  <c r="C623"/>
  <c r="P622"/>
  <c r="O622"/>
  <c r="I622"/>
  <c r="E622"/>
  <c r="D622"/>
  <c r="C622"/>
  <c r="P621"/>
  <c r="O621"/>
  <c r="I621"/>
  <c r="E621"/>
  <c r="D621"/>
  <c r="C621"/>
  <c r="P620"/>
  <c r="O620"/>
  <c r="I620"/>
  <c r="E620"/>
  <c r="D620"/>
  <c r="C620"/>
  <c r="P619"/>
  <c r="O619"/>
  <c r="I619"/>
  <c r="E619"/>
  <c r="D619"/>
  <c r="C619"/>
  <c r="P618"/>
  <c r="O618"/>
  <c r="I618"/>
  <c r="E618"/>
  <c r="D618"/>
  <c r="C618"/>
  <c r="P617"/>
  <c r="O617"/>
  <c r="I617"/>
  <c r="E617"/>
  <c r="D617"/>
  <c r="C617"/>
  <c r="P616"/>
  <c r="O616"/>
  <c r="I616"/>
  <c r="E616"/>
  <c r="D616"/>
  <c r="C616"/>
  <c r="P615"/>
  <c r="O615"/>
  <c r="I615"/>
  <c r="E615"/>
  <c r="D615"/>
  <c r="C615"/>
  <c r="P614"/>
  <c r="O614"/>
  <c r="I614"/>
  <c r="E614"/>
  <c r="D614"/>
  <c r="C614"/>
  <c r="P613"/>
  <c r="O613"/>
  <c r="I613"/>
  <c r="E613"/>
  <c r="D613"/>
  <c r="C613"/>
  <c r="P612"/>
  <c r="O612"/>
  <c r="I612"/>
  <c r="E612"/>
  <c r="D612"/>
  <c r="C612"/>
  <c r="P611"/>
  <c r="O611"/>
  <c r="I611"/>
  <c r="E611"/>
  <c r="D611"/>
  <c r="C611"/>
  <c r="P610"/>
  <c r="O610"/>
  <c r="I610"/>
  <c r="E610"/>
  <c r="D610"/>
  <c r="C610"/>
  <c r="P609"/>
  <c r="O609"/>
  <c r="I609"/>
  <c r="E609"/>
  <c r="D609"/>
  <c r="C609"/>
  <c r="P608"/>
  <c r="O608"/>
  <c r="I608"/>
  <c r="E608"/>
  <c r="D608"/>
  <c r="C608"/>
  <c r="P607"/>
  <c r="O607"/>
  <c r="I607"/>
  <c r="E607"/>
  <c r="D607"/>
  <c r="C607"/>
  <c r="P606"/>
  <c r="O606"/>
  <c r="I606"/>
  <c r="E606"/>
  <c r="D606"/>
  <c r="C606"/>
  <c r="P605"/>
  <c r="O605"/>
  <c r="I605"/>
  <c r="E605"/>
  <c r="D605"/>
  <c r="C605"/>
  <c r="P604"/>
  <c r="O604"/>
  <c r="I604"/>
  <c r="E604"/>
  <c r="D604"/>
  <c r="C604"/>
  <c r="P603"/>
  <c r="O603"/>
  <c r="I603"/>
  <c r="E603"/>
  <c r="D603"/>
  <c r="C603"/>
  <c r="P602"/>
  <c r="O602"/>
  <c r="I602"/>
  <c r="E602"/>
  <c r="D602"/>
  <c r="C602"/>
  <c r="P601"/>
  <c r="O601"/>
  <c r="I601"/>
  <c r="E601"/>
  <c r="D601"/>
  <c r="C601"/>
  <c r="P600"/>
  <c r="O600"/>
  <c r="I600"/>
  <c r="E600"/>
  <c r="D600"/>
  <c r="C600"/>
  <c r="P599"/>
  <c r="O599"/>
  <c r="I599"/>
  <c r="E599"/>
  <c r="D599"/>
  <c r="C599"/>
  <c r="P598"/>
  <c r="O598"/>
  <c r="I598"/>
  <c r="E598"/>
  <c r="D598"/>
  <c r="C598"/>
  <c r="P597"/>
  <c r="O597"/>
  <c r="I597"/>
  <c r="E597"/>
  <c r="D597"/>
  <c r="C597"/>
  <c r="P596"/>
  <c r="O596"/>
  <c r="I596"/>
  <c r="E596"/>
  <c r="D596"/>
  <c r="C596"/>
  <c r="P595"/>
  <c r="L595"/>
  <c r="I595" s="1"/>
  <c r="E595"/>
  <c r="D595"/>
  <c r="C595"/>
  <c r="P594"/>
  <c r="O594"/>
  <c r="I594"/>
  <c r="E594"/>
  <c r="D594"/>
  <c r="C594"/>
  <c r="P593"/>
  <c r="O593"/>
  <c r="I593"/>
  <c r="E593"/>
  <c r="D593"/>
  <c r="C593"/>
  <c r="P592"/>
  <c r="O592"/>
  <c r="I592"/>
  <c r="E592"/>
  <c r="D592"/>
  <c r="C592"/>
  <c r="P591"/>
  <c r="O591"/>
  <c r="I591"/>
  <c r="E591"/>
  <c r="D591"/>
  <c r="C591"/>
  <c r="P590"/>
  <c r="O590"/>
  <c r="I590"/>
  <c r="E590"/>
  <c r="D590"/>
  <c r="C590"/>
  <c r="P589"/>
  <c r="O589"/>
  <c r="I589"/>
  <c r="E589"/>
  <c r="D589"/>
  <c r="C589"/>
  <c r="P588"/>
  <c r="O588"/>
  <c r="I588"/>
  <c r="E588"/>
  <c r="D588"/>
  <c r="C588"/>
  <c r="P587"/>
  <c r="O587"/>
  <c r="I587"/>
  <c r="E587"/>
  <c r="D587"/>
  <c r="C587"/>
  <c r="P586"/>
  <c r="O586"/>
  <c r="I586"/>
  <c r="E586"/>
  <c r="D586"/>
  <c r="C586"/>
  <c r="P585"/>
  <c r="O585"/>
  <c r="I585"/>
  <c r="E585"/>
  <c r="D585"/>
  <c r="C585"/>
  <c r="O584"/>
  <c r="M584"/>
  <c r="I584"/>
  <c r="E584"/>
  <c r="D584"/>
  <c r="C584"/>
  <c r="P583"/>
  <c r="O583"/>
  <c r="I583"/>
  <c r="E583"/>
  <c r="D583"/>
  <c r="C583"/>
  <c r="P582"/>
  <c r="O582"/>
  <c r="I582"/>
  <c r="E582"/>
  <c r="D582"/>
  <c r="C582"/>
  <c r="P581"/>
  <c r="O581"/>
  <c r="I581"/>
  <c r="E581"/>
  <c r="D581"/>
  <c r="C581"/>
  <c r="P580"/>
  <c r="O580"/>
  <c r="I580"/>
  <c r="E580"/>
  <c r="D580"/>
  <c r="C580"/>
  <c r="P579"/>
  <c r="O579"/>
  <c r="I579"/>
  <c r="E579"/>
  <c r="D579"/>
  <c r="C579"/>
  <c r="P578"/>
  <c r="O578"/>
  <c r="I578"/>
  <c r="E578"/>
  <c r="D578"/>
  <c r="C578"/>
  <c r="P577"/>
  <c r="O577"/>
  <c r="I577"/>
  <c r="E577"/>
  <c r="D577"/>
  <c r="C577"/>
  <c r="P576"/>
  <c r="O576"/>
  <c r="I576"/>
  <c r="E576"/>
  <c r="D576"/>
  <c r="C576"/>
  <c r="P575"/>
  <c r="O575"/>
  <c r="I575"/>
  <c r="E575"/>
  <c r="D575"/>
  <c r="C575"/>
  <c r="P574"/>
  <c r="L574"/>
  <c r="I574" s="1"/>
  <c r="E574"/>
  <c r="D574"/>
  <c r="C574"/>
  <c r="P573"/>
  <c r="O573"/>
  <c r="I573"/>
  <c r="E573"/>
  <c r="D573"/>
  <c r="C573"/>
  <c r="O572"/>
  <c r="M572"/>
  <c r="I572"/>
  <c r="E572"/>
  <c r="D572"/>
  <c r="C572"/>
  <c r="P571"/>
  <c r="O571"/>
  <c r="I571"/>
  <c r="E571"/>
  <c r="D571"/>
  <c r="C571"/>
  <c r="P570"/>
  <c r="O570"/>
  <c r="I570"/>
  <c r="E570"/>
  <c r="D570"/>
  <c r="C570"/>
  <c r="P569"/>
  <c r="O569"/>
  <c r="I569"/>
  <c r="E569"/>
  <c r="D569"/>
  <c r="C569"/>
  <c r="P568"/>
  <c r="O568"/>
  <c r="I568"/>
  <c r="E568"/>
  <c r="D568"/>
  <c r="C568"/>
  <c r="P567"/>
  <c r="O567"/>
  <c r="I567"/>
  <c r="E567"/>
  <c r="D567"/>
  <c r="C567"/>
  <c r="P566"/>
  <c r="O566"/>
  <c r="I566"/>
  <c r="E566"/>
  <c r="D566"/>
  <c r="C566"/>
  <c r="P565"/>
  <c r="O565"/>
  <c r="I565"/>
  <c r="E565"/>
  <c r="D565"/>
  <c r="C565"/>
  <c r="P564"/>
  <c r="O564"/>
  <c r="I564"/>
  <c r="E564"/>
  <c r="D564"/>
  <c r="C564"/>
  <c r="P563"/>
  <c r="O563"/>
  <c r="I563"/>
  <c r="E563"/>
  <c r="D563"/>
  <c r="C563"/>
  <c r="P562"/>
  <c r="O562"/>
  <c r="I562"/>
  <c r="E562"/>
  <c r="D562"/>
  <c r="C562"/>
  <c r="P561"/>
  <c r="O561"/>
  <c r="I561"/>
  <c r="E561"/>
  <c r="D561"/>
  <c r="C561"/>
  <c r="P560"/>
  <c r="O560"/>
  <c r="I560"/>
  <c r="E560"/>
  <c r="D560"/>
  <c r="C560"/>
  <c r="P559"/>
  <c r="O559"/>
  <c r="I559"/>
  <c r="E559"/>
  <c r="D559"/>
  <c r="C559"/>
  <c r="P558"/>
  <c r="O558"/>
  <c r="I558"/>
  <c r="E558"/>
  <c r="D558"/>
  <c r="C558"/>
  <c r="P557"/>
  <c r="O557"/>
  <c r="I557"/>
  <c r="E557"/>
  <c r="D557"/>
  <c r="C557"/>
  <c r="P556"/>
  <c r="O556"/>
  <c r="I556"/>
  <c r="E556"/>
  <c r="D556"/>
  <c r="C556"/>
  <c r="P555"/>
  <c r="O555"/>
  <c r="I555"/>
  <c r="E555"/>
  <c r="D555"/>
  <c r="C555"/>
  <c r="P554"/>
  <c r="O554"/>
  <c r="I554"/>
  <c r="E554"/>
  <c r="D554"/>
  <c r="C554"/>
  <c r="P553"/>
  <c r="O553"/>
  <c r="I553"/>
  <c r="E553"/>
  <c r="D553"/>
  <c r="C553"/>
  <c r="O552"/>
  <c r="M552"/>
  <c r="I552"/>
  <c r="E552"/>
  <c r="D552"/>
  <c r="C552"/>
  <c r="O551"/>
  <c r="M551"/>
  <c r="I551"/>
  <c r="E551"/>
  <c r="D551"/>
  <c r="C551"/>
  <c r="P550"/>
  <c r="O550"/>
  <c r="I550"/>
  <c r="E550"/>
  <c r="D550"/>
  <c r="C550"/>
  <c r="P549"/>
  <c r="O549"/>
  <c r="I549"/>
  <c r="E549"/>
  <c r="D549"/>
  <c r="C549"/>
  <c r="P548"/>
  <c r="O548"/>
  <c r="I548"/>
  <c r="E548"/>
  <c r="D548"/>
  <c r="C548"/>
  <c r="P547"/>
  <c r="O547"/>
  <c r="I547"/>
  <c r="E547"/>
  <c r="D547"/>
  <c r="C547"/>
  <c r="P546"/>
  <c r="O546"/>
  <c r="I546"/>
  <c r="E546"/>
  <c r="D546"/>
  <c r="C546"/>
  <c r="P545"/>
  <c r="O545"/>
  <c r="I545"/>
  <c r="E545"/>
  <c r="D545"/>
  <c r="C545"/>
  <c r="P544"/>
  <c r="O544"/>
  <c r="I544"/>
  <c r="E544"/>
  <c r="D544"/>
  <c r="C544"/>
  <c r="P543"/>
  <c r="O543"/>
  <c r="I543"/>
  <c r="E543"/>
  <c r="D543"/>
  <c r="C543"/>
  <c r="P542"/>
  <c r="O542"/>
  <c r="I542"/>
  <c r="E542"/>
  <c r="D542"/>
  <c r="C542"/>
  <c r="P541"/>
  <c r="O541"/>
  <c r="I541"/>
  <c r="E541"/>
  <c r="D541"/>
  <c r="C541"/>
  <c r="P540"/>
  <c r="O540"/>
  <c r="I540"/>
  <c r="E540"/>
  <c r="D540"/>
  <c r="C540"/>
  <c r="P539"/>
  <c r="O539"/>
  <c r="I539"/>
  <c r="E539"/>
  <c r="D539"/>
  <c r="C539"/>
  <c r="P538"/>
  <c r="O538"/>
  <c r="I538"/>
  <c r="E538"/>
  <c r="D538"/>
  <c r="C538"/>
  <c r="P537"/>
  <c r="O537"/>
  <c r="I537"/>
  <c r="E537"/>
  <c r="D537"/>
  <c r="C537"/>
  <c r="P536"/>
  <c r="O536"/>
  <c r="I536"/>
  <c r="E536"/>
  <c r="D536"/>
  <c r="C536"/>
  <c r="P535"/>
  <c r="O535"/>
  <c r="I535"/>
  <c r="E535"/>
  <c r="D535"/>
  <c r="C535"/>
  <c r="O534"/>
  <c r="M534"/>
  <c r="I534"/>
  <c r="E534"/>
  <c r="D534"/>
  <c r="C534"/>
  <c r="P533"/>
  <c r="O533"/>
  <c r="I533"/>
  <c r="E533"/>
  <c r="D533"/>
  <c r="C533"/>
  <c r="P532"/>
  <c r="O532"/>
  <c r="I532"/>
  <c r="E532"/>
  <c r="D532"/>
  <c r="C532"/>
  <c r="O531"/>
  <c r="M531"/>
  <c r="I531"/>
  <c r="E531"/>
  <c r="D531"/>
  <c r="C531"/>
  <c r="P530"/>
  <c r="O530"/>
  <c r="I530"/>
  <c r="E530"/>
  <c r="D530"/>
  <c r="C530"/>
  <c r="P529"/>
  <c r="O529"/>
  <c r="I529"/>
  <c r="E529"/>
  <c r="D529"/>
  <c r="C529"/>
  <c r="P528"/>
  <c r="O528"/>
  <c r="I528"/>
  <c r="E528"/>
  <c r="D528"/>
  <c r="C528"/>
  <c r="P527"/>
  <c r="O527"/>
  <c r="I527"/>
  <c r="E527"/>
  <c r="D527"/>
  <c r="C527"/>
  <c r="P526"/>
  <c r="O526"/>
  <c r="I526"/>
  <c r="E526"/>
  <c r="D526"/>
  <c r="C526"/>
  <c r="P525"/>
  <c r="O525"/>
  <c r="I525"/>
  <c r="E525"/>
  <c r="D525"/>
  <c r="C525"/>
  <c r="P524"/>
  <c r="O524"/>
  <c r="I524"/>
  <c r="E524"/>
  <c r="D524"/>
  <c r="C524"/>
  <c r="P523"/>
  <c r="O523"/>
  <c r="I523"/>
  <c r="E523"/>
  <c r="D523"/>
  <c r="C523"/>
  <c r="P522"/>
  <c r="O522"/>
  <c r="I522"/>
  <c r="E522"/>
  <c r="D522"/>
  <c r="C522"/>
  <c r="P521"/>
  <c r="L521"/>
  <c r="I521" s="1"/>
  <c r="E521"/>
  <c r="D521"/>
  <c r="C521"/>
  <c r="P520"/>
  <c r="O520"/>
  <c r="I520"/>
  <c r="E520"/>
  <c r="D520"/>
  <c r="C520"/>
  <c r="P519"/>
  <c r="O519"/>
  <c r="I519"/>
  <c r="E519"/>
  <c r="D519"/>
  <c r="C519"/>
  <c r="P518"/>
  <c r="O518"/>
  <c r="I518"/>
  <c r="E518"/>
  <c r="D518"/>
  <c r="C518"/>
  <c r="P517"/>
  <c r="O517"/>
  <c r="I517"/>
  <c r="E517"/>
  <c r="D517"/>
  <c r="C517"/>
  <c r="P516"/>
  <c r="O516"/>
  <c r="I516"/>
  <c r="E516"/>
  <c r="D516"/>
  <c r="C516"/>
  <c r="P515"/>
  <c r="O515"/>
  <c r="I515"/>
  <c r="E515"/>
  <c r="D515"/>
  <c r="C515"/>
  <c r="P514"/>
  <c r="O514"/>
  <c r="I514"/>
  <c r="E514"/>
  <c r="D514"/>
  <c r="C514"/>
  <c r="P513"/>
  <c r="O513"/>
  <c r="I513"/>
  <c r="E513"/>
  <c r="D513"/>
  <c r="C513"/>
  <c r="P512"/>
  <c r="O512"/>
  <c r="I512"/>
  <c r="E512"/>
  <c r="D512"/>
  <c r="C512"/>
  <c r="P511"/>
  <c r="O511"/>
  <c r="I511"/>
  <c r="E511"/>
  <c r="D511"/>
  <c r="C511"/>
  <c r="P510"/>
  <c r="O510"/>
  <c r="I510"/>
  <c r="E510"/>
  <c r="D510"/>
  <c r="C510"/>
  <c r="P509"/>
  <c r="O509"/>
  <c r="I509"/>
  <c r="E509"/>
  <c r="D509"/>
  <c r="C509"/>
  <c r="P508"/>
  <c r="O508"/>
  <c r="I508"/>
  <c r="E508"/>
  <c r="D508"/>
  <c r="C508"/>
  <c r="P507"/>
  <c r="O507"/>
  <c r="I507"/>
  <c r="E507"/>
  <c r="D507"/>
  <c r="C507"/>
  <c r="P506"/>
  <c r="O506"/>
  <c r="I506"/>
  <c r="E506"/>
  <c r="D506"/>
  <c r="C506"/>
  <c r="P505"/>
  <c r="O505"/>
  <c r="I505"/>
  <c r="E505"/>
  <c r="D505"/>
  <c r="C505"/>
  <c r="P504"/>
  <c r="O504"/>
  <c r="I504"/>
  <c r="E504"/>
  <c r="D504"/>
  <c r="C504"/>
  <c r="P503"/>
  <c r="O503"/>
  <c r="I503"/>
  <c r="E503"/>
  <c r="D503"/>
  <c r="C503"/>
  <c r="P502"/>
  <c r="O502"/>
  <c r="I502"/>
  <c r="E502"/>
  <c r="D502"/>
  <c r="C502"/>
  <c r="P501"/>
  <c r="O501"/>
  <c r="I501"/>
  <c r="E501"/>
  <c r="D501"/>
  <c r="C501"/>
  <c r="P500"/>
  <c r="O500"/>
  <c r="I500"/>
  <c r="E500"/>
  <c r="D500"/>
  <c r="C500"/>
  <c r="P499"/>
  <c r="L499"/>
  <c r="I499" s="1"/>
  <c r="E499"/>
  <c r="D499"/>
  <c r="C499"/>
  <c r="P498"/>
  <c r="O498"/>
  <c r="I498"/>
  <c r="E498"/>
  <c r="D498"/>
  <c r="C498"/>
  <c r="P497"/>
  <c r="O497"/>
  <c r="I497"/>
  <c r="E497"/>
  <c r="D497"/>
  <c r="C497"/>
  <c r="P496"/>
  <c r="O496"/>
  <c r="I496"/>
  <c r="E496"/>
  <c r="D496"/>
  <c r="C496"/>
  <c r="P495"/>
  <c r="O495"/>
  <c r="I495"/>
  <c r="E495"/>
  <c r="D495"/>
  <c r="C495"/>
  <c r="P494"/>
  <c r="O494"/>
  <c r="I494"/>
  <c r="E494"/>
  <c r="D494"/>
  <c r="C494"/>
  <c r="P493"/>
  <c r="O493"/>
  <c r="I493"/>
  <c r="E493"/>
  <c r="D493"/>
  <c r="C493"/>
  <c r="P492"/>
  <c r="O492"/>
  <c r="I492"/>
  <c r="E492"/>
  <c r="D492"/>
  <c r="C492"/>
  <c r="P491"/>
  <c r="O491"/>
  <c r="I491"/>
  <c r="E491"/>
  <c r="D491"/>
  <c r="C491"/>
  <c r="P490"/>
  <c r="O490"/>
  <c r="I490"/>
  <c r="E490"/>
  <c r="D490"/>
  <c r="C490"/>
  <c r="P489"/>
  <c r="O489"/>
  <c r="I489"/>
  <c r="E489"/>
  <c r="D489"/>
  <c r="C489"/>
  <c r="P488"/>
  <c r="O488"/>
  <c r="I488"/>
  <c r="E488"/>
  <c r="D488"/>
  <c r="C488"/>
  <c r="P487"/>
  <c r="O487"/>
  <c r="I487"/>
  <c r="E487"/>
  <c r="D487"/>
  <c r="C487"/>
  <c r="P486"/>
  <c r="O486"/>
  <c r="I486"/>
  <c r="E486"/>
  <c r="D486"/>
  <c r="C486"/>
  <c r="P485"/>
  <c r="O485"/>
  <c r="I485"/>
  <c r="E485"/>
  <c r="D485"/>
  <c r="C485"/>
  <c r="P484"/>
  <c r="O484"/>
  <c r="I484"/>
  <c r="E484"/>
  <c r="D484"/>
  <c r="C484"/>
  <c r="P483"/>
  <c r="O483"/>
  <c r="I483"/>
  <c r="E483"/>
  <c r="D483"/>
  <c r="C483"/>
  <c r="P482"/>
  <c r="O482"/>
  <c r="I482"/>
  <c r="E482"/>
  <c r="D482"/>
  <c r="C482"/>
  <c r="P481"/>
  <c r="O481"/>
  <c r="I481"/>
  <c r="E481"/>
  <c r="D481"/>
  <c r="C481"/>
  <c r="P480"/>
  <c r="O480"/>
  <c r="I480"/>
  <c r="E480"/>
  <c r="D480"/>
  <c r="C480"/>
  <c r="P479"/>
  <c r="O479"/>
  <c r="I479"/>
  <c r="E479"/>
  <c r="D479"/>
  <c r="C479"/>
  <c r="P478"/>
  <c r="O478"/>
  <c r="I478"/>
  <c r="E478"/>
  <c r="D478"/>
  <c r="C478"/>
  <c r="P477"/>
  <c r="O477"/>
  <c r="I477"/>
  <c r="E477"/>
  <c r="D477"/>
  <c r="C477"/>
  <c r="P476"/>
  <c r="O476"/>
  <c r="I476"/>
  <c r="E476"/>
  <c r="D476"/>
  <c r="C476"/>
  <c r="P475"/>
  <c r="O475"/>
  <c r="I475"/>
  <c r="E475"/>
  <c r="D475"/>
  <c r="C475"/>
  <c r="P474"/>
  <c r="O474"/>
  <c r="I474"/>
  <c r="E474"/>
  <c r="D474"/>
  <c r="C474"/>
  <c r="P473"/>
  <c r="O473"/>
  <c r="I473"/>
  <c r="E473"/>
  <c r="D473"/>
  <c r="C473"/>
  <c r="P472"/>
  <c r="O472"/>
  <c r="I472"/>
  <c r="E472"/>
  <c r="D472"/>
  <c r="C472"/>
  <c r="P471"/>
  <c r="O471"/>
  <c r="I471"/>
  <c r="E471"/>
  <c r="D471"/>
  <c r="C471"/>
  <c r="P470"/>
  <c r="O470"/>
  <c r="I470"/>
  <c r="E470"/>
  <c r="D470"/>
  <c r="C470"/>
  <c r="P469"/>
  <c r="O469"/>
  <c r="I469"/>
  <c r="E469"/>
  <c r="D469"/>
  <c r="C469"/>
  <c r="P468"/>
  <c r="O468"/>
  <c r="I468"/>
  <c r="E468"/>
  <c r="D468"/>
  <c r="C468"/>
  <c r="P467"/>
  <c r="O467"/>
  <c r="I467"/>
  <c r="E467"/>
  <c r="D467"/>
  <c r="C467"/>
  <c r="P466"/>
  <c r="O466"/>
  <c r="I466"/>
  <c r="E466"/>
  <c r="D466"/>
  <c r="C466"/>
  <c r="P465"/>
  <c r="O465"/>
  <c r="I465"/>
  <c r="E465"/>
  <c r="D465"/>
  <c r="C465"/>
  <c r="P464"/>
  <c r="O464"/>
  <c r="I464"/>
  <c r="E464"/>
  <c r="D464"/>
  <c r="C464"/>
  <c r="P463"/>
  <c r="O463"/>
  <c r="I463"/>
  <c r="E463"/>
  <c r="D463"/>
  <c r="C463"/>
  <c r="P462"/>
  <c r="O462"/>
  <c r="I462"/>
  <c r="E462"/>
  <c r="D462"/>
  <c r="C462"/>
  <c r="P461"/>
  <c r="O461"/>
  <c r="I461"/>
  <c r="E461"/>
  <c r="D461"/>
  <c r="C461"/>
  <c r="P460"/>
  <c r="O460"/>
  <c r="I460"/>
  <c r="E460"/>
  <c r="D460"/>
  <c r="C460"/>
  <c r="P459"/>
  <c r="O459"/>
  <c r="I459"/>
  <c r="E459"/>
  <c r="D459"/>
  <c r="C459"/>
  <c r="P458"/>
  <c r="O458"/>
  <c r="I458"/>
  <c r="E458"/>
  <c r="D458"/>
  <c r="C458"/>
  <c r="O457"/>
  <c r="M457"/>
  <c r="I457"/>
  <c r="E457"/>
  <c r="D457"/>
  <c r="C457"/>
  <c r="P456"/>
  <c r="O456"/>
  <c r="I456"/>
  <c r="E456"/>
  <c r="D456"/>
  <c r="C456"/>
  <c r="P455"/>
  <c r="O455"/>
  <c r="I455"/>
  <c r="E455"/>
  <c r="D455"/>
  <c r="C455"/>
  <c r="O454"/>
  <c r="M454"/>
  <c r="I454"/>
  <c r="E454"/>
  <c r="D454"/>
  <c r="C454"/>
  <c r="P453"/>
  <c r="O453"/>
  <c r="I453"/>
  <c r="E453"/>
  <c r="D453"/>
  <c r="C453"/>
  <c r="P452"/>
  <c r="O452"/>
  <c r="I452"/>
  <c r="E452"/>
  <c r="D452"/>
  <c r="C452"/>
  <c r="P451"/>
  <c r="O451"/>
  <c r="I451"/>
  <c r="E451"/>
  <c r="D451"/>
  <c r="C451"/>
  <c r="P450"/>
  <c r="O450"/>
  <c r="I450"/>
  <c r="E450"/>
  <c r="D450"/>
  <c r="C450"/>
  <c r="P449"/>
  <c r="O449"/>
  <c r="I449"/>
  <c r="E449"/>
  <c r="D449"/>
  <c r="C449"/>
  <c r="P448"/>
  <c r="O448"/>
  <c r="I448"/>
  <c r="E448"/>
  <c r="D448"/>
  <c r="C448"/>
  <c r="P447"/>
  <c r="O447"/>
  <c r="I447"/>
  <c r="E447"/>
  <c r="D447"/>
  <c r="C447"/>
  <c r="P446"/>
  <c r="L446"/>
  <c r="I446" s="1"/>
  <c r="E446"/>
  <c r="D446"/>
  <c r="C446"/>
  <c r="P445"/>
  <c r="O445"/>
  <c r="I445"/>
  <c r="E445"/>
  <c r="D445"/>
  <c r="C445"/>
  <c r="P444"/>
  <c r="O444"/>
  <c r="I444"/>
  <c r="E444"/>
  <c r="D444"/>
  <c r="C444"/>
  <c r="P443"/>
  <c r="O443"/>
  <c r="I443"/>
  <c r="E443"/>
  <c r="D443"/>
  <c r="C443"/>
  <c r="P442"/>
  <c r="O442"/>
  <c r="I442"/>
  <c r="E442"/>
  <c r="D442"/>
  <c r="C442"/>
  <c r="P441"/>
  <c r="O441"/>
  <c r="I441"/>
  <c r="E441"/>
  <c r="D441"/>
  <c r="C441"/>
  <c r="P440"/>
  <c r="O440"/>
  <c r="I440"/>
  <c r="E440"/>
  <c r="D440"/>
  <c r="C440"/>
  <c r="P439"/>
  <c r="O439"/>
  <c r="I439"/>
  <c r="E439"/>
  <c r="D439"/>
  <c r="C439"/>
  <c r="P438"/>
  <c r="O438"/>
  <c r="I438"/>
  <c r="E438"/>
  <c r="D438"/>
  <c r="C438"/>
  <c r="P437"/>
  <c r="O437"/>
  <c r="I437"/>
  <c r="E437"/>
  <c r="D437"/>
  <c r="C437"/>
  <c r="P436"/>
  <c r="O436"/>
  <c r="I436"/>
  <c r="E436"/>
  <c r="D436"/>
  <c r="C436"/>
  <c r="P435"/>
  <c r="O435"/>
  <c r="I435"/>
  <c r="E435"/>
  <c r="D435"/>
  <c r="C435"/>
  <c r="P434"/>
  <c r="O434"/>
  <c r="I434"/>
  <c r="E434"/>
  <c r="D434"/>
  <c r="C434"/>
  <c r="P433"/>
  <c r="O433"/>
  <c r="I433"/>
  <c r="E433"/>
  <c r="D433"/>
  <c r="C433"/>
  <c r="P432"/>
  <c r="O432"/>
  <c r="I432"/>
  <c r="E432"/>
  <c r="D432"/>
  <c r="C432"/>
  <c r="P431"/>
  <c r="O431"/>
  <c r="I431"/>
  <c r="E431"/>
  <c r="D431"/>
  <c r="C431"/>
  <c r="P430"/>
  <c r="O430"/>
  <c r="I430"/>
  <c r="E430"/>
  <c r="D430"/>
  <c r="C430"/>
  <c r="P429"/>
  <c r="O429"/>
  <c r="I429"/>
  <c r="E429"/>
  <c r="D429"/>
  <c r="C429"/>
  <c r="P428"/>
  <c r="O428"/>
  <c r="I428"/>
  <c r="E428"/>
  <c r="D428"/>
  <c r="C428"/>
  <c r="P427"/>
  <c r="O427"/>
  <c r="I427"/>
  <c r="E427"/>
  <c r="D427"/>
  <c r="C427"/>
  <c r="P426"/>
  <c r="O426"/>
  <c r="I426"/>
  <c r="E426"/>
  <c r="D426"/>
  <c r="C426"/>
  <c r="P425"/>
  <c r="L425"/>
  <c r="I425" s="1"/>
  <c r="E425"/>
  <c r="D425"/>
  <c r="C425"/>
  <c r="P424"/>
  <c r="O424"/>
  <c r="I424"/>
  <c r="E424"/>
  <c r="D424"/>
  <c r="C424"/>
  <c r="P423"/>
  <c r="O423"/>
  <c r="I423"/>
  <c r="E423"/>
  <c r="D423"/>
  <c r="C423"/>
  <c r="P422"/>
  <c r="O422"/>
  <c r="I422"/>
  <c r="E422"/>
  <c r="D422"/>
  <c r="C422"/>
  <c r="P421"/>
  <c r="O421"/>
  <c r="I421"/>
  <c r="E421"/>
  <c r="D421"/>
  <c r="C421"/>
  <c r="P420"/>
  <c r="O420"/>
  <c r="I420"/>
  <c r="E420"/>
  <c r="D420"/>
  <c r="C420"/>
  <c r="P419"/>
  <c r="O419"/>
  <c r="I419"/>
  <c r="E419"/>
  <c r="D419"/>
  <c r="C419"/>
  <c r="P418"/>
  <c r="O418"/>
  <c r="I418"/>
  <c r="E418"/>
  <c r="D418"/>
  <c r="C418"/>
  <c r="P417"/>
  <c r="O417"/>
  <c r="I417"/>
  <c r="E417"/>
  <c r="D417"/>
  <c r="C417"/>
  <c r="P416"/>
  <c r="O416"/>
  <c r="I416"/>
  <c r="E416"/>
  <c r="D416"/>
  <c r="C416"/>
  <c r="P415"/>
  <c r="O415"/>
  <c r="I415"/>
  <c r="E415"/>
  <c r="D415"/>
  <c r="C415"/>
  <c r="P414"/>
  <c r="O414"/>
  <c r="I414"/>
  <c r="E414"/>
  <c r="D414"/>
  <c r="C414"/>
  <c r="P413"/>
  <c r="O413"/>
  <c r="I413"/>
  <c r="E413"/>
  <c r="D413"/>
  <c r="C413"/>
  <c r="P412"/>
  <c r="O412"/>
  <c r="I412"/>
  <c r="E412"/>
  <c r="D412"/>
  <c r="C412"/>
  <c r="P411"/>
  <c r="O411"/>
  <c r="I411"/>
  <c r="E411"/>
  <c r="D411"/>
  <c r="C411"/>
  <c r="P410"/>
  <c r="O410"/>
  <c r="I410"/>
  <c r="E410"/>
  <c r="D410"/>
  <c r="C410"/>
  <c r="P409"/>
  <c r="O409"/>
  <c r="I409"/>
  <c r="E409"/>
  <c r="D409"/>
  <c r="C409"/>
  <c r="P408"/>
  <c r="O408"/>
  <c r="I408"/>
  <c r="E408"/>
  <c r="D408"/>
  <c r="C408"/>
  <c r="P407"/>
  <c r="O407"/>
  <c r="I407"/>
  <c r="E407"/>
  <c r="D407"/>
  <c r="C407"/>
  <c r="P406"/>
  <c r="O406"/>
  <c r="I406"/>
  <c r="E406"/>
  <c r="D406"/>
  <c r="C406"/>
  <c r="P405"/>
  <c r="O405"/>
  <c r="I405"/>
  <c r="E405"/>
  <c r="D405"/>
  <c r="C405"/>
  <c r="P404"/>
  <c r="O404"/>
  <c r="I404"/>
  <c r="E404"/>
  <c r="D404"/>
  <c r="C404"/>
  <c r="P403"/>
  <c r="O403"/>
  <c r="I403"/>
  <c r="E403"/>
  <c r="D403"/>
  <c r="C403"/>
  <c r="P402"/>
  <c r="O402"/>
  <c r="I402"/>
  <c r="E402"/>
  <c r="D402"/>
  <c r="C402"/>
  <c r="P401"/>
  <c r="O401"/>
  <c r="I401"/>
  <c r="E401"/>
  <c r="D401"/>
  <c r="C401"/>
  <c r="P400"/>
  <c r="O400"/>
  <c r="I400"/>
  <c r="E400"/>
  <c r="D400"/>
  <c r="C400"/>
  <c r="P399"/>
  <c r="O399"/>
  <c r="I399"/>
  <c r="E399"/>
  <c r="D399"/>
  <c r="C399"/>
  <c r="P398"/>
  <c r="O398"/>
  <c r="I398"/>
  <c r="E398"/>
  <c r="D398"/>
  <c r="C398"/>
  <c r="P397"/>
  <c r="O397"/>
  <c r="I397"/>
  <c r="E397"/>
  <c r="D397"/>
  <c r="C397"/>
  <c r="P396"/>
  <c r="O396"/>
  <c r="I396"/>
  <c r="E396"/>
  <c r="D396"/>
  <c r="C396"/>
  <c r="P395"/>
  <c r="O395"/>
  <c r="I395"/>
  <c r="E395"/>
  <c r="D395"/>
  <c r="C395"/>
  <c r="P394"/>
  <c r="L394"/>
  <c r="I394" s="1"/>
  <c r="E394"/>
  <c r="D394"/>
  <c r="C394"/>
  <c r="P393"/>
  <c r="O393"/>
  <c r="I393"/>
  <c r="E393"/>
  <c r="D393"/>
  <c r="C393"/>
  <c r="P392"/>
  <c r="O392"/>
  <c r="I392"/>
  <c r="E392"/>
  <c r="D392"/>
  <c r="C392"/>
  <c r="P391"/>
  <c r="L391"/>
  <c r="I391" s="1"/>
  <c r="E391"/>
  <c r="D391"/>
  <c r="C391"/>
  <c r="P390"/>
  <c r="O390"/>
  <c r="I390"/>
  <c r="E390"/>
  <c r="D390"/>
  <c r="C390"/>
  <c r="P389"/>
  <c r="O389"/>
  <c r="I389"/>
  <c r="E389"/>
  <c r="D389"/>
  <c r="C389"/>
  <c r="P388"/>
  <c r="O388"/>
  <c r="I388"/>
  <c r="E388"/>
  <c r="D388"/>
  <c r="C388"/>
  <c r="P387"/>
  <c r="O387"/>
  <c r="I387"/>
  <c r="E387"/>
  <c r="D387"/>
  <c r="C387"/>
  <c r="P386"/>
  <c r="O386"/>
  <c r="I386"/>
  <c r="E386"/>
  <c r="D386"/>
  <c r="C386"/>
  <c r="P385"/>
  <c r="O385"/>
  <c r="I385"/>
  <c r="E385"/>
  <c r="D385"/>
  <c r="C385"/>
  <c r="P384"/>
  <c r="O384"/>
  <c r="I384"/>
  <c r="E384"/>
  <c r="D384"/>
  <c r="C384"/>
  <c r="P383"/>
  <c r="O383"/>
  <c r="I383"/>
  <c r="E383"/>
  <c r="D383"/>
  <c r="C383"/>
  <c r="P382"/>
  <c r="O382"/>
  <c r="I382"/>
  <c r="E382"/>
  <c r="D382"/>
  <c r="C382"/>
  <c r="P381"/>
  <c r="O381"/>
  <c r="I381"/>
  <c r="E381"/>
  <c r="D381"/>
  <c r="C381"/>
  <c r="P380"/>
  <c r="O380"/>
  <c r="I380"/>
  <c r="E380"/>
  <c r="D380"/>
  <c r="C380"/>
  <c r="P379"/>
  <c r="O379"/>
  <c r="I379"/>
  <c r="E379"/>
  <c r="D379"/>
  <c r="C379"/>
  <c r="P378"/>
  <c r="O378"/>
  <c r="I378"/>
  <c r="E378"/>
  <c r="D378"/>
  <c r="C378"/>
  <c r="P377"/>
  <c r="O377"/>
  <c r="I377"/>
  <c r="E377"/>
  <c r="D377"/>
  <c r="C377"/>
  <c r="P376"/>
  <c r="O376"/>
  <c r="I376"/>
  <c r="E376"/>
  <c r="D376"/>
  <c r="C376"/>
  <c r="P375"/>
  <c r="O375"/>
  <c r="I375"/>
  <c r="E375"/>
  <c r="D375"/>
  <c r="C375"/>
  <c r="P374"/>
  <c r="O374"/>
  <c r="I374"/>
  <c r="E374"/>
  <c r="D374"/>
  <c r="C374"/>
  <c r="P373"/>
  <c r="O373"/>
  <c r="I373"/>
  <c r="E373"/>
  <c r="D373"/>
  <c r="C373"/>
  <c r="P372"/>
  <c r="O372"/>
  <c r="I372"/>
  <c r="E372"/>
  <c r="D372"/>
  <c r="C372"/>
  <c r="P371"/>
  <c r="O371"/>
  <c r="I371"/>
  <c r="E371"/>
  <c r="D371"/>
  <c r="C371"/>
  <c r="P370"/>
  <c r="O370"/>
  <c r="I370"/>
  <c r="E370"/>
  <c r="D370"/>
  <c r="C370"/>
  <c r="P369"/>
  <c r="O369"/>
  <c r="I369"/>
  <c r="E369"/>
  <c r="D369"/>
  <c r="C369"/>
  <c r="P368"/>
  <c r="O368"/>
  <c r="I368"/>
  <c r="E368"/>
  <c r="D368"/>
  <c r="C368"/>
  <c r="P367"/>
  <c r="O367"/>
  <c r="I367"/>
  <c r="E367"/>
  <c r="D367"/>
  <c r="C367"/>
  <c r="P366"/>
  <c r="O366"/>
  <c r="I366"/>
  <c r="E366"/>
  <c r="D366"/>
  <c r="C366"/>
  <c r="P365"/>
  <c r="O365"/>
  <c r="I365"/>
  <c r="E365"/>
  <c r="D365"/>
  <c r="C365"/>
  <c r="P364"/>
  <c r="O364"/>
  <c r="I364"/>
  <c r="E364"/>
  <c r="D364"/>
  <c r="C364"/>
  <c r="P363"/>
  <c r="O363"/>
  <c r="I363"/>
  <c r="E363"/>
  <c r="D363"/>
  <c r="C363"/>
  <c r="P362"/>
  <c r="O362"/>
  <c r="I362"/>
  <c r="E362"/>
  <c r="D362"/>
  <c r="C362"/>
  <c r="O361"/>
  <c r="M361"/>
  <c r="I361"/>
  <c r="E361"/>
  <c r="D361"/>
  <c r="C361"/>
  <c r="P360"/>
  <c r="O360"/>
  <c r="I360"/>
  <c r="E360"/>
  <c r="D360"/>
  <c r="C360"/>
  <c r="P359"/>
  <c r="O359"/>
  <c r="I359"/>
  <c r="E359"/>
  <c r="D359"/>
  <c r="C359"/>
  <c r="P358"/>
  <c r="O358"/>
  <c r="I358"/>
  <c r="E358"/>
  <c r="D358"/>
  <c r="C358"/>
  <c r="P357"/>
  <c r="O357"/>
  <c r="I357"/>
  <c r="E357"/>
  <c r="D357"/>
  <c r="C357"/>
  <c r="P356"/>
  <c r="O356"/>
  <c r="I356"/>
  <c r="E356"/>
  <c r="D356"/>
  <c r="C356"/>
  <c r="P355"/>
  <c r="O355"/>
  <c r="I355"/>
  <c r="E355"/>
  <c r="D355"/>
  <c r="C355"/>
  <c r="P354"/>
  <c r="O354"/>
  <c r="I354"/>
  <c r="E354"/>
  <c r="D354"/>
  <c r="C354"/>
  <c r="P353"/>
  <c r="O353"/>
  <c r="I353"/>
  <c r="E353"/>
  <c r="D353"/>
  <c r="C353"/>
  <c r="P352"/>
  <c r="O352"/>
  <c r="I352"/>
  <c r="E352"/>
  <c r="D352"/>
  <c r="C352"/>
  <c r="P351"/>
  <c r="O351"/>
  <c r="I351"/>
  <c r="E351"/>
  <c r="D351"/>
  <c r="C351"/>
  <c r="P350"/>
  <c r="O350"/>
  <c r="I350"/>
  <c r="E350"/>
  <c r="D350"/>
  <c r="C350"/>
  <c r="P349"/>
  <c r="O349"/>
  <c r="I349"/>
  <c r="E349"/>
  <c r="D349"/>
  <c r="C349"/>
  <c r="P348"/>
  <c r="O348"/>
  <c r="I348"/>
  <c r="E348"/>
  <c r="D348"/>
  <c r="C348"/>
  <c r="P347"/>
  <c r="O347"/>
  <c r="I347"/>
  <c r="E347"/>
  <c r="D347"/>
  <c r="C347"/>
  <c r="P346"/>
  <c r="L346"/>
  <c r="I346" s="1"/>
  <c r="E346"/>
  <c r="D346"/>
  <c r="C346"/>
  <c r="P345"/>
  <c r="O345"/>
  <c r="I345"/>
  <c r="E345"/>
  <c r="D345"/>
  <c r="C345"/>
  <c r="P344"/>
  <c r="O344"/>
  <c r="I344"/>
  <c r="E344"/>
  <c r="D344"/>
  <c r="C344"/>
  <c r="P343"/>
  <c r="O343"/>
  <c r="I343"/>
  <c r="E343"/>
  <c r="D343"/>
  <c r="C343"/>
  <c r="P342"/>
  <c r="L342"/>
  <c r="I342" s="1"/>
  <c r="E342"/>
  <c r="D342"/>
  <c r="C342"/>
  <c r="P341"/>
  <c r="O341"/>
  <c r="I341"/>
  <c r="E341"/>
  <c r="D341"/>
  <c r="C341"/>
  <c r="P340"/>
  <c r="O340"/>
  <c r="I340"/>
  <c r="E340"/>
  <c r="D340"/>
  <c r="C340"/>
  <c r="P339"/>
  <c r="O339"/>
  <c r="I339"/>
  <c r="E339"/>
  <c r="D339"/>
  <c r="C339"/>
  <c r="O338"/>
  <c r="M338"/>
  <c r="I338"/>
  <c r="E338"/>
  <c r="D338"/>
  <c r="C338"/>
  <c r="P337"/>
  <c r="O337"/>
  <c r="I337"/>
  <c r="E337"/>
  <c r="D337"/>
  <c r="C337"/>
  <c r="P336"/>
  <c r="O336"/>
  <c r="I336"/>
  <c r="E336"/>
  <c r="D336"/>
  <c r="C336"/>
  <c r="P335"/>
  <c r="O335"/>
  <c r="I335"/>
  <c r="E335"/>
  <c r="D335"/>
  <c r="C335"/>
  <c r="P334"/>
  <c r="O334"/>
  <c r="I334"/>
  <c r="E334"/>
  <c r="D334"/>
  <c r="C334"/>
  <c r="P333"/>
  <c r="O333"/>
  <c r="I333"/>
  <c r="E333"/>
  <c r="D333"/>
  <c r="C333"/>
  <c r="P332"/>
  <c r="O332"/>
  <c r="I332"/>
  <c r="E332"/>
  <c r="D332"/>
  <c r="C332"/>
  <c r="P331"/>
  <c r="O331"/>
  <c r="I331"/>
  <c r="E331"/>
  <c r="D331"/>
  <c r="C331"/>
  <c r="P330"/>
  <c r="O330"/>
  <c r="I330"/>
  <c r="E330"/>
  <c r="D330"/>
  <c r="C330"/>
  <c r="P329"/>
  <c r="O329"/>
  <c r="I329"/>
  <c r="E329"/>
  <c r="D329"/>
  <c r="C329"/>
  <c r="P328"/>
  <c r="O328"/>
  <c r="I328"/>
  <c r="E328"/>
  <c r="D328"/>
  <c r="C328"/>
  <c r="P327"/>
  <c r="O327"/>
  <c r="I327"/>
  <c r="E327"/>
  <c r="D327"/>
  <c r="C327"/>
  <c r="P326"/>
  <c r="O326"/>
  <c r="I326"/>
  <c r="E326"/>
  <c r="D326"/>
  <c r="C326"/>
  <c r="P325"/>
  <c r="O325"/>
  <c r="I325"/>
  <c r="E325"/>
  <c r="D325"/>
  <c r="C325"/>
  <c r="P324"/>
  <c r="O324"/>
  <c r="I324"/>
  <c r="E324"/>
  <c r="D324"/>
  <c r="C324"/>
  <c r="P323"/>
  <c r="O323"/>
  <c r="I323"/>
  <c r="E323"/>
  <c r="D323"/>
  <c r="C323"/>
  <c r="P322"/>
  <c r="O322"/>
  <c r="I322"/>
  <c r="E322"/>
  <c r="D322"/>
  <c r="C322"/>
  <c r="P321"/>
  <c r="O321"/>
  <c r="I321"/>
  <c r="E321"/>
  <c r="D321"/>
  <c r="C321"/>
  <c r="P320"/>
  <c r="O320"/>
  <c r="I320"/>
  <c r="E320"/>
  <c r="D320"/>
  <c r="C320"/>
  <c r="P319"/>
  <c r="L319"/>
  <c r="I319" s="1"/>
  <c r="E319"/>
  <c r="D319"/>
  <c r="C319"/>
  <c r="P318"/>
  <c r="O318"/>
  <c r="I318"/>
  <c r="E318"/>
  <c r="D318"/>
  <c r="C318"/>
  <c r="P317"/>
  <c r="O317"/>
  <c r="I317"/>
  <c r="E317"/>
  <c r="D317"/>
  <c r="C317"/>
  <c r="P316"/>
  <c r="O316"/>
  <c r="I316"/>
  <c r="E316"/>
  <c r="D316"/>
  <c r="C316"/>
  <c r="P315"/>
  <c r="O315"/>
  <c r="I315"/>
  <c r="E315"/>
  <c r="D315"/>
  <c r="C315"/>
  <c r="P314"/>
  <c r="O314"/>
  <c r="I314"/>
  <c r="E314"/>
  <c r="D314"/>
  <c r="C314"/>
  <c r="P313"/>
  <c r="O313"/>
  <c r="I313"/>
  <c r="E313"/>
  <c r="D313"/>
  <c r="C313"/>
  <c r="P312"/>
  <c r="O312"/>
  <c r="I312"/>
  <c r="E312"/>
  <c r="D312"/>
  <c r="C312"/>
  <c r="P311"/>
  <c r="O311"/>
  <c r="I311"/>
  <c r="E311"/>
  <c r="D311"/>
  <c r="C311"/>
  <c r="P310"/>
  <c r="O310"/>
  <c r="I310"/>
  <c r="E310"/>
  <c r="D310"/>
  <c r="C310"/>
  <c r="P309"/>
  <c r="O309"/>
  <c r="I309"/>
  <c r="E309"/>
  <c r="D309"/>
  <c r="C309"/>
  <c r="P308"/>
  <c r="L308"/>
  <c r="I308" s="1"/>
  <c r="E308"/>
  <c r="D308"/>
  <c r="C308"/>
  <c r="P307"/>
  <c r="O307"/>
  <c r="I307"/>
  <c r="E307"/>
  <c r="D307"/>
  <c r="C307"/>
  <c r="P306"/>
  <c r="O306"/>
  <c r="I306"/>
  <c r="E306"/>
  <c r="D306"/>
  <c r="C306"/>
  <c r="P305"/>
  <c r="O305"/>
  <c r="I305"/>
  <c r="E305"/>
  <c r="D305"/>
  <c r="C305"/>
  <c r="P304"/>
  <c r="O304"/>
  <c r="I304"/>
  <c r="E304"/>
  <c r="D304"/>
  <c r="C304"/>
  <c r="P303"/>
  <c r="O303"/>
  <c r="I303"/>
  <c r="E303"/>
  <c r="D303"/>
  <c r="C303"/>
  <c r="P302"/>
  <c r="O302"/>
  <c r="I302"/>
  <c r="E302"/>
  <c r="D302"/>
  <c r="C302"/>
  <c r="P301"/>
  <c r="O301"/>
  <c r="I301"/>
  <c r="E301"/>
  <c r="D301"/>
  <c r="C301"/>
  <c r="P300"/>
  <c r="O300"/>
  <c r="I300"/>
  <c r="E300"/>
  <c r="D300"/>
  <c r="C300"/>
  <c r="P299"/>
  <c r="O299"/>
  <c r="I299"/>
  <c r="E299"/>
  <c r="D299"/>
  <c r="C299"/>
  <c r="P298"/>
  <c r="O298"/>
  <c r="I298"/>
  <c r="E298"/>
  <c r="D298"/>
  <c r="C298"/>
  <c r="P297"/>
  <c r="O297"/>
  <c r="I297"/>
  <c r="E297"/>
  <c r="D297"/>
  <c r="C297"/>
  <c r="P296"/>
  <c r="O296"/>
  <c r="I296"/>
  <c r="E296"/>
  <c r="D296"/>
  <c r="C296"/>
  <c r="P295"/>
  <c r="O295"/>
  <c r="I295"/>
  <c r="E295"/>
  <c r="D295"/>
  <c r="C295"/>
  <c r="P294"/>
  <c r="O294"/>
  <c r="Q294" s="1"/>
  <c r="I294"/>
  <c r="E294"/>
  <c r="D294"/>
  <c r="C294"/>
  <c r="P293"/>
  <c r="O293"/>
  <c r="I293"/>
  <c r="E293"/>
  <c r="D293"/>
  <c r="C293"/>
  <c r="P292"/>
  <c r="O292"/>
  <c r="I292"/>
  <c r="E292"/>
  <c r="D292"/>
  <c r="C292"/>
  <c r="P291"/>
  <c r="O291"/>
  <c r="I291"/>
  <c r="E291"/>
  <c r="D291"/>
  <c r="C291"/>
  <c r="P290"/>
  <c r="O290"/>
  <c r="Q290" s="1"/>
  <c r="I290"/>
  <c r="E290"/>
  <c r="D290"/>
  <c r="C290"/>
  <c r="P289"/>
  <c r="O289"/>
  <c r="Q289" s="1"/>
  <c r="I289"/>
  <c r="E289"/>
  <c r="D289"/>
  <c r="C289"/>
  <c r="P288"/>
  <c r="O288"/>
  <c r="I288"/>
  <c r="E288"/>
  <c r="D288"/>
  <c r="C288"/>
  <c r="P287"/>
  <c r="O287"/>
  <c r="I287"/>
  <c r="E287"/>
  <c r="D287"/>
  <c r="C287"/>
  <c r="P286"/>
  <c r="O286"/>
  <c r="Q286" s="1"/>
  <c r="I286"/>
  <c r="E286"/>
  <c r="D286"/>
  <c r="C286"/>
  <c r="P285"/>
  <c r="O285"/>
  <c r="I285"/>
  <c r="E285"/>
  <c r="D285"/>
  <c r="C285"/>
  <c r="P284"/>
  <c r="O284"/>
  <c r="I284"/>
  <c r="E284"/>
  <c r="D284"/>
  <c r="C284"/>
  <c r="P283"/>
  <c r="O283"/>
  <c r="I283"/>
  <c r="E283"/>
  <c r="D283"/>
  <c r="C283"/>
  <c r="P282"/>
  <c r="O282"/>
  <c r="I282"/>
  <c r="E282"/>
  <c r="D282"/>
  <c r="C282"/>
  <c r="P281"/>
  <c r="O281"/>
  <c r="I281"/>
  <c r="E281"/>
  <c r="D281"/>
  <c r="C281"/>
  <c r="P280"/>
  <c r="O280"/>
  <c r="I280"/>
  <c r="E280"/>
  <c r="D280"/>
  <c r="C280"/>
  <c r="P279"/>
  <c r="O279"/>
  <c r="I279"/>
  <c r="E279"/>
  <c r="D279"/>
  <c r="C279"/>
  <c r="P278"/>
  <c r="O278"/>
  <c r="I278"/>
  <c r="E278"/>
  <c r="D278"/>
  <c r="C278"/>
  <c r="P277"/>
  <c r="O277"/>
  <c r="I277"/>
  <c r="E277"/>
  <c r="D277"/>
  <c r="C277"/>
  <c r="P276"/>
  <c r="O276"/>
  <c r="I276"/>
  <c r="E276"/>
  <c r="D276"/>
  <c r="C276"/>
  <c r="P275"/>
  <c r="O275"/>
  <c r="I275"/>
  <c r="E275"/>
  <c r="D275"/>
  <c r="C275"/>
  <c r="P274"/>
  <c r="O274"/>
  <c r="I274"/>
  <c r="E274"/>
  <c r="D274"/>
  <c r="C274"/>
  <c r="P273"/>
  <c r="O273"/>
  <c r="I273"/>
  <c r="E273"/>
  <c r="D273"/>
  <c r="C273"/>
  <c r="P272"/>
  <c r="O272"/>
  <c r="I272"/>
  <c r="E272"/>
  <c r="D272"/>
  <c r="C272"/>
  <c r="P271"/>
  <c r="O271"/>
  <c r="I271"/>
  <c r="E271"/>
  <c r="D271"/>
  <c r="C271"/>
  <c r="P270"/>
  <c r="O270"/>
  <c r="Q270" s="1"/>
  <c r="I270"/>
  <c r="E270"/>
  <c r="D270"/>
  <c r="C270"/>
  <c r="P269"/>
  <c r="O269"/>
  <c r="I269"/>
  <c r="E269"/>
  <c r="D269"/>
  <c r="C269"/>
  <c r="P268"/>
  <c r="O268"/>
  <c r="I268"/>
  <c r="E268"/>
  <c r="D268"/>
  <c r="C268"/>
  <c r="P267"/>
  <c r="O267"/>
  <c r="I267"/>
  <c r="E267"/>
  <c r="D267"/>
  <c r="C267"/>
  <c r="P266"/>
  <c r="O266"/>
  <c r="I266"/>
  <c r="E266"/>
  <c r="D266"/>
  <c r="C266"/>
  <c r="P265"/>
  <c r="O265"/>
  <c r="I265"/>
  <c r="E265"/>
  <c r="D265"/>
  <c r="C265"/>
  <c r="P264"/>
  <c r="O264"/>
  <c r="I264"/>
  <c r="E264"/>
  <c r="D264"/>
  <c r="C264"/>
  <c r="P263"/>
  <c r="O263"/>
  <c r="I263"/>
  <c r="E263"/>
  <c r="D263"/>
  <c r="C263"/>
  <c r="P262"/>
  <c r="O262"/>
  <c r="Q262" s="1"/>
  <c r="I262"/>
  <c r="E262"/>
  <c r="D262"/>
  <c r="C262"/>
  <c r="P261"/>
  <c r="O261"/>
  <c r="I261"/>
  <c r="E261"/>
  <c r="D261"/>
  <c r="C261"/>
  <c r="P260"/>
  <c r="L260"/>
  <c r="I260" s="1"/>
  <c r="E260"/>
  <c r="D260"/>
  <c r="C260"/>
  <c r="P259"/>
  <c r="O259"/>
  <c r="I259"/>
  <c r="E259"/>
  <c r="D259"/>
  <c r="C259"/>
  <c r="P258"/>
  <c r="O258"/>
  <c r="I258"/>
  <c r="E258"/>
  <c r="D258"/>
  <c r="C258"/>
  <c r="P257"/>
  <c r="O257"/>
  <c r="I257"/>
  <c r="E257"/>
  <c r="D257"/>
  <c r="C257"/>
  <c r="P256"/>
  <c r="O256"/>
  <c r="I256"/>
  <c r="E256"/>
  <c r="D256"/>
  <c r="C256"/>
  <c r="P255"/>
  <c r="O255"/>
  <c r="I255"/>
  <c r="E255"/>
  <c r="D255"/>
  <c r="C255"/>
  <c r="P254"/>
  <c r="O254"/>
  <c r="I254"/>
  <c r="E254"/>
  <c r="D254"/>
  <c r="C254"/>
  <c r="P253"/>
  <c r="O253"/>
  <c r="I253"/>
  <c r="E253"/>
  <c r="D253"/>
  <c r="C253"/>
  <c r="P252"/>
  <c r="O252"/>
  <c r="I252"/>
  <c r="E252"/>
  <c r="D252"/>
  <c r="C252"/>
  <c r="P251"/>
  <c r="O251"/>
  <c r="I251"/>
  <c r="E251"/>
  <c r="D251"/>
  <c r="C251"/>
  <c r="P250"/>
  <c r="O250"/>
  <c r="I250"/>
  <c r="E250"/>
  <c r="D250"/>
  <c r="C250"/>
  <c r="P249"/>
  <c r="O249"/>
  <c r="I249"/>
  <c r="E249"/>
  <c r="D249"/>
  <c r="C249"/>
  <c r="P248"/>
  <c r="O248"/>
  <c r="I248"/>
  <c r="E248"/>
  <c r="D248"/>
  <c r="C248"/>
  <c r="P247"/>
  <c r="O247"/>
  <c r="I247"/>
  <c r="E247"/>
  <c r="D247"/>
  <c r="C247"/>
  <c r="P246"/>
  <c r="O246"/>
  <c r="I246"/>
  <c r="E246"/>
  <c r="D246"/>
  <c r="C246"/>
  <c r="P245"/>
  <c r="O245"/>
  <c r="I245"/>
  <c r="E245"/>
  <c r="D245"/>
  <c r="C245"/>
  <c r="P244"/>
  <c r="O244"/>
  <c r="I244"/>
  <c r="E244"/>
  <c r="D244"/>
  <c r="C244"/>
  <c r="P243"/>
  <c r="O243"/>
  <c r="I243"/>
  <c r="E243"/>
  <c r="D243"/>
  <c r="C243"/>
  <c r="P242"/>
  <c r="O242"/>
  <c r="I242"/>
  <c r="E242"/>
  <c r="D242"/>
  <c r="C242"/>
  <c r="P241"/>
  <c r="O241"/>
  <c r="I241"/>
  <c r="E241"/>
  <c r="D241"/>
  <c r="C241"/>
  <c r="P240"/>
  <c r="O240"/>
  <c r="I240"/>
  <c r="E240"/>
  <c r="D240"/>
  <c r="C240"/>
  <c r="O239"/>
  <c r="M239"/>
  <c r="I239"/>
  <c r="E239"/>
  <c r="D239"/>
  <c r="C239"/>
  <c r="P238"/>
  <c r="O238"/>
  <c r="I238"/>
  <c r="E238"/>
  <c r="D238"/>
  <c r="C238"/>
  <c r="P237"/>
  <c r="O237"/>
  <c r="I237"/>
  <c r="E237"/>
  <c r="D237"/>
  <c r="C237"/>
  <c r="P236"/>
  <c r="O236"/>
  <c r="I236"/>
  <c r="E236"/>
  <c r="D236"/>
  <c r="C236"/>
  <c r="P235"/>
  <c r="O235"/>
  <c r="I235"/>
  <c r="E235"/>
  <c r="D235"/>
  <c r="C235"/>
  <c r="P234"/>
  <c r="O234"/>
  <c r="I234"/>
  <c r="E234"/>
  <c r="D234"/>
  <c r="C234"/>
  <c r="P233"/>
  <c r="O233"/>
  <c r="I233"/>
  <c r="E233"/>
  <c r="D233"/>
  <c r="C233"/>
  <c r="P232"/>
  <c r="O232"/>
  <c r="I232"/>
  <c r="E232"/>
  <c r="D232"/>
  <c r="C232"/>
  <c r="P231"/>
  <c r="O231"/>
  <c r="I231"/>
  <c r="E231"/>
  <c r="D231"/>
  <c r="C231"/>
  <c r="P230"/>
  <c r="O230"/>
  <c r="I230"/>
  <c r="E230"/>
  <c r="D230"/>
  <c r="C230"/>
  <c r="P229"/>
  <c r="O229"/>
  <c r="I229"/>
  <c r="E229"/>
  <c r="D229"/>
  <c r="C229"/>
  <c r="P228"/>
  <c r="O228"/>
  <c r="I228"/>
  <c r="E228"/>
  <c r="D228"/>
  <c r="C228"/>
  <c r="P227"/>
  <c r="O227"/>
  <c r="I227"/>
  <c r="E227"/>
  <c r="D227"/>
  <c r="C227"/>
  <c r="P226"/>
  <c r="O226"/>
  <c r="I226"/>
  <c r="E226"/>
  <c r="D226"/>
  <c r="C226"/>
  <c r="P225"/>
  <c r="O225"/>
  <c r="I225"/>
  <c r="E225"/>
  <c r="D225"/>
  <c r="C225"/>
  <c r="P224"/>
  <c r="O224"/>
  <c r="I224"/>
  <c r="E224"/>
  <c r="D224"/>
  <c r="C224"/>
  <c r="P223"/>
  <c r="O223"/>
  <c r="I223"/>
  <c r="E223"/>
  <c r="D223"/>
  <c r="C223"/>
  <c r="P222"/>
  <c r="O222"/>
  <c r="I222"/>
  <c r="E222"/>
  <c r="D222"/>
  <c r="C222"/>
  <c r="P221"/>
  <c r="O221"/>
  <c r="I221"/>
  <c r="E221"/>
  <c r="D221"/>
  <c r="C221"/>
  <c r="P220"/>
  <c r="O220"/>
  <c r="I220"/>
  <c r="E220"/>
  <c r="D220"/>
  <c r="C220"/>
  <c r="P219"/>
  <c r="O219"/>
  <c r="I219"/>
  <c r="E219"/>
  <c r="D219"/>
  <c r="C219"/>
  <c r="P218"/>
  <c r="O218"/>
  <c r="I218"/>
  <c r="E218"/>
  <c r="D218"/>
  <c r="C218"/>
  <c r="P217"/>
  <c r="O217"/>
  <c r="I217"/>
  <c r="E217"/>
  <c r="D217"/>
  <c r="C217"/>
  <c r="P216"/>
  <c r="O216"/>
  <c r="I216"/>
  <c r="E216"/>
  <c r="D216"/>
  <c r="C216"/>
  <c r="P215"/>
  <c r="L215"/>
  <c r="I215" s="1"/>
  <c r="E215"/>
  <c r="D215"/>
  <c r="C215"/>
  <c r="P214"/>
  <c r="O214"/>
  <c r="I214"/>
  <c r="E214"/>
  <c r="D214"/>
  <c r="C214"/>
  <c r="P213"/>
  <c r="O213"/>
  <c r="I213"/>
  <c r="E213"/>
  <c r="D213"/>
  <c r="C213"/>
  <c r="P212"/>
  <c r="O212"/>
  <c r="I212"/>
  <c r="E212"/>
  <c r="D212"/>
  <c r="C212"/>
  <c r="P211"/>
  <c r="O211"/>
  <c r="I211"/>
  <c r="E211"/>
  <c r="D211"/>
  <c r="C211"/>
  <c r="P210"/>
  <c r="O210"/>
  <c r="I210"/>
  <c r="E210"/>
  <c r="D210"/>
  <c r="C210"/>
  <c r="P209"/>
  <c r="O209"/>
  <c r="I209"/>
  <c r="E209"/>
  <c r="D209"/>
  <c r="C209"/>
  <c r="P208"/>
  <c r="O208"/>
  <c r="I208"/>
  <c r="E208"/>
  <c r="D208"/>
  <c r="C208"/>
  <c r="P207"/>
  <c r="O207"/>
  <c r="I207"/>
  <c r="E207"/>
  <c r="D207"/>
  <c r="C207"/>
  <c r="P206"/>
  <c r="O206"/>
  <c r="I206"/>
  <c r="E206"/>
  <c r="D206"/>
  <c r="C206"/>
  <c r="P205"/>
  <c r="O205"/>
  <c r="I205"/>
  <c r="E205"/>
  <c r="D205"/>
  <c r="C205"/>
  <c r="O204"/>
  <c r="M204"/>
  <c r="I204"/>
  <c r="E204"/>
  <c r="D204"/>
  <c r="C204"/>
  <c r="P203"/>
  <c r="O203"/>
  <c r="I203"/>
  <c r="E203"/>
  <c r="D203"/>
  <c r="C203"/>
  <c r="P202"/>
  <c r="O202"/>
  <c r="I202"/>
  <c r="E202"/>
  <c r="D202"/>
  <c r="C202"/>
  <c r="P201"/>
  <c r="O201"/>
  <c r="I201"/>
  <c r="E201"/>
  <c r="D201"/>
  <c r="C201"/>
  <c r="O200"/>
  <c r="M200"/>
  <c r="I200"/>
  <c r="E200"/>
  <c r="D200"/>
  <c r="C200"/>
  <c r="P199"/>
  <c r="L199"/>
  <c r="I199" s="1"/>
  <c r="E199"/>
  <c r="D199"/>
  <c r="C199"/>
  <c r="P198"/>
  <c r="Q198" s="1"/>
  <c r="O198"/>
  <c r="I198"/>
  <c r="E198"/>
  <c r="D198"/>
  <c r="C198"/>
  <c r="P197"/>
  <c r="O197"/>
  <c r="I197"/>
  <c r="E197"/>
  <c r="D197"/>
  <c r="C197"/>
  <c r="P196"/>
  <c r="O196"/>
  <c r="I196"/>
  <c r="E196"/>
  <c r="D196"/>
  <c r="C196"/>
  <c r="P195"/>
  <c r="O195"/>
  <c r="I195"/>
  <c r="E195"/>
  <c r="D195"/>
  <c r="C195"/>
  <c r="P194"/>
  <c r="O194"/>
  <c r="I194"/>
  <c r="E194"/>
  <c r="D194"/>
  <c r="C194"/>
  <c r="P193"/>
  <c r="O193"/>
  <c r="I193"/>
  <c r="E193"/>
  <c r="D193"/>
  <c r="C193"/>
  <c r="P192"/>
  <c r="O192"/>
  <c r="I192"/>
  <c r="E192"/>
  <c r="D192"/>
  <c r="C192"/>
  <c r="P191"/>
  <c r="O191"/>
  <c r="I191"/>
  <c r="E191"/>
  <c r="D191"/>
  <c r="C191"/>
  <c r="O190"/>
  <c r="M190"/>
  <c r="I190"/>
  <c r="E190"/>
  <c r="D190"/>
  <c r="C190"/>
  <c r="P189"/>
  <c r="O189"/>
  <c r="I189"/>
  <c r="E189"/>
  <c r="D189"/>
  <c r="C189"/>
  <c r="O188"/>
  <c r="M188"/>
  <c r="I188"/>
  <c r="E188"/>
  <c r="D188"/>
  <c r="C188"/>
  <c r="P187"/>
  <c r="O187"/>
  <c r="I187"/>
  <c r="E187"/>
  <c r="D187"/>
  <c r="C187"/>
  <c r="P186"/>
  <c r="O186"/>
  <c r="I186"/>
  <c r="E186"/>
  <c r="D186"/>
  <c r="C186"/>
  <c r="P185"/>
  <c r="O185"/>
  <c r="I185"/>
  <c r="E185"/>
  <c r="D185"/>
  <c r="C185"/>
  <c r="O184"/>
  <c r="M184"/>
  <c r="I184"/>
  <c r="E184"/>
  <c r="D184"/>
  <c r="C184"/>
  <c r="P183"/>
  <c r="O183"/>
  <c r="I183"/>
  <c r="E183"/>
  <c r="D183"/>
  <c r="C183"/>
  <c r="P182"/>
  <c r="O182"/>
  <c r="I182"/>
  <c r="E182"/>
  <c r="D182"/>
  <c r="C182"/>
  <c r="P181"/>
  <c r="O181"/>
  <c r="I181"/>
  <c r="E181"/>
  <c r="D181"/>
  <c r="C181"/>
  <c r="P180"/>
  <c r="O180"/>
  <c r="I180"/>
  <c r="E180"/>
  <c r="D180"/>
  <c r="C180"/>
  <c r="P179"/>
  <c r="O179"/>
  <c r="I179"/>
  <c r="E179"/>
  <c r="D179"/>
  <c r="C179"/>
  <c r="P178"/>
  <c r="O178"/>
  <c r="I178"/>
  <c r="E178"/>
  <c r="D178"/>
  <c r="C178"/>
  <c r="P177"/>
  <c r="O177"/>
  <c r="I177"/>
  <c r="E177"/>
  <c r="D177"/>
  <c r="C177"/>
  <c r="P176"/>
  <c r="O176"/>
  <c r="I176"/>
  <c r="E176"/>
  <c r="D176"/>
  <c r="C176"/>
  <c r="P175"/>
  <c r="O175"/>
  <c r="I175"/>
  <c r="E175"/>
  <c r="D175"/>
  <c r="C175"/>
  <c r="P174"/>
  <c r="O174"/>
  <c r="I174"/>
  <c r="E174"/>
  <c r="D174"/>
  <c r="C174"/>
  <c r="P173"/>
  <c r="O173"/>
  <c r="I173"/>
  <c r="E173"/>
  <c r="D173"/>
  <c r="C173"/>
  <c r="P172"/>
  <c r="O172"/>
  <c r="I172"/>
  <c r="E172"/>
  <c r="D172"/>
  <c r="C172"/>
  <c r="P171"/>
  <c r="O171"/>
  <c r="I171"/>
  <c r="E171"/>
  <c r="D171"/>
  <c r="C171"/>
  <c r="P170"/>
  <c r="O170"/>
  <c r="I170"/>
  <c r="E170"/>
  <c r="D170"/>
  <c r="C170"/>
  <c r="P169"/>
  <c r="O169"/>
  <c r="I169"/>
  <c r="E169"/>
  <c r="D169"/>
  <c r="C169"/>
  <c r="P168"/>
  <c r="O168"/>
  <c r="I168"/>
  <c r="E168"/>
  <c r="D168"/>
  <c r="C168"/>
  <c r="P167"/>
  <c r="O167"/>
  <c r="I167"/>
  <c r="E167"/>
  <c r="D167"/>
  <c r="C167"/>
  <c r="P166"/>
  <c r="O166"/>
  <c r="I166"/>
  <c r="E166"/>
  <c r="D166"/>
  <c r="C166"/>
  <c r="P165"/>
  <c r="O165"/>
  <c r="I165"/>
  <c r="E165"/>
  <c r="D165"/>
  <c r="C165"/>
  <c r="P164"/>
  <c r="O164"/>
  <c r="I164"/>
  <c r="E164"/>
  <c r="D164"/>
  <c r="C164"/>
  <c r="P163"/>
  <c r="O163"/>
  <c r="I163"/>
  <c r="E163"/>
  <c r="D163"/>
  <c r="C163"/>
  <c r="P162"/>
  <c r="O162"/>
  <c r="I162"/>
  <c r="E162"/>
  <c r="D162"/>
  <c r="C162"/>
  <c r="P161"/>
  <c r="O161"/>
  <c r="I161"/>
  <c r="E161"/>
  <c r="D161"/>
  <c r="C161"/>
  <c r="P160"/>
  <c r="Q160" s="1"/>
  <c r="O160"/>
  <c r="I160"/>
  <c r="E160"/>
  <c r="D160"/>
  <c r="C160"/>
  <c r="P159"/>
  <c r="O159"/>
  <c r="I159"/>
  <c r="E159"/>
  <c r="D159"/>
  <c r="C159"/>
  <c r="P158"/>
  <c r="O158"/>
  <c r="I158"/>
  <c r="E158"/>
  <c r="D158"/>
  <c r="C158"/>
  <c r="P157"/>
  <c r="O157"/>
  <c r="I157"/>
  <c r="E157"/>
  <c r="D157"/>
  <c r="C157"/>
  <c r="P156"/>
  <c r="O156"/>
  <c r="I156"/>
  <c r="E156"/>
  <c r="D156"/>
  <c r="C156"/>
  <c r="P155"/>
  <c r="O155"/>
  <c r="I155"/>
  <c r="E155"/>
  <c r="D155"/>
  <c r="C155"/>
  <c r="P154"/>
  <c r="O154"/>
  <c r="I154"/>
  <c r="E154"/>
  <c r="D154"/>
  <c r="C154"/>
  <c r="P153"/>
  <c r="O153"/>
  <c r="I153"/>
  <c r="E153"/>
  <c r="D153"/>
  <c r="C153"/>
  <c r="P152"/>
  <c r="O152"/>
  <c r="I152"/>
  <c r="E152"/>
  <c r="D152"/>
  <c r="C152"/>
  <c r="P151"/>
  <c r="O151"/>
  <c r="I151"/>
  <c r="E151"/>
  <c r="D151"/>
  <c r="C151"/>
  <c r="P150"/>
  <c r="O150"/>
  <c r="I150"/>
  <c r="E150"/>
  <c r="D150"/>
  <c r="C150"/>
  <c r="P149"/>
  <c r="O149"/>
  <c r="I149"/>
  <c r="E149"/>
  <c r="D149"/>
  <c r="C149"/>
  <c r="P148"/>
  <c r="O148"/>
  <c r="I148"/>
  <c r="E148"/>
  <c r="D148"/>
  <c r="C148"/>
  <c r="P147"/>
  <c r="O147"/>
  <c r="I147"/>
  <c r="E147"/>
  <c r="D147"/>
  <c r="C147"/>
  <c r="P146"/>
  <c r="O146"/>
  <c r="I146"/>
  <c r="E146"/>
  <c r="D146"/>
  <c r="C146"/>
  <c r="P145"/>
  <c r="O145"/>
  <c r="I145"/>
  <c r="E145"/>
  <c r="D145"/>
  <c r="C145"/>
  <c r="P144"/>
  <c r="O144"/>
  <c r="I144"/>
  <c r="E144"/>
  <c r="D144"/>
  <c r="C144"/>
  <c r="P143"/>
  <c r="O143"/>
  <c r="I143"/>
  <c r="E143"/>
  <c r="D143"/>
  <c r="C143"/>
  <c r="P142"/>
  <c r="O142"/>
  <c r="I142"/>
  <c r="E142"/>
  <c r="D142"/>
  <c r="C142"/>
  <c r="P141"/>
  <c r="O141"/>
  <c r="I141"/>
  <c r="E141"/>
  <c r="D141"/>
  <c r="C141"/>
  <c r="P140"/>
  <c r="Q140" s="1"/>
  <c r="O140"/>
  <c r="I140"/>
  <c r="E140"/>
  <c r="D140"/>
  <c r="C140"/>
  <c r="P139"/>
  <c r="O139"/>
  <c r="I139"/>
  <c r="E139"/>
  <c r="D139"/>
  <c r="C139"/>
  <c r="P138"/>
  <c r="O138"/>
  <c r="I138"/>
  <c r="E138"/>
  <c r="D138"/>
  <c r="C138"/>
  <c r="P137"/>
  <c r="O137"/>
  <c r="I137"/>
  <c r="E137"/>
  <c r="D137"/>
  <c r="C137"/>
  <c r="P136"/>
  <c r="O136"/>
  <c r="I136"/>
  <c r="E136"/>
  <c r="D136"/>
  <c r="C136"/>
  <c r="P135"/>
  <c r="O135"/>
  <c r="I135"/>
  <c r="E135"/>
  <c r="D135"/>
  <c r="C135"/>
  <c r="P134"/>
  <c r="O134"/>
  <c r="I134"/>
  <c r="E134"/>
  <c r="D134"/>
  <c r="C134"/>
  <c r="P133"/>
  <c r="O133"/>
  <c r="I133"/>
  <c r="E133"/>
  <c r="D133"/>
  <c r="C133"/>
  <c r="P132"/>
  <c r="O132"/>
  <c r="I132"/>
  <c r="E132"/>
  <c r="D132"/>
  <c r="C132"/>
  <c r="P131"/>
  <c r="O131"/>
  <c r="I131"/>
  <c r="E131"/>
  <c r="D131"/>
  <c r="C131"/>
  <c r="P130"/>
  <c r="O130"/>
  <c r="I130"/>
  <c r="E130"/>
  <c r="D130"/>
  <c r="C130"/>
  <c r="P129"/>
  <c r="O129"/>
  <c r="I129"/>
  <c r="E129"/>
  <c r="D129"/>
  <c r="C129"/>
  <c r="P128"/>
  <c r="O128"/>
  <c r="I128"/>
  <c r="E128"/>
  <c r="D128"/>
  <c r="C128"/>
  <c r="P127"/>
  <c r="O127"/>
  <c r="I127"/>
  <c r="E127"/>
  <c r="D127"/>
  <c r="C127"/>
  <c r="P126"/>
  <c r="O126"/>
  <c r="I126"/>
  <c r="E126"/>
  <c r="D126"/>
  <c r="C126"/>
  <c r="P125"/>
  <c r="O125"/>
  <c r="I125"/>
  <c r="E125"/>
  <c r="D125"/>
  <c r="C125"/>
  <c r="P124"/>
  <c r="O124"/>
  <c r="I124"/>
  <c r="E124"/>
  <c r="D124"/>
  <c r="C124"/>
  <c r="P123"/>
  <c r="O123"/>
  <c r="I123"/>
  <c r="E123"/>
  <c r="D123"/>
  <c r="C123"/>
  <c r="P122"/>
  <c r="O122"/>
  <c r="I122"/>
  <c r="E122"/>
  <c r="D122"/>
  <c r="C122"/>
  <c r="P121"/>
  <c r="O121"/>
  <c r="I121"/>
  <c r="E121"/>
  <c r="D121"/>
  <c r="C121"/>
  <c r="P120"/>
  <c r="O120"/>
  <c r="I120"/>
  <c r="E120"/>
  <c r="D120"/>
  <c r="C120"/>
  <c r="P119"/>
  <c r="O119"/>
  <c r="I119"/>
  <c r="E119"/>
  <c r="D119"/>
  <c r="C119"/>
  <c r="P118"/>
  <c r="O118"/>
  <c r="I118"/>
  <c r="E118"/>
  <c r="D118"/>
  <c r="C118"/>
  <c r="P117"/>
  <c r="O117"/>
  <c r="I117"/>
  <c r="E117"/>
  <c r="D117"/>
  <c r="C117"/>
  <c r="P116"/>
  <c r="O116"/>
  <c r="I116"/>
  <c r="E116"/>
  <c r="D116"/>
  <c r="C116"/>
  <c r="P115"/>
  <c r="O115"/>
  <c r="I115"/>
  <c r="E115"/>
  <c r="D115"/>
  <c r="C115"/>
  <c r="P114"/>
  <c r="O114"/>
  <c r="I114"/>
  <c r="E114"/>
  <c r="D114"/>
  <c r="C114"/>
  <c r="P113"/>
  <c r="O113"/>
  <c r="I113"/>
  <c r="E113"/>
  <c r="D113"/>
  <c r="C113"/>
  <c r="P112"/>
  <c r="O112"/>
  <c r="I112"/>
  <c r="E112"/>
  <c r="D112"/>
  <c r="C112"/>
  <c r="P111"/>
  <c r="O111"/>
  <c r="I111"/>
  <c r="E111"/>
  <c r="D111"/>
  <c r="C111"/>
  <c r="P110"/>
  <c r="O110"/>
  <c r="I110"/>
  <c r="E110"/>
  <c r="D110"/>
  <c r="C110"/>
  <c r="P109"/>
  <c r="O109"/>
  <c r="I109"/>
  <c r="E109"/>
  <c r="D109"/>
  <c r="C109"/>
  <c r="P108"/>
  <c r="O108"/>
  <c r="I108"/>
  <c r="E108"/>
  <c r="D108"/>
  <c r="C108"/>
  <c r="P107"/>
  <c r="O107"/>
  <c r="I107"/>
  <c r="E107"/>
  <c r="D107"/>
  <c r="C107"/>
  <c r="P106"/>
  <c r="O106"/>
  <c r="I106"/>
  <c r="E106"/>
  <c r="D106"/>
  <c r="C106"/>
  <c r="P105"/>
  <c r="O105"/>
  <c r="I105"/>
  <c r="E105"/>
  <c r="D105"/>
  <c r="C105"/>
  <c r="P104"/>
  <c r="O104"/>
  <c r="I104"/>
  <c r="E104"/>
  <c r="D104"/>
  <c r="C104"/>
  <c r="P103"/>
  <c r="O103"/>
  <c r="I103"/>
  <c r="E103"/>
  <c r="D103"/>
  <c r="C103"/>
  <c r="P102"/>
  <c r="O102"/>
  <c r="I102"/>
  <c r="E102"/>
  <c r="D102"/>
  <c r="C102"/>
  <c r="P101"/>
  <c r="O101"/>
  <c r="I101"/>
  <c r="E101"/>
  <c r="D101"/>
  <c r="C101"/>
  <c r="P100"/>
  <c r="O100"/>
  <c r="I100"/>
  <c r="E100"/>
  <c r="D100"/>
  <c r="C100"/>
  <c r="P99"/>
  <c r="O99"/>
  <c r="I99"/>
  <c r="E99"/>
  <c r="D99"/>
  <c r="C99"/>
  <c r="P98"/>
  <c r="O98"/>
  <c r="I98"/>
  <c r="E98"/>
  <c r="D98"/>
  <c r="C98"/>
  <c r="P97"/>
  <c r="O97"/>
  <c r="I97"/>
  <c r="E97"/>
  <c r="D97"/>
  <c r="C97"/>
  <c r="P96"/>
  <c r="O96"/>
  <c r="I96"/>
  <c r="E96"/>
  <c r="D96"/>
  <c r="C96"/>
  <c r="P95"/>
  <c r="O95"/>
  <c r="I95"/>
  <c r="E95"/>
  <c r="D95"/>
  <c r="C95"/>
  <c r="P94"/>
  <c r="O94"/>
  <c r="I94"/>
  <c r="E94"/>
  <c r="D94"/>
  <c r="C94"/>
  <c r="P93"/>
  <c r="O93"/>
  <c r="I93"/>
  <c r="E93"/>
  <c r="D93"/>
  <c r="C93"/>
  <c r="P92"/>
  <c r="O92"/>
  <c r="I92"/>
  <c r="E92"/>
  <c r="D92"/>
  <c r="C92"/>
  <c r="P91"/>
  <c r="O91"/>
  <c r="I91"/>
  <c r="E91"/>
  <c r="D91"/>
  <c r="C91"/>
  <c r="P90"/>
  <c r="O90"/>
  <c r="I90"/>
  <c r="E90"/>
  <c r="D90"/>
  <c r="C90"/>
  <c r="P89"/>
  <c r="O89"/>
  <c r="I89"/>
  <c r="E89"/>
  <c r="D89"/>
  <c r="C89"/>
  <c r="P88"/>
  <c r="O88"/>
  <c r="I88"/>
  <c r="E88"/>
  <c r="D88"/>
  <c r="C88"/>
  <c r="P87"/>
  <c r="O87"/>
  <c r="I87"/>
  <c r="E87"/>
  <c r="D87"/>
  <c r="C87"/>
  <c r="P86"/>
  <c r="O86"/>
  <c r="I86"/>
  <c r="E86"/>
  <c r="D86"/>
  <c r="C86"/>
  <c r="P85"/>
  <c r="O85"/>
  <c r="I85"/>
  <c r="E85"/>
  <c r="D85"/>
  <c r="C85"/>
  <c r="P84"/>
  <c r="O84"/>
  <c r="I84"/>
  <c r="E84"/>
  <c r="D84"/>
  <c r="C84"/>
  <c r="P83"/>
  <c r="O83"/>
  <c r="I83"/>
  <c r="E83"/>
  <c r="D83"/>
  <c r="C83"/>
  <c r="P82"/>
  <c r="O82"/>
  <c r="I82"/>
  <c r="E82"/>
  <c r="D82"/>
  <c r="C82"/>
  <c r="P81"/>
  <c r="O81"/>
  <c r="I81"/>
  <c r="E81"/>
  <c r="D81"/>
  <c r="C81"/>
  <c r="P80"/>
  <c r="O80"/>
  <c r="I80"/>
  <c r="E80"/>
  <c r="D80"/>
  <c r="C80"/>
  <c r="P79"/>
  <c r="O79"/>
  <c r="I79"/>
  <c r="E79"/>
  <c r="D79"/>
  <c r="C79"/>
  <c r="P78"/>
  <c r="O78"/>
  <c r="I78"/>
  <c r="E78"/>
  <c r="D78"/>
  <c r="C78"/>
  <c r="P77"/>
  <c r="O77"/>
  <c r="I77"/>
  <c r="E77"/>
  <c r="D77"/>
  <c r="C77"/>
  <c r="P76"/>
  <c r="O76"/>
  <c r="I76"/>
  <c r="E76"/>
  <c r="D76"/>
  <c r="C76"/>
  <c r="P75"/>
  <c r="O75"/>
  <c r="I75"/>
  <c r="E75"/>
  <c r="D75"/>
  <c r="C75"/>
  <c r="P74"/>
  <c r="O74"/>
  <c r="I74"/>
  <c r="E74"/>
  <c r="D74"/>
  <c r="C74"/>
  <c r="P73"/>
  <c r="O73"/>
  <c r="I73"/>
  <c r="E73"/>
  <c r="D73"/>
  <c r="C73"/>
  <c r="P72"/>
  <c r="O72"/>
  <c r="I72"/>
  <c r="E72"/>
  <c r="D72"/>
  <c r="C72"/>
  <c r="P71"/>
  <c r="O71"/>
  <c r="I71"/>
  <c r="E71"/>
  <c r="D71"/>
  <c r="C71"/>
  <c r="P70"/>
  <c r="O70"/>
  <c r="I70"/>
  <c r="E70"/>
  <c r="D70"/>
  <c r="C70"/>
  <c r="P69"/>
  <c r="O69"/>
  <c r="I69"/>
  <c r="E69"/>
  <c r="D69"/>
  <c r="C69"/>
  <c r="P68"/>
  <c r="O68"/>
  <c r="I68"/>
  <c r="E68"/>
  <c r="D68"/>
  <c r="C68"/>
  <c r="P67"/>
  <c r="O67"/>
  <c r="I67"/>
  <c r="E67"/>
  <c r="D67"/>
  <c r="C67"/>
  <c r="P66"/>
  <c r="O66"/>
  <c r="I66"/>
  <c r="E66"/>
  <c r="D66"/>
  <c r="C66"/>
  <c r="P65"/>
  <c r="O65"/>
  <c r="I65"/>
  <c r="E65"/>
  <c r="D65"/>
  <c r="C65"/>
  <c r="O64"/>
  <c r="M64"/>
  <c r="I64"/>
  <c r="E64"/>
  <c r="D64"/>
  <c r="C64"/>
  <c r="P63"/>
  <c r="O63"/>
  <c r="I63"/>
  <c r="E63"/>
  <c r="D63"/>
  <c r="C63"/>
  <c r="P62"/>
  <c r="O62"/>
  <c r="I62"/>
  <c r="E62"/>
  <c r="D62"/>
  <c r="C62"/>
  <c r="P61"/>
  <c r="O61"/>
  <c r="I61"/>
  <c r="E61"/>
  <c r="D61"/>
  <c r="C61"/>
  <c r="P60"/>
  <c r="O60"/>
  <c r="I60"/>
  <c r="E60"/>
  <c r="D60"/>
  <c r="C60"/>
  <c r="P59"/>
  <c r="O59"/>
  <c r="I59"/>
  <c r="E59"/>
  <c r="D59"/>
  <c r="C59"/>
  <c r="P58"/>
  <c r="O58"/>
  <c r="I58"/>
  <c r="E58"/>
  <c r="D58"/>
  <c r="C58"/>
  <c r="P57"/>
  <c r="O57"/>
  <c r="I57"/>
  <c r="E57"/>
  <c r="D57"/>
  <c r="C57"/>
  <c r="P56"/>
  <c r="O56"/>
  <c r="I56"/>
  <c r="E56"/>
  <c r="D56"/>
  <c r="C56"/>
  <c r="P55"/>
  <c r="O55"/>
  <c r="I55"/>
  <c r="E55"/>
  <c r="D55"/>
  <c r="C55"/>
  <c r="P54"/>
  <c r="O54"/>
  <c r="I54"/>
  <c r="E54"/>
  <c r="D54"/>
  <c r="C54"/>
  <c r="P53"/>
  <c r="O53"/>
  <c r="I53"/>
  <c r="E53"/>
  <c r="D53"/>
  <c r="C53"/>
  <c r="P52"/>
  <c r="O52"/>
  <c r="I52"/>
  <c r="E52"/>
  <c r="D52"/>
  <c r="C52"/>
  <c r="P51"/>
  <c r="O51"/>
  <c r="I51"/>
  <c r="E51"/>
  <c r="D51"/>
  <c r="C51"/>
  <c r="P50"/>
  <c r="O50"/>
  <c r="I50"/>
  <c r="E50"/>
  <c r="D50"/>
  <c r="C50"/>
  <c r="P49"/>
  <c r="O49"/>
  <c r="I49"/>
  <c r="E49"/>
  <c r="D49"/>
  <c r="C49"/>
  <c r="P48"/>
  <c r="O48"/>
  <c r="I48"/>
  <c r="E48"/>
  <c r="D48"/>
  <c r="C48"/>
  <c r="P47"/>
  <c r="O47"/>
  <c r="I47"/>
  <c r="E47"/>
  <c r="D47"/>
  <c r="C47"/>
  <c r="P46"/>
  <c r="L46"/>
  <c r="I46" s="1"/>
  <c r="E46"/>
  <c r="D46"/>
  <c r="C46"/>
  <c r="P45"/>
  <c r="O45"/>
  <c r="I45"/>
  <c r="E45"/>
  <c r="D45"/>
  <c r="C45"/>
  <c r="P44"/>
  <c r="O44"/>
  <c r="I44"/>
  <c r="E44"/>
  <c r="D44"/>
  <c r="C44"/>
  <c r="P43"/>
  <c r="O43"/>
  <c r="I43"/>
  <c r="E43"/>
  <c r="D43"/>
  <c r="C43"/>
  <c r="P42"/>
  <c r="O42"/>
  <c r="I42"/>
  <c r="E42"/>
  <c r="D42"/>
  <c r="C42"/>
  <c r="P41"/>
  <c r="O41"/>
  <c r="I41"/>
  <c r="E41"/>
  <c r="D41"/>
  <c r="C41"/>
  <c r="P40"/>
  <c r="O40"/>
  <c r="I40"/>
  <c r="E40"/>
  <c r="D40"/>
  <c r="C40"/>
  <c r="P39"/>
  <c r="O39"/>
  <c r="I39"/>
  <c r="E39"/>
  <c r="D39"/>
  <c r="C39"/>
  <c r="P38"/>
  <c r="O38"/>
  <c r="I38"/>
  <c r="E38"/>
  <c r="D38"/>
  <c r="C38"/>
  <c r="P37"/>
  <c r="O37"/>
  <c r="I37"/>
  <c r="E37"/>
  <c r="D37"/>
  <c r="C37"/>
  <c r="P36"/>
  <c r="O36"/>
  <c r="I36"/>
  <c r="E36"/>
  <c r="D36"/>
  <c r="C36"/>
  <c r="P35"/>
  <c r="O35"/>
  <c r="I35"/>
  <c r="E35"/>
  <c r="D35"/>
  <c r="C35"/>
  <c r="P34"/>
  <c r="O34"/>
  <c r="I34"/>
  <c r="E34"/>
  <c r="D34"/>
  <c r="C34"/>
  <c r="P33"/>
  <c r="O33"/>
  <c r="I33"/>
  <c r="E33"/>
  <c r="D33"/>
  <c r="C33"/>
  <c r="P32"/>
  <c r="O32"/>
  <c r="I32"/>
  <c r="E32"/>
  <c r="D32"/>
  <c r="C32"/>
  <c r="P31"/>
  <c r="O31"/>
  <c r="I31"/>
  <c r="E31"/>
  <c r="D31"/>
  <c r="C31"/>
  <c r="P30"/>
  <c r="O30"/>
  <c r="I30"/>
  <c r="E30"/>
  <c r="D30"/>
  <c r="C30"/>
  <c r="P29"/>
  <c r="O29"/>
  <c r="I29"/>
  <c r="E29"/>
  <c r="D29"/>
  <c r="C29"/>
  <c r="P28"/>
  <c r="O28"/>
  <c r="I28"/>
  <c r="E28"/>
  <c r="D28"/>
  <c r="C28"/>
  <c r="P27"/>
  <c r="O27"/>
  <c r="I27"/>
  <c r="E27"/>
  <c r="D27"/>
  <c r="C27"/>
  <c r="P26"/>
  <c r="O26"/>
  <c r="I26"/>
  <c r="E26"/>
  <c r="D26"/>
  <c r="C26"/>
  <c r="P25"/>
  <c r="O25"/>
  <c r="I25"/>
  <c r="E25"/>
  <c r="D25"/>
  <c r="C25"/>
  <c r="P24"/>
  <c r="O24"/>
  <c r="I24"/>
  <c r="E24"/>
  <c r="D24"/>
  <c r="C24"/>
  <c r="P23"/>
  <c r="O23"/>
  <c r="I23"/>
  <c r="E23"/>
  <c r="D23"/>
  <c r="C23"/>
  <c r="P22"/>
  <c r="O22"/>
  <c r="I22"/>
  <c r="E22"/>
  <c r="D22"/>
  <c r="C22"/>
  <c r="O21"/>
  <c r="M21"/>
  <c r="I21"/>
  <c r="E21"/>
  <c r="D21"/>
  <c r="C21"/>
  <c r="P20"/>
  <c r="O20"/>
  <c r="I20"/>
  <c r="E20"/>
  <c r="D20"/>
  <c r="C20"/>
  <c r="P19"/>
  <c r="O19"/>
  <c r="I19"/>
  <c r="E19"/>
  <c r="D19"/>
  <c r="C19"/>
  <c r="P18"/>
  <c r="O18"/>
  <c r="I18"/>
  <c r="E18"/>
  <c r="D18"/>
  <c r="C18"/>
  <c r="O17"/>
  <c r="M17"/>
  <c r="I17"/>
  <c r="E17"/>
  <c r="D17"/>
  <c r="C17"/>
  <c r="P16"/>
  <c r="O16"/>
  <c r="I16"/>
  <c r="E16"/>
  <c r="D16"/>
  <c r="C16"/>
  <c r="P15"/>
  <c r="O15"/>
  <c r="I15"/>
  <c r="E15"/>
  <c r="D15"/>
  <c r="C15"/>
  <c r="P14"/>
  <c r="O14"/>
  <c r="I14"/>
  <c r="E14"/>
  <c r="D14"/>
  <c r="C14"/>
  <c r="P13"/>
  <c r="O13"/>
  <c r="I13"/>
  <c r="E13"/>
  <c r="D13"/>
  <c r="C13"/>
  <c r="P12"/>
  <c r="O12"/>
  <c r="I12"/>
  <c r="E12"/>
  <c r="D12"/>
  <c r="C12"/>
  <c r="P11"/>
  <c r="O11"/>
  <c r="I11"/>
  <c r="E11"/>
  <c r="D11"/>
  <c r="C11"/>
  <c r="P10"/>
  <c r="O10"/>
  <c r="I10"/>
  <c r="E10"/>
  <c r="D10"/>
  <c r="C10"/>
  <c r="P9"/>
  <c r="O9"/>
  <c r="I9"/>
  <c r="E9"/>
  <c r="D9"/>
  <c r="C9"/>
  <c r="O8"/>
  <c r="M8"/>
  <c r="I8"/>
  <c r="E8"/>
  <c r="D8"/>
  <c r="C8"/>
  <c r="P7"/>
  <c r="O7"/>
  <c r="I7"/>
  <c r="E7"/>
  <c r="D7"/>
  <c r="C7"/>
  <c r="P6"/>
  <c r="O6"/>
  <c r="I6"/>
  <c r="E6"/>
  <c r="D6"/>
  <c r="C6"/>
  <c r="P5"/>
  <c r="O5"/>
  <c r="I5"/>
  <c r="E5"/>
  <c r="D5"/>
  <c r="C5"/>
  <c r="P4"/>
  <c r="O4"/>
  <c r="I4"/>
  <c r="E4"/>
  <c r="D4"/>
  <c r="C4"/>
  <c r="P3"/>
  <c r="O3"/>
  <c r="I3"/>
  <c r="E3"/>
  <c r="D3"/>
  <c r="C3"/>
  <c r="P2"/>
  <c r="O2"/>
  <c r="I2"/>
  <c r="E2"/>
  <c r="D2"/>
  <c r="C2"/>
  <c r="F743" l="1"/>
  <c r="F745"/>
  <c r="F747"/>
  <c r="F749"/>
  <c r="F751"/>
  <c r="Q99"/>
  <c r="Q115"/>
  <c r="Q569"/>
  <c r="F521"/>
  <c r="F1745"/>
  <c r="F1747"/>
  <c r="F1753"/>
  <c r="F1755"/>
  <c r="Q119"/>
  <c r="Q644"/>
  <c r="Q84"/>
  <c r="Q96"/>
  <c r="Q100"/>
  <c r="Q108"/>
  <c r="Q112"/>
  <c r="Q120"/>
  <c r="Q124"/>
  <c r="Q132"/>
  <c r="F942"/>
  <c r="F950"/>
  <c r="Q139"/>
  <c r="Q171"/>
  <c r="Q232"/>
  <c r="Q354"/>
  <c r="F499"/>
  <c r="F1334"/>
  <c r="F1336"/>
  <c r="F1338"/>
  <c r="F1340"/>
  <c r="F1342"/>
  <c r="F1344"/>
  <c r="F1346"/>
  <c r="F1348"/>
  <c r="F1691"/>
  <c r="F1693"/>
  <c r="F1733"/>
  <c r="F1735"/>
  <c r="F1737"/>
  <c r="Q2263"/>
  <c r="Q458"/>
  <c r="Q466"/>
  <c r="Q486"/>
  <c r="Q490"/>
  <c r="Q498"/>
  <c r="Q525"/>
  <c r="Q539"/>
  <c r="Q553"/>
  <c r="Q557"/>
  <c r="Q838"/>
  <c r="O854"/>
  <c r="Q894"/>
  <c r="Q926"/>
  <c r="Q1130"/>
  <c r="Q1146"/>
  <c r="Q1170"/>
  <c r="Q1174"/>
  <c r="Q1182"/>
  <c r="Q1186"/>
  <c r="Q1193"/>
  <c r="Q1197"/>
  <c r="Q1387"/>
  <c r="Q1401"/>
  <c r="Q1429"/>
  <c r="Q1694"/>
  <c r="Q1698"/>
  <c r="Q1702"/>
  <c r="Q1706"/>
  <c r="Q1710"/>
  <c r="Q1744"/>
  <c r="Q1997"/>
  <c r="F2144"/>
  <c r="F2146"/>
  <c r="Q208"/>
  <c r="Q387"/>
  <c r="Q447"/>
  <c r="Q451"/>
  <c r="Q461"/>
  <c r="Q465"/>
  <c r="Q469"/>
  <c r="Q485"/>
  <c r="Q489"/>
  <c r="Q493"/>
  <c r="Q497"/>
  <c r="Q823"/>
  <c r="Q831"/>
  <c r="Q839"/>
  <c r="Q843"/>
  <c r="Q851"/>
  <c r="Q897"/>
  <c r="Q939"/>
  <c r="Q1107"/>
  <c r="Q1243"/>
  <c r="Q1323"/>
  <c r="Q1360"/>
  <c r="Q1376"/>
  <c r="Q1380"/>
  <c r="Q1388"/>
  <c r="Q1392"/>
  <c r="Q1458"/>
  <c r="Q1510"/>
  <c r="Q1691"/>
  <c r="Q1707"/>
  <c r="Q1715"/>
  <c r="Q1719"/>
  <c r="Q1723"/>
  <c r="Q1731"/>
  <c r="Q1735"/>
  <c r="Q1800"/>
  <c r="Q1804"/>
  <c r="Q1808"/>
  <c r="Q1816"/>
  <c r="Q1820"/>
  <c r="Q1824"/>
  <c r="Q1832"/>
  <c r="Q1836"/>
  <c r="Q2195"/>
  <c r="Q2292"/>
  <c r="Q2300"/>
  <c r="Q27"/>
  <c r="R27" s="1"/>
  <c r="Q31"/>
  <c r="Q47"/>
  <c r="Q71"/>
  <c r="Q147"/>
  <c r="R147" s="1"/>
  <c r="Q151"/>
  <c r="Q191"/>
  <c r="Q205"/>
  <c r="Q217"/>
  <c r="R217" s="1"/>
  <c r="Q233"/>
  <c r="Q277"/>
  <c r="Q285"/>
  <c r="Q355"/>
  <c r="Q371"/>
  <c r="Q383"/>
  <c r="Q419"/>
  <c r="Q478"/>
  <c r="R478" s="1"/>
  <c r="Q636"/>
  <c r="Q649"/>
  <c r="Q653"/>
  <c r="Q669"/>
  <c r="R669" s="1"/>
  <c r="Q681"/>
  <c r="Q947"/>
  <c r="Q960"/>
  <c r="Q980"/>
  <c r="R980" s="1"/>
  <c r="Q996"/>
  <c r="Q1091"/>
  <c r="Q1099"/>
  <c r="Q1103"/>
  <c r="R1103" s="1"/>
  <c r="Q1355"/>
  <c r="Q1530"/>
  <c r="Q1560"/>
  <c r="Q1568"/>
  <c r="Q1582"/>
  <c r="Q1586"/>
  <c r="Q1590"/>
  <c r="Q1594"/>
  <c r="R1594" s="1"/>
  <c r="Q1598"/>
  <c r="Q1648"/>
  <c r="Q1650"/>
  <c r="Q1662"/>
  <c r="Q1666"/>
  <c r="Q1670"/>
  <c r="Q1739"/>
  <c r="Q1743"/>
  <c r="R1743" s="1"/>
  <c r="Q1747"/>
  <c r="Q1751"/>
  <c r="Q1755"/>
  <c r="Q1767"/>
  <c r="R1767" s="1"/>
  <c r="Q1771"/>
  <c r="Q2001"/>
  <c r="Q2013"/>
  <c r="Q2147"/>
  <c r="R2147" s="1"/>
  <c r="Q2207"/>
  <c r="Q30"/>
  <c r="Q34"/>
  <c r="Q42"/>
  <c r="R42" s="1"/>
  <c r="Q62"/>
  <c r="Q148"/>
  <c r="Q152"/>
  <c r="Q156"/>
  <c r="R156" s="1"/>
  <c r="Q180"/>
  <c r="Q246"/>
  <c r="Q278"/>
  <c r="Q392"/>
  <c r="R392" s="1"/>
  <c r="Q408"/>
  <c r="Q420"/>
  <c r="Q548"/>
  <c r="F549"/>
  <c r="F551"/>
  <c r="F553"/>
  <c r="Q599"/>
  <c r="Q615"/>
  <c r="R615" s="1"/>
  <c r="Q706"/>
  <c r="Q715"/>
  <c r="Q727"/>
  <c r="Q731"/>
  <c r="R731" s="1"/>
  <c r="O807"/>
  <c r="Q807" s="1"/>
  <c r="R807" s="1"/>
  <c r="Q809"/>
  <c r="F810"/>
  <c r="Q814"/>
  <c r="Q830"/>
  <c r="Q859"/>
  <c r="Q863"/>
  <c r="Q919"/>
  <c r="R919" s="1"/>
  <c r="Q997"/>
  <c r="Q1001"/>
  <c r="Q1009"/>
  <c r="Q1065"/>
  <c r="R1065" s="1"/>
  <c r="Q1111"/>
  <c r="Q1129"/>
  <c r="Q1181"/>
  <c r="F1195"/>
  <c r="F1197"/>
  <c r="Q1225"/>
  <c r="Q1238"/>
  <c r="Q1242"/>
  <c r="R1242" s="1"/>
  <c r="Q1250"/>
  <c r="Q1252"/>
  <c r="Q1272"/>
  <c r="Q1437"/>
  <c r="Q1441"/>
  <c r="Q1445"/>
  <c r="Q1449"/>
  <c r="Q1453"/>
  <c r="R1453" s="1"/>
  <c r="Q1457"/>
  <c r="Q1485"/>
  <c r="Q1569"/>
  <c r="Q1573"/>
  <c r="R1573" s="1"/>
  <c r="Q1581"/>
  <c r="Q1653"/>
  <c r="Q1756"/>
  <c r="Q1764"/>
  <c r="R1764" s="1"/>
  <c r="Q1776"/>
  <c r="F1777"/>
  <c r="F1779"/>
  <c r="F1781"/>
  <c r="F1783"/>
  <c r="F1793"/>
  <c r="F1795"/>
  <c r="F1797"/>
  <c r="F1799"/>
  <c r="Q1957"/>
  <c r="Q1961"/>
  <c r="Q1965"/>
  <c r="R1965" s="1"/>
  <c r="Q1973"/>
  <c r="Q2105"/>
  <c r="Q2119"/>
  <c r="Q2123"/>
  <c r="Q2127"/>
  <c r="Q2131"/>
  <c r="Q2171"/>
  <c r="Q2175"/>
  <c r="R2175" s="1"/>
  <c r="F558"/>
  <c r="F560"/>
  <c r="F721"/>
  <c r="F723"/>
  <c r="F890"/>
  <c r="F929"/>
  <c r="F937"/>
  <c r="F939"/>
  <c r="F1244"/>
  <c r="F1246"/>
  <c r="F1254"/>
  <c r="F1324"/>
  <c r="F1326"/>
  <c r="F1332"/>
  <c r="F1463"/>
  <c r="F1465"/>
  <c r="F1487"/>
  <c r="F1515"/>
  <c r="F1517"/>
  <c r="Q2106"/>
  <c r="R2106" s="1"/>
  <c r="F2137"/>
  <c r="F2139"/>
  <c r="F2173"/>
  <c r="F2175"/>
  <c r="Q2239"/>
  <c r="Q18"/>
  <c r="Q26"/>
  <c r="Q51"/>
  <c r="R51" s="1"/>
  <c r="Q55"/>
  <c r="Q63"/>
  <c r="Q67"/>
  <c r="Q83"/>
  <c r="Q92"/>
  <c r="Q116"/>
  <c r="Q144"/>
  <c r="Q163"/>
  <c r="R163" s="1"/>
  <c r="Q176"/>
  <c r="Q212"/>
  <c r="Q216"/>
  <c r="Q224"/>
  <c r="R224" s="1"/>
  <c r="Q245"/>
  <c r="Q253"/>
  <c r="Q269"/>
  <c r="Q281"/>
  <c r="R281" s="1"/>
  <c r="Q302"/>
  <c r="F319"/>
  <c r="Q325"/>
  <c r="Q333"/>
  <c r="R333" s="1"/>
  <c r="Q337"/>
  <c r="Q367"/>
  <c r="Q396"/>
  <c r="Q400"/>
  <c r="R400" s="1"/>
  <c r="Q412"/>
  <c r="Q462"/>
  <c r="Q470"/>
  <c r="Q474"/>
  <c r="R474" s="1"/>
  <c r="Q482"/>
  <c r="F486"/>
  <c r="Q536"/>
  <c r="F537"/>
  <c r="F539"/>
  <c r="Q544"/>
  <c r="F584"/>
  <c r="F586"/>
  <c r="F588"/>
  <c r="F590"/>
  <c r="F592"/>
  <c r="F594"/>
  <c r="Q611"/>
  <c r="Q665"/>
  <c r="Q686"/>
  <c r="Q690"/>
  <c r="Q702"/>
  <c r="Q714"/>
  <c r="Q752"/>
  <c r="F762"/>
  <c r="F768"/>
  <c r="F770"/>
  <c r="Q775"/>
  <c r="O811"/>
  <c r="Q811" s="1"/>
  <c r="R811" s="1"/>
  <c r="Q813"/>
  <c r="F814"/>
  <c r="Q822"/>
  <c r="Q860"/>
  <c r="R860" s="1"/>
  <c r="Q872"/>
  <c r="Q876"/>
  <c r="Q889"/>
  <c r="Q893"/>
  <c r="R893" s="1"/>
  <c r="Q918"/>
  <c r="Q922"/>
  <c r="Q931"/>
  <c r="Q951"/>
  <c r="R951" s="1"/>
  <c r="Q955"/>
  <c r="F960"/>
  <c r="Q977"/>
  <c r="Q981"/>
  <c r="R981" s="1"/>
  <c r="Q992"/>
  <c r="Q1008"/>
  <c r="F1009"/>
  <c r="Q1133"/>
  <c r="R1133" s="1"/>
  <c r="Q1137"/>
  <c r="Q1145"/>
  <c r="Q1151"/>
  <c r="Q1155"/>
  <c r="R1155" s="1"/>
  <c r="Q1185"/>
  <c r="Q1201"/>
  <c r="F1202"/>
  <c r="F1204"/>
  <c r="Q1213"/>
  <c r="F1218"/>
  <c r="Q1222"/>
  <c r="Q1226"/>
  <c r="Q1239"/>
  <c r="Q1255"/>
  <c r="Q1263"/>
  <c r="Q1267"/>
  <c r="R1267" s="1"/>
  <c r="Q1326"/>
  <c r="Q1372"/>
  <c r="Q1425"/>
  <c r="Q1433"/>
  <c r="R1433" s="1"/>
  <c r="F1437"/>
  <c r="Q1450"/>
  <c r="Q1454"/>
  <c r="Q1466"/>
  <c r="Q1470"/>
  <c r="Q1484"/>
  <c r="Q1488"/>
  <c r="Q1492"/>
  <c r="R1492" s="1"/>
  <c r="Q1496"/>
  <c r="Q1506"/>
  <c r="R1506" s="1"/>
  <c r="Q1565"/>
  <c r="F1596"/>
  <c r="F1598"/>
  <c r="F1652"/>
  <c r="F1668"/>
  <c r="F1670"/>
  <c r="Q1703"/>
  <c r="F1704"/>
  <c r="F1706"/>
  <c r="F1712"/>
  <c r="F1714"/>
  <c r="Q1748"/>
  <c r="F1756"/>
  <c r="F1758"/>
  <c r="Q1763"/>
  <c r="F1764"/>
  <c r="F1766"/>
  <c r="F1818"/>
  <c r="F1820"/>
  <c r="F1834"/>
  <c r="F1836"/>
  <c r="Q2243"/>
  <c r="Q2247"/>
  <c r="Q2251"/>
  <c r="Q2255"/>
  <c r="F470"/>
  <c r="F542"/>
  <c r="F544"/>
  <c r="F696"/>
  <c r="F698"/>
  <c r="R768"/>
  <c r="F773"/>
  <c r="F775"/>
  <c r="R814"/>
  <c r="R894"/>
  <c r="F900"/>
  <c r="F902"/>
  <c r="F904"/>
  <c r="F906"/>
  <c r="F908"/>
  <c r="F910"/>
  <c r="F912"/>
  <c r="F914"/>
  <c r="F916"/>
  <c r="F918"/>
  <c r="F924"/>
  <c r="F926"/>
  <c r="Q944"/>
  <c r="Q964"/>
  <c r="F965"/>
  <c r="F967"/>
  <c r="Q976"/>
  <c r="F977"/>
  <c r="F985"/>
  <c r="Q1070"/>
  <c r="Q1126"/>
  <c r="Q1142"/>
  <c r="Q1221"/>
  <c r="F1241"/>
  <c r="Q1256"/>
  <c r="F1257"/>
  <c r="F1259"/>
  <c r="F1265"/>
  <c r="F1267"/>
  <c r="F1269"/>
  <c r="F1271"/>
  <c r="Q1406"/>
  <c r="F1407"/>
  <c r="F1409"/>
  <c r="F1450"/>
  <c r="Q1489"/>
  <c r="F1490"/>
  <c r="F1492"/>
  <c r="Q1497"/>
  <c r="R1497" s="1"/>
  <c r="F1498"/>
  <c r="F1500"/>
  <c r="Q1505"/>
  <c r="F1508"/>
  <c r="F1510"/>
  <c r="Q1674"/>
  <c r="F1675"/>
  <c r="F1677"/>
  <c r="Q1686"/>
  <c r="F1689"/>
  <c r="F1776"/>
  <c r="Q1937"/>
  <c r="R1937" s="1"/>
  <c r="Q1949"/>
  <c r="Q2021"/>
  <c r="Q2025"/>
  <c r="Q2083"/>
  <c r="R2083" s="1"/>
  <c r="F2112"/>
  <c r="F2114"/>
  <c r="Q2151"/>
  <c r="Q2155"/>
  <c r="R2155" s="1"/>
  <c r="Q2159"/>
  <c r="Q2163"/>
  <c r="Q2211"/>
  <c r="Q2215"/>
  <c r="R2215" s="1"/>
  <c r="Q2219"/>
  <c r="Q2223"/>
  <c r="R119"/>
  <c r="Q3"/>
  <c r="Q50"/>
  <c r="Q68"/>
  <c r="Q76"/>
  <c r="Q80"/>
  <c r="Q87"/>
  <c r="Q103"/>
  <c r="Q131"/>
  <c r="Q164"/>
  <c r="R164" s="1"/>
  <c r="Q179"/>
  <c r="Q209"/>
  <c r="Q213"/>
  <c r="Q225"/>
  <c r="R225" s="1"/>
  <c r="Q254"/>
  <c r="Q282"/>
  <c r="Q301"/>
  <c r="R301" s="1"/>
  <c r="Q347"/>
  <c r="R347" s="1"/>
  <c r="Q403"/>
  <c r="Q424"/>
  <c r="Q473"/>
  <c r="Q477"/>
  <c r="Q481"/>
  <c r="Q494"/>
  <c r="O574"/>
  <c r="Q574" s="1"/>
  <c r="R574" s="1"/>
  <c r="Q640"/>
  <c r="Q934"/>
  <c r="Q993"/>
  <c r="Q1231"/>
  <c r="R1231" s="1"/>
  <c r="Q1331"/>
  <c r="Q1514"/>
  <c r="Q1526"/>
  <c r="R1526" s="1"/>
  <c r="Q1578"/>
  <c r="Q1690"/>
  <c r="Q1780"/>
  <c r="Q1792"/>
  <c r="R1792" s="1"/>
  <c r="Q1977"/>
  <c r="Q1981"/>
  <c r="Q1989"/>
  <c r="Q1993"/>
  <c r="R1993" s="1"/>
  <c r="F2169"/>
  <c r="Q2191"/>
  <c r="R286"/>
  <c r="R553"/>
  <c r="R685"/>
  <c r="R702"/>
  <c r="R727"/>
  <c r="R756"/>
  <c r="R775"/>
  <c r="R2191"/>
  <c r="R2255"/>
  <c r="Q22"/>
  <c r="R22" s="1"/>
  <c r="Q35"/>
  <c r="Q39"/>
  <c r="Q54"/>
  <c r="Q58"/>
  <c r="R58" s="1"/>
  <c r="Q75"/>
  <c r="Q88"/>
  <c r="Q95"/>
  <c r="Q107"/>
  <c r="R107" s="1"/>
  <c r="Q123"/>
  <c r="Q136"/>
  <c r="Q221"/>
  <c r="Q228"/>
  <c r="Q237"/>
  <c r="Q241"/>
  <c r="Q250"/>
  <c r="R254"/>
  <c r="Q257"/>
  <c r="Q261"/>
  <c r="Q265"/>
  <c r="Q274"/>
  <c r="Q298"/>
  <c r="R302"/>
  <c r="Q305"/>
  <c r="Q329"/>
  <c r="Q350"/>
  <c r="Q363"/>
  <c r="R363" s="1"/>
  <c r="R396"/>
  <c r="R403"/>
  <c r="Q404"/>
  <c r="R404" s="1"/>
  <c r="F453"/>
  <c r="F455"/>
  <c r="F457"/>
  <c r="Q561"/>
  <c r="Q565"/>
  <c r="Q603"/>
  <c r="Q607"/>
  <c r="Q657"/>
  <c r="R657" s="1"/>
  <c r="Q661"/>
  <c r="F682"/>
  <c r="F686"/>
  <c r="F703"/>
  <c r="F705"/>
  <c r="Q710"/>
  <c r="F728"/>
  <c r="F730"/>
  <c r="Q735"/>
  <c r="F754"/>
  <c r="F757"/>
  <c r="F759"/>
  <c r="F776"/>
  <c r="F778"/>
  <c r="R823"/>
  <c r="Q826"/>
  <c r="R826" s="1"/>
  <c r="R839"/>
  <c r="Q880"/>
  <c r="F921"/>
  <c r="Q930"/>
  <c r="Q943"/>
  <c r="Q952"/>
  <c r="F953"/>
  <c r="F955"/>
  <c r="Q956"/>
  <c r="Q968"/>
  <c r="Q972"/>
  <c r="Q989"/>
  <c r="R989" s="1"/>
  <c r="Q1000"/>
  <c r="F1001"/>
  <c r="Q1004"/>
  <c r="Q1061"/>
  <c r="R1061" s="1"/>
  <c r="F1062"/>
  <c r="F1064"/>
  <c r="Q1095"/>
  <c r="Q1125"/>
  <c r="Q1134"/>
  <c r="Q1138"/>
  <c r="Q1173"/>
  <c r="Q1177"/>
  <c r="R1177" s="1"/>
  <c r="Q1205"/>
  <c r="Q1209"/>
  <c r="F1236"/>
  <c r="F1238"/>
  <c r="Q1247"/>
  <c r="F1251"/>
  <c r="Q1260"/>
  <c r="F1264"/>
  <c r="F1274"/>
  <c r="F1276"/>
  <c r="F1278"/>
  <c r="F1280"/>
  <c r="F1282"/>
  <c r="F1284"/>
  <c r="F1286"/>
  <c r="F1288"/>
  <c r="F1290"/>
  <c r="F1292"/>
  <c r="F1294"/>
  <c r="F1296"/>
  <c r="F1298"/>
  <c r="F1300"/>
  <c r="F1302"/>
  <c r="F1304"/>
  <c r="F1306"/>
  <c r="F1308"/>
  <c r="F1310"/>
  <c r="F1312"/>
  <c r="F1314"/>
  <c r="F1316"/>
  <c r="F1318"/>
  <c r="F1320"/>
  <c r="F1322"/>
  <c r="Q1327"/>
  <c r="Q1356"/>
  <c r="Q1364"/>
  <c r="R1364" s="1"/>
  <c r="Q1368"/>
  <c r="F1472"/>
  <c r="F1474"/>
  <c r="F1476"/>
  <c r="F1478"/>
  <c r="F1480"/>
  <c r="F1482"/>
  <c r="F1484"/>
  <c r="Q1501"/>
  <c r="Q1518"/>
  <c r="Q1522"/>
  <c r="R1560"/>
  <c r="Q1561"/>
  <c r="Q1572"/>
  <c r="F1573"/>
  <c r="Q1585"/>
  <c r="R1585" s="1"/>
  <c r="F1586"/>
  <c r="Q1589"/>
  <c r="Q1602"/>
  <c r="R1602" s="1"/>
  <c r="F1603"/>
  <c r="F1605"/>
  <c r="F1607"/>
  <c r="F1609"/>
  <c r="F1611"/>
  <c r="F1613"/>
  <c r="F1615"/>
  <c r="F1617"/>
  <c r="F1619"/>
  <c r="F1621"/>
  <c r="F1623"/>
  <c r="F1625"/>
  <c r="F1627"/>
  <c r="F1629"/>
  <c r="F1631"/>
  <c r="F1633"/>
  <c r="F1635"/>
  <c r="F1637"/>
  <c r="F1639"/>
  <c r="F1641"/>
  <c r="F1643"/>
  <c r="F1645"/>
  <c r="F1647"/>
  <c r="Q1658"/>
  <c r="F1659"/>
  <c r="F1661"/>
  <c r="Q1678"/>
  <c r="Q1682"/>
  <c r="R1682" s="1"/>
  <c r="Q1695"/>
  <c r="F1696"/>
  <c r="F1698"/>
  <c r="Q1699"/>
  <c r="R1699" s="1"/>
  <c r="F1707"/>
  <c r="F1709"/>
  <c r="F1717"/>
  <c r="F1719"/>
  <c r="F1721"/>
  <c r="F1723"/>
  <c r="F1739"/>
  <c r="Q1740"/>
  <c r="R1740" s="1"/>
  <c r="F1748"/>
  <c r="F1750"/>
  <c r="Q1759"/>
  <c r="Q1768"/>
  <c r="R1768" s="1"/>
  <c r="F1769"/>
  <c r="F1771"/>
  <c r="Q1772"/>
  <c r="Q1784"/>
  <c r="R1784" s="1"/>
  <c r="Q1788"/>
  <c r="F1802"/>
  <c r="F1804"/>
  <c r="F1806"/>
  <c r="F1808"/>
  <c r="F1825"/>
  <c r="F1827"/>
  <c r="Q1828"/>
  <c r="R1828" s="1"/>
  <c r="Q1941"/>
  <c r="Q1945"/>
  <c r="Q1985"/>
  <c r="Q2005"/>
  <c r="R2005" s="1"/>
  <c r="Q2009"/>
  <c r="Q2079"/>
  <c r="F2121"/>
  <c r="F2123"/>
  <c r="R2127"/>
  <c r="F2153"/>
  <c r="F2155"/>
  <c r="R2159"/>
  <c r="Q2199"/>
  <c r="Q2203"/>
  <c r="Q2231"/>
  <c r="Q2235"/>
  <c r="R2235" s="1"/>
  <c r="Q2267"/>
  <c r="R2292"/>
  <c r="R148"/>
  <c r="R209"/>
  <c r="R544"/>
  <c r="R649"/>
  <c r="R1450"/>
  <c r="R2223"/>
  <c r="R191"/>
  <c r="F462"/>
  <c r="R462"/>
  <c r="F478"/>
  <c r="F494"/>
  <c r="R494"/>
  <c r="F526"/>
  <c r="F528"/>
  <c r="F567"/>
  <c r="F569"/>
  <c r="R569"/>
  <c r="F575"/>
  <c r="F577"/>
  <c r="R611"/>
  <c r="R665"/>
  <c r="F737"/>
  <c r="F739"/>
  <c r="F741"/>
  <c r="F781"/>
  <c r="F783"/>
  <c r="F785"/>
  <c r="F787"/>
  <c r="F789"/>
  <c r="F791"/>
  <c r="F793"/>
  <c r="F795"/>
  <c r="F797"/>
  <c r="F799"/>
  <c r="F801"/>
  <c r="F803"/>
  <c r="F805"/>
  <c r="F807"/>
  <c r="F809"/>
  <c r="F932"/>
  <c r="F934"/>
  <c r="F945"/>
  <c r="F947"/>
  <c r="F993"/>
  <c r="F1211"/>
  <c r="F1213"/>
  <c r="F1243"/>
  <c r="F1249"/>
  <c r="F1256"/>
  <c r="F1262"/>
  <c r="F1327"/>
  <c r="F1329"/>
  <c r="F1429"/>
  <c r="R1429"/>
  <c r="F1458"/>
  <c r="R1458"/>
  <c r="R1470"/>
  <c r="F1495"/>
  <c r="Q1502"/>
  <c r="F1503"/>
  <c r="F1505"/>
  <c r="F1524"/>
  <c r="F1526"/>
  <c r="F1531"/>
  <c r="F1533"/>
  <c r="Q1564"/>
  <c r="F1565"/>
  <c r="Q1577"/>
  <c r="R1577" s="1"/>
  <c r="F1578"/>
  <c r="F1684"/>
  <c r="F1686"/>
  <c r="F1690"/>
  <c r="F1699"/>
  <c r="F1701"/>
  <c r="F1724"/>
  <c r="F1726"/>
  <c r="Q1727"/>
  <c r="F1728"/>
  <c r="F1730"/>
  <c r="F1740"/>
  <c r="F1742"/>
  <c r="Q1760"/>
  <c r="F1761"/>
  <c r="F1763"/>
  <c r="F1772"/>
  <c r="F1774"/>
  <c r="F1786"/>
  <c r="F1788"/>
  <c r="F1790"/>
  <c r="F1792"/>
  <c r="F1809"/>
  <c r="F1811"/>
  <c r="Q1812"/>
  <c r="F1813"/>
  <c r="F1815"/>
  <c r="Q1969"/>
  <c r="O2076"/>
  <c r="Q2076" s="1"/>
  <c r="R2076" s="1"/>
  <c r="Q2110"/>
  <c r="Q2114"/>
  <c r="F2128"/>
  <c r="F2130"/>
  <c r="Q2135"/>
  <c r="Q2139"/>
  <c r="F2160"/>
  <c r="F2162"/>
  <c r="Q2167"/>
  <c r="R2207"/>
  <c r="R2239"/>
  <c r="F2293"/>
  <c r="F2295"/>
  <c r="Q2296"/>
  <c r="R383"/>
  <c r="R470"/>
  <c r="R486"/>
  <c r="R681"/>
  <c r="R1437"/>
  <c r="R116"/>
  <c r="R151"/>
  <c r="R212"/>
  <c r="R367"/>
  <c r="R408"/>
  <c r="Q7"/>
  <c r="Q23"/>
  <c r="R23" s="1"/>
  <c r="Q38"/>
  <c r="Q43"/>
  <c r="Q59"/>
  <c r="R59" s="1"/>
  <c r="Q72"/>
  <c r="R72" s="1"/>
  <c r="Q79"/>
  <c r="R79" s="1"/>
  <c r="Q91"/>
  <c r="Q104"/>
  <c r="Q128"/>
  <c r="R132"/>
  <c r="Q135"/>
  <c r="R135" s="1"/>
  <c r="Q155"/>
  <c r="R155" s="1"/>
  <c r="Q168"/>
  <c r="R168" s="1"/>
  <c r="Q172"/>
  <c r="R172" s="1"/>
  <c r="Q195"/>
  <c r="Q220"/>
  <c r="R220" s="1"/>
  <c r="R228"/>
  <c r="Q229"/>
  <c r="R233"/>
  <c r="Q236"/>
  <c r="R236" s="1"/>
  <c r="Q242"/>
  <c r="R242" s="1"/>
  <c r="R246"/>
  <c r="Q249"/>
  <c r="R249" s="1"/>
  <c r="Q258"/>
  <c r="R258" s="1"/>
  <c r="R265"/>
  <c r="Q266"/>
  <c r="R270"/>
  <c r="Q273"/>
  <c r="R273" s="1"/>
  <c r="Q293"/>
  <c r="R293" s="1"/>
  <c r="Q297"/>
  <c r="R297" s="1"/>
  <c r="Q306"/>
  <c r="R306" s="1"/>
  <c r="Q321"/>
  <c r="R321" s="1"/>
  <c r="R355"/>
  <c r="Q358"/>
  <c r="Q379"/>
  <c r="O394"/>
  <c r="Q394" s="1"/>
  <c r="R394" s="1"/>
  <c r="R420"/>
  <c r="R539"/>
  <c r="Q540"/>
  <c r="Q578"/>
  <c r="R578" s="1"/>
  <c r="Q582"/>
  <c r="R582" s="1"/>
  <c r="Q619"/>
  <c r="O635"/>
  <c r="Q635" s="1"/>
  <c r="R635" s="1"/>
  <c r="R636"/>
  <c r="Q673"/>
  <c r="R673" s="1"/>
  <c r="Q677"/>
  <c r="Q694"/>
  <c r="R694" s="1"/>
  <c r="Q698"/>
  <c r="O711"/>
  <c r="Q711" s="1"/>
  <c r="R711" s="1"/>
  <c r="Q719"/>
  <c r="Q723"/>
  <c r="R723" s="1"/>
  <c r="Q767"/>
  <c r="Q818"/>
  <c r="R818" s="1"/>
  <c r="Q827"/>
  <c r="R831"/>
  <c r="Q834"/>
  <c r="Q855"/>
  <c r="R855" s="1"/>
  <c r="Q868"/>
  <c r="Q881"/>
  <c r="Q885"/>
  <c r="R885" s="1"/>
  <c r="O887"/>
  <c r="Q887" s="1"/>
  <c r="R887" s="1"/>
  <c r="Q923"/>
  <c r="Q927"/>
  <c r="Q936"/>
  <c r="Q940"/>
  <c r="R940" s="1"/>
  <c r="Q959"/>
  <c r="Q973"/>
  <c r="Q984"/>
  <c r="Q988"/>
  <c r="R988" s="1"/>
  <c r="Q1005"/>
  <c r="Q1074"/>
  <c r="Q1141"/>
  <c r="Q1178"/>
  <c r="R1178" s="1"/>
  <c r="O1190"/>
  <c r="Q1217"/>
  <c r="Q1230"/>
  <c r="Q1234"/>
  <c r="R1234" s="1"/>
  <c r="Q1246"/>
  <c r="Q1259"/>
  <c r="Q1264"/>
  <c r="Q1330"/>
  <c r="Q1371"/>
  <c r="Q1384"/>
  <c r="Q1396"/>
  <c r="Q1462"/>
  <c r="R1522"/>
  <c r="Q1711"/>
  <c r="Q1752"/>
  <c r="Q1796"/>
  <c r="R1796" s="1"/>
  <c r="Q1953"/>
  <c r="Q2017"/>
  <c r="Q2087"/>
  <c r="R2143"/>
  <c r="R35"/>
  <c r="R43"/>
  <c r="R50"/>
  <c r="R71"/>
  <c r="R87"/>
  <c r="R95"/>
  <c r="R103"/>
  <c r="R123"/>
  <c r="R241"/>
  <c r="R257"/>
  <c r="R262"/>
  <c r="R278"/>
  <c r="R289"/>
  <c r="R294"/>
  <c r="R305"/>
  <c r="R7"/>
  <c r="R30"/>
  <c r="R38"/>
  <c r="R80"/>
  <c r="R88"/>
  <c r="R96"/>
  <c r="R104"/>
  <c r="R124"/>
  <c r="Q127"/>
  <c r="R131"/>
  <c r="Q159"/>
  <c r="R159" s="1"/>
  <c r="Q175"/>
  <c r="R175" s="1"/>
  <c r="R179"/>
  <c r="Q194"/>
  <c r="R194" s="1"/>
  <c r="R198"/>
  <c r="R325"/>
  <c r="Q359"/>
  <c r="R359" s="1"/>
  <c r="R3"/>
  <c r="R18"/>
  <c r="R31"/>
  <c r="R39"/>
  <c r="R54"/>
  <c r="R62"/>
  <c r="R67"/>
  <c r="R75"/>
  <c r="R83"/>
  <c r="R91"/>
  <c r="R99"/>
  <c r="R139"/>
  <c r="R26"/>
  <c r="R34"/>
  <c r="O46"/>
  <c r="R47"/>
  <c r="R55"/>
  <c r="R63"/>
  <c r="R68"/>
  <c r="R76"/>
  <c r="R84"/>
  <c r="R92"/>
  <c r="R100"/>
  <c r="R108"/>
  <c r="Q111"/>
  <c r="R111" s="1"/>
  <c r="R115"/>
  <c r="R127"/>
  <c r="R140"/>
  <c r="Q143"/>
  <c r="R143" s="1"/>
  <c r="Q167"/>
  <c r="R167" s="1"/>
  <c r="R171"/>
  <c r="R180"/>
  <c r="Q183"/>
  <c r="R183" s="1"/>
  <c r="Q351"/>
  <c r="R351" s="1"/>
  <c r="Q375"/>
  <c r="R375" s="1"/>
  <c r="Q416"/>
  <c r="R416" s="1"/>
  <c r="Q529"/>
  <c r="R529" s="1"/>
  <c r="R337"/>
  <c r="R350"/>
  <c r="R358"/>
  <c r="R379"/>
  <c r="R451"/>
  <c r="R465"/>
  <c r="R473"/>
  <c r="R481"/>
  <c r="R489"/>
  <c r="R497"/>
  <c r="R540"/>
  <c r="R565"/>
  <c r="R607"/>
  <c r="R661"/>
  <c r="R677"/>
  <c r="R686"/>
  <c r="R698"/>
  <c r="R751"/>
  <c r="R759"/>
  <c r="Q819"/>
  <c r="Q835"/>
  <c r="R835" s="1"/>
  <c r="Q856"/>
  <c r="R856" s="1"/>
  <c r="F201"/>
  <c r="F203"/>
  <c r="F205"/>
  <c r="R205"/>
  <c r="F213"/>
  <c r="R213"/>
  <c r="F221"/>
  <c r="R221"/>
  <c r="F229"/>
  <c r="R229"/>
  <c r="F237"/>
  <c r="R237"/>
  <c r="F242"/>
  <c r="F250"/>
  <c r="R250"/>
  <c r="F258"/>
  <c r="F266"/>
  <c r="R266"/>
  <c r="F274"/>
  <c r="R274"/>
  <c r="F282"/>
  <c r="R282"/>
  <c r="F290"/>
  <c r="R290"/>
  <c r="F298"/>
  <c r="R298"/>
  <c r="F306"/>
  <c r="R447"/>
  <c r="R458"/>
  <c r="R466"/>
  <c r="R482"/>
  <c r="R490"/>
  <c r="R498"/>
  <c r="R561"/>
  <c r="R603"/>
  <c r="R619"/>
  <c r="R644"/>
  <c r="R689"/>
  <c r="R710"/>
  <c r="F712"/>
  <c r="F714"/>
  <c r="R714"/>
  <c r="F717"/>
  <c r="F719"/>
  <c r="R719"/>
  <c r="F724"/>
  <c r="F726"/>
  <c r="F733"/>
  <c r="F735"/>
  <c r="R735"/>
  <c r="F752"/>
  <c r="R752"/>
  <c r="F760"/>
  <c r="R760"/>
  <c r="Q763"/>
  <c r="R763" s="1"/>
  <c r="F765"/>
  <c r="F767"/>
  <c r="R767"/>
  <c r="R776"/>
  <c r="Q779"/>
  <c r="R779" s="1"/>
  <c r="R809"/>
  <c r="R813"/>
  <c r="Q847"/>
  <c r="R876"/>
  <c r="R889"/>
  <c r="R112"/>
  <c r="R120"/>
  <c r="R128"/>
  <c r="R136"/>
  <c r="R144"/>
  <c r="R152"/>
  <c r="R160"/>
  <c r="R176"/>
  <c r="R195"/>
  <c r="R208"/>
  <c r="R216"/>
  <c r="R232"/>
  <c r="R245"/>
  <c r="R253"/>
  <c r="R261"/>
  <c r="R269"/>
  <c r="R277"/>
  <c r="R285"/>
  <c r="F304"/>
  <c r="F307"/>
  <c r="R329"/>
  <c r="R354"/>
  <c r="R371"/>
  <c r="R387"/>
  <c r="F394"/>
  <c r="F398"/>
  <c r="F400"/>
  <c r="F410"/>
  <c r="F412"/>
  <c r="R412"/>
  <c r="F417"/>
  <c r="F419"/>
  <c r="R419"/>
  <c r="R424"/>
  <c r="F426"/>
  <c r="F428"/>
  <c r="F430"/>
  <c r="F432"/>
  <c r="F434"/>
  <c r="F436"/>
  <c r="F438"/>
  <c r="F440"/>
  <c r="F442"/>
  <c r="F444"/>
  <c r="F446"/>
  <c r="F448"/>
  <c r="F450"/>
  <c r="F459"/>
  <c r="F461"/>
  <c r="R461"/>
  <c r="F464"/>
  <c r="F467"/>
  <c r="F469"/>
  <c r="R469"/>
  <c r="F472"/>
  <c r="F475"/>
  <c r="F477"/>
  <c r="R477"/>
  <c r="F480"/>
  <c r="F483"/>
  <c r="F485"/>
  <c r="R485"/>
  <c r="F488"/>
  <c r="F491"/>
  <c r="F493"/>
  <c r="R493"/>
  <c r="F496"/>
  <c r="F501"/>
  <c r="F503"/>
  <c r="F505"/>
  <c r="F507"/>
  <c r="F509"/>
  <c r="F511"/>
  <c r="F513"/>
  <c r="F515"/>
  <c r="F517"/>
  <c r="F519"/>
  <c r="F523"/>
  <c r="F525"/>
  <c r="R525"/>
  <c r="F530"/>
  <c r="F532"/>
  <c r="F534"/>
  <c r="F536"/>
  <c r="R536"/>
  <c r="F546"/>
  <c r="F548"/>
  <c r="R548"/>
  <c r="F555"/>
  <c r="F557"/>
  <c r="R557"/>
  <c r="F562"/>
  <c r="F564"/>
  <c r="F571"/>
  <c r="F573"/>
  <c r="R599"/>
  <c r="R640"/>
  <c r="F645"/>
  <c r="R653"/>
  <c r="R690"/>
  <c r="R706"/>
  <c r="R715"/>
  <c r="R755"/>
  <c r="R880"/>
  <c r="R834"/>
  <c r="R851"/>
  <c r="R863"/>
  <c r="R872"/>
  <c r="F881"/>
  <c r="R881"/>
  <c r="F886"/>
  <c r="F892"/>
  <c r="F895"/>
  <c r="F897"/>
  <c r="R897"/>
  <c r="R922"/>
  <c r="R930"/>
  <c r="R943"/>
  <c r="R968"/>
  <c r="R973"/>
  <c r="R997"/>
  <c r="R1005"/>
  <c r="R1078"/>
  <c r="R1099"/>
  <c r="R1125"/>
  <c r="R1141"/>
  <c r="R1151"/>
  <c r="R1170"/>
  <c r="R1186"/>
  <c r="R1205"/>
  <c r="R1226"/>
  <c r="R1230"/>
  <c r="R1250"/>
  <c r="R1255"/>
  <c r="R1263"/>
  <c r="R1323"/>
  <c r="R1331"/>
  <c r="R1355"/>
  <c r="R1360"/>
  <c r="R1372"/>
  <c r="R1406"/>
  <c r="R1428"/>
  <c r="R1436"/>
  <c r="R1449"/>
  <c r="R1457"/>
  <c r="R1462"/>
  <c r="R1485"/>
  <c r="R1505"/>
  <c r="R1514"/>
  <c r="R1568"/>
  <c r="R1581"/>
  <c r="R771"/>
  <c r="R819"/>
  <c r="R827"/>
  <c r="R847"/>
  <c r="F854"/>
  <c r="R868"/>
  <c r="F888"/>
  <c r="F898"/>
  <c r="F923"/>
  <c r="R923"/>
  <c r="F931"/>
  <c r="R931"/>
  <c r="F936"/>
  <c r="R936"/>
  <c r="F944"/>
  <c r="R944"/>
  <c r="F952"/>
  <c r="R952"/>
  <c r="R959"/>
  <c r="R964"/>
  <c r="R976"/>
  <c r="R984"/>
  <c r="R992"/>
  <c r="R1000"/>
  <c r="R1008"/>
  <c r="R1074"/>
  <c r="F1093"/>
  <c r="F1095"/>
  <c r="R1095"/>
  <c r="F1100"/>
  <c r="F1102"/>
  <c r="F1109"/>
  <c r="F1111"/>
  <c r="R1111"/>
  <c r="F1126"/>
  <c r="R1126"/>
  <c r="F1134"/>
  <c r="R1134"/>
  <c r="F1142"/>
  <c r="R1142"/>
  <c r="F1152"/>
  <c r="F1154"/>
  <c r="F1171"/>
  <c r="F1173"/>
  <c r="R1173"/>
  <c r="F1176"/>
  <c r="F1179"/>
  <c r="F1181"/>
  <c r="R1181"/>
  <c r="F1184"/>
  <c r="F1187"/>
  <c r="F1189"/>
  <c r="R1201"/>
  <c r="R1217"/>
  <c r="R1221"/>
  <c r="F1229"/>
  <c r="F1231"/>
  <c r="R1243"/>
  <c r="R1256"/>
  <c r="R1264"/>
  <c r="R1326"/>
  <c r="R1356"/>
  <c r="R1384"/>
  <c r="R1396"/>
  <c r="R1510"/>
  <c r="R764"/>
  <c r="R772"/>
  <c r="R780"/>
  <c r="R822"/>
  <c r="R830"/>
  <c r="R838"/>
  <c r="R843"/>
  <c r="R859"/>
  <c r="O890"/>
  <c r="Q890" s="1"/>
  <c r="R890" s="1"/>
  <c r="R918"/>
  <c r="R926"/>
  <c r="R934"/>
  <c r="R939"/>
  <c r="R947"/>
  <c r="R955"/>
  <c r="R960"/>
  <c r="R977"/>
  <c r="R985"/>
  <c r="R993"/>
  <c r="R1001"/>
  <c r="R1009"/>
  <c r="R1070"/>
  <c r="R1091"/>
  <c r="R1107"/>
  <c r="R1129"/>
  <c r="R1137"/>
  <c r="R1145"/>
  <c r="R1174"/>
  <c r="R1182"/>
  <c r="R1197"/>
  <c r="R1213"/>
  <c r="R1222"/>
  <c r="O1235"/>
  <c r="R1238"/>
  <c r="R1246"/>
  <c r="R1259"/>
  <c r="R1327"/>
  <c r="R1368"/>
  <c r="R1380"/>
  <c r="R1387"/>
  <c r="R1392"/>
  <c r="R1401"/>
  <c r="R1424"/>
  <c r="R1432"/>
  <c r="R1440"/>
  <c r="R1445"/>
  <c r="R1484"/>
  <c r="R1489"/>
  <c r="R927"/>
  <c r="R948"/>
  <c r="R956"/>
  <c r="R972"/>
  <c r="R996"/>
  <c r="R1004"/>
  <c r="R1130"/>
  <c r="R1138"/>
  <c r="R1146"/>
  <c r="R1185"/>
  <c r="R1193"/>
  <c r="R1209"/>
  <c r="R1225"/>
  <c r="R1239"/>
  <c r="R1247"/>
  <c r="R1252"/>
  <c r="R1260"/>
  <c r="R1272"/>
  <c r="R1330"/>
  <c r="R1371"/>
  <c r="R1376"/>
  <c r="R1388"/>
  <c r="R1410"/>
  <c r="R1425"/>
  <c r="R1441"/>
  <c r="R1446"/>
  <c r="R1454"/>
  <c r="Q1493"/>
  <c r="R1493" s="1"/>
  <c r="R1502"/>
  <c r="Q1534"/>
  <c r="R1534" s="1"/>
  <c r="R1589"/>
  <c r="R1565"/>
  <c r="R1578"/>
  <c r="R1586"/>
  <c r="R1598"/>
  <c r="R1670"/>
  <c r="R1686"/>
  <c r="R1690"/>
  <c r="R1698"/>
  <c r="R1706"/>
  <c r="R1723"/>
  <c r="R1739"/>
  <c r="R1747"/>
  <c r="R1755"/>
  <c r="R1763"/>
  <c r="R1771"/>
  <c r="R1776"/>
  <c r="R1808"/>
  <c r="R1824"/>
  <c r="R1949"/>
  <c r="R1981"/>
  <c r="R1997"/>
  <c r="R2013"/>
  <c r="R1650"/>
  <c r="R1666"/>
  <c r="R1691"/>
  <c r="R1707"/>
  <c r="R1719"/>
  <c r="R1735"/>
  <c r="R1748"/>
  <c r="R1756"/>
  <c r="R1772"/>
  <c r="R1788"/>
  <c r="R1804"/>
  <c r="R1820"/>
  <c r="R1836"/>
  <c r="R1945"/>
  <c r="R1961"/>
  <c r="R1977"/>
  <c r="R2009"/>
  <c r="R2025"/>
  <c r="R2079"/>
  <c r="R2114"/>
  <c r="R2123"/>
  <c r="R2139"/>
  <c r="R2203"/>
  <c r="R2219"/>
  <c r="R2251"/>
  <c r="R1466"/>
  <c r="R1488"/>
  <c r="R1496"/>
  <c r="R1501"/>
  <c r="R1518"/>
  <c r="R1561"/>
  <c r="R1569"/>
  <c r="R1582"/>
  <c r="R1590"/>
  <c r="R1648"/>
  <c r="R1653"/>
  <c r="R1662"/>
  <c r="R1678"/>
  <c r="R1694"/>
  <c r="R1702"/>
  <c r="R1710"/>
  <c r="R1715"/>
  <c r="R1731"/>
  <c r="R1751"/>
  <c r="R1759"/>
  <c r="R1800"/>
  <c r="R1816"/>
  <c r="R1832"/>
  <c r="R1941"/>
  <c r="R1957"/>
  <c r="R1973"/>
  <c r="R1989"/>
  <c r="R2021"/>
  <c r="F2076"/>
  <c r="R2105"/>
  <c r="R2110"/>
  <c r="R2119"/>
  <c r="R2135"/>
  <c r="R2151"/>
  <c r="R2167"/>
  <c r="F2171"/>
  <c r="R2171"/>
  <c r="F2176"/>
  <c r="F2178"/>
  <c r="F2180"/>
  <c r="F2182"/>
  <c r="F2184"/>
  <c r="F2186"/>
  <c r="F2188"/>
  <c r="F2190"/>
  <c r="F2197"/>
  <c r="F2199"/>
  <c r="R2199"/>
  <c r="F2204"/>
  <c r="F2206"/>
  <c r="F2213"/>
  <c r="F2215"/>
  <c r="F2220"/>
  <c r="F2222"/>
  <c r="F2229"/>
  <c r="F2231"/>
  <c r="R2231"/>
  <c r="F2236"/>
  <c r="F2238"/>
  <c r="F2245"/>
  <c r="F2247"/>
  <c r="R2247"/>
  <c r="F2252"/>
  <c r="F2254"/>
  <c r="F2265"/>
  <c r="F2267"/>
  <c r="R2267"/>
  <c r="R2300"/>
  <c r="R1530"/>
  <c r="R1564"/>
  <c r="R1572"/>
  <c r="R1658"/>
  <c r="R1674"/>
  <c r="R1695"/>
  <c r="R1703"/>
  <c r="R1711"/>
  <c r="R1727"/>
  <c r="R1744"/>
  <c r="R1752"/>
  <c r="R1760"/>
  <c r="R1780"/>
  <c r="R1812"/>
  <c r="R1953"/>
  <c r="R1969"/>
  <c r="R1985"/>
  <c r="R2001"/>
  <c r="R2017"/>
  <c r="R2087"/>
  <c r="R2131"/>
  <c r="R2163"/>
  <c r="R2195"/>
  <c r="R2211"/>
  <c r="R2227"/>
  <c r="R2243"/>
  <c r="R2263"/>
  <c r="F2288"/>
  <c r="R2296"/>
  <c r="F3"/>
  <c r="F2" s="1"/>
  <c r="F8"/>
  <c r="F10"/>
  <c r="F12"/>
  <c r="F14"/>
  <c r="F16"/>
  <c r="F18"/>
  <c r="F23"/>
  <c r="F31"/>
  <c r="F39"/>
  <c r="F49"/>
  <c r="F52"/>
  <c r="F54"/>
  <c r="F57"/>
  <c r="F60"/>
  <c r="F62"/>
  <c r="F65"/>
  <c r="F67"/>
  <c r="F70"/>
  <c r="F73"/>
  <c r="F75"/>
  <c r="F78"/>
  <c r="F81"/>
  <c r="F83"/>
  <c r="F86"/>
  <c r="F89"/>
  <c r="F91"/>
  <c r="F94"/>
  <c r="F97"/>
  <c r="F99"/>
  <c r="F102"/>
  <c r="F105"/>
  <c r="F107"/>
  <c r="F110"/>
  <c r="F113"/>
  <c r="F115"/>
  <c r="F118"/>
  <c r="F121"/>
  <c r="F123"/>
  <c r="F126"/>
  <c r="F129"/>
  <c r="F131"/>
  <c r="F134"/>
  <c r="F137"/>
  <c r="F139"/>
  <c r="F142"/>
  <c r="F145"/>
  <c r="F147"/>
  <c r="F150"/>
  <c r="F153"/>
  <c r="F155"/>
  <c r="F158"/>
  <c r="F161"/>
  <c r="F163"/>
  <c r="F166"/>
  <c r="F169"/>
  <c r="F171"/>
  <c r="F174"/>
  <c r="F177"/>
  <c r="F179"/>
  <c r="F182"/>
  <c r="F193"/>
  <c r="F196"/>
  <c r="F198"/>
  <c r="F309"/>
  <c r="F311"/>
  <c r="F313"/>
  <c r="F315"/>
  <c r="F317"/>
  <c r="F321"/>
  <c r="F326"/>
  <c r="F328"/>
  <c r="F335"/>
  <c r="F337"/>
  <c r="F348"/>
  <c r="F350"/>
  <c r="F353"/>
  <c r="F356"/>
  <c r="F358"/>
  <c r="F361"/>
  <c r="F363"/>
  <c r="F635"/>
  <c r="F4"/>
  <c r="F19"/>
  <c r="F21"/>
  <c r="F24"/>
  <c r="F34"/>
  <c r="F37"/>
  <c r="F40"/>
  <c r="F68"/>
  <c r="F76"/>
  <c r="F92"/>
  <c r="F108"/>
  <c r="F132"/>
  <c r="F140"/>
  <c r="F156"/>
  <c r="F172"/>
  <c r="F185"/>
  <c r="F187"/>
  <c r="F191"/>
  <c r="F207"/>
  <c r="F210"/>
  <c r="F212"/>
  <c r="F215"/>
  <c r="F218"/>
  <c r="F234"/>
  <c r="F241"/>
  <c r="F244"/>
  <c r="F247"/>
  <c r="F252"/>
  <c r="F255"/>
  <c r="F260"/>
  <c r="F263"/>
  <c r="F268"/>
  <c r="F271"/>
  <c r="F276"/>
  <c r="F279"/>
  <c r="F281"/>
  <c r="F284"/>
  <c r="F287"/>
  <c r="F292"/>
  <c r="F295"/>
  <c r="F308"/>
  <c r="F322"/>
  <c r="F324"/>
  <c r="F331"/>
  <c r="F333"/>
  <c r="F340"/>
  <c r="F344"/>
  <c r="F346"/>
  <c r="F351"/>
  <c r="F359"/>
  <c r="F366"/>
  <c r="F375"/>
  <c r="F389"/>
  <c r="F391"/>
  <c r="F402"/>
  <c r="F405"/>
  <c r="F6"/>
  <c r="F26"/>
  <c r="F29"/>
  <c r="F32"/>
  <c r="F42"/>
  <c r="F45"/>
  <c r="F47"/>
  <c r="F55"/>
  <c r="F63"/>
  <c r="F84"/>
  <c r="F100"/>
  <c r="F116"/>
  <c r="F124"/>
  <c r="F148"/>
  <c r="F164"/>
  <c r="F180"/>
  <c r="F189"/>
  <c r="F199"/>
  <c r="F220"/>
  <c r="F223"/>
  <c r="F226"/>
  <c r="F228"/>
  <c r="F231"/>
  <c r="F236"/>
  <c r="F239"/>
  <c r="F249"/>
  <c r="F257"/>
  <c r="F265"/>
  <c r="F273"/>
  <c r="F289"/>
  <c r="F297"/>
  <c r="F300"/>
  <c r="F338"/>
  <c r="F342"/>
  <c r="F364"/>
  <c r="F373"/>
  <c r="F380"/>
  <c r="F382"/>
  <c r="F395"/>
  <c r="F407"/>
  <c r="O425"/>
  <c r="F368"/>
  <c r="F370"/>
  <c r="F377"/>
  <c r="F379"/>
  <c r="F384"/>
  <c r="F386"/>
  <c r="F393"/>
  <c r="F423"/>
  <c r="O499"/>
  <c r="O521"/>
  <c r="Q521" s="1"/>
  <c r="R521" s="1"/>
  <c r="F580"/>
  <c r="F582"/>
  <c r="F596"/>
  <c r="F598"/>
  <c r="F605"/>
  <c r="F607"/>
  <c r="F612"/>
  <c r="F614"/>
  <c r="F621"/>
  <c r="F623"/>
  <c r="F625"/>
  <c r="F627"/>
  <c r="F629"/>
  <c r="F631"/>
  <c r="F633"/>
  <c r="F642"/>
  <c r="F644"/>
  <c r="F651"/>
  <c r="F653"/>
  <c r="F658"/>
  <c r="F660"/>
  <c r="F667"/>
  <c r="F669"/>
  <c r="F674"/>
  <c r="F676"/>
  <c r="O741"/>
  <c r="Q741" s="1"/>
  <c r="R741" s="1"/>
  <c r="F812"/>
  <c r="F815"/>
  <c r="F819"/>
  <c r="F827"/>
  <c r="F835"/>
  <c r="F845"/>
  <c r="F847"/>
  <c r="F852"/>
  <c r="F857"/>
  <c r="F859"/>
  <c r="F862"/>
  <c r="F869"/>
  <c r="F871"/>
  <c r="F887"/>
  <c r="O957"/>
  <c r="F958"/>
  <c r="F961"/>
  <c r="F963"/>
  <c r="F970"/>
  <c r="F972"/>
  <c r="F975"/>
  <c r="F978"/>
  <c r="F980"/>
  <c r="F983"/>
  <c r="F986"/>
  <c r="F988"/>
  <c r="F991"/>
  <c r="F994"/>
  <c r="F996"/>
  <c r="F999"/>
  <c r="F1002"/>
  <c r="F1004"/>
  <c r="F1007"/>
  <c r="F1010"/>
  <c r="F1012"/>
  <c r="F1014"/>
  <c r="F1016"/>
  <c r="F1018"/>
  <c r="F1020"/>
  <c r="F1022"/>
  <c r="F1024"/>
  <c r="F1026"/>
  <c r="F1028"/>
  <c r="F1030"/>
  <c r="F1032"/>
  <c r="F1034"/>
  <c r="F1036"/>
  <c r="F1038"/>
  <c r="F1040"/>
  <c r="F1042"/>
  <c r="F1044"/>
  <c r="F1046"/>
  <c r="F1048"/>
  <c r="F1050"/>
  <c r="F1052"/>
  <c r="F1054"/>
  <c r="F1056"/>
  <c r="F1058"/>
  <c r="F1060"/>
  <c r="F1067"/>
  <c r="F1071"/>
  <c r="F1073"/>
  <c r="F1080"/>
  <c r="F1082"/>
  <c r="F1084"/>
  <c r="F1086"/>
  <c r="F1088"/>
  <c r="F1191"/>
  <c r="F1193"/>
  <c r="F1198"/>
  <c r="F1200"/>
  <c r="F1207"/>
  <c r="F1209"/>
  <c r="F1214"/>
  <c r="F1216"/>
  <c r="F1220"/>
  <c r="F1223"/>
  <c r="F1225"/>
  <c r="F1228"/>
  <c r="F1362"/>
  <c r="F1364"/>
  <c r="F1369"/>
  <c r="F1371"/>
  <c r="F1374"/>
  <c r="F1376"/>
  <c r="F1381"/>
  <c r="F1383"/>
  <c r="F1388"/>
  <c r="F1393"/>
  <c r="F1395"/>
  <c r="F1402"/>
  <c r="F1404"/>
  <c r="O1737"/>
  <c r="O1774"/>
  <c r="Q1774" s="1"/>
  <c r="R1774" s="1"/>
  <c r="F1821"/>
  <c r="F1823"/>
  <c r="F1830"/>
  <c r="F1832"/>
  <c r="F1837"/>
  <c r="F1839"/>
  <c r="F1841"/>
  <c r="F1843"/>
  <c r="F1845"/>
  <c r="F1847"/>
  <c r="F1849"/>
  <c r="F1851"/>
  <c r="F1853"/>
  <c r="F1855"/>
  <c r="F1857"/>
  <c r="F1859"/>
  <c r="F1861"/>
  <c r="F1863"/>
  <c r="F1865"/>
  <c r="F1867"/>
  <c r="F1869"/>
  <c r="F1871"/>
  <c r="F1873"/>
  <c r="F1875"/>
  <c r="F1877"/>
  <c r="F1879"/>
  <c r="F1881"/>
  <c r="F1883"/>
  <c r="F1885"/>
  <c r="F1887"/>
  <c r="F1889"/>
  <c r="F1891"/>
  <c r="F1893"/>
  <c r="F1895"/>
  <c r="F1897"/>
  <c r="F1899"/>
  <c r="F1901"/>
  <c r="F1939"/>
  <c r="F1941"/>
  <c r="F1946"/>
  <c r="F1948"/>
  <c r="F1955"/>
  <c r="F1957"/>
  <c r="F1962"/>
  <c r="F1964"/>
  <c r="F1971"/>
  <c r="F1973"/>
  <c r="F1978"/>
  <c r="F1980"/>
  <c r="F1987"/>
  <c r="F1989"/>
  <c r="F1994"/>
  <c r="F1996"/>
  <c r="F2003"/>
  <c r="F2005"/>
  <c r="F2010"/>
  <c r="F2012"/>
  <c r="F2019"/>
  <c r="F2021"/>
  <c r="F2026"/>
  <c r="F2028"/>
  <c r="F2030"/>
  <c r="F2032"/>
  <c r="F2034"/>
  <c r="F2036"/>
  <c r="F2038"/>
  <c r="F2040"/>
  <c r="F2042"/>
  <c r="F2044"/>
  <c r="F2046"/>
  <c r="F2048"/>
  <c r="F2050"/>
  <c r="F2052"/>
  <c r="F2054"/>
  <c r="F2056"/>
  <c r="F2058"/>
  <c r="F2060"/>
  <c r="F2062"/>
  <c r="F2064"/>
  <c r="F2066"/>
  <c r="F2068"/>
  <c r="F2070"/>
  <c r="F2072"/>
  <c r="F2074"/>
  <c r="F2078"/>
  <c r="F2085"/>
  <c r="F2087"/>
  <c r="F2106"/>
  <c r="F2193"/>
  <c r="F2195"/>
  <c r="F2200"/>
  <c r="F2202"/>
  <c r="F2209"/>
  <c r="F2211"/>
  <c r="F2216"/>
  <c r="F2218"/>
  <c r="F2225"/>
  <c r="F2227"/>
  <c r="F2232"/>
  <c r="F2234"/>
  <c r="F2241"/>
  <c r="F2243"/>
  <c r="F2248"/>
  <c r="F2250"/>
  <c r="F2257"/>
  <c r="F2259"/>
  <c r="F2261"/>
  <c r="F2263"/>
  <c r="F2268"/>
  <c r="F2270"/>
  <c r="F2272"/>
  <c r="F2274"/>
  <c r="F2276"/>
  <c r="F2278"/>
  <c r="F2280"/>
  <c r="F2282"/>
  <c r="F2284"/>
  <c r="F2286"/>
  <c r="F2290"/>
  <c r="F2292"/>
  <c r="F2297"/>
  <c r="F2299"/>
  <c r="F414"/>
  <c r="F416"/>
  <c r="F601"/>
  <c r="F603"/>
  <c r="F608"/>
  <c r="F610"/>
  <c r="F617"/>
  <c r="F619"/>
  <c r="F638"/>
  <c r="F640"/>
  <c r="F647"/>
  <c r="F649"/>
  <c r="F654"/>
  <c r="F656"/>
  <c r="F663"/>
  <c r="F665"/>
  <c r="F670"/>
  <c r="F672"/>
  <c r="F679"/>
  <c r="F681"/>
  <c r="F683"/>
  <c r="F685"/>
  <c r="F688"/>
  <c r="F691"/>
  <c r="F693"/>
  <c r="F700"/>
  <c r="F702"/>
  <c r="F707"/>
  <c r="F709"/>
  <c r="F817"/>
  <c r="F820"/>
  <c r="F822"/>
  <c r="F825"/>
  <c r="F828"/>
  <c r="F830"/>
  <c r="F833"/>
  <c r="F836"/>
  <c r="F838"/>
  <c r="F841"/>
  <c r="F843"/>
  <c r="F848"/>
  <c r="F850"/>
  <c r="F860"/>
  <c r="F865"/>
  <c r="F867"/>
  <c r="F874"/>
  <c r="F876"/>
  <c r="F878"/>
  <c r="F880"/>
  <c r="F883"/>
  <c r="F885"/>
  <c r="F1069"/>
  <c r="F1076"/>
  <c r="F1078"/>
  <c r="O1089"/>
  <c r="Q1089" s="1"/>
  <c r="R1089" s="1"/>
  <c r="F1090"/>
  <c r="F1097"/>
  <c r="F1099"/>
  <c r="F1104"/>
  <c r="F1106"/>
  <c r="F1113"/>
  <c r="F1115"/>
  <c r="F1117"/>
  <c r="F1119"/>
  <c r="F1121"/>
  <c r="F1123"/>
  <c r="F1125"/>
  <c r="F1128"/>
  <c r="F1131"/>
  <c r="F1133"/>
  <c r="F1136"/>
  <c r="F1139"/>
  <c r="F1141"/>
  <c r="F1144"/>
  <c r="F1147"/>
  <c r="F1149"/>
  <c r="F1151"/>
  <c r="F1156"/>
  <c r="F1158"/>
  <c r="F1160"/>
  <c r="F1162"/>
  <c r="F1164"/>
  <c r="F1166"/>
  <c r="F1168"/>
  <c r="F1170"/>
  <c r="F1178"/>
  <c r="F1186"/>
  <c r="F1190"/>
  <c r="F1219"/>
  <c r="F1226"/>
  <c r="O1229"/>
  <c r="F1230"/>
  <c r="F1233"/>
  <c r="F1351"/>
  <c r="F1353"/>
  <c r="F1355"/>
  <c r="F1358"/>
  <c r="F1360"/>
  <c r="F1365"/>
  <c r="F1367"/>
  <c r="F1372"/>
  <c r="F1377"/>
  <c r="F1379"/>
  <c r="F1386"/>
  <c r="F1389"/>
  <c r="F1391"/>
  <c r="F1398"/>
  <c r="F1400"/>
  <c r="F1406"/>
  <c r="F1411"/>
  <c r="F1413"/>
  <c r="F1415"/>
  <c r="F1417"/>
  <c r="F1419"/>
  <c r="F1421"/>
  <c r="F1423"/>
  <c r="F1426"/>
  <c r="F1428"/>
  <c r="F1431"/>
  <c r="F1434"/>
  <c r="F1436"/>
  <c r="F1439"/>
  <c r="F1442"/>
  <c r="F1444"/>
  <c r="F1447"/>
  <c r="F1449"/>
  <c r="F1452"/>
  <c r="F1455"/>
  <c r="F1457"/>
  <c r="F1460"/>
  <c r="F1462"/>
  <c r="F1467"/>
  <c r="F1469"/>
  <c r="F1489"/>
  <c r="F1497"/>
  <c r="F1502"/>
  <c r="F1512"/>
  <c r="F1514"/>
  <c r="F1519"/>
  <c r="F1521"/>
  <c r="F1528"/>
  <c r="F1530"/>
  <c r="F1535"/>
  <c r="F1537"/>
  <c r="F1539"/>
  <c r="F1541"/>
  <c r="F1543"/>
  <c r="F1545"/>
  <c r="F1547"/>
  <c r="F1549"/>
  <c r="F1551"/>
  <c r="F1553"/>
  <c r="F1555"/>
  <c r="F1557"/>
  <c r="F1559"/>
  <c r="F1562"/>
  <c r="F1564"/>
  <c r="F1567"/>
  <c r="F1570"/>
  <c r="F1572"/>
  <c r="F1575"/>
  <c r="F1577"/>
  <c r="F1580"/>
  <c r="F1583"/>
  <c r="F1585"/>
  <c r="F1588"/>
  <c r="F1591"/>
  <c r="F1593"/>
  <c r="F1600"/>
  <c r="F1602"/>
  <c r="F1649"/>
  <c r="F1654"/>
  <c r="F1656"/>
  <c r="F1658"/>
  <c r="F1663"/>
  <c r="F1665"/>
  <c r="F1672"/>
  <c r="F1674"/>
  <c r="F1679"/>
  <c r="F1681"/>
  <c r="F1688"/>
  <c r="O1902"/>
  <c r="Q1902" s="1"/>
  <c r="R1902" s="1"/>
  <c r="F1903"/>
  <c r="F1905"/>
  <c r="F1907"/>
  <c r="F1909"/>
  <c r="F1911"/>
  <c r="F1913"/>
  <c r="F1915"/>
  <c r="F1917"/>
  <c r="F1919"/>
  <c r="F1921"/>
  <c r="F1923"/>
  <c r="F1925"/>
  <c r="F1927"/>
  <c r="F1929"/>
  <c r="F1931"/>
  <c r="F1933"/>
  <c r="F1935"/>
  <c r="F1937"/>
  <c r="F1942"/>
  <c r="F1944"/>
  <c r="F1951"/>
  <c r="F1953"/>
  <c r="F1958"/>
  <c r="F1960"/>
  <c r="F1967"/>
  <c r="F1969"/>
  <c r="F1974"/>
  <c r="F1976"/>
  <c r="F1983"/>
  <c r="F1985"/>
  <c r="F1990"/>
  <c r="F1992"/>
  <c r="F1999"/>
  <c r="F2001"/>
  <c r="F2006"/>
  <c r="F2008"/>
  <c r="F2015"/>
  <c r="F2017"/>
  <c r="F2022"/>
  <c r="F2024"/>
  <c r="F2081"/>
  <c r="F2083"/>
  <c r="F2088"/>
  <c r="F2090"/>
  <c r="F2092"/>
  <c r="F2094"/>
  <c r="F2096"/>
  <c r="F2098"/>
  <c r="F2100"/>
  <c r="F2102"/>
  <c r="F2104"/>
  <c r="F2107"/>
  <c r="F2109"/>
  <c r="F2116"/>
  <c r="F2118"/>
  <c r="F2125"/>
  <c r="F2127"/>
  <c r="F2132"/>
  <c r="F2134"/>
  <c r="F2141"/>
  <c r="F2143"/>
  <c r="F2148"/>
  <c r="F2150"/>
  <c r="F2157"/>
  <c r="F2159"/>
  <c r="F2164"/>
  <c r="F2166"/>
  <c r="F2302"/>
  <c r="F9"/>
  <c r="F11"/>
  <c r="F13"/>
  <c r="F15"/>
  <c r="F17"/>
  <c r="F27"/>
  <c r="F35"/>
  <c r="F43"/>
  <c r="F48"/>
  <c r="F50"/>
  <c r="F53"/>
  <c r="F56"/>
  <c r="F58"/>
  <c r="F61"/>
  <c r="F64"/>
  <c r="F66"/>
  <c r="F69"/>
  <c r="F71"/>
  <c r="F74"/>
  <c r="F77"/>
  <c r="F79"/>
  <c r="F82"/>
  <c r="F85"/>
  <c r="F87"/>
  <c r="F90"/>
  <c r="F93"/>
  <c r="F95"/>
  <c r="F98"/>
  <c r="F101"/>
  <c r="F103"/>
  <c r="F106"/>
  <c r="F109"/>
  <c r="F111"/>
  <c r="F114"/>
  <c r="F117"/>
  <c r="F119"/>
  <c r="F122"/>
  <c r="F125"/>
  <c r="F127"/>
  <c r="F130"/>
  <c r="F133"/>
  <c r="F135"/>
  <c r="F138"/>
  <c r="F141"/>
  <c r="F143"/>
  <c r="F146"/>
  <c r="F149"/>
  <c r="F151"/>
  <c r="F154"/>
  <c r="F157"/>
  <c r="F159"/>
  <c r="F162"/>
  <c r="F165"/>
  <c r="F167"/>
  <c r="F170"/>
  <c r="F173"/>
  <c r="F175"/>
  <c r="F178"/>
  <c r="F181"/>
  <c r="F183"/>
  <c r="F192"/>
  <c r="F194"/>
  <c r="F197"/>
  <c r="F206"/>
  <c r="F208"/>
  <c r="F211"/>
  <c r="F214"/>
  <c r="O215"/>
  <c r="Q215" s="1"/>
  <c r="R215" s="1"/>
  <c r="F216"/>
  <c r="F219"/>
  <c r="F222"/>
  <c r="F224"/>
  <c r="F227"/>
  <c r="F230"/>
  <c r="F232"/>
  <c r="F235"/>
  <c r="F238"/>
  <c r="F240"/>
  <c r="F243"/>
  <c r="F245"/>
  <c r="F248"/>
  <c r="F251"/>
  <c r="F253"/>
  <c r="F256"/>
  <c r="F259"/>
  <c r="O260"/>
  <c r="Q260" s="1"/>
  <c r="R260" s="1"/>
  <c r="F261"/>
  <c r="F264"/>
  <c r="F267"/>
  <c r="F269"/>
  <c r="F272"/>
  <c r="F275"/>
  <c r="F277"/>
  <c r="F280"/>
  <c r="F283"/>
  <c r="F285"/>
  <c r="F288"/>
  <c r="F291"/>
  <c r="F293"/>
  <c r="F296"/>
  <c r="F299"/>
  <c r="F301"/>
  <c r="F323"/>
  <c r="F325"/>
  <c r="F330"/>
  <c r="F332"/>
  <c r="F339"/>
  <c r="F341"/>
  <c r="O342"/>
  <c r="F343"/>
  <c r="F345"/>
  <c r="O346"/>
  <c r="Q346" s="1"/>
  <c r="R346" s="1"/>
  <c r="F347"/>
  <c r="F355"/>
  <c r="F365"/>
  <c r="F367"/>
  <c r="F372"/>
  <c r="F374"/>
  <c r="F381"/>
  <c r="F383"/>
  <c r="F388"/>
  <c r="F390"/>
  <c r="O391"/>
  <c r="Q391" s="1"/>
  <c r="R391" s="1"/>
  <c r="F392"/>
  <c r="F425"/>
  <c r="F574"/>
  <c r="O595"/>
  <c r="F711"/>
  <c r="O877"/>
  <c r="F957"/>
  <c r="F1089"/>
  <c r="O1333"/>
  <c r="F5"/>
  <c r="F7"/>
  <c r="F20"/>
  <c r="F22"/>
  <c r="F25"/>
  <c r="F28"/>
  <c r="F30"/>
  <c r="F33"/>
  <c r="F36"/>
  <c r="F38"/>
  <c r="F41"/>
  <c r="F44"/>
  <c r="F46"/>
  <c r="F51"/>
  <c r="F59"/>
  <c r="F72"/>
  <c r="F80"/>
  <c r="F88"/>
  <c r="F96"/>
  <c r="F104"/>
  <c r="F112"/>
  <c r="F120"/>
  <c r="F128"/>
  <c r="F136"/>
  <c r="F144"/>
  <c r="F152"/>
  <c r="F160"/>
  <c r="F168"/>
  <c r="F176"/>
  <c r="F184"/>
  <c r="F186"/>
  <c r="F188"/>
  <c r="F190"/>
  <c r="F195"/>
  <c r="O199"/>
  <c r="Q199" s="1"/>
  <c r="R199" s="1"/>
  <c r="F200"/>
  <c r="F202"/>
  <c r="F204"/>
  <c r="F209"/>
  <c r="F217"/>
  <c r="F225"/>
  <c r="F233"/>
  <c r="F246"/>
  <c r="F254"/>
  <c r="F262"/>
  <c r="F270"/>
  <c r="F278"/>
  <c r="F286"/>
  <c r="F294"/>
  <c r="F302"/>
  <c r="O308"/>
  <c r="Q308" s="1"/>
  <c r="R308" s="1"/>
  <c r="F397"/>
  <c r="F399"/>
  <c r="F404"/>
  <c r="F409"/>
  <c r="F411"/>
  <c r="F418"/>
  <c r="F421"/>
  <c r="F595"/>
  <c r="O682"/>
  <c r="Q682" s="1"/>
  <c r="R682" s="1"/>
  <c r="F811"/>
  <c r="F877"/>
  <c r="O1219"/>
  <c r="Q1219" s="1"/>
  <c r="R1219" s="1"/>
  <c r="F1235"/>
  <c r="F1333"/>
  <c r="F422"/>
  <c r="F424"/>
  <c r="F449"/>
  <c r="F451"/>
  <c r="F460"/>
  <c r="F463"/>
  <c r="F465"/>
  <c r="F468"/>
  <c r="F471"/>
  <c r="F473"/>
  <c r="F476"/>
  <c r="F479"/>
  <c r="F481"/>
  <c r="F484"/>
  <c r="F487"/>
  <c r="F489"/>
  <c r="F492"/>
  <c r="F495"/>
  <c r="F497"/>
  <c r="F500"/>
  <c r="F502"/>
  <c r="F504"/>
  <c r="F506"/>
  <c r="F508"/>
  <c r="F510"/>
  <c r="F512"/>
  <c r="F514"/>
  <c r="F516"/>
  <c r="F518"/>
  <c r="F520"/>
  <c r="F522"/>
  <c r="F524"/>
  <c r="F531"/>
  <c r="F533"/>
  <c r="F535"/>
  <c r="F540"/>
  <c r="F545"/>
  <c r="F547"/>
  <c r="F554"/>
  <c r="F556"/>
  <c r="F563"/>
  <c r="F565"/>
  <c r="F570"/>
  <c r="F572"/>
  <c r="F576"/>
  <c r="F578"/>
  <c r="F583"/>
  <c r="F585"/>
  <c r="F587"/>
  <c r="F589"/>
  <c r="F591"/>
  <c r="F593"/>
  <c r="F597"/>
  <c r="F599"/>
  <c r="F604"/>
  <c r="F606"/>
  <c r="F613"/>
  <c r="F615"/>
  <c r="F620"/>
  <c r="F622"/>
  <c r="F624"/>
  <c r="F626"/>
  <c r="F628"/>
  <c r="F630"/>
  <c r="F632"/>
  <c r="F634"/>
  <c r="F636"/>
  <c r="F641"/>
  <c r="F643"/>
  <c r="F650"/>
  <c r="F652"/>
  <c r="F659"/>
  <c r="F661"/>
  <c r="F666"/>
  <c r="F668"/>
  <c r="F675"/>
  <c r="F677"/>
  <c r="F684"/>
  <c r="F687"/>
  <c r="F689"/>
  <c r="F692"/>
  <c r="F694"/>
  <c r="F699"/>
  <c r="F701"/>
  <c r="F708"/>
  <c r="F710"/>
  <c r="F715"/>
  <c r="F720"/>
  <c r="F722"/>
  <c r="F729"/>
  <c r="F731"/>
  <c r="F736"/>
  <c r="F738"/>
  <c r="F740"/>
  <c r="F742"/>
  <c r="F744"/>
  <c r="F746"/>
  <c r="F748"/>
  <c r="F750"/>
  <c r="F753"/>
  <c r="F755"/>
  <c r="F758"/>
  <c r="F761"/>
  <c r="F763"/>
  <c r="F766"/>
  <c r="F769"/>
  <c r="F771"/>
  <c r="F774"/>
  <c r="F777"/>
  <c r="F779"/>
  <c r="F782"/>
  <c r="F784"/>
  <c r="F786"/>
  <c r="F788"/>
  <c r="F790"/>
  <c r="F792"/>
  <c r="F794"/>
  <c r="F796"/>
  <c r="F798"/>
  <c r="F800"/>
  <c r="F802"/>
  <c r="F804"/>
  <c r="F806"/>
  <c r="F808"/>
  <c r="F823"/>
  <c r="F831"/>
  <c r="F839"/>
  <c r="F844"/>
  <c r="F846"/>
  <c r="F853"/>
  <c r="F855"/>
  <c r="F858"/>
  <c r="F861"/>
  <c r="F863"/>
  <c r="F870"/>
  <c r="F872"/>
  <c r="F879"/>
  <c r="F882"/>
  <c r="F884"/>
  <c r="F891"/>
  <c r="F893"/>
  <c r="F896"/>
  <c r="F919"/>
  <c r="F927"/>
  <c r="F935"/>
  <c r="F940"/>
  <c r="F948"/>
  <c r="F956"/>
  <c r="F966"/>
  <c r="F968"/>
  <c r="F973"/>
  <c r="F981"/>
  <c r="F989"/>
  <c r="F997"/>
  <c r="F1005"/>
  <c r="F1063"/>
  <c r="F1065"/>
  <c r="F1072"/>
  <c r="F1074"/>
  <c r="F1079"/>
  <c r="F1081"/>
  <c r="F1083"/>
  <c r="F1085"/>
  <c r="F1087"/>
  <c r="F1091"/>
  <c r="F1096"/>
  <c r="F1098"/>
  <c r="F1105"/>
  <c r="F1107"/>
  <c r="F1112"/>
  <c r="F1114"/>
  <c r="F1116"/>
  <c r="F1118"/>
  <c r="F1120"/>
  <c r="F1122"/>
  <c r="F1124"/>
  <c r="F1127"/>
  <c r="F1129"/>
  <c r="F1132"/>
  <c r="F1135"/>
  <c r="F1137"/>
  <c r="F1140"/>
  <c r="F1143"/>
  <c r="F1145"/>
  <c r="F1148"/>
  <c r="F1150"/>
  <c r="F1157"/>
  <c r="F1159"/>
  <c r="F1161"/>
  <c r="F1163"/>
  <c r="F1165"/>
  <c r="F1167"/>
  <c r="F1169"/>
  <c r="F1174"/>
  <c r="F1182"/>
  <c r="F1194"/>
  <c r="F1196"/>
  <c r="F1203"/>
  <c r="F1205"/>
  <c r="F1210"/>
  <c r="F1212"/>
  <c r="F1221"/>
  <c r="F1224"/>
  <c r="F1227"/>
  <c r="F1232"/>
  <c r="F1234"/>
  <c r="F1239"/>
  <c r="F1247"/>
  <c r="F1252"/>
  <c r="F1260"/>
  <c r="F1268"/>
  <c r="F1270"/>
  <c r="F1272"/>
  <c r="F1325"/>
  <c r="F1328"/>
  <c r="F1330"/>
  <c r="F1335"/>
  <c r="F1337"/>
  <c r="F1339"/>
  <c r="F1341"/>
  <c r="F1343"/>
  <c r="F1345"/>
  <c r="F1347"/>
  <c r="F1349"/>
  <c r="O1405"/>
  <c r="Q1405" s="1"/>
  <c r="R1405" s="1"/>
  <c r="F1902"/>
  <c r="F303"/>
  <c r="F305"/>
  <c r="F310"/>
  <c r="F312"/>
  <c r="F314"/>
  <c r="F316"/>
  <c r="F318"/>
  <c r="O319"/>
  <c r="Q319" s="1"/>
  <c r="R319" s="1"/>
  <c r="F320"/>
  <c r="F327"/>
  <c r="F329"/>
  <c r="F334"/>
  <c r="F336"/>
  <c r="F349"/>
  <c r="F352"/>
  <c r="F354"/>
  <c r="F357"/>
  <c r="F360"/>
  <c r="F362"/>
  <c r="F369"/>
  <c r="F371"/>
  <c r="F376"/>
  <c r="F378"/>
  <c r="F385"/>
  <c r="F387"/>
  <c r="F396"/>
  <c r="F401"/>
  <c r="F403"/>
  <c r="F406"/>
  <c r="F408"/>
  <c r="F413"/>
  <c r="F415"/>
  <c r="F420"/>
  <c r="F427"/>
  <c r="F429"/>
  <c r="F431"/>
  <c r="F433"/>
  <c r="F435"/>
  <c r="F437"/>
  <c r="F439"/>
  <c r="F441"/>
  <c r="F443"/>
  <c r="F445"/>
  <c r="O446"/>
  <c r="Q446" s="1"/>
  <c r="R446" s="1"/>
  <c r="F447"/>
  <c r="F452"/>
  <c r="F454"/>
  <c r="F456"/>
  <c r="F458"/>
  <c r="F466"/>
  <c r="F474"/>
  <c r="F482"/>
  <c r="F490"/>
  <c r="F498"/>
  <c r="F527"/>
  <c r="F529"/>
  <c r="F538"/>
  <c r="F541"/>
  <c r="F543"/>
  <c r="F550"/>
  <c r="F552"/>
  <c r="F559"/>
  <c r="F561"/>
  <c r="F566"/>
  <c r="F568"/>
  <c r="F579"/>
  <c r="F581"/>
  <c r="F600"/>
  <c r="F602"/>
  <c r="F609"/>
  <c r="F611"/>
  <c r="F616"/>
  <c r="F618"/>
  <c r="F637"/>
  <c r="F639"/>
  <c r="O645"/>
  <c r="F646"/>
  <c r="F648"/>
  <c r="F655"/>
  <c r="F657"/>
  <c r="F662"/>
  <c r="F664"/>
  <c r="F671"/>
  <c r="F673"/>
  <c r="F678"/>
  <c r="F680"/>
  <c r="F690"/>
  <c r="F695"/>
  <c r="F697"/>
  <c r="F704"/>
  <c r="F706"/>
  <c r="F713"/>
  <c r="F716"/>
  <c r="F718"/>
  <c r="F725"/>
  <c r="F727"/>
  <c r="F732"/>
  <c r="F734"/>
  <c r="F756"/>
  <c r="F764"/>
  <c r="F772"/>
  <c r="F780"/>
  <c r="F813"/>
  <c r="O815"/>
  <c r="Q815" s="1"/>
  <c r="R815" s="1"/>
  <c r="F816"/>
  <c r="F818"/>
  <c r="F821"/>
  <c r="F824"/>
  <c r="F826"/>
  <c r="F829"/>
  <c r="F832"/>
  <c r="F834"/>
  <c r="F837"/>
  <c r="F840"/>
  <c r="F842"/>
  <c r="F849"/>
  <c r="F851"/>
  <c r="F856"/>
  <c r="F864"/>
  <c r="F866"/>
  <c r="F868"/>
  <c r="F873"/>
  <c r="F875"/>
  <c r="F889"/>
  <c r="F894"/>
  <c r="O898"/>
  <c r="Q898" s="1"/>
  <c r="R898" s="1"/>
  <c r="F899"/>
  <c r="F901"/>
  <c r="F903"/>
  <c r="F905"/>
  <c r="F907"/>
  <c r="F909"/>
  <c r="F911"/>
  <c r="F913"/>
  <c r="F915"/>
  <c r="F917"/>
  <c r="F920"/>
  <c r="F922"/>
  <c r="F925"/>
  <c r="F928"/>
  <c r="F930"/>
  <c r="F933"/>
  <c r="F938"/>
  <c r="F941"/>
  <c r="F943"/>
  <c r="F946"/>
  <c r="F949"/>
  <c r="F951"/>
  <c r="F954"/>
  <c r="F959"/>
  <c r="F962"/>
  <c r="F964"/>
  <c r="F969"/>
  <c r="F971"/>
  <c r="F974"/>
  <c r="F976"/>
  <c r="F979"/>
  <c r="F982"/>
  <c r="F984"/>
  <c r="F987"/>
  <c r="F990"/>
  <c r="F992"/>
  <c r="F995"/>
  <c r="F998"/>
  <c r="F1000"/>
  <c r="F1003"/>
  <c r="F1006"/>
  <c r="F1008"/>
  <c r="F1011"/>
  <c r="F1013"/>
  <c r="F1015"/>
  <c r="F1017"/>
  <c r="F1019"/>
  <c r="F1021"/>
  <c r="F1023"/>
  <c r="F1025"/>
  <c r="F1027"/>
  <c r="F1029"/>
  <c r="F1031"/>
  <c r="F1033"/>
  <c r="F1035"/>
  <c r="F1037"/>
  <c r="F1039"/>
  <c r="F1041"/>
  <c r="F1043"/>
  <c r="F1045"/>
  <c r="F1047"/>
  <c r="F1049"/>
  <c r="F1051"/>
  <c r="F1053"/>
  <c r="F1055"/>
  <c r="F1057"/>
  <c r="F1059"/>
  <c r="F1061"/>
  <c r="F1066"/>
  <c r="O1067"/>
  <c r="Q1067" s="1"/>
  <c r="R1067" s="1"/>
  <c r="F1068"/>
  <c r="F1070"/>
  <c r="F1075"/>
  <c r="F1077"/>
  <c r="F1092"/>
  <c r="F1094"/>
  <c r="F1101"/>
  <c r="F1103"/>
  <c r="F1108"/>
  <c r="F1110"/>
  <c r="F1130"/>
  <c r="F1138"/>
  <c r="F1146"/>
  <c r="F1153"/>
  <c r="F1155"/>
  <c r="F1172"/>
  <c r="F1175"/>
  <c r="F1177"/>
  <c r="F1180"/>
  <c r="F1183"/>
  <c r="F1185"/>
  <c r="F1188"/>
  <c r="O1189"/>
  <c r="Q1189" s="1"/>
  <c r="R1189" s="1"/>
  <c r="F1192"/>
  <c r="F1199"/>
  <c r="F1201"/>
  <c r="F1206"/>
  <c r="F1208"/>
  <c r="F1215"/>
  <c r="F1217"/>
  <c r="F1222"/>
  <c r="F1237"/>
  <c r="F1240"/>
  <c r="F1242"/>
  <c r="F1245"/>
  <c r="F1248"/>
  <c r="F1250"/>
  <c r="F1253"/>
  <c r="F1255"/>
  <c r="F1258"/>
  <c r="F1261"/>
  <c r="F1263"/>
  <c r="F1266"/>
  <c r="F1273"/>
  <c r="F1275"/>
  <c r="F1277"/>
  <c r="F1279"/>
  <c r="F1281"/>
  <c r="F1283"/>
  <c r="F1285"/>
  <c r="F1287"/>
  <c r="F1289"/>
  <c r="F1291"/>
  <c r="F1293"/>
  <c r="F1295"/>
  <c r="F1297"/>
  <c r="F1299"/>
  <c r="F1301"/>
  <c r="F1303"/>
  <c r="F1305"/>
  <c r="F1307"/>
  <c r="F1309"/>
  <c r="F1311"/>
  <c r="F1313"/>
  <c r="F1315"/>
  <c r="F1317"/>
  <c r="F1319"/>
  <c r="F1321"/>
  <c r="F1323"/>
  <c r="F1331"/>
  <c r="F1356"/>
  <c r="F1361"/>
  <c r="F1363"/>
  <c r="F1370"/>
  <c r="F1405"/>
  <c r="O1689"/>
  <c r="Q1689" s="1"/>
  <c r="R1689" s="1"/>
  <c r="F1373"/>
  <c r="F1375"/>
  <c r="F1382"/>
  <c r="F1384"/>
  <c r="F1394"/>
  <c r="F1396"/>
  <c r="F1403"/>
  <c r="F1412"/>
  <c r="F1414"/>
  <c r="F1416"/>
  <c r="F1418"/>
  <c r="F1420"/>
  <c r="F1422"/>
  <c r="F1424"/>
  <c r="F1427"/>
  <c r="F1430"/>
  <c r="F1432"/>
  <c r="F1435"/>
  <c r="F1438"/>
  <c r="F1440"/>
  <c r="F1443"/>
  <c r="F1445"/>
  <c r="F1448"/>
  <c r="F1451"/>
  <c r="F1453"/>
  <c r="F1456"/>
  <c r="F1459"/>
  <c r="F1461"/>
  <c r="F1468"/>
  <c r="F1470"/>
  <c r="F1485"/>
  <c r="F1493"/>
  <c r="F1506"/>
  <c r="F1511"/>
  <c r="F1513"/>
  <c r="F1520"/>
  <c r="F1522"/>
  <c r="F1527"/>
  <c r="F1529"/>
  <c r="F1536"/>
  <c r="F1538"/>
  <c r="F1540"/>
  <c r="F1542"/>
  <c r="F1544"/>
  <c r="F1546"/>
  <c r="F1548"/>
  <c r="F1550"/>
  <c r="F1552"/>
  <c r="F1554"/>
  <c r="F1556"/>
  <c r="F1558"/>
  <c r="F1560"/>
  <c r="F1563"/>
  <c r="F1566"/>
  <c r="F1568"/>
  <c r="F1571"/>
  <c r="F1574"/>
  <c r="F1576"/>
  <c r="F1579"/>
  <c r="F1581"/>
  <c r="F1584"/>
  <c r="F1587"/>
  <c r="F1589"/>
  <c r="F1592"/>
  <c r="F1594"/>
  <c r="F1599"/>
  <c r="F1601"/>
  <c r="F1650"/>
  <c r="F1655"/>
  <c r="F1657"/>
  <c r="F1664"/>
  <c r="F1666"/>
  <c r="F1671"/>
  <c r="F1673"/>
  <c r="F1680"/>
  <c r="F1682"/>
  <c r="F1687"/>
  <c r="F1692"/>
  <c r="F1694"/>
  <c r="F1697"/>
  <c r="F1700"/>
  <c r="F1702"/>
  <c r="F1705"/>
  <c r="F1708"/>
  <c r="F1710"/>
  <c r="F1713"/>
  <c r="F1715"/>
  <c r="F1720"/>
  <c r="F1722"/>
  <c r="F1729"/>
  <c r="F1731"/>
  <c r="F1736"/>
  <c r="F1738"/>
  <c r="F1741"/>
  <c r="F1743"/>
  <c r="F1746"/>
  <c r="F1749"/>
  <c r="F1751"/>
  <c r="F1754"/>
  <c r="F1757"/>
  <c r="F1759"/>
  <c r="F1762"/>
  <c r="F1765"/>
  <c r="F1767"/>
  <c r="F1770"/>
  <c r="F1773"/>
  <c r="F1775"/>
  <c r="F1782"/>
  <c r="F1784"/>
  <c r="F1789"/>
  <c r="F1791"/>
  <c r="F1798"/>
  <c r="F1800"/>
  <c r="F1805"/>
  <c r="F1807"/>
  <c r="F1814"/>
  <c r="F1816"/>
  <c r="F1819"/>
  <c r="F1826"/>
  <c r="F1828"/>
  <c r="F1833"/>
  <c r="F1835"/>
  <c r="F1938"/>
  <c r="F1940"/>
  <c r="F1947"/>
  <c r="F1949"/>
  <c r="F1954"/>
  <c r="F1956"/>
  <c r="F1963"/>
  <c r="F1965"/>
  <c r="F1970"/>
  <c r="F1972"/>
  <c r="F1979"/>
  <c r="F1981"/>
  <c r="F1986"/>
  <c r="F1988"/>
  <c r="F1995"/>
  <c r="F1997"/>
  <c r="F2002"/>
  <c r="F2004"/>
  <c r="F2011"/>
  <c r="F2013"/>
  <c r="F2018"/>
  <c r="F2020"/>
  <c r="F2027"/>
  <c r="F2029"/>
  <c r="F2031"/>
  <c r="F2033"/>
  <c r="F2035"/>
  <c r="F2037"/>
  <c r="F2039"/>
  <c r="F2041"/>
  <c r="F2043"/>
  <c r="F2045"/>
  <c r="F2047"/>
  <c r="F2049"/>
  <c r="F2051"/>
  <c r="F2053"/>
  <c r="F2055"/>
  <c r="F2057"/>
  <c r="F2059"/>
  <c r="F2061"/>
  <c r="F2063"/>
  <c r="F2065"/>
  <c r="F2067"/>
  <c r="F2069"/>
  <c r="F2071"/>
  <c r="F2073"/>
  <c r="F2075"/>
  <c r="F2077"/>
  <c r="F2079"/>
  <c r="F2084"/>
  <c r="F2086"/>
  <c r="F2108"/>
  <c r="F2110"/>
  <c r="F2115"/>
  <c r="F2117"/>
  <c r="F2119"/>
  <c r="F2124"/>
  <c r="F2126"/>
  <c r="F2133"/>
  <c r="F2135"/>
  <c r="F2140"/>
  <c r="F2142"/>
  <c r="F2149"/>
  <c r="F2151"/>
  <c r="F2156"/>
  <c r="F2158"/>
  <c r="F2165"/>
  <c r="F2167"/>
  <c r="F2172"/>
  <c r="F2174"/>
  <c r="F2189"/>
  <c r="F2191"/>
  <c r="F2196"/>
  <c r="F2198"/>
  <c r="F2205"/>
  <c r="F2207"/>
  <c r="F2212"/>
  <c r="F2214"/>
  <c r="F2221"/>
  <c r="F2223"/>
  <c r="F2228"/>
  <c r="F2230"/>
  <c r="F2237"/>
  <c r="F2239"/>
  <c r="F2244"/>
  <c r="F2246"/>
  <c r="F2253"/>
  <c r="F2255"/>
  <c r="F2264"/>
  <c r="F2266"/>
  <c r="F2269"/>
  <c r="F2271"/>
  <c r="F2273"/>
  <c r="F2275"/>
  <c r="F2277"/>
  <c r="F2279"/>
  <c r="F2281"/>
  <c r="F2283"/>
  <c r="F2285"/>
  <c r="F2287"/>
  <c r="O2288"/>
  <c r="Q2288" s="1"/>
  <c r="R2288" s="1"/>
  <c r="F2289"/>
  <c r="F2291"/>
  <c r="F2298"/>
  <c r="F2300"/>
  <c r="F1350"/>
  <c r="F1352"/>
  <c r="F1354"/>
  <c r="F1357"/>
  <c r="F1359"/>
  <c r="F1366"/>
  <c r="F1368"/>
  <c r="F1378"/>
  <c r="F1380"/>
  <c r="F1385"/>
  <c r="F1387"/>
  <c r="F1390"/>
  <c r="F1392"/>
  <c r="F1397"/>
  <c r="F1399"/>
  <c r="F1401"/>
  <c r="F1408"/>
  <c r="F1410"/>
  <c r="F1425"/>
  <c r="F1433"/>
  <c r="F1441"/>
  <c r="F1446"/>
  <c r="F1454"/>
  <c r="F1464"/>
  <c r="F1466"/>
  <c r="F1471"/>
  <c r="F1473"/>
  <c r="F1475"/>
  <c r="F1477"/>
  <c r="F1479"/>
  <c r="F1481"/>
  <c r="F1483"/>
  <c r="F1486"/>
  <c r="F1488"/>
  <c r="F1491"/>
  <c r="F1494"/>
  <c r="F1496"/>
  <c r="F1499"/>
  <c r="F1501"/>
  <c r="F1504"/>
  <c r="F1507"/>
  <c r="F1509"/>
  <c r="F1516"/>
  <c r="F1518"/>
  <c r="F1523"/>
  <c r="F1525"/>
  <c r="F1532"/>
  <c r="F1534"/>
  <c r="F1561"/>
  <c r="F1569"/>
  <c r="F1582"/>
  <c r="F1590"/>
  <c r="F1595"/>
  <c r="F1597"/>
  <c r="F1604"/>
  <c r="F1606"/>
  <c r="F1608"/>
  <c r="F1610"/>
  <c r="F1612"/>
  <c r="F1614"/>
  <c r="F1616"/>
  <c r="F1618"/>
  <c r="F1620"/>
  <c r="F1622"/>
  <c r="F1624"/>
  <c r="F1626"/>
  <c r="F1628"/>
  <c r="F1630"/>
  <c r="F1632"/>
  <c r="F1634"/>
  <c r="F1636"/>
  <c r="F1638"/>
  <c r="F1640"/>
  <c r="F1642"/>
  <c r="F1644"/>
  <c r="F1646"/>
  <c r="F1648"/>
  <c r="F1651"/>
  <c r="F1653"/>
  <c r="F1660"/>
  <c r="F1662"/>
  <c r="F1667"/>
  <c r="F1669"/>
  <c r="F1676"/>
  <c r="F1678"/>
  <c r="F1683"/>
  <c r="F1685"/>
  <c r="F1695"/>
  <c r="F1703"/>
  <c r="F1711"/>
  <c r="F1716"/>
  <c r="F1718"/>
  <c r="F1725"/>
  <c r="F1727"/>
  <c r="F1732"/>
  <c r="F1734"/>
  <c r="F1744"/>
  <c r="F1752"/>
  <c r="F1760"/>
  <c r="F1768"/>
  <c r="F1778"/>
  <c r="F1780"/>
  <c r="F1785"/>
  <c r="F1787"/>
  <c r="F1794"/>
  <c r="F1796"/>
  <c r="F1801"/>
  <c r="F1803"/>
  <c r="F1810"/>
  <c r="F1812"/>
  <c r="F1817"/>
  <c r="F1822"/>
  <c r="F1824"/>
  <c r="F1829"/>
  <c r="F1831"/>
  <c r="F1838"/>
  <c r="F1840"/>
  <c r="F1842"/>
  <c r="F1844"/>
  <c r="F1846"/>
  <c r="F1848"/>
  <c r="F1850"/>
  <c r="F1852"/>
  <c r="F1854"/>
  <c r="F1856"/>
  <c r="F1858"/>
  <c r="F1860"/>
  <c r="F1862"/>
  <c r="F1864"/>
  <c r="F1866"/>
  <c r="F1868"/>
  <c r="F1870"/>
  <c r="F1872"/>
  <c r="F1874"/>
  <c r="F1876"/>
  <c r="F1878"/>
  <c r="F1880"/>
  <c r="F1882"/>
  <c r="F1884"/>
  <c r="F1886"/>
  <c r="F1888"/>
  <c r="F1890"/>
  <c r="F1892"/>
  <c r="F1894"/>
  <c r="F1896"/>
  <c r="F1898"/>
  <c r="F1900"/>
  <c r="F1904"/>
  <c r="F1906"/>
  <c r="F1908"/>
  <c r="F1910"/>
  <c r="F1912"/>
  <c r="F1914"/>
  <c r="F1916"/>
  <c r="F1918"/>
  <c r="F1920"/>
  <c r="F1922"/>
  <c r="F1924"/>
  <c r="F1926"/>
  <c r="F1928"/>
  <c r="F1930"/>
  <c r="F1932"/>
  <c r="F1934"/>
  <c r="F1936"/>
  <c r="F1943"/>
  <c r="F1945"/>
  <c r="F1950"/>
  <c r="F1952"/>
  <c r="F1959"/>
  <c r="F1961"/>
  <c r="F1966"/>
  <c r="F1968"/>
  <c r="F1975"/>
  <c r="F1977"/>
  <c r="F1982"/>
  <c r="F1984"/>
  <c r="F1991"/>
  <c r="F1993"/>
  <c r="F1998"/>
  <c r="F2000"/>
  <c r="F2007"/>
  <c r="F2009"/>
  <c r="F2014"/>
  <c r="F2016"/>
  <c r="F2023"/>
  <c r="F2025"/>
  <c r="F2080"/>
  <c r="F2082"/>
  <c r="F2089"/>
  <c r="F2091"/>
  <c r="F2093"/>
  <c r="F2095"/>
  <c r="F2097"/>
  <c r="F2099"/>
  <c r="F2101"/>
  <c r="F2103"/>
  <c r="F2105"/>
  <c r="F2111"/>
  <c r="F2113"/>
  <c r="F2120"/>
  <c r="F2122"/>
  <c r="F2129"/>
  <c r="F2131"/>
  <c r="F2136"/>
  <c r="F2138"/>
  <c r="F2145"/>
  <c r="F2147"/>
  <c r="F2152"/>
  <c r="F2154"/>
  <c r="F2161"/>
  <c r="F2163"/>
  <c r="F2168"/>
  <c r="O2169"/>
  <c r="Q2169" s="1"/>
  <c r="R2169" s="1"/>
  <c r="F2170"/>
  <c r="F2177"/>
  <c r="F2179"/>
  <c r="F2181"/>
  <c r="F2183"/>
  <c r="F2185"/>
  <c r="F2187"/>
  <c r="F2192"/>
  <c r="F2194"/>
  <c r="F2201"/>
  <c r="F2203"/>
  <c r="F2208"/>
  <c r="F2210"/>
  <c r="F2217"/>
  <c r="F2219"/>
  <c r="F2224"/>
  <c r="F2226"/>
  <c r="F2233"/>
  <c r="F2235"/>
  <c r="F2240"/>
  <c r="F2242"/>
  <c r="F2249"/>
  <c r="F2251"/>
  <c r="F2256"/>
  <c r="F2258"/>
  <c r="F2260"/>
  <c r="F2262"/>
  <c r="F2294"/>
  <c r="F2296"/>
  <c r="F2301"/>
  <c r="P1443"/>
  <c r="Q1443" s="1"/>
  <c r="R1443" s="1"/>
  <c r="P1412"/>
  <c r="Q1412" s="1"/>
  <c r="R1412" s="1"/>
  <c r="P1403"/>
  <c r="Q1403" s="1"/>
  <c r="R1403" s="1"/>
  <c r="P1557"/>
  <c r="Q1557" s="1"/>
  <c r="R1557" s="1"/>
  <c r="P784"/>
  <c r="Q784" s="1"/>
  <c r="R784" s="1"/>
  <c r="P2107"/>
  <c r="Q2107" s="1"/>
  <c r="R2107" s="1"/>
  <c r="P1483"/>
  <c r="Q1483" s="1"/>
  <c r="R1483" s="1"/>
  <c r="P970"/>
  <c r="Q970" s="1"/>
  <c r="R970" s="1"/>
  <c r="P1645"/>
  <c r="Q1645" s="1"/>
  <c r="R1645" s="1"/>
  <c r="Q1333"/>
  <c r="R1333" s="1"/>
  <c r="P1268"/>
  <c r="Q1268" s="1"/>
  <c r="R1268" s="1"/>
  <c r="P1114"/>
  <c r="Q1114" s="1"/>
  <c r="R1114" s="1"/>
  <c r="P742"/>
  <c r="Q742" s="1"/>
  <c r="R742" s="1"/>
  <c r="P531"/>
  <c r="Q531" s="1"/>
  <c r="R531" s="1"/>
  <c r="P1507"/>
  <c r="Q1507" s="1"/>
  <c r="R1507" s="1"/>
  <c r="P1322"/>
  <c r="Q1322" s="1"/>
  <c r="R1322" s="1"/>
  <c r="P1916"/>
  <c r="Q1916" s="1"/>
  <c r="R1916" s="1"/>
  <c r="P534"/>
  <c r="Q534" s="1"/>
  <c r="R534" s="1"/>
  <c r="P2268"/>
  <c r="Q2268" s="1"/>
  <c r="R2268" s="1"/>
  <c r="P693"/>
  <c r="Q693" s="1"/>
  <c r="R693" s="1"/>
  <c r="P190"/>
  <c r="Q190" s="1"/>
  <c r="R190" s="1"/>
  <c r="P1712"/>
  <c r="Q1712" s="1"/>
  <c r="R1712" s="1"/>
  <c r="P1147"/>
  <c r="Q1147" s="1"/>
  <c r="R1147" s="1"/>
  <c r="Q854"/>
  <c r="R854" s="1"/>
  <c r="Q1235"/>
  <c r="R1235" s="1"/>
  <c r="P204"/>
  <c r="Q204" s="1"/>
  <c r="R204" s="1"/>
  <c r="P188"/>
  <c r="Q188" s="1"/>
  <c r="R188" s="1"/>
  <c r="P1592"/>
  <c r="Q1592" s="1"/>
  <c r="R1592" s="1"/>
  <c r="P2259"/>
  <c r="Q2259" s="1"/>
  <c r="R2259" s="1"/>
  <c r="P2090"/>
  <c r="Q2090" s="1"/>
  <c r="R2090" s="1"/>
  <c r="P1933"/>
  <c r="Q1933" s="1"/>
  <c r="R1933" s="1"/>
  <c r="P1400"/>
  <c r="Q1400" s="1"/>
  <c r="R1400" s="1"/>
  <c r="P2188"/>
  <c r="Q2188" s="1"/>
  <c r="R2188" s="1"/>
  <c r="P1649"/>
  <c r="Q1649" s="1"/>
  <c r="R1649" s="1"/>
  <c r="P1169"/>
  <c r="Q1169" s="1"/>
  <c r="R1169" s="1"/>
  <c r="P1150"/>
  <c r="Q1150" s="1"/>
  <c r="R1150" s="1"/>
  <c r="P1124"/>
  <c r="Q1124" s="1"/>
  <c r="R1124" s="1"/>
  <c r="Q877"/>
  <c r="R877" s="1"/>
  <c r="P748"/>
  <c r="Q748" s="1"/>
  <c r="R748" s="1"/>
  <c r="P338"/>
  <c r="Q338" s="1"/>
  <c r="R338" s="1"/>
  <c r="P1606"/>
  <c r="Q1606" s="1"/>
  <c r="R1606" s="1"/>
  <c r="P1408"/>
  <c r="Q1408" s="1"/>
  <c r="R1408" s="1"/>
  <c r="P1012"/>
  <c r="Q1012" s="1"/>
  <c r="R1012" s="1"/>
  <c r="Q645"/>
  <c r="R645" s="1"/>
  <c r="P551"/>
  <c r="Q551" s="1"/>
  <c r="R551" s="1"/>
  <c r="P623"/>
  <c r="Q623" s="1"/>
  <c r="R623" s="1"/>
  <c r="P17"/>
  <c r="Q17" s="1"/>
  <c r="R17" s="1"/>
  <c r="P842"/>
  <c r="Q842" s="1"/>
  <c r="R842" s="1"/>
  <c r="P8"/>
  <c r="Q8" s="1"/>
  <c r="R8" s="1"/>
  <c r="P716"/>
  <c r="Q716" s="1"/>
  <c r="R716" s="1"/>
  <c r="P200"/>
  <c r="Q200" s="1"/>
  <c r="R200" s="1"/>
  <c r="Q1737"/>
  <c r="R1737" s="1"/>
  <c r="Q1190"/>
  <c r="R1190" s="1"/>
  <c r="P584"/>
  <c r="Q584" s="1"/>
  <c r="R584" s="1"/>
  <c r="P21"/>
  <c r="Q21" s="1"/>
  <c r="R21" s="1"/>
  <c r="P1275"/>
  <c r="Q1275" s="1"/>
  <c r="R1275" s="1"/>
  <c r="P816"/>
  <c r="Q816" s="1"/>
  <c r="R816" s="1"/>
  <c r="Q957"/>
  <c r="R957" s="1"/>
  <c r="Q425"/>
  <c r="R425" s="1"/>
  <c r="Q1229"/>
  <c r="R1229" s="1"/>
  <c r="P736"/>
  <c r="Q736" s="1"/>
  <c r="R736" s="1"/>
  <c r="P2117"/>
  <c r="Q2117" s="1"/>
  <c r="R2117" s="1"/>
  <c r="P1538"/>
  <c r="Q1538" s="1"/>
  <c r="R1538" s="1"/>
  <c r="P1839"/>
  <c r="Q1839" s="1"/>
  <c r="R1839" s="1"/>
  <c r="P1498"/>
  <c r="Q1498" s="1"/>
  <c r="R1498" s="1"/>
  <c r="P1846"/>
  <c r="Q1846" s="1"/>
  <c r="R1846" s="1"/>
  <c r="P1575"/>
  <c r="Q1575" s="1"/>
  <c r="R1575" s="1"/>
  <c r="P1157"/>
  <c r="Q1157" s="1"/>
  <c r="R1157" s="1"/>
  <c r="P2027"/>
  <c r="Q2027" s="1"/>
  <c r="R2027" s="1"/>
  <c r="P1817"/>
  <c r="Q1817" s="1"/>
  <c r="R1817" s="1"/>
  <c r="P1461"/>
  <c r="Q1461" s="1"/>
  <c r="R1461" s="1"/>
  <c r="P2104"/>
  <c r="Q2104" s="1"/>
  <c r="R2104" s="1"/>
  <c r="P2190"/>
  <c r="Q2190" s="1"/>
  <c r="R2190" s="1"/>
  <c r="P1654"/>
  <c r="Q1654" s="1"/>
  <c r="R1654" s="1"/>
  <c r="P1421"/>
  <c r="Q1421" s="1"/>
  <c r="R1421" s="1"/>
  <c r="P935"/>
  <c r="Q935" s="1"/>
  <c r="R935" s="1"/>
  <c r="P882"/>
  <c r="Q882" s="1"/>
  <c r="R882" s="1"/>
  <c r="P750"/>
  <c r="Q750" s="1"/>
  <c r="R750" s="1"/>
  <c r="Q595"/>
  <c r="R595" s="1"/>
  <c r="P572"/>
  <c r="Q572" s="1"/>
  <c r="R572" s="1"/>
  <c r="Q342"/>
  <c r="R342" s="1"/>
  <c r="P1471"/>
  <c r="Q1471" s="1"/>
  <c r="R1471" s="1"/>
  <c r="P1069"/>
  <c r="Q1069" s="1"/>
  <c r="R1069" s="1"/>
  <c r="P1060"/>
  <c r="Q1060" s="1"/>
  <c r="R1060" s="1"/>
  <c r="P916"/>
  <c r="Q916" s="1"/>
  <c r="R916" s="1"/>
  <c r="P647"/>
  <c r="Q647" s="1"/>
  <c r="R647" s="1"/>
  <c r="P457"/>
  <c r="Q457" s="1"/>
  <c r="R457" s="1"/>
  <c r="P1354"/>
  <c r="Q1354" s="1"/>
  <c r="R1354" s="1"/>
  <c r="P864"/>
  <c r="Q864" s="1"/>
  <c r="R864" s="1"/>
  <c r="P239"/>
  <c r="Q239" s="1"/>
  <c r="R239" s="1"/>
  <c r="P1228"/>
  <c r="Q1228" s="1"/>
  <c r="R1228" s="1"/>
  <c r="P361"/>
  <c r="Q361" s="1"/>
  <c r="R361" s="1"/>
  <c r="P1251"/>
  <c r="Q1251" s="1"/>
  <c r="R1251" s="1"/>
  <c r="P2177"/>
  <c r="Q2177" s="1"/>
  <c r="R2177" s="1"/>
  <c r="P1062"/>
  <c r="Q1062" s="1"/>
  <c r="R1062" s="1"/>
  <c r="P783"/>
  <c r="Q783" s="1"/>
  <c r="R783" s="1"/>
  <c r="P1059"/>
  <c r="Q1059" s="1"/>
  <c r="R1059" s="1"/>
  <c r="P454"/>
  <c r="Q454" s="1"/>
  <c r="R454" s="1"/>
  <c r="P1011"/>
  <c r="Q1011" s="1"/>
  <c r="R1011" s="1"/>
  <c r="P64"/>
  <c r="Q64" s="1"/>
  <c r="R64" s="1"/>
  <c r="Q499"/>
  <c r="R499" s="1"/>
  <c r="P1971"/>
  <c r="Q1971" s="1"/>
  <c r="R1971" s="1"/>
  <c r="P552"/>
  <c r="Q552" s="1"/>
  <c r="R552" s="1"/>
  <c r="P184"/>
  <c r="Q184" s="1"/>
  <c r="R184" s="1"/>
  <c r="P1082"/>
  <c r="Q1082" s="1"/>
  <c r="R1082" s="1"/>
  <c r="P2030"/>
  <c r="Q2030" s="1"/>
  <c r="R2030" s="1"/>
  <c r="Q46"/>
  <c r="R46" s="1"/>
  <c r="Q2302"/>
  <c r="R2302" s="1"/>
  <c r="Q2298"/>
  <c r="R2298" s="1"/>
  <c r="Q2252"/>
  <c r="R2252" s="1"/>
  <c r="Q2236"/>
  <c r="R2236" s="1"/>
  <c r="Q2220"/>
  <c r="R2220" s="1"/>
  <c r="Q2204"/>
  <c r="R2204" s="1"/>
  <c r="Q2184"/>
  <c r="R2184" s="1"/>
  <c r="Q2176"/>
  <c r="R2176" s="1"/>
  <c r="Q2156"/>
  <c r="R2156" s="1"/>
  <c r="Q2140"/>
  <c r="R2140" s="1"/>
  <c r="Q2124"/>
  <c r="R2124"/>
  <c r="Q2103"/>
  <c r="R2103" s="1"/>
  <c r="Q2095"/>
  <c r="R2095" s="1"/>
  <c r="Q2072"/>
  <c r="R2072" s="1"/>
  <c r="Q2064"/>
  <c r="R2064" s="1"/>
  <c r="Q2056"/>
  <c r="R2056" s="1"/>
  <c r="Q2048"/>
  <c r="R2048" s="1"/>
  <c r="Q2040"/>
  <c r="R2040" s="1"/>
  <c r="Q2032"/>
  <c r="R2032" s="1"/>
  <c r="Q1964"/>
  <c r="R1964" s="1"/>
  <c r="Q1948"/>
  <c r="R1948" s="1"/>
  <c r="Q1901"/>
  <c r="R1901" s="1"/>
  <c r="Q1893"/>
  <c r="R1893" s="1"/>
  <c r="Q1885"/>
  <c r="R1885" s="1"/>
  <c r="Q1877"/>
  <c r="R1877" s="1"/>
  <c r="Q1869"/>
  <c r="R1869" s="1"/>
  <c r="Q1861"/>
  <c r="R1861" s="1"/>
  <c r="Q1853"/>
  <c r="R1853" s="1"/>
  <c r="Q1845"/>
  <c r="R1845" s="1"/>
  <c r="Q1830"/>
  <c r="R1830" s="1"/>
  <c r="Q1814"/>
  <c r="R1814" s="1"/>
  <c r="Q1798"/>
  <c r="R1798" s="1"/>
  <c r="Q1782"/>
  <c r="R1782" s="1"/>
  <c r="Q1770"/>
  <c r="R1770" s="1"/>
  <c r="Q1749"/>
  <c r="R1749" s="1"/>
  <c r="Q1738"/>
  <c r="R1738" s="1"/>
  <c r="Q1722"/>
  <c r="R1722" s="1"/>
  <c r="Q1708"/>
  <c r="R1708" s="1"/>
  <c r="Q1697"/>
  <c r="R1697" s="1"/>
  <c r="Q1683"/>
  <c r="R1683" s="1"/>
  <c r="Q1667"/>
  <c r="R1667" s="1"/>
  <c r="Q1646"/>
  <c r="R1646" s="1"/>
  <c r="Q1638"/>
  <c r="R1638"/>
  <c r="Q1630"/>
  <c r="R1630" s="1"/>
  <c r="Q1622"/>
  <c r="R1622" s="1"/>
  <c r="Q1614"/>
  <c r="R1614" s="1"/>
  <c r="Q1604"/>
  <c r="R1604" s="1"/>
  <c r="Q1532"/>
  <c r="R1532" s="1"/>
  <c r="Q2293"/>
  <c r="R2293" s="1"/>
  <c r="Q2281"/>
  <c r="R2281" s="1"/>
  <c r="Q2273"/>
  <c r="R2273" s="1"/>
  <c r="Q2258"/>
  <c r="R2258" s="1"/>
  <c r="Q2249"/>
  <c r="R2249" s="1"/>
  <c r="Q2242"/>
  <c r="R2242" s="1"/>
  <c r="Q2233"/>
  <c r="R2233" s="1"/>
  <c r="Q2226"/>
  <c r="R2226" s="1"/>
  <c r="Q2217"/>
  <c r="R2217" s="1"/>
  <c r="Q2210"/>
  <c r="R2210" s="1"/>
  <c r="Q2201"/>
  <c r="R2201" s="1"/>
  <c r="Q2194"/>
  <c r="R2194" s="1"/>
  <c r="Q2153"/>
  <c r="R2153" s="1"/>
  <c r="Q2137"/>
  <c r="R2137" s="1"/>
  <c r="Q2121"/>
  <c r="R2121" s="1"/>
  <c r="Q2014"/>
  <c r="R2014" s="1"/>
  <c r="Q1998"/>
  <c r="R1998" s="1"/>
  <c r="Q1982"/>
  <c r="R1982" s="1"/>
  <c r="Q1966"/>
  <c r="R1966" s="1"/>
  <c r="Q1950"/>
  <c r="R1950" s="1"/>
  <c r="Q1934"/>
  <c r="R1934" s="1"/>
  <c r="Q1926"/>
  <c r="R1926" s="1"/>
  <c r="Q1918"/>
  <c r="R1918"/>
  <c r="Q1908"/>
  <c r="R1908" s="1"/>
  <c r="Q1687"/>
  <c r="R1687" s="1"/>
  <c r="Q1671"/>
  <c r="R1671" s="1"/>
  <c r="Q1655"/>
  <c r="R1655" s="1"/>
  <c r="Q1599"/>
  <c r="R1599" s="1"/>
  <c r="Q1571"/>
  <c r="R1571" s="1"/>
  <c r="Q1552"/>
  <c r="R1552" s="1"/>
  <c r="Q1544"/>
  <c r="R1544" s="1"/>
  <c r="Q1459"/>
  <c r="R1459" s="1"/>
  <c r="Q2266"/>
  <c r="R2266" s="1"/>
  <c r="Q2246"/>
  <c r="R2246" s="1"/>
  <c r="Q2230"/>
  <c r="R2230" s="1"/>
  <c r="Q2214"/>
  <c r="R2214" s="1"/>
  <c r="Q2198"/>
  <c r="R2198" s="1"/>
  <c r="Q2185"/>
  <c r="R2185" s="1"/>
  <c r="Q2157"/>
  <c r="R2157" s="1"/>
  <c r="Q2141"/>
  <c r="R2141" s="1"/>
  <c r="Q2125"/>
  <c r="R2125" s="1"/>
  <c r="Q2098"/>
  <c r="R2098" s="1"/>
  <c r="Q2088"/>
  <c r="R2088" s="1"/>
  <c r="Q2073"/>
  <c r="R2073" s="1"/>
  <c r="Q2065"/>
  <c r="R2065" s="1"/>
  <c r="Q2057"/>
  <c r="R2057" s="1"/>
  <c r="Q2049"/>
  <c r="R2049" s="1"/>
  <c r="Q2041"/>
  <c r="R2041" s="1"/>
  <c r="Q2033"/>
  <c r="R2033" s="1"/>
  <c r="Q2020"/>
  <c r="R2020" s="1"/>
  <c r="Q2004"/>
  <c r="R2004"/>
  <c r="Q1988"/>
  <c r="R1988" s="1"/>
  <c r="Q1972"/>
  <c r="R1972" s="1"/>
  <c r="Q1956"/>
  <c r="R1956" s="1"/>
  <c r="Q1940"/>
  <c r="R1940" s="1"/>
  <c r="Q1896"/>
  <c r="R1896" s="1"/>
  <c r="Q1888"/>
  <c r="R1888" s="1"/>
  <c r="Q1880"/>
  <c r="R1880" s="1"/>
  <c r="Q1872"/>
  <c r="R1872" s="1"/>
  <c r="Q1864"/>
  <c r="R1864" s="1"/>
  <c r="Q1856"/>
  <c r="R1856" s="1"/>
  <c r="Q1848"/>
  <c r="R1848" s="1"/>
  <c r="Q1838"/>
  <c r="R1838" s="1"/>
  <c r="Q1822"/>
  <c r="R1822" s="1"/>
  <c r="Q1806"/>
  <c r="R1806" s="1"/>
  <c r="Q1790"/>
  <c r="R1790" s="1"/>
  <c r="Q1761"/>
  <c r="R1761" s="1"/>
  <c r="Q1750"/>
  <c r="R1750" s="1"/>
  <c r="Q1721"/>
  <c r="R1721" s="1"/>
  <c r="Q1696"/>
  <c r="R1696" s="1"/>
  <c r="Q1639"/>
  <c r="R1639" s="1"/>
  <c r="Q1631"/>
  <c r="R1631" s="1"/>
  <c r="Q1623"/>
  <c r="R1623" s="1"/>
  <c r="Q1615"/>
  <c r="R1615" s="1"/>
  <c r="Q2294"/>
  <c r="R2294" s="1"/>
  <c r="Q2280"/>
  <c r="R2280" s="1"/>
  <c r="Q2272"/>
  <c r="R2272" s="1"/>
  <c r="Q2250"/>
  <c r="R2250" s="1"/>
  <c r="Q2232"/>
  <c r="R2232" s="1"/>
  <c r="Q2209"/>
  <c r="R2209" s="1"/>
  <c r="Q2174"/>
  <c r="R2174" s="1"/>
  <c r="Q2154"/>
  <c r="R2154" s="1"/>
  <c r="Q2136"/>
  <c r="R2136" s="1"/>
  <c r="Q2113"/>
  <c r="R2113" s="1"/>
  <c r="Q2078"/>
  <c r="R2078" s="1"/>
  <c r="Q1931"/>
  <c r="R1931" s="1"/>
  <c r="Q1923"/>
  <c r="R1923" s="1"/>
  <c r="Q1915"/>
  <c r="R1915" s="1"/>
  <c r="Q1907"/>
  <c r="R1907" s="1"/>
  <c r="Q1833"/>
  <c r="R1833" s="1"/>
  <c r="Q1810"/>
  <c r="R1810" s="1"/>
  <c r="Q1794"/>
  <c r="R1794" s="1"/>
  <c r="Q1778"/>
  <c r="R1778" s="1"/>
  <c r="Q1732"/>
  <c r="R1732" s="1"/>
  <c r="Q1716"/>
  <c r="R1716" s="1"/>
  <c r="Q1688"/>
  <c r="R1688" s="1"/>
  <c r="Q1672"/>
  <c r="R1672" s="1"/>
  <c r="Q1656"/>
  <c r="R1656" s="1"/>
  <c r="Q1591"/>
  <c r="R1591" s="1"/>
  <c r="Q1580"/>
  <c r="R1580" s="1"/>
  <c r="Q1567"/>
  <c r="R1567" s="1"/>
  <c r="Q1555"/>
  <c r="R1555" s="1"/>
  <c r="Q1547"/>
  <c r="R1547" s="1"/>
  <c r="Q1539"/>
  <c r="R1539" s="1"/>
  <c r="Q1504"/>
  <c r="R1504" s="1"/>
  <c r="Q1494"/>
  <c r="R1494" s="1"/>
  <c r="Q1480"/>
  <c r="R1480" s="1"/>
  <c r="Q1472"/>
  <c r="R1472" s="1"/>
  <c r="Q1448"/>
  <c r="R1448" s="1"/>
  <c r="Q1435"/>
  <c r="R1435" s="1"/>
  <c r="Q1399"/>
  <c r="R1399" s="1"/>
  <c r="Q1378"/>
  <c r="R1378" s="1"/>
  <c r="Q1342"/>
  <c r="R1342" s="1"/>
  <c r="Q1318"/>
  <c r="R1318" s="1"/>
  <c r="Q1302"/>
  <c r="R1302" s="1"/>
  <c r="Q1286"/>
  <c r="R1286" s="1"/>
  <c r="Q1254"/>
  <c r="R1254" s="1"/>
  <c r="Q1241"/>
  <c r="R1241" s="1"/>
  <c r="Q1148"/>
  <c r="R1148" s="1"/>
  <c r="Q950"/>
  <c r="R950" s="1"/>
  <c r="Q1515"/>
  <c r="R1515" s="1"/>
  <c r="Q1394"/>
  <c r="R1394" s="1"/>
  <c r="Q1375"/>
  <c r="R1375" s="1"/>
  <c r="Q1029"/>
  <c r="R1029" s="1"/>
  <c r="Q2289"/>
  <c r="R2289" s="1"/>
  <c r="Q2254"/>
  <c r="R2254" s="1"/>
  <c r="Q2238"/>
  <c r="R2238" s="1"/>
  <c r="Q2222"/>
  <c r="R2222" s="1"/>
  <c r="Q2206"/>
  <c r="R2206" s="1"/>
  <c r="Q2186"/>
  <c r="R2186" s="1"/>
  <c r="Q2178"/>
  <c r="R2178" s="1"/>
  <c r="Q2158"/>
  <c r="R2158" s="1"/>
  <c r="Q2142"/>
  <c r="R2142" s="1"/>
  <c r="Q2126"/>
  <c r="R2126" s="1"/>
  <c r="Q2097"/>
  <c r="R2097" s="1"/>
  <c r="Q2089"/>
  <c r="R2089" s="1"/>
  <c r="Q2074"/>
  <c r="R2074" s="1"/>
  <c r="Q2066"/>
  <c r="R2066" s="1"/>
  <c r="Q2058"/>
  <c r="R2058" s="1"/>
  <c r="Q2050"/>
  <c r="R2050" s="1"/>
  <c r="Q2042"/>
  <c r="R2042" s="1"/>
  <c r="Q2034"/>
  <c r="R2034" s="1"/>
  <c r="Q2019"/>
  <c r="R2019" s="1"/>
  <c r="Q2003"/>
  <c r="R2003" s="1"/>
  <c r="Q1987"/>
  <c r="R1987" s="1"/>
  <c r="Q1895"/>
  <c r="R1895" s="1"/>
  <c r="Q1887"/>
  <c r="R1887" s="1"/>
  <c r="Q1879"/>
  <c r="R1879" s="1"/>
  <c r="Q1871"/>
  <c r="R1871" s="1"/>
  <c r="Q1863"/>
  <c r="R1863" s="1"/>
  <c r="Q1855"/>
  <c r="R1855" s="1"/>
  <c r="Q1847"/>
  <c r="R1847" s="1"/>
  <c r="Q1837"/>
  <c r="R1837" s="1"/>
  <c r="Q1821"/>
  <c r="R1821" s="1"/>
  <c r="Q1805"/>
  <c r="R1805" s="1"/>
  <c r="Q1789"/>
  <c r="R1789" s="1"/>
  <c r="Q1773"/>
  <c r="R1773" s="1"/>
  <c r="Q1762"/>
  <c r="R1762" s="1"/>
  <c r="Q1741"/>
  <c r="R1741" s="1"/>
  <c r="Q1700"/>
  <c r="R1700" s="1"/>
  <c r="Q1685"/>
  <c r="R1685" s="1"/>
  <c r="Q1669"/>
  <c r="R1669" s="1"/>
  <c r="Q1651"/>
  <c r="R1651" s="1"/>
  <c r="Q1640"/>
  <c r="R1640" s="1"/>
  <c r="Q1632"/>
  <c r="R1632" s="1"/>
  <c r="Q1624"/>
  <c r="R1624" s="1"/>
  <c r="Q1616"/>
  <c r="R1616" s="1"/>
  <c r="Q1608"/>
  <c r="R1608" s="1"/>
  <c r="Q1595"/>
  <c r="R1595" s="1"/>
  <c r="Q2295"/>
  <c r="R2295" s="1"/>
  <c r="Q2283"/>
  <c r="R2283" s="1"/>
  <c r="Q2275"/>
  <c r="R2275" s="1"/>
  <c r="Q2260"/>
  <c r="R2260" s="1"/>
  <c r="Q2160"/>
  <c r="R2160" s="1"/>
  <c r="Q2144"/>
  <c r="R2144" s="1"/>
  <c r="Q2128"/>
  <c r="R2128" s="1"/>
  <c r="Q2077"/>
  <c r="R2077" s="1"/>
  <c r="Q2016"/>
  <c r="R2016" s="1"/>
  <c r="Q2000"/>
  <c r="R2000" s="1"/>
  <c r="Q1984"/>
  <c r="R1984" s="1"/>
  <c r="Q1968"/>
  <c r="R1968" s="1"/>
  <c r="Q1952"/>
  <c r="R1952" s="1"/>
  <c r="Q1936"/>
  <c r="R1936" s="1"/>
  <c r="Q1928"/>
  <c r="R1928" s="1"/>
  <c r="Q1920"/>
  <c r="R1920" s="1"/>
  <c r="Q1910"/>
  <c r="R1910" s="1"/>
  <c r="Q1834"/>
  <c r="R1834" s="1"/>
  <c r="Q1818"/>
  <c r="R1818" s="1"/>
  <c r="Q1802"/>
  <c r="R1802" s="1"/>
  <c r="Q1786"/>
  <c r="R1786" s="1"/>
  <c r="Q1733"/>
  <c r="R1733" s="1"/>
  <c r="Q1717"/>
  <c r="R1717" s="1"/>
  <c r="Q1673"/>
  <c r="R1673" s="1"/>
  <c r="Q1657"/>
  <c r="R1657" s="1"/>
  <c r="Q1601"/>
  <c r="R1601" s="1"/>
  <c r="Q1584"/>
  <c r="R1584" s="1"/>
  <c r="Q1574"/>
  <c r="R1574" s="1"/>
  <c r="Q1563"/>
  <c r="R1563" s="1"/>
  <c r="Q1554"/>
  <c r="R1554" s="1"/>
  <c r="Q1546"/>
  <c r="R1546" s="1"/>
  <c r="Q1536"/>
  <c r="R1536" s="1"/>
  <c r="Q1520"/>
  <c r="R1520" s="1"/>
  <c r="Q2290"/>
  <c r="R2290" s="1"/>
  <c r="Q2187"/>
  <c r="R2187" s="1"/>
  <c r="Q2179"/>
  <c r="R2179" s="1"/>
  <c r="Q2164"/>
  <c r="R2164" s="1"/>
  <c r="Q2148"/>
  <c r="R2148" s="1"/>
  <c r="Q2132"/>
  <c r="R2132" s="1"/>
  <c r="Q2116"/>
  <c r="R2116" s="1"/>
  <c r="Q2100"/>
  <c r="R2100" s="1"/>
  <c r="Q2092"/>
  <c r="R2092" s="1"/>
  <c r="Q2075"/>
  <c r="R2075" s="1"/>
  <c r="Q2067"/>
  <c r="R2067" s="1"/>
  <c r="Q2059"/>
  <c r="R2059" s="1"/>
  <c r="Q2051"/>
  <c r="R2051" s="1"/>
  <c r="Q2043"/>
  <c r="R2043" s="1"/>
  <c r="Q2035"/>
  <c r="R2035" s="1"/>
  <c r="Q1898"/>
  <c r="R1898" s="1"/>
  <c r="Q1890"/>
  <c r="R1890" s="1"/>
  <c r="Q1882"/>
  <c r="R1882" s="1"/>
  <c r="Q1874"/>
  <c r="R1874" s="1"/>
  <c r="Q1866"/>
  <c r="R1866" s="1"/>
  <c r="Q1858"/>
  <c r="R1858" s="1"/>
  <c r="Q1850"/>
  <c r="R1850" s="1"/>
  <c r="Q1840"/>
  <c r="R1840" s="1"/>
  <c r="Q1829"/>
  <c r="R1829" s="1"/>
  <c r="Q1813"/>
  <c r="R1813" s="1"/>
  <c r="Q1797"/>
  <c r="R1797" s="1"/>
  <c r="Q1781"/>
  <c r="R1781" s="1"/>
  <c r="Q1753"/>
  <c r="R1753" s="1"/>
  <c r="Q1742"/>
  <c r="R1742" s="1"/>
  <c r="Q1728"/>
  <c r="R1728" s="1"/>
  <c r="Q1709"/>
  <c r="R1709" s="1"/>
  <c r="Q1684"/>
  <c r="R1684" s="1"/>
  <c r="Q1668"/>
  <c r="R1668" s="1"/>
  <c r="Q1652"/>
  <c r="R1652" s="1"/>
  <c r="Q1641"/>
  <c r="R1641" s="1"/>
  <c r="Q1633"/>
  <c r="R1633" s="1"/>
  <c r="Q1625"/>
  <c r="R1625" s="1"/>
  <c r="Q1617"/>
  <c r="R1617" s="1"/>
  <c r="Q2301"/>
  <c r="R2301" s="1"/>
  <c r="Q2282"/>
  <c r="R2282" s="1"/>
  <c r="Q2274"/>
  <c r="R2274" s="1"/>
  <c r="Q2257"/>
  <c r="R2257" s="1"/>
  <c r="Q2234"/>
  <c r="R2234" s="1"/>
  <c r="Q2216"/>
  <c r="R2216" s="1"/>
  <c r="Q2193"/>
  <c r="R2193" s="1"/>
  <c r="Q2161"/>
  <c r="R2161" s="1"/>
  <c r="Q2138"/>
  <c r="R2138" s="1"/>
  <c r="Q2120"/>
  <c r="R2120" s="1"/>
  <c r="Q2015"/>
  <c r="R2015" s="1"/>
  <c r="Q1999"/>
  <c r="R1999" s="1"/>
  <c r="Q1983"/>
  <c r="R1983" s="1"/>
  <c r="Q1967"/>
  <c r="R1967" s="1"/>
  <c r="Q1951"/>
  <c r="R1951" s="1"/>
  <c r="Q1935"/>
  <c r="R1935" s="1"/>
  <c r="Q1925"/>
  <c r="R1925" s="1"/>
  <c r="Q1917"/>
  <c r="R1917" s="1"/>
  <c r="Q1909"/>
  <c r="R1909" s="1"/>
  <c r="Q1835"/>
  <c r="R1835" s="1"/>
  <c r="Q1819"/>
  <c r="R1819" s="1"/>
  <c r="Q1801"/>
  <c r="R1801" s="1"/>
  <c r="Q1785"/>
  <c r="R1785" s="1"/>
  <c r="Q1734"/>
  <c r="R1734" s="1"/>
  <c r="Q1718"/>
  <c r="R1718" s="1"/>
  <c r="Q1679"/>
  <c r="R1679" s="1"/>
  <c r="Q1663"/>
  <c r="R1663" s="1"/>
  <c r="Q1593"/>
  <c r="R1593" s="1"/>
  <c r="Q1583"/>
  <c r="R1583" s="1"/>
  <c r="Q1570"/>
  <c r="R1570" s="1"/>
  <c r="Q1559"/>
  <c r="R1559" s="1"/>
  <c r="Q1549"/>
  <c r="R1549" s="1"/>
  <c r="Q1541"/>
  <c r="R1541" s="1"/>
  <c r="Q1524"/>
  <c r="R1524" s="1"/>
  <c r="Q1482"/>
  <c r="R1482" s="1"/>
  <c r="Q1474"/>
  <c r="R1474" s="1"/>
  <c r="Q1451"/>
  <c r="R1451" s="1"/>
  <c r="Q1438"/>
  <c r="R1438" s="1"/>
  <c r="Q1427"/>
  <c r="R1427" s="1"/>
  <c r="Q1385"/>
  <c r="R1385" s="1"/>
  <c r="Q1366"/>
  <c r="R1366" s="1"/>
  <c r="Q1344"/>
  <c r="R1344" s="1"/>
  <c r="Q1308"/>
  <c r="R1308" s="1"/>
  <c r="Q1292"/>
  <c r="R1292" s="1"/>
  <c r="Q1276"/>
  <c r="R1276" s="1"/>
  <c r="Q1244"/>
  <c r="R1244" s="1"/>
  <c r="Q1116"/>
  <c r="R1116" s="1"/>
  <c r="Q1068"/>
  <c r="R1068" s="1"/>
  <c r="Q937"/>
  <c r="R937" s="1"/>
  <c r="Q1603"/>
  <c r="R1603" s="1"/>
  <c r="Q1486"/>
  <c r="R1486" s="1"/>
  <c r="Q1329"/>
  <c r="R1329" s="1"/>
  <c r="Q1187"/>
  <c r="R1187" s="1"/>
  <c r="Q1152"/>
  <c r="R1152" s="1"/>
  <c r="Q1109"/>
  <c r="R1109" s="1"/>
  <c r="Q1083"/>
  <c r="R1083" s="1"/>
  <c r="Q1037"/>
  <c r="R1037" s="1"/>
  <c r="Q2291"/>
  <c r="R2291" s="1"/>
  <c r="Q2180"/>
  <c r="R2180" s="1"/>
  <c r="Q2108"/>
  <c r="R2108" s="1"/>
  <c r="Q2099"/>
  <c r="R2099" s="1"/>
  <c r="Q2091"/>
  <c r="R2091" s="1"/>
  <c r="Q2080"/>
  <c r="R2080" s="1"/>
  <c r="Q2068"/>
  <c r="R2068" s="1"/>
  <c r="Q2060"/>
  <c r="R2060" s="1"/>
  <c r="Q2052"/>
  <c r="R2052" s="1"/>
  <c r="Q2044"/>
  <c r="R2044" s="1"/>
  <c r="Q2036"/>
  <c r="R2036" s="1"/>
  <c r="Q2026"/>
  <c r="R2026" s="1"/>
  <c r="Q2010"/>
  <c r="R2010" s="1"/>
  <c r="Q1994"/>
  <c r="R1994" s="1"/>
  <c r="Q1978"/>
  <c r="R1978" s="1"/>
  <c r="Q1955"/>
  <c r="R1955" s="1"/>
  <c r="Q1939"/>
  <c r="R1939" s="1"/>
  <c r="Q1897"/>
  <c r="R1897" s="1"/>
  <c r="Q1889"/>
  <c r="R1889" s="1"/>
  <c r="Q1881"/>
  <c r="R1881" s="1"/>
  <c r="Q1873"/>
  <c r="R1873" s="1"/>
  <c r="Q1865"/>
  <c r="R1865" s="1"/>
  <c r="Q1857"/>
  <c r="R1857" s="1"/>
  <c r="Q1849"/>
  <c r="R1849" s="1"/>
  <c r="Q1841"/>
  <c r="R1841" s="1"/>
  <c r="Q1823"/>
  <c r="R1823" s="1"/>
  <c r="Q1807"/>
  <c r="R1807" s="1"/>
  <c r="Q1791"/>
  <c r="R1791" s="1"/>
  <c r="Q1775"/>
  <c r="R1775" s="1"/>
  <c r="Q1765"/>
  <c r="R1765" s="1"/>
  <c r="Q1754"/>
  <c r="R1754" s="1"/>
  <c r="Q1729"/>
  <c r="R1729" s="1"/>
  <c r="Q1713"/>
  <c r="R1713" s="1"/>
  <c r="Q1692"/>
  <c r="R1692" s="1"/>
  <c r="Q1642"/>
  <c r="R1642" s="1"/>
  <c r="Q1634"/>
  <c r="R1634" s="1"/>
  <c r="Q1626"/>
  <c r="R1626" s="1"/>
  <c r="Q1618"/>
  <c r="R1618" s="1"/>
  <c r="Q1610"/>
  <c r="R1610" s="1"/>
  <c r="Q1597"/>
  <c r="R1597" s="1"/>
  <c r="Q2285"/>
  <c r="R2285" s="1"/>
  <c r="Q2277"/>
  <c r="R2277" s="1"/>
  <c r="Q2269"/>
  <c r="R2269" s="1"/>
  <c r="Q2262"/>
  <c r="R2262" s="1"/>
  <c r="Q2173"/>
  <c r="R2173" s="1"/>
  <c r="Q2162"/>
  <c r="R2162" s="1"/>
  <c r="Q2146"/>
  <c r="R2146" s="1"/>
  <c r="Q2130"/>
  <c r="R2130" s="1"/>
  <c r="Q2112"/>
  <c r="R2112" s="1"/>
  <c r="Q2084"/>
  <c r="R2084" s="1"/>
  <c r="Q1930"/>
  <c r="R1930" s="1"/>
  <c r="Q1922"/>
  <c r="R1922" s="1"/>
  <c r="Q1912"/>
  <c r="R1912" s="1"/>
  <c r="Q1904"/>
  <c r="R1904" s="1"/>
  <c r="Q1825"/>
  <c r="R1825" s="1"/>
  <c r="Q1809"/>
  <c r="R1809" s="1"/>
  <c r="Q1793"/>
  <c r="R1793" s="1"/>
  <c r="Q1777"/>
  <c r="R1777" s="1"/>
  <c r="Q1724"/>
  <c r="R1724" s="1"/>
  <c r="Q1587"/>
  <c r="R1587" s="1"/>
  <c r="Q1576"/>
  <c r="R1576" s="1"/>
  <c r="Q1566"/>
  <c r="R1566" s="1"/>
  <c r="Q1556"/>
  <c r="R1556" s="1"/>
  <c r="Q1548"/>
  <c r="R1548" s="1"/>
  <c r="Q1540"/>
  <c r="R1540" s="1"/>
  <c r="Q1527"/>
  <c r="R1527" s="1"/>
  <c r="Q1511"/>
  <c r="R1511" s="1"/>
  <c r="Q1468"/>
  <c r="R1468" s="1"/>
  <c r="Q2297"/>
  <c r="R2297" s="1"/>
  <c r="Q2253"/>
  <c r="R2253" s="1"/>
  <c r="Q2237"/>
  <c r="R2237" s="1"/>
  <c r="Q2221"/>
  <c r="R2221" s="1"/>
  <c r="Q2205"/>
  <c r="R2205" s="1"/>
  <c r="Q2189"/>
  <c r="R2189" s="1"/>
  <c r="Q2181"/>
  <c r="R2181" s="1"/>
  <c r="Q2166"/>
  <c r="R2166" s="1"/>
  <c r="Q2150"/>
  <c r="R2150" s="1"/>
  <c r="Q2134"/>
  <c r="R2134" s="1"/>
  <c r="Q2118"/>
  <c r="R2118" s="1"/>
  <c r="Q2102"/>
  <c r="R2102" s="1"/>
  <c r="Q2094"/>
  <c r="R2094" s="1"/>
  <c r="Q2069"/>
  <c r="R2069" s="1"/>
  <c r="Q2061"/>
  <c r="R2061" s="1"/>
  <c r="Q2053"/>
  <c r="R2053" s="1"/>
  <c r="Q2045"/>
  <c r="R2045" s="1"/>
  <c r="Q2037"/>
  <c r="R2037" s="1"/>
  <c r="Q2029"/>
  <c r="R2029" s="1"/>
  <c r="Q2011"/>
  <c r="R2011" s="1"/>
  <c r="Q1995"/>
  <c r="R1995" s="1"/>
  <c r="Q1979"/>
  <c r="R1979" s="1"/>
  <c r="Q1963"/>
  <c r="R1963" s="1"/>
  <c r="Q1947"/>
  <c r="R1947" s="1"/>
  <c r="Q1900"/>
  <c r="R1900" s="1"/>
  <c r="Q1892"/>
  <c r="R1892" s="1"/>
  <c r="Q1884"/>
  <c r="R1884" s="1"/>
  <c r="Q1876"/>
  <c r="R1876" s="1"/>
  <c r="Q1868"/>
  <c r="R1868" s="1"/>
  <c r="Q1860"/>
  <c r="R1860" s="1"/>
  <c r="Q1852"/>
  <c r="R1852" s="1"/>
  <c r="Q1842"/>
  <c r="R1842" s="1"/>
  <c r="Q1831"/>
  <c r="R1831" s="1"/>
  <c r="Q1815"/>
  <c r="R1815" s="1"/>
  <c r="Q1799"/>
  <c r="R1799" s="1"/>
  <c r="Q1783"/>
  <c r="R1783" s="1"/>
  <c r="Q1766"/>
  <c r="R1766" s="1"/>
  <c r="Q1745"/>
  <c r="R1745" s="1"/>
  <c r="Q1730"/>
  <c r="R1730" s="1"/>
  <c r="Q1714"/>
  <c r="R1714" s="1"/>
  <c r="Q1701"/>
  <c r="R1701" s="1"/>
  <c r="Q1675"/>
  <c r="R1675" s="1"/>
  <c r="Q1659"/>
  <c r="R1659" s="1"/>
  <c r="Q1643"/>
  <c r="R1643" s="1"/>
  <c r="Q1635"/>
  <c r="R1635" s="1"/>
  <c r="Q1627"/>
  <c r="R1627" s="1"/>
  <c r="Q1619"/>
  <c r="R1619" s="1"/>
  <c r="Q1611"/>
  <c r="R1611" s="1"/>
  <c r="Q2284"/>
  <c r="R2284" s="1"/>
  <c r="Q2276"/>
  <c r="R2276" s="1"/>
  <c r="Q2261"/>
  <c r="R2261" s="1"/>
  <c r="Q2241"/>
  <c r="R2241" s="1"/>
  <c r="Q2218"/>
  <c r="R2218" s="1"/>
  <c r="Q2200"/>
  <c r="R2200" s="1"/>
  <c r="Q2168"/>
  <c r="R2168" s="1"/>
  <c r="Q2145"/>
  <c r="R2145" s="1"/>
  <c r="Q2122"/>
  <c r="R2122" s="1"/>
  <c r="Q2085"/>
  <c r="R2085" s="1"/>
  <c r="Q2022"/>
  <c r="R2022" s="1"/>
  <c r="Q2006"/>
  <c r="R2006" s="1"/>
  <c r="Q1990"/>
  <c r="R1990" s="1"/>
  <c r="Q1974"/>
  <c r="R1974" s="1"/>
  <c r="Q1958"/>
  <c r="R1958" s="1"/>
  <c r="Q1942"/>
  <c r="R1942" s="1"/>
  <c r="Q1927"/>
  <c r="R1927" s="1"/>
  <c r="Q1919"/>
  <c r="R1919" s="1"/>
  <c r="Q1911"/>
  <c r="R1911" s="1"/>
  <c r="Q1903"/>
  <c r="R1903" s="1"/>
  <c r="Q1803"/>
  <c r="R1803" s="1"/>
  <c r="Q1787"/>
  <c r="R1787" s="1"/>
  <c r="Q1681"/>
  <c r="R1681" s="1"/>
  <c r="Q1665"/>
  <c r="R1665" s="1"/>
  <c r="Q1562"/>
  <c r="R1562" s="1"/>
  <c r="Q1551"/>
  <c r="R1551" s="1"/>
  <c r="Q1543"/>
  <c r="R1543" s="1"/>
  <c r="Q1535"/>
  <c r="R1535" s="1"/>
  <c r="Q1531"/>
  <c r="R1531" s="1"/>
  <c r="Q1499"/>
  <c r="R1499" s="1"/>
  <c r="Q1476"/>
  <c r="R1476" s="1"/>
  <c r="Q1430"/>
  <c r="R1430" s="1"/>
  <c r="Q1416"/>
  <c r="R1416" s="1"/>
  <c r="Q1350"/>
  <c r="R1350" s="1"/>
  <c r="Q1334"/>
  <c r="R1334" s="1"/>
  <c r="Q1310"/>
  <c r="R1310" s="1"/>
  <c r="Q1294"/>
  <c r="R1294" s="1"/>
  <c r="Q1278"/>
  <c r="R1278" s="1"/>
  <c r="Q1262"/>
  <c r="R1262" s="1"/>
  <c r="Q1232"/>
  <c r="R1232" s="1"/>
  <c r="Q1163"/>
  <c r="R1163" s="1"/>
  <c r="Q1140"/>
  <c r="R1140" s="1"/>
  <c r="Q1118"/>
  <c r="R1118" s="1"/>
  <c r="Q1075"/>
  <c r="R1075" s="1"/>
  <c r="Q965"/>
  <c r="R965" s="1"/>
  <c r="Q1605"/>
  <c r="R1605" s="1"/>
  <c r="Q1409"/>
  <c r="R1409" s="1"/>
  <c r="Q1363"/>
  <c r="R1363" s="1"/>
  <c r="Q1045"/>
  <c r="R1045" s="1"/>
  <c r="Q1013"/>
  <c r="R1013" s="1"/>
  <c r="Q2265"/>
  <c r="R2265" s="1"/>
  <c r="Q2245"/>
  <c r="R2245" s="1"/>
  <c r="Q2229"/>
  <c r="R2229" s="1"/>
  <c r="Q2213"/>
  <c r="R2213" s="1"/>
  <c r="Q2197"/>
  <c r="R2197" s="1"/>
  <c r="Q2182"/>
  <c r="R2182" s="1"/>
  <c r="Q2165"/>
  <c r="R2165" s="1"/>
  <c r="Q2149"/>
  <c r="R2149" s="1"/>
  <c r="Q2133"/>
  <c r="R2133" s="1"/>
  <c r="Q2115"/>
  <c r="R2115" s="1"/>
  <c r="Q2101"/>
  <c r="R2101" s="1"/>
  <c r="Q2093"/>
  <c r="R2093" s="1"/>
  <c r="Q2082"/>
  <c r="R2082" s="1"/>
  <c r="Q2070"/>
  <c r="R2070" s="1"/>
  <c r="Q2062"/>
  <c r="R2062" s="1"/>
  <c r="Q2054"/>
  <c r="R2054" s="1"/>
  <c r="Q2046"/>
  <c r="R2046" s="1"/>
  <c r="Q2038"/>
  <c r="R2038" s="1"/>
  <c r="Q2028"/>
  <c r="R2028" s="1"/>
  <c r="Q2012"/>
  <c r="R2012" s="1"/>
  <c r="Q1996"/>
  <c r="R1996" s="1"/>
  <c r="Q1980"/>
  <c r="R1980" s="1"/>
  <c r="Q1962"/>
  <c r="R1962" s="1"/>
  <c r="Q1946"/>
  <c r="R1946" s="1"/>
  <c r="Q1899"/>
  <c r="R1899" s="1"/>
  <c r="Q1891"/>
  <c r="R1891" s="1"/>
  <c r="Q1883"/>
  <c r="R1883" s="1"/>
  <c r="Q1875"/>
  <c r="R1875" s="1"/>
  <c r="Q1867"/>
  <c r="R1867" s="1"/>
  <c r="Q1859"/>
  <c r="R1859" s="1"/>
  <c r="Q1851"/>
  <c r="R1851" s="1"/>
  <c r="Q1843"/>
  <c r="R1843" s="1"/>
  <c r="Q1757"/>
  <c r="R1757" s="1"/>
  <c r="Q1746"/>
  <c r="R1746" s="1"/>
  <c r="Q1736"/>
  <c r="R1736" s="1"/>
  <c r="Q1720"/>
  <c r="R1720" s="1"/>
  <c r="Q1705"/>
  <c r="R1705" s="1"/>
  <c r="Q1676"/>
  <c r="R1676" s="1"/>
  <c r="Q1660"/>
  <c r="R1660" s="1"/>
  <c r="Q1644"/>
  <c r="R1644" s="1"/>
  <c r="Q1636"/>
  <c r="R1636" s="1"/>
  <c r="Q1628"/>
  <c r="R1628" s="1"/>
  <c r="Q1620"/>
  <c r="R1620" s="1"/>
  <c r="Q1612"/>
  <c r="R1612" s="1"/>
  <c r="Q2287"/>
  <c r="R2287" s="1"/>
  <c r="Q2279"/>
  <c r="R2279" s="1"/>
  <c r="Q2271"/>
  <c r="R2271" s="1"/>
  <c r="Q2256"/>
  <c r="R2256" s="1"/>
  <c r="Q2240"/>
  <c r="R2240" s="1"/>
  <c r="Q2224"/>
  <c r="R2224" s="1"/>
  <c r="Q2208"/>
  <c r="R2208" s="1"/>
  <c r="Q2192"/>
  <c r="R2192" s="1"/>
  <c r="Q2086"/>
  <c r="R2086" s="1"/>
  <c r="Q2023"/>
  <c r="R2023" s="1"/>
  <c r="Q2007"/>
  <c r="R2007" s="1"/>
  <c r="Q1991"/>
  <c r="R1991" s="1"/>
  <c r="Q1975"/>
  <c r="R1975" s="1"/>
  <c r="Q1959"/>
  <c r="R1959" s="1"/>
  <c r="Q1943"/>
  <c r="R1943" s="1"/>
  <c r="Q1932"/>
  <c r="R1932" s="1"/>
  <c r="Q1924"/>
  <c r="R1924" s="1"/>
  <c r="Q1914"/>
  <c r="R1914" s="1"/>
  <c r="Q1906"/>
  <c r="R1906" s="1"/>
  <c r="Q1827"/>
  <c r="R1827" s="1"/>
  <c r="Q1811"/>
  <c r="R1811" s="1"/>
  <c r="Q1795"/>
  <c r="R1795" s="1"/>
  <c r="Q1779"/>
  <c r="R1779" s="1"/>
  <c r="Q1726"/>
  <c r="R1726" s="1"/>
  <c r="Q1680"/>
  <c r="R1680" s="1"/>
  <c r="Q1664"/>
  <c r="R1664" s="1"/>
  <c r="Q1579"/>
  <c r="R1579" s="1"/>
  <c r="Q1558"/>
  <c r="R1558" s="1"/>
  <c r="Q1550"/>
  <c r="R1550" s="1"/>
  <c r="Q1542"/>
  <c r="R1542" s="1"/>
  <c r="Q1529"/>
  <c r="R1529" s="1"/>
  <c r="Q1513"/>
  <c r="R1513" s="1"/>
  <c r="Q2299"/>
  <c r="R2299" s="1"/>
  <c r="Q2264"/>
  <c r="R2264" s="1"/>
  <c r="Q2244"/>
  <c r="R2244" s="1"/>
  <c r="Q2228"/>
  <c r="R2228" s="1"/>
  <c r="Q2212"/>
  <c r="R2212" s="1"/>
  <c r="Q2196"/>
  <c r="R2196" s="1"/>
  <c r="Q2183"/>
  <c r="R2183" s="1"/>
  <c r="Q2170"/>
  <c r="R2170" s="1"/>
  <c r="Q2109"/>
  <c r="R2109" s="1"/>
  <c r="Q2096"/>
  <c r="R2096" s="1"/>
  <c r="Q2081"/>
  <c r="R2081" s="1"/>
  <c r="Q2071"/>
  <c r="R2071" s="1"/>
  <c r="Q2063"/>
  <c r="R2063" s="1"/>
  <c r="Q2055"/>
  <c r="R2055" s="1"/>
  <c r="Q2047"/>
  <c r="R2047" s="1"/>
  <c r="Q2039"/>
  <c r="R2039" s="1"/>
  <c r="Q2031"/>
  <c r="R2031" s="1"/>
  <c r="Q2018"/>
  <c r="R2018" s="1"/>
  <c r="Q2002"/>
  <c r="R2002" s="1"/>
  <c r="Q1986"/>
  <c r="R1986" s="1"/>
  <c r="Q1970"/>
  <c r="R1970" s="1"/>
  <c r="Q1954"/>
  <c r="R1954" s="1"/>
  <c r="Q1938"/>
  <c r="R1938" s="1"/>
  <c r="Q1894"/>
  <c r="R1894" s="1"/>
  <c r="Q1886"/>
  <c r="R1886" s="1"/>
  <c r="Q1878"/>
  <c r="R1878" s="1"/>
  <c r="Q1870"/>
  <c r="R1870" s="1"/>
  <c r="Q1862"/>
  <c r="R1862" s="1"/>
  <c r="Q1854"/>
  <c r="R1854" s="1"/>
  <c r="Q1844"/>
  <c r="R1844" s="1"/>
  <c r="Q1769"/>
  <c r="R1769" s="1"/>
  <c r="Q1758"/>
  <c r="R1758" s="1"/>
  <c r="Q1704"/>
  <c r="R1704" s="1"/>
  <c r="Q1693"/>
  <c r="R1693" s="1"/>
  <c r="Q1677"/>
  <c r="R1677" s="1"/>
  <c r="Q1661"/>
  <c r="R1661" s="1"/>
  <c r="Q1647"/>
  <c r="R1647" s="1"/>
  <c r="Q1637"/>
  <c r="R1637" s="1"/>
  <c r="Q1629"/>
  <c r="R1629" s="1"/>
  <c r="Q1621"/>
  <c r="R1621" s="1"/>
  <c r="Q1613"/>
  <c r="R1613" s="1"/>
  <c r="Q2286"/>
  <c r="R2286" s="1"/>
  <c r="Q2278"/>
  <c r="R2278" s="1"/>
  <c r="Q2270"/>
  <c r="R2270" s="1"/>
  <c r="Q2248"/>
  <c r="R2248" s="1"/>
  <c r="Q2225"/>
  <c r="R2225" s="1"/>
  <c r="Q2202"/>
  <c r="R2202" s="1"/>
  <c r="Q2172"/>
  <c r="R2172" s="1"/>
  <c r="Q2152"/>
  <c r="R2152" s="1"/>
  <c r="Q2129"/>
  <c r="R2129" s="1"/>
  <c r="Q2111"/>
  <c r="R2111" s="1"/>
  <c r="Q2024"/>
  <c r="R2024" s="1"/>
  <c r="Q2008"/>
  <c r="R2008" s="1"/>
  <c r="Q1992"/>
  <c r="R1992" s="1"/>
  <c r="Q1976"/>
  <c r="R1976" s="1"/>
  <c r="Q1960"/>
  <c r="R1960" s="1"/>
  <c r="Q1944"/>
  <c r="R1944" s="1"/>
  <c r="Q1929"/>
  <c r="R1929" s="1"/>
  <c r="Q1921"/>
  <c r="R1921" s="1"/>
  <c r="Q1913"/>
  <c r="R1913" s="1"/>
  <c r="Q1905"/>
  <c r="R1905" s="1"/>
  <c r="Q1826"/>
  <c r="R1826" s="1"/>
  <c r="Q1725"/>
  <c r="R1725" s="1"/>
  <c r="Q1600"/>
  <c r="R1600" s="1"/>
  <c r="Q1588"/>
  <c r="R1588" s="1"/>
  <c r="Q1553"/>
  <c r="R1553" s="1"/>
  <c r="Q1545"/>
  <c r="R1545" s="1"/>
  <c r="Q1537"/>
  <c r="R1537" s="1"/>
  <c r="Q1533"/>
  <c r="R1533" s="1"/>
  <c r="Q1478"/>
  <c r="R1478" s="1"/>
  <c r="Q1456"/>
  <c r="R1456" s="1"/>
  <c r="Q1418"/>
  <c r="R1418" s="1"/>
  <c r="Q1397"/>
  <c r="R1397" s="1"/>
  <c r="Q1352"/>
  <c r="R1352" s="1"/>
  <c r="Q1336"/>
  <c r="R1336" s="1"/>
  <c r="Q1316"/>
  <c r="R1316" s="1"/>
  <c r="Q1300"/>
  <c r="R1300" s="1"/>
  <c r="Q1284"/>
  <c r="R1284" s="1"/>
  <c r="Q1265"/>
  <c r="R1265" s="1"/>
  <c r="Q1204"/>
  <c r="R1204" s="1"/>
  <c r="Q1165"/>
  <c r="R1165" s="1"/>
  <c r="Q1127"/>
  <c r="R1127" s="1"/>
  <c r="Q1098"/>
  <c r="R1098" s="1"/>
  <c r="Q967"/>
  <c r="R967" s="1"/>
  <c r="Q924"/>
  <c r="R924" s="1"/>
  <c r="Q1508"/>
  <c r="R1508" s="1"/>
  <c r="Q1206"/>
  <c r="R1206" s="1"/>
  <c r="Q1176"/>
  <c r="R1176" s="1"/>
  <c r="Q1093"/>
  <c r="R1093" s="1"/>
  <c r="Q1053"/>
  <c r="R1053" s="1"/>
  <c r="Q1021"/>
  <c r="R1021" s="1"/>
  <c r="Q1420"/>
  <c r="R1420" s="1"/>
  <c r="Q1357"/>
  <c r="R1357" s="1"/>
  <c r="Q1346"/>
  <c r="R1346" s="1"/>
  <c r="Q1338"/>
  <c r="R1338" s="1"/>
  <c r="Q1320"/>
  <c r="R1320" s="1"/>
  <c r="Q1312"/>
  <c r="R1312" s="1"/>
  <c r="Q1304"/>
  <c r="R1304" s="1"/>
  <c r="Q1296"/>
  <c r="R1296" s="1"/>
  <c r="Q1288"/>
  <c r="R1288" s="1"/>
  <c r="Q1280"/>
  <c r="R1280" s="1"/>
  <c r="Q1257"/>
  <c r="R1257" s="1"/>
  <c r="Q1236"/>
  <c r="R1236" s="1"/>
  <c r="Q1211"/>
  <c r="R1211" s="1"/>
  <c r="Q1195"/>
  <c r="R1195" s="1"/>
  <c r="Q1167"/>
  <c r="R1167" s="1"/>
  <c r="Q1159"/>
  <c r="R1159" s="1"/>
  <c r="Q1143"/>
  <c r="R1143" s="1"/>
  <c r="Q1132"/>
  <c r="R1132" s="1"/>
  <c r="Q1120"/>
  <c r="R1120" s="1"/>
  <c r="Q1105"/>
  <c r="R1105" s="1"/>
  <c r="Q1077"/>
  <c r="R1077" s="1"/>
  <c r="Q953"/>
  <c r="R953" s="1"/>
  <c r="Q942"/>
  <c r="R942" s="1"/>
  <c r="Q929"/>
  <c r="R929" s="1"/>
  <c r="Q1607"/>
  <c r="R1607" s="1"/>
  <c r="Q1517"/>
  <c r="R1517" s="1"/>
  <c r="Q1463"/>
  <c r="R1463" s="1"/>
  <c r="Q1382"/>
  <c r="R1382" s="1"/>
  <c r="Q1370"/>
  <c r="R1370" s="1"/>
  <c r="Q1332"/>
  <c r="R1332" s="1"/>
  <c r="Q1271"/>
  <c r="R1271" s="1"/>
  <c r="Q1227"/>
  <c r="R1227" s="1"/>
  <c r="Q1171"/>
  <c r="R1171" s="1"/>
  <c r="Q1102"/>
  <c r="R1102" s="1"/>
  <c r="Q1087"/>
  <c r="R1087" s="1"/>
  <c r="Q1079"/>
  <c r="R1079" s="1"/>
  <c r="Q1057"/>
  <c r="R1057" s="1"/>
  <c r="Q1049"/>
  <c r="R1049" s="1"/>
  <c r="Q1041"/>
  <c r="R1041" s="1"/>
  <c r="Q1033"/>
  <c r="R1033" s="1"/>
  <c r="Q1025"/>
  <c r="R1025" s="1"/>
  <c r="Q1017"/>
  <c r="R1017" s="1"/>
  <c r="Q1006"/>
  <c r="R1006" s="1"/>
  <c r="Q995"/>
  <c r="R995" s="1"/>
  <c r="Q974"/>
  <c r="R974" s="1"/>
  <c r="Q875"/>
  <c r="R875" s="1"/>
  <c r="Q852"/>
  <c r="R852" s="1"/>
  <c r="Q806"/>
  <c r="R806" s="1"/>
  <c r="Q798"/>
  <c r="R798" s="1"/>
  <c r="Q790"/>
  <c r="R790" s="1"/>
  <c r="Q769"/>
  <c r="R769" s="1"/>
  <c r="Q1596"/>
  <c r="R1596" s="1"/>
  <c r="Q1519"/>
  <c r="R1519" s="1"/>
  <c r="Q1500"/>
  <c r="R1500" s="1"/>
  <c r="Q1479"/>
  <c r="R1479" s="1"/>
  <c r="Q1469"/>
  <c r="R1469" s="1"/>
  <c r="Q1452"/>
  <c r="R1452" s="1"/>
  <c r="Q1439"/>
  <c r="R1439" s="1"/>
  <c r="Q1423"/>
  <c r="R1423" s="1"/>
  <c r="Q1413"/>
  <c r="R1413" s="1"/>
  <c r="Q1391"/>
  <c r="R1391" s="1"/>
  <c r="Q1379"/>
  <c r="R1379" s="1"/>
  <c r="Q1358"/>
  <c r="R1358" s="1"/>
  <c r="Q1349"/>
  <c r="R1349" s="1"/>
  <c r="Q1341"/>
  <c r="R1341" s="1"/>
  <c r="Q1315"/>
  <c r="R1315" s="1"/>
  <c r="Q1307"/>
  <c r="R1307" s="1"/>
  <c r="Q1299"/>
  <c r="R1299" s="1"/>
  <c r="Q1291"/>
  <c r="R1291" s="1"/>
  <c r="Q1283"/>
  <c r="R1283" s="1"/>
  <c r="Q1273"/>
  <c r="R1273" s="1"/>
  <c r="Q1258"/>
  <c r="R1258" s="1"/>
  <c r="Q1245"/>
  <c r="R1245" s="1"/>
  <c r="Q1233"/>
  <c r="R1233" s="1"/>
  <c r="Q1203"/>
  <c r="R1203" s="1"/>
  <c r="Q1164"/>
  <c r="R1164" s="1"/>
  <c r="Q1156"/>
  <c r="R1156" s="1"/>
  <c r="Q1144"/>
  <c r="R1144" s="1"/>
  <c r="Q1136"/>
  <c r="R1136" s="1"/>
  <c r="Q1128"/>
  <c r="R1128" s="1"/>
  <c r="Q1121"/>
  <c r="R1121" s="1"/>
  <c r="Q1113"/>
  <c r="R1113" s="1"/>
  <c r="Q1106"/>
  <c r="R1106" s="1"/>
  <c r="Q1097"/>
  <c r="R1097" s="1"/>
  <c r="Q1090"/>
  <c r="R1090" s="1"/>
  <c r="Q949"/>
  <c r="R949" s="1"/>
  <c r="Q941"/>
  <c r="R941" s="1"/>
  <c r="Q933"/>
  <c r="R933" s="1"/>
  <c r="Q925"/>
  <c r="R925" s="1"/>
  <c r="Q917"/>
  <c r="R917" s="1"/>
  <c r="Q909"/>
  <c r="R909" s="1"/>
  <c r="Q901"/>
  <c r="R901" s="1"/>
  <c r="Q892"/>
  <c r="R892" s="1"/>
  <c r="Q837"/>
  <c r="R837" s="1"/>
  <c r="Q810"/>
  <c r="R810" s="1"/>
  <c r="Q1464"/>
  <c r="R1464" s="1"/>
  <c r="Q1402"/>
  <c r="R1402" s="1"/>
  <c r="Q1381"/>
  <c r="R1381" s="1"/>
  <c r="Q1362"/>
  <c r="R1362" s="1"/>
  <c r="Q1328"/>
  <c r="R1328" s="1"/>
  <c r="Q1216"/>
  <c r="R1216" s="1"/>
  <c r="Q1200"/>
  <c r="R1200" s="1"/>
  <c r="Q1175"/>
  <c r="R1175" s="1"/>
  <c r="Q1110"/>
  <c r="R1110" s="1"/>
  <c r="Q1094"/>
  <c r="R1094" s="1"/>
  <c r="Q1084"/>
  <c r="R1084" s="1"/>
  <c r="Q1071"/>
  <c r="R1071" s="1"/>
  <c r="Q1054"/>
  <c r="R1054" s="1"/>
  <c r="Q1046"/>
  <c r="R1046" s="1"/>
  <c r="Q1038"/>
  <c r="R1038" s="1"/>
  <c r="Q1030"/>
  <c r="R1030" s="1"/>
  <c r="Q1022"/>
  <c r="R1022" s="1"/>
  <c r="Q1014"/>
  <c r="R1014" s="1"/>
  <c r="Q1002"/>
  <c r="R1002" s="1"/>
  <c r="Q991"/>
  <c r="R991" s="1"/>
  <c r="Q878"/>
  <c r="R878" s="1"/>
  <c r="Q865"/>
  <c r="R865" s="1"/>
  <c r="Q891"/>
  <c r="R891" s="1"/>
  <c r="Q801"/>
  <c r="R801" s="1"/>
  <c r="Q793"/>
  <c r="R793" s="1"/>
  <c r="Q785"/>
  <c r="R785" s="1"/>
  <c r="Q733"/>
  <c r="R733" s="1"/>
  <c r="Q717"/>
  <c r="R717" s="1"/>
  <c r="Q678"/>
  <c r="R678" s="1"/>
  <c r="Q662"/>
  <c r="R662" s="1"/>
  <c r="Q646"/>
  <c r="R646" s="1"/>
  <c r="Q617"/>
  <c r="R617" s="1"/>
  <c r="Q601"/>
  <c r="R601" s="1"/>
  <c r="Q589"/>
  <c r="R589" s="1"/>
  <c r="Q576"/>
  <c r="R576" s="1"/>
  <c r="Q566"/>
  <c r="R566" s="1"/>
  <c r="Q541"/>
  <c r="R541" s="1"/>
  <c r="Q414"/>
  <c r="R414" s="1"/>
  <c r="Q407"/>
  <c r="R407" s="1"/>
  <c r="Q389"/>
  <c r="R389" s="1"/>
  <c r="Q373"/>
  <c r="R373" s="1"/>
  <c r="Q316"/>
  <c r="R316" s="1"/>
  <c r="Q197"/>
  <c r="R197" s="1"/>
  <c r="Q178"/>
  <c r="R178" s="1"/>
  <c r="Q157"/>
  <c r="R157" s="1"/>
  <c r="Q146"/>
  <c r="R146" s="1"/>
  <c r="Q125"/>
  <c r="R125" s="1"/>
  <c r="Q114"/>
  <c r="R114" s="1"/>
  <c r="Q850"/>
  <c r="R850"/>
  <c r="Q762"/>
  <c r="R762" s="1"/>
  <c r="Q754"/>
  <c r="R754" s="1"/>
  <c r="Q747"/>
  <c r="R747" s="1"/>
  <c r="Q737"/>
  <c r="R737" s="1"/>
  <c r="Q730"/>
  <c r="R730" s="1"/>
  <c r="Q721"/>
  <c r="R721" s="1"/>
  <c r="Q705"/>
  <c r="R705" s="1"/>
  <c r="Q666"/>
  <c r="R666" s="1"/>
  <c r="Q650"/>
  <c r="R650" s="1"/>
  <c r="Q633"/>
  <c r="R633" s="1"/>
  <c r="Q625"/>
  <c r="R625" s="1"/>
  <c r="Q612"/>
  <c r="R612" s="1"/>
  <c r="Q596"/>
  <c r="R596" s="1"/>
  <c r="Q563"/>
  <c r="R563" s="1"/>
  <c r="Q547"/>
  <c r="R547" s="1"/>
  <c r="Q518"/>
  <c r="R518" s="1"/>
  <c r="Q510"/>
  <c r="R510" s="1"/>
  <c r="Q502"/>
  <c r="R502" s="1"/>
  <c r="Q492"/>
  <c r="R492" s="1"/>
  <c r="Q471"/>
  <c r="R471" s="1"/>
  <c r="Q460"/>
  <c r="R460" s="1"/>
  <c r="Q445"/>
  <c r="R445" s="1"/>
  <c r="Q437"/>
  <c r="R437" s="1"/>
  <c r="Q429"/>
  <c r="R429" s="1"/>
  <c r="Q418"/>
  <c r="R418" s="1"/>
  <c r="Q399"/>
  <c r="R399" s="1"/>
  <c r="Q384"/>
  <c r="R384" s="1"/>
  <c r="Q368"/>
  <c r="R368" s="1"/>
  <c r="Q328"/>
  <c r="R328" s="1"/>
  <c r="Q303"/>
  <c r="R303" s="1"/>
  <c r="Q295"/>
  <c r="R295" s="1"/>
  <c r="Q287"/>
  <c r="R287"/>
  <c r="Q279"/>
  <c r="R279" s="1"/>
  <c r="Q271"/>
  <c r="R271" s="1"/>
  <c r="Q263"/>
  <c r="R263" s="1"/>
  <c r="Q252"/>
  <c r="R252" s="1"/>
  <c r="Q244"/>
  <c r="R244" s="1"/>
  <c r="Q210"/>
  <c r="R210" s="1"/>
  <c r="Q187"/>
  <c r="R187" s="1"/>
  <c r="Q908"/>
  <c r="R908" s="1"/>
  <c r="Q900"/>
  <c r="R900" s="1"/>
  <c r="Q836"/>
  <c r="R836" s="1"/>
  <c r="Q734"/>
  <c r="R734" s="1"/>
  <c r="Q718"/>
  <c r="R718"/>
  <c r="Q700"/>
  <c r="R700" s="1"/>
  <c r="Q672"/>
  <c r="R672" s="1"/>
  <c r="Q656"/>
  <c r="R656" s="1"/>
  <c r="Q618"/>
  <c r="R618" s="1"/>
  <c r="Q602"/>
  <c r="R602" s="1"/>
  <c r="Q590"/>
  <c r="R590" s="1"/>
  <c r="Q577"/>
  <c r="R577" s="1"/>
  <c r="Q560"/>
  <c r="R560" s="1"/>
  <c r="Q415"/>
  <c r="R415" s="1"/>
  <c r="Q401"/>
  <c r="R401" s="1"/>
  <c r="Q343"/>
  <c r="R343" s="1"/>
  <c r="Q332"/>
  <c r="R332"/>
  <c r="Q869"/>
  <c r="R869" s="1"/>
  <c r="Q753"/>
  <c r="R753" s="1"/>
  <c r="Q738"/>
  <c r="R738" s="1"/>
  <c r="Q704"/>
  <c r="R704" s="1"/>
  <c r="Q674"/>
  <c r="R674" s="1"/>
  <c r="Q651"/>
  <c r="R651" s="1"/>
  <c r="Q630"/>
  <c r="R630" s="1"/>
  <c r="Q622"/>
  <c r="R622" s="1"/>
  <c r="Q604"/>
  <c r="R604" s="1"/>
  <c r="Q573"/>
  <c r="R573" s="1"/>
  <c r="Q438"/>
  <c r="R438" s="1"/>
  <c r="Q430"/>
  <c r="R430" s="1"/>
  <c r="Q417"/>
  <c r="R417" s="1"/>
  <c r="Q186"/>
  <c r="R186" s="1"/>
  <c r="Q102"/>
  <c r="R102" s="1"/>
  <c r="Q81"/>
  <c r="R81" s="1"/>
  <c r="Q70"/>
  <c r="R70" s="1"/>
  <c r="Q60"/>
  <c r="R60" s="1"/>
  <c r="Q49"/>
  <c r="R49" s="1"/>
  <c r="Q12"/>
  <c r="R12"/>
  <c r="Q5"/>
  <c r="R5" s="1"/>
  <c r="Q480"/>
  <c r="R480" s="1"/>
  <c r="Q410"/>
  <c r="R410" s="1"/>
  <c r="Q323"/>
  <c r="R323" s="1"/>
  <c r="Q283"/>
  <c r="R283" s="1"/>
  <c r="Q251"/>
  <c r="R251" s="1"/>
  <c r="Q227"/>
  <c r="R227" s="1"/>
  <c r="Q206"/>
  <c r="R206"/>
  <c r="Q161"/>
  <c r="R161" s="1"/>
  <c r="Q44"/>
  <c r="R44" s="1"/>
  <c r="Q33"/>
  <c r="R33" s="1"/>
  <c r="Q519"/>
  <c r="R519" s="1"/>
  <c r="Q511"/>
  <c r="R511" s="1"/>
  <c r="Q503"/>
  <c r="R503" s="1"/>
  <c r="Q360"/>
  <c r="R360" s="1"/>
  <c r="Q311"/>
  <c r="R311" s="1"/>
  <c r="Q193"/>
  <c r="R193" s="1"/>
  <c r="Q153"/>
  <c r="R153" s="1"/>
  <c r="Q126"/>
  <c r="R126" s="1"/>
  <c r="Q109"/>
  <c r="R109"/>
  <c r="Q98"/>
  <c r="R98" s="1"/>
  <c r="Q77"/>
  <c r="R77" s="1"/>
  <c r="Q66"/>
  <c r="R66" s="1"/>
  <c r="Q53"/>
  <c r="R53" s="1"/>
  <c r="Q11"/>
  <c r="R11" s="1"/>
  <c r="Q32"/>
  <c r="R32" s="1"/>
  <c r="Q6"/>
  <c r="R6" s="1"/>
  <c r="Q488"/>
  <c r="R488" s="1"/>
  <c r="Q450"/>
  <c r="R450" s="1"/>
  <c r="Q307"/>
  <c r="R307" s="1"/>
  <c r="Q291"/>
  <c r="R291" s="1"/>
  <c r="Q275"/>
  <c r="R275" s="1"/>
  <c r="Q259"/>
  <c r="R259"/>
  <c r="Q214"/>
  <c r="R214" s="1"/>
  <c r="Q145"/>
  <c r="R145" s="1"/>
  <c r="Q1422"/>
  <c r="R1422" s="1"/>
  <c r="Q1414"/>
  <c r="R1414" s="1"/>
  <c r="Q1390"/>
  <c r="R1390" s="1"/>
  <c r="Q1359"/>
  <c r="R1359" s="1"/>
  <c r="Q1348"/>
  <c r="R1348" s="1"/>
  <c r="Q1340"/>
  <c r="R1340" s="1"/>
  <c r="Q1314"/>
  <c r="R1314" s="1"/>
  <c r="Q1306"/>
  <c r="R1306" s="1"/>
  <c r="Q1298"/>
  <c r="R1298" s="1"/>
  <c r="Q1290"/>
  <c r="R1290" s="1"/>
  <c r="Q1282"/>
  <c r="R1282" s="1"/>
  <c r="Q1274"/>
  <c r="R1274" s="1"/>
  <c r="Q1249"/>
  <c r="R1249" s="1"/>
  <c r="Q1218"/>
  <c r="R1218" s="1"/>
  <c r="Q1202"/>
  <c r="R1202" s="1"/>
  <c r="Q1161"/>
  <c r="R1161" s="1"/>
  <c r="Q1135"/>
  <c r="R1135" s="1"/>
  <c r="Q1122"/>
  <c r="R1122" s="1"/>
  <c r="Q1112"/>
  <c r="R1112" s="1"/>
  <c r="Q1096"/>
  <c r="R1096" s="1"/>
  <c r="Q1064"/>
  <c r="R1064" s="1"/>
  <c r="Q945"/>
  <c r="R945" s="1"/>
  <c r="Q932"/>
  <c r="R932" s="1"/>
  <c r="Q1609"/>
  <c r="R1609" s="1"/>
  <c r="Q1528"/>
  <c r="R1528" s="1"/>
  <c r="Q1491"/>
  <c r="R1491"/>
  <c r="Q1465"/>
  <c r="R1465" s="1"/>
  <c r="Q1407"/>
  <c r="R1407" s="1"/>
  <c r="Q1373"/>
  <c r="R1373" s="1"/>
  <c r="Q1361"/>
  <c r="R1361" s="1"/>
  <c r="Q1324"/>
  <c r="R1324" s="1"/>
  <c r="Q1215"/>
  <c r="R1215" s="1"/>
  <c r="Q1199"/>
  <c r="R1199" s="1"/>
  <c r="Q1184"/>
  <c r="R1184" s="1"/>
  <c r="Q1081"/>
  <c r="R1081" s="1"/>
  <c r="Q1066"/>
  <c r="R1066" s="1"/>
  <c r="Q1051"/>
  <c r="R1051" s="1"/>
  <c r="Q1043"/>
  <c r="R1043" s="1"/>
  <c r="Q1035"/>
  <c r="R1035" s="1"/>
  <c r="Q1027"/>
  <c r="R1027" s="1"/>
  <c r="Q1019"/>
  <c r="R1019" s="1"/>
  <c r="Q998"/>
  <c r="R998" s="1"/>
  <c r="Q987"/>
  <c r="R987" s="1"/>
  <c r="Q962"/>
  <c r="R962" s="1"/>
  <c r="Q879"/>
  <c r="R879" s="1"/>
  <c r="Q808"/>
  <c r="R808" s="1"/>
  <c r="Q800"/>
  <c r="R800" s="1"/>
  <c r="Q792"/>
  <c r="R792" s="1"/>
  <c r="Q782"/>
  <c r="R782" s="1"/>
  <c r="Q761"/>
  <c r="R761" s="1"/>
  <c r="Q1521"/>
  <c r="R1521" s="1"/>
  <c r="Q1503"/>
  <c r="R1503" s="1"/>
  <c r="Q1481"/>
  <c r="R1481" s="1"/>
  <c r="Q1473"/>
  <c r="R1473"/>
  <c r="Q1455"/>
  <c r="R1455" s="1"/>
  <c r="Q1442"/>
  <c r="R1442" s="1"/>
  <c r="Q1426"/>
  <c r="R1426" s="1"/>
  <c r="Q1415"/>
  <c r="R1415" s="1"/>
  <c r="Q1365"/>
  <c r="R1365" s="1"/>
  <c r="Q1351"/>
  <c r="R1351" s="1"/>
  <c r="Q1343"/>
  <c r="R1343" s="1"/>
  <c r="Q1335"/>
  <c r="R1335" s="1"/>
  <c r="Q1317"/>
  <c r="R1317" s="1"/>
  <c r="Q1309"/>
  <c r="R1309" s="1"/>
  <c r="Q1301"/>
  <c r="R1301" s="1"/>
  <c r="Q1293"/>
  <c r="R1293" s="1"/>
  <c r="Q1285"/>
  <c r="R1285" s="1"/>
  <c r="Q1277"/>
  <c r="R1277" s="1"/>
  <c r="Q1261"/>
  <c r="R1261" s="1"/>
  <c r="Q1248"/>
  <c r="R1248" s="1"/>
  <c r="Q1237"/>
  <c r="R1237" s="1"/>
  <c r="Q1210"/>
  <c r="R1210" s="1"/>
  <c r="Q1194"/>
  <c r="R1194" s="1"/>
  <c r="Q1166"/>
  <c r="R1166" s="1"/>
  <c r="Q1158"/>
  <c r="R1158" s="1"/>
  <c r="Q1149"/>
  <c r="R1149" s="1"/>
  <c r="Q1139"/>
  <c r="R1139" s="1"/>
  <c r="Q1131"/>
  <c r="R1131" s="1"/>
  <c r="Q1123"/>
  <c r="R1123" s="1"/>
  <c r="Q1115"/>
  <c r="R1115" s="1"/>
  <c r="Q1063"/>
  <c r="R1063" s="1"/>
  <c r="Q928"/>
  <c r="R928" s="1"/>
  <c r="Q920"/>
  <c r="R920" s="1"/>
  <c r="Q911"/>
  <c r="R911" s="1"/>
  <c r="Q903"/>
  <c r="R903" s="1"/>
  <c r="Q895"/>
  <c r="R895"/>
  <c r="Q870"/>
  <c r="R870" s="1"/>
  <c r="Q840"/>
  <c r="R840" s="1"/>
  <c r="Q829"/>
  <c r="R829" s="1"/>
  <c r="Q1509"/>
  <c r="R1509" s="1"/>
  <c r="Q1404"/>
  <c r="R1404" s="1"/>
  <c r="Q1383"/>
  <c r="R1383" s="1"/>
  <c r="Q1369"/>
  <c r="R1369" s="1"/>
  <c r="Q1270"/>
  <c r="R1270" s="1"/>
  <c r="Q1220"/>
  <c r="R1220" s="1"/>
  <c r="Q1188"/>
  <c r="R1188" s="1"/>
  <c r="Q1153"/>
  <c r="R1153" s="1"/>
  <c r="Q1086"/>
  <c r="R1086" s="1"/>
  <c r="Q1073"/>
  <c r="R1073" s="1"/>
  <c r="Q1056"/>
  <c r="R1056" s="1"/>
  <c r="Q1048"/>
  <c r="R1048" s="1"/>
  <c r="Q1040"/>
  <c r="R1040" s="1"/>
  <c r="Q1032"/>
  <c r="R1032" s="1"/>
  <c r="Q1024"/>
  <c r="R1024" s="1"/>
  <c r="Q1016"/>
  <c r="R1016" s="1"/>
  <c r="Q994"/>
  <c r="R994" s="1"/>
  <c r="Q983"/>
  <c r="R983" s="1"/>
  <c r="Q958"/>
  <c r="R958" s="1"/>
  <c r="Q867"/>
  <c r="R867" s="1"/>
  <c r="Q853"/>
  <c r="R853"/>
  <c r="Q828"/>
  <c r="R828" s="1"/>
  <c r="Q803"/>
  <c r="R803" s="1"/>
  <c r="Q795"/>
  <c r="R795" s="1"/>
  <c r="Q787"/>
  <c r="R787" s="1"/>
  <c r="Q724"/>
  <c r="R724" s="1"/>
  <c r="Q708"/>
  <c r="R708" s="1"/>
  <c r="Q692"/>
  <c r="R692" s="1"/>
  <c r="Q680"/>
  <c r="R680" s="1"/>
  <c r="Q664"/>
  <c r="R664" s="1"/>
  <c r="Q648"/>
  <c r="R648" s="1"/>
  <c r="Q608"/>
  <c r="R608" s="1"/>
  <c r="Q591"/>
  <c r="R591" s="1"/>
  <c r="Q583"/>
  <c r="R583" s="1"/>
  <c r="Q568"/>
  <c r="R568" s="1"/>
  <c r="Q559"/>
  <c r="R559" s="1"/>
  <c r="Q550"/>
  <c r="R550" s="1"/>
  <c r="Q543"/>
  <c r="R543" s="1"/>
  <c r="Q527"/>
  <c r="R527" s="1"/>
  <c r="Q380"/>
  <c r="R380" s="1"/>
  <c r="Q364"/>
  <c r="R364" s="1"/>
  <c r="Q331"/>
  <c r="R331" s="1"/>
  <c r="Q318"/>
  <c r="R318" s="1"/>
  <c r="Q310"/>
  <c r="R310" s="1"/>
  <c r="Q201"/>
  <c r="R201" s="1"/>
  <c r="Q181"/>
  <c r="R181" s="1"/>
  <c r="Q170"/>
  <c r="R170" s="1"/>
  <c r="Q149"/>
  <c r="R149" s="1"/>
  <c r="Q138"/>
  <c r="R138"/>
  <c r="Q117"/>
  <c r="R117" s="1"/>
  <c r="Q757"/>
  <c r="R757" s="1"/>
  <c r="Q749"/>
  <c r="R749" s="1"/>
  <c r="Q739"/>
  <c r="R739" s="1"/>
  <c r="Q668"/>
  <c r="R668" s="1"/>
  <c r="Q652"/>
  <c r="R652" s="1"/>
  <c r="Q637"/>
  <c r="R637" s="1"/>
  <c r="Q627"/>
  <c r="R627" s="1"/>
  <c r="Q614"/>
  <c r="R614" s="1"/>
  <c r="Q598"/>
  <c r="R598" s="1"/>
  <c r="Q570"/>
  <c r="R570" s="1"/>
  <c r="Q554"/>
  <c r="R554" s="1"/>
  <c r="Q533"/>
  <c r="R533" s="1"/>
  <c r="Q520"/>
  <c r="R520" s="1"/>
  <c r="Q512"/>
  <c r="R512" s="1"/>
  <c r="Q504"/>
  <c r="R504" s="1"/>
  <c r="Q495"/>
  <c r="R495" s="1"/>
  <c r="Q484"/>
  <c r="R484" s="1"/>
  <c r="Q463"/>
  <c r="R463" s="1"/>
  <c r="Q439"/>
  <c r="R439" s="1"/>
  <c r="Q431"/>
  <c r="R431" s="1"/>
  <c r="Q421"/>
  <c r="R421" s="1"/>
  <c r="Q409"/>
  <c r="R409" s="1"/>
  <c r="Q386"/>
  <c r="R386" s="1"/>
  <c r="Q370"/>
  <c r="R370" s="1"/>
  <c r="Q353"/>
  <c r="R353" s="1"/>
  <c r="Q255"/>
  <c r="R255" s="1"/>
  <c r="Q247"/>
  <c r="R247" s="1"/>
  <c r="Q189"/>
  <c r="R189" s="1"/>
  <c r="Q910"/>
  <c r="R910" s="1"/>
  <c r="Q902"/>
  <c r="R902" s="1"/>
  <c r="Q841"/>
  <c r="R841"/>
  <c r="Q820"/>
  <c r="R820" s="1"/>
  <c r="Q707"/>
  <c r="R707" s="1"/>
  <c r="Q688"/>
  <c r="R688" s="1"/>
  <c r="Q641"/>
  <c r="R641" s="1"/>
  <c r="Q592"/>
  <c r="R592" s="1"/>
  <c r="Q542"/>
  <c r="R542" s="1"/>
  <c r="Q526"/>
  <c r="R526" s="1"/>
  <c r="Q381"/>
  <c r="R381" s="1"/>
  <c r="Q365"/>
  <c r="R365" s="1"/>
  <c r="Q345"/>
  <c r="R345" s="1"/>
  <c r="Q871"/>
  <c r="R871" s="1"/>
  <c r="Q758"/>
  <c r="R758" s="1"/>
  <c r="Q740"/>
  <c r="R740" s="1"/>
  <c r="Q720"/>
  <c r="R720" s="1"/>
  <c r="Q676"/>
  <c r="R676" s="1"/>
  <c r="Q658"/>
  <c r="R658" s="1"/>
  <c r="Q632"/>
  <c r="R632" s="1"/>
  <c r="Q624"/>
  <c r="R624" s="1"/>
  <c r="Q606"/>
  <c r="R606" s="1"/>
  <c r="Q579"/>
  <c r="R579" s="1"/>
  <c r="Q530"/>
  <c r="R530" s="1"/>
  <c r="Q440"/>
  <c r="R440" s="1"/>
  <c r="Q432"/>
  <c r="R432" s="1"/>
  <c r="Q422"/>
  <c r="R422" s="1"/>
  <c r="Q376"/>
  <c r="R376" s="1"/>
  <c r="Q142"/>
  <c r="R142" s="1"/>
  <c r="Q105"/>
  <c r="R105" s="1"/>
  <c r="Q94"/>
  <c r="R94"/>
  <c r="Q73"/>
  <c r="R73" s="1"/>
  <c r="Q52"/>
  <c r="R52" s="1"/>
  <c r="Q14"/>
  <c r="R14" s="1"/>
  <c r="Q20"/>
  <c r="R20" s="1"/>
  <c r="Q491"/>
  <c r="R491" s="1"/>
  <c r="Q459"/>
  <c r="R459" s="1"/>
  <c r="Q334"/>
  <c r="R334" s="1"/>
  <c r="Q288"/>
  <c r="R288" s="1"/>
  <c r="Q256"/>
  <c r="R256" s="1"/>
  <c r="Q211"/>
  <c r="R211" s="1"/>
  <c r="Q177"/>
  <c r="R177" s="1"/>
  <c r="Q129"/>
  <c r="R129" s="1"/>
  <c r="Q36"/>
  <c r="R36" s="1"/>
  <c r="Q25"/>
  <c r="R25" s="1"/>
  <c r="Q562"/>
  <c r="R562" s="1"/>
  <c r="Q513"/>
  <c r="R513" s="1"/>
  <c r="Q505"/>
  <c r="R505" s="1"/>
  <c r="Q362"/>
  <c r="R362" s="1"/>
  <c r="Q327"/>
  <c r="R327" s="1"/>
  <c r="Q313"/>
  <c r="R313" s="1"/>
  <c r="Q174"/>
  <c r="R174" s="1"/>
  <c r="Q101"/>
  <c r="R101" s="1"/>
  <c r="Q90"/>
  <c r="R90" s="1"/>
  <c r="Q69"/>
  <c r="R69"/>
  <c r="Q56"/>
  <c r="R56" s="1"/>
  <c r="Q13"/>
  <c r="R13" s="1"/>
  <c r="Q2"/>
  <c r="R2" s="1"/>
  <c r="Q19"/>
  <c r="R19" s="1"/>
  <c r="Q546"/>
  <c r="R546" s="1"/>
  <c r="Q467"/>
  <c r="R467" s="1"/>
  <c r="Q320"/>
  <c r="R320" s="1"/>
  <c r="Q243"/>
  <c r="R243" s="1"/>
  <c r="Q219"/>
  <c r="R219" s="1"/>
  <c r="Q150"/>
  <c r="R150" s="1"/>
  <c r="Q113"/>
  <c r="R113" s="1"/>
  <c r="Q45"/>
  <c r="R45" s="1"/>
  <c r="Q990"/>
  <c r="R990" s="1"/>
  <c r="Q979"/>
  <c r="R979" s="1"/>
  <c r="Q969"/>
  <c r="R969" s="1"/>
  <c r="Q884"/>
  <c r="R884" s="1"/>
  <c r="Q866"/>
  <c r="R866" s="1"/>
  <c r="Q812"/>
  <c r="R812" s="1"/>
  <c r="Q802"/>
  <c r="R802" s="1"/>
  <c r="Q794"/>
  <c r="R794" s="1"/>
  <c r="Q786"/>
  <c r="R786" s="1"/>
  <c r="Q774"/>
  <c r="R774" s="1"/>
  <c r="Q1523"/>
  <c r="R1523" s="1"/>
  <c r="Q1475"/>
  <c r="R1475" s="1"/>
  <c r="Q1460"/>
  <c r="R1460" s="1"/>
  <c r="Q1444"/>
  <c r="R1444" s="1"/>
  <c r="Q1431"/>
  <c r="R1431" s="1"/>
  <c r="Q1417"/>
  <c r="R1417" s="1"/>
  <c r="Q1398"/>
  <c r="R1398" s="1"/>
  <c r="Q1386"/>
  <c r="R1386" s="1"/>
  <c r="Q1367"/>
  <c r="R1367" s="1"/>
  <c r="Q1353"/>
  <c r="R1353"/>
  <c r="Q1345"/>
  <c r="R1345" s="1"/>
  <c r="Q1337"/>
  <c r="R1337" s="1"/>
  <c r="Q1319"/>
  <c r="R1319" s="1"/>
  <c r="Q1311"/>
  <c r="R1311" s="1"/>
  <c r="Q1303"/>
  <c r="R1303" s="1"/>
  <c r="Q1295"/>
  <c r="R1295" s="1"/>
  <c r="Q1287"/>
  <c r="R1287" s="1"/>
  <c r="Q1279"/>
  <c r="R1279" s="1"/>
  <c r="Q1253"/>
  <c r="R1253" s="1"/>
  <c r="Q1240"/>
  <c r="R1240" s="1"/>
  <c r="Q1212"/>
  <c r="R1212" s="1"/>
  <c r="Q1196"/>
  <c r="R1196" s="1"/>
  <c r="Q1168"/>
  <c r="R1168" s="1"/>
  <c r="Q1160"/>
  <c r="R1160" s="1"/>
  <c r="Q1117"/>
  <c r="R1117" s="1"/>
  <c r="Q966"/>
  <c r="R966" s="1"/>
  <c r="Q913"/>
  <c r="R913" s="1"/>
  <c r="Q905"/>
  <c r="R905" s="1"/>
  <c r="Q886"/>
  <c r="R886" s="1"/>
  <c r="Q858"/>
  <c r="R858" s="1"/>
  <c r="Q832"/>
  <c r="R832" s="1"/>
  <c r="Q821"/>
  <c r="R821" s="1"/>
  <c r="Q1487"/>
  <c r="R1487" s="1"/>
  <c r="Q1393"/>
  <c r="R1393" s="1"/>
  <c r="Q1223"/>
  <c r="R1223" s="1"/>
  <c r="Q1207"/>
  <c r="R1207" s="1"/>
  <c r="Q1191"/>
  <c r="R1191" s="1"/>
  <c r="Q1180"/>
  <c r="R1180"/>
  <c r="Q1101"/>
  <c r="R1101" s="1"/>
  <c r="Q1088"/>
  <c r="R1088" s="1"/>
  <c r="Q1058"/>
  <c r="R1058" s="1"/>
  <c r="Q1050"/>
  <c r="R1050" s="1"/>
  <c r="Q1042"/>
  <c r="R1042" s="1"/>
  <c r="Q1034"/>
  <c r="R1034" s="1"/>
  <c r="Q1026"/>
  <c r="R1026" s="1"/>
  <c r="Q1018"/>
  <c r="R1018" s="1"/>
  <c r="Q1007"/>
  <c r="R1007" s="1"/>
  <c r="Q986"/>
  <c r="R986" s="1"/>
  <c r="Q975"/>
  <c r="R975" s="1"/>
  <c r="Q961"/>
  <c r="R961" s="1"/>
  <c r="Q844"/>
  <c r="R844" s="1"/>
  <c r="Q833"/>
  <c r="R833" s="1"/>
  <c r="Q805"/>
  <c r="R805" s="1"/>
  <c r="Q797"/>
  <c r="R797" s="1"/>
  <c r="Q789"/>
  <c r="R789" s="1"/>
  <c r="Q765"/>
  <c r="R765" s="1"/>
  <c r="Q726"/>
  <c r="R726" s="1"/>
  <c r="Q712"/>
  <c r="R712" s="1"/>
  <c r="Q699"/>
  <c r="R699" s="1"/>
  <c r="Q684"/>
  <c r="R684" s="1"/>
  <c r="Q642"/>
  <c r="R642" s="1"/>
  <c r="Q610"/>
  <c r="R610" s="1"/>
  <c r="Q593"/>
  <c r="R593" s="1"/>
  <c r="Q585"/>
  <c r="R585" s="1"/>
  <c r="Q452"/>
  <c r="R452" s="1"/>
  <c r="Q402"/>
  <c r="R402"/>
  <c r="Q395"/>
  <c r="R395" s="1"/>
  <c r="Q382"/>
  <c r="R382" s="1"/>
  <c r="Q366"/>
  <c r="R366" s="1"/>
  <c r="Q340"/>
  <c r="R340" s="1"/>
  <c r="Q322"/>
  <c r="R322" s="1"/>
  <c r="Q312"/>
  <c r="R312" s="1"/>
  <c r="Q203"/>
  <c r="R203" s="1"/>
  <c r="Q192"/>
  <c r="R192" s="1"/>
  <c r="Q173"/>
  <c r="R173" s="1"/>
  <c r="Q162"/>
  <c r="R162" s="1"/>
  <c r="Q141"/>
  <c r="R141" s="1"/>
  <c r="Q130"/>
  <c r="R130" s="1"/>
  <c r="Q921"/>
  <c r="R921" s="1"/>
  <c r="Q862"/>
  <c r="R862" s="1"/>
  <c r="Q778"/>
  <c r="R778" s="1"/>
  <c r="Q743"/>
  <c r="R743" s="1"/>
  <c r="Q696"/>
  <c r="R696" s="1"/>
  <c r="Q639"/>
  <c r="R639" s="1"/>
  <c r="Q629"/>
  <c r="R629" s="1"/>
  <c r="Q556"/>
  <c r="R556" s="1"/>
  <c r="Q535"/>
  <c r="R535" s="1"/>
  <c r="Q522"/>
  <c r="R522" s="1"/>
  <c r="Q514"/>
  <c r="R514" s="1"/>
  <c r="Q506"/>
  <c r="R506" s="1"/>
  <c r="Q487"/>
  <c r="R487" s="1"/>
  <c r="Q476"/>
  <c r="R476" s="1"/>
  <c r="Q449"/>
  <c r="R449" s="1"/>
  <c r="Q441"/>
  <c r="R441" s="1"/>
  <c r="Q433"/>
  <c r="R433" s="1"/>
  <c r="Q423"/>
  <c r="R423" s="1"/>
  <c r="Q411"/>
  <c r="R411" s="1"/>
  <c r="Q393"/>
  <c r="R393"/>
  <c r="Q356"/>
  <c r="R356" s="1"/>
  <c r="Q335"/>
  <c r="R335" s="1"/>
  <c r="Q231"/>
  <c r="R231" s="1"/>
  <c r="Q223"/>
  <c r="R223" s="1"/>
  <c r="Q912"/>
  <c r="R912" s="1"/>
  <c r="Q904"/>
  <c r="R904" s="1"/>
  <c r="Q825"/>
  <c r="R825" s="1"/>
  <c r="Q725"/>
  <c r="R725" s="1"/>
  <c r="Q709"/>
  <c r="R709" s="1"/>
  <c r="Q691"/>
  <c r="R691" s="1"/>
  <c r="Q679"/>
  <c r="R679" s="1"/>
  <c r="Q663"/>
  <c r="R663" s="1"/>
  <c r="Q643"/>
  <c r="R643" s="1"/>
  <c r="Q609"/>
  <c r="R609" s="1"/>
  <c r="Q594"/>
  <c r="R594" s="1"/>
  <c r="Q586"/>
  <c r="R586" s="1"/>
  <c r="Q567"/>
  <c r="R567" s="1"/>
  <c r="Q549"/>
  <c r="R549" s="1"/>
  <c r="Q528"/>
  <c r="R528" s="1"/>
  <c r="Q453"/>
  <c r="R453" s="1"/>
  <c r="Q406"/>
  <c r="R406" s="1"/>
  <c r="Q388"/>
  <c r="R388" s="1"/>
  <c r="Q372"/>
  <c r="R372" s="1"/>
  <c r="Q339"/>
  <c r="R339" s="1"/>
  <c r="Q896"/>
  <c r="R896" s="1"/>
  <c r="Q744"/>
  <c r="R744" s="1"/>
  <c r="Q722"/>
  <c r="R722" s="1"/>
  <c r="Q695"/>
  <c r="R695" s="1"/>
  <c r="Q660"/>
  <c r="R660" s="1"/>
  <c r="Q634"/>
  <c r="R634" s="1"/>
  <c r="Q626"/>
  <c r="R626" s="1"/>
  <c r="Q613"/>
  <c r="R613" s="1"/>
  <c r="Q581"/>
  <c r="R581" s="1"/>
  <c r="Q532"/>
  <c r="R532" s="1"/>
  <c r="Q442"/>
  <c r="R442" s="1"/>
  <c r="Q434"/>
  <c r="R434" s="1"/>
  <c r="Q426"/>
  <c r="R426" s="1"/>
  <c r="Q378"/>
  <c r="R378" s="1"/>
  <c r="Q352"/>
  <c r="R352" s="1"/>
  <c r="Q182"/>
  <c r="R182"/>
  <c r="Q166"/>
  <c r="R166" s="1"/>
  <c r="Q97"/>
  <c r="R97" s="1"/>
  <c r="Q86"/>
  <c r="R86" s="1"/>
  <c r="Q65"/>
  <c r="R65" s="1"/>
  <c r="Q16"/>
  <c r="R16" s="1"/>
  <c r="Q496"/>
  <c r="R496" s="1"/>
  <c r="Q464"/>
  <c r="R464" s="1"/>
  <c r="Q336"/>
  <c r="R336" s="1"/>
  <c r="Q299"/>
  <c r="R299" s="1"/>
  <c r="Q267"/>
  <c r="R267" s="1"/>
  <c r="Q238"/>
  <c r="R238" s="1"/>
  <c r="Q196"/>
  <c r="R196" s="1"/>
  <c r="Q134"/>
  <c r="R134" s="1"/>
  <c r="Q28"/>
  <c r="R28" s="1"/>
  <c r="Q564"/>
  <c r="R564" s="1"/>
  <c r="Q515"/>
  <c r="R515" s="1"/>
  <c r="Q507"/>
  <c r="R507" s="1"/>
  <c r="Q398"/>
  <c r="R398" s="1"/>
  <c r="Q349"/>
  <c r="R349" s="1"/>
  <c r="Q315"/>
  <c r="R315" s="1"/>
  <c r="Q158"/>
  <c r="R158" s="1"/>
  <c r="Q121"/>
  <c r="R121" s="1"/>
  <c r="Q93"/>
  <c r="R93" s="1"/>
  <c r="Q82"/>
  <c r="R82" s="1"/>
  <c r="Q48"/>
  <c r="R48" s="1"/>
  <c r="Q15"/>
  <c r="R15" s="1"/>
  <c r="Q24"/>
  <c r="R24" s="1"/>
  <c r="Q555"/>
  <c r="R555" s="1"/>
  <c r="Q472"/>
  <c r="R472" s="1"/>
  <c r="Q385"/>
  <c r="R385" s="1"/>
  <c r="Q296"/>
  <c r="R296" s="1"/>
  <c r="Q280"/>
  <c r="R280" s="1"/>
  <c r="Q264"/>
  <c r="R264" s="1"/>
  <c r="Q248"/>
  <c r="R248" s="1"/>
  <c r="Q230"/>
  <c r="R230" s="1"/>
  <c r="Q118"/>
  <c r="R118" s="1"/>
  <c r="Q37"/>
  <c r="R37" s="1"/>
  <c r="Q1269"/>
  <c r="R1269" s="1"/>
  <c r="Q1224"/>
  <c r="R1224" s="1"/>
  <c r="Q1208"/>
  <c r="R1208" s="1"/>
  <c r="Q1192"/>
  <c r="R1192" s="1"/>
  <c r="Q1179"/>
  <c r="R1179" s="1"/>
  <c r="Q1154"/>
  <c r="R1154" s="1"/>
  <c r="Q1100"/>
  <c r="R1100"/>
  <c r="Q1085"/>
  <c r="R1085" s="1"/>
  <c r="Q1072"/>
  <c r="R1072" s="1"/>
  <c r="Q1055"/>
  <c r="R1055" s="1"/>
  <c r="Q1047"/>
  <c r="R1047" s="1"/>
  <c r="Q1039"/>
  <c r="R1039" s="1"/>
  <c r="Q1031"/>
  <c r="R1031" s="1"/>
  <c r="Q1023"/>
  <c r="R1023" s="1"/>
  <c r="Q1015"/>
  <c r="R1015" s="1"/>
  <c r="Q1003"/>
  <c r="R1003" s="1"/>
  <c r="Q982"/>
  <c r="R982" s="1"/>
  <c r="Q971"/>
  <c r="R971" s="1"/>
  <c r="Q888"/>
  <c r="R888" s="1"/>
  <c r="Q873"/>
  <c r="R873" s="1"/>
  <c r="Q845"/>
  <c r="R845" s="1"/>
  <c r="Q804"/>
  <c r="R804" s="1"/>
  <c r="Q796"/>
  <c r="R796" s="1"/>
  <c r="Q788"/>
  <c r="R788" s="1"/>
  <c r="Q777"/>
  <c r="R777" s="1"/>
  <c r="Q766"/>
  <c r="R766" s="1"/>
  <c r="Q1525"/>
  <c r="R1525" s="1"/>
  <c r="Q1512"/>
  <c r="R1512" s="1"/>
  <c r="Q1495"/>
  <c r="R1495" s="1"/>
  <c r="Q1477"/>
  <c r="R1477" s="1"/>
  <c r="Q1467"/>
  <c r="R1467" s="1"/>
  <c r="Q1447"/>
  <c r="R1447" s="1"/>
  <c r="Q1434"/>
  <c r="R1434" s="1"/>
  <c r="Q1419"/>
  <c r="R1419" s="1"/>
  <c r="Q1411"/>
  <c r="R1411" s="1"/>
  <c r="Q1389"/>
  <c r="R1389" s="1"/>
  <c r="Q1377"/>
  <c r="R1377" s="1"/>
  <c r="Q1347"/>
  <c r="R1347" s="1"/>
  <c r="Q1339"/>
  <c r="R1339" s="1"/>
  <c r="Q1321"/>
  <c r="R1321" s="1"/>
  <c r="Q1313"/>
  <c r="R1313" s="1"/>
  <c r="Q1305"/>
  <c r="R1305" s="1"/>
  <c r="Q1297"/>
  <c r="R1297" s="1"/>
  <c r="Q1289"/>
  <c r="R1289" s="1"/>
  <c r="Q1281"/>
  <c r="R1281" s="1"/>
  <c r="Q1266"/>
  <c r="R1266" s="1"/>
  <c r="Q1162"/>
  <c r="R1162" s="1"/>
  <c r="Q1119"/>
  <c r="R1119" s="1"/>
  <c r="Q1104"/>
  <c r="R1104" s="1"/>
  <c r="Q1076"/>
  <c r="R1076" s="1"/>
  <c r="Q954"/>
  <c r="R954"/>
  <c r="Q946"/>
  <c r="R946" s="1"/>
  <c r="Q938"/>
  <c r="R938" s="1"/>
  <c r="Q915"/>
  <c r="R915" s="1"/>
  <c r="Q907"/>
  <c r="R907" s="1"/>
  <c r="Q899"/>
  <c r="R899" s="1"/>
  <c r="Q861"/>
  <c r="R861" s="1"/>
  <c r="Q849"/>
  <c r="R849" s="1"/>
  <c r="Q824"/>
  <c r="R824" s="1"/>
  <c r="Q1516"/>
  <c r="R1516" s="1"/>
  <c r="Q1490"/>
  <c r="R1490" s="1"/>
  <c r="Q1395"/>
  <c r="R1395" s="1"/>
  <c r="Q1374"/>
  <c r="R1374" s="1"/>
  <c r="Q1325"/>
  <c r="R1325" s="1"/>
  <c r="Q1214"/>
  <c r="R1214" s="1"/>
  <c r="Q1198"/>
  <c r="R1198" s="1"/>
  <c r="Q1183"/>
  <c r="R1183" s="1"/>
  <c r="Q1172"/>
  <c r="R1172" s="1"/>
  <c r="Q1108"/>
  <c r="R1108" s="1"/>
  <c r="Q1092"/>
  <c r="R1092" s="1"/>
  <c r="Q1080"/>
  <c r="R1080" s="1"/>
  <c r="Q1052"/>
  <c r="R1052" s="1"/>
  <c r="Q1044"/>
  <c r="R1044" s="1"/>
  <c r="Q1036"/>
  <c r="R1036" s="1"/>
  <c r="Q1028"/>
  <c r="R1028" s="1"/>
  <c r="Q1020"/>
  <c r="R1020" s="1"/>
  <c r="Q1010"/>
  <c r="R1010" s="1"/>
  <c r="Q999"/>
  <c r="R999" s="1"/>
  <c r="Q978"/>
  <c r="R978" s="1"/>
  <c r="Q963"/>
  <c r="R963" s="1"/>
  <c r="Q883"/>
  <c r="R883" s="1"/>
  <c r="Q874"/>
  <c r="R874" s="1"/>
  <c r="Q846"/>
  <c r="R846" s="1"/>
  <c r="Q817"/>
  <c r="R817" s="1"/>
  <c r="Q799"/>
  <c r="R799" s="1"/>
  <c r="Q791"/>
  <c r="R791" s="1"/>
  <c r="Q781"/>
  <c r="R781" s="1"/>
  <c r="Q701"/>
  <c r="R701" s="1"/>
  <c r="Q687"/>
  <c r="R687" s="1"/>
  <c r="Q671"/>
  <c r="R671" s="1"/>
  <c r="Q655"/>
  <c r="R655"/>
  <c r="Q587"/>
  <c r="R587" s="1"/>
  <c r="Q538"/>
  <c r="R538" s="1"/>
  <c r="Q456"/>
  <c r="R456" s="1"/>
  <c r="Q405"/>
  <c r="R405" s="1"/>
  <c r="Q344"/>
  <c r="R344" s="1"/>
  <c r="Q324"/>
  <c r="R324" s="1"/>
  <c r="Q314"/>
  <c r="R314" s="1"/>
  <c r="Q165"/>
  <c r="R165" s="1"/>
  <c r="Q154"/>
  <c r="R154" s="1"/>
  <c r="Q133"/>
  <c r="R133" s="1"/>
  <c r="Q122"/>
  <c r="R122" s="1"/>
  <c r="Q848"/>
  <c r="R848" s="1"/>
  <c r="Q745"/>
  <c r="R745" s="1"/>
  <c r="Q728"/>
  <c r="R728" s="1"/>
  <c r="Q703"/>
  <c r="R703" s="1"/>
  <c r="Q675"/>
  <c r="R675" s="1"/>
  <c r="Q659"/>
  <c r="R659" s="1"/>
  <c r="Q631"/>
  <c r="R631" s="1"/>
  <c r="Q621"/>
  <c r="R621" s="1"/>
  <c r="Q605"/>
  <c r="R605" s="1"/>
  <c r="Q580"/>
  <c r="R580" s="1"/>
  <c r="Q545"/>
  <c r="R545" s="1"/>
  <c r="Q524"/>
  <c r="R524" s="1"/>
  <c r="Q516"/>
  <c r="R516" s="1"/>
  <c r="Q508"/>
  <c r="R508" s="1"/>
  <c r="Q500"/>
  <c r="R500" s="1"/>
  <c r="Q479"/>
  <c r="R479" s="1"/>
  <c r="Q468"/>
  <c r="R468" s="1"/>
  <c r="Q443"/>
  <c r="R443" s="1"/>
  <c r="Q435"/>
  <c r="R435" s="1"/>
  <c r="Q427"/>
  <c r="R427" s="1"/>
  <c r="Q397"/>
  <c r="R397" s="1"/>
  <c r="Q377"/>
  <c r="R377" s="1"/>
  <c r="Q348"/>
  <c r="R348" s="1"/>
  <c r="Q326"/>
  <c r="R326" s="1"/>
  <c r="Q300"/>
  <c r="R300" s="1"/>
  <c r="Q292"/>
  <c r="R292" s="1"/>
  <c r="Q284"/>
  <c r="R284" s="1"/>
  <c r="Q276"/>
  <c r="R276" s="1"/>
  <c r="Q268"/>
  <c r="R268" s="1"/>
  <c r="Q234"/>
  <c r="R234" s="1"/>
  <c r="Q226"/>
  <c r="R226" s="1"/>
  <c r="Q218"/>
  <c r="R218" s="1"/>
  <c r="Q207"/>
  <c r="R207"/>
  <c r="Q185"/>
  <c r="R185" s="1"/>
  <c r="Q914"/>
  <c r="R914" s="1"/>
  <c r="Q906"/>
  <c r="R906" s="1"/>
  <c r="Q857"/>
  <c r="R857" s="1"/>
  <c r="Q773"/>
  <c r="R773" s="1"/>
  <c r="Q732"/>
  <c r="R732" s="1"/>
  <c r="Q713"/>
  <c r="R713" s="1"/>
  <c r="Q683"/>
  <c r="R683" s="1"/>
  <c r="Q670"/>
  <c r="R670" s="1"/>
  <c r="Q654"/>
  <c r="R654" s="1"/>
  <c r="Q616"/>
  <c r="R616" s="1"/>
  <c r="Q600"/>
  <c r="R600" s="1"/>
  <c r="Q588"/>
  <c r="R588" s="1"/>
  <c r="Q575"/>
  <c r="R575" s="1"/>
  <c r="Q558"/>
  <c r="R558" s="1"/>
  <c r="Q537"/>
  <c r="R537" s="1"/>
  <c r="Q455"/>
  <c r="R455" s="1"/>
  <c r="Q413"/>
  <c r="R413" s="1"/>
  <c r="Q390"/>
  <c r="R390" s="1"/>
  <c r="Q374"/>
  <c r="R374" s="1"/>
  <c r="Q341"/>
  <c r="R341" s="1"/>
  <c r="Q330"/>
  <c r="R330" s="1"/>
  <c r="Q770"/>
  <c r="R770" s="1"/>
  <c r="Q746"/>
  <c r="R746" s="1"/>
  <c r="Q729"/>
  <c r="R729" s="1"/>
  <c r="Q697"/>
  <c r="R697" s="1"/>
  <c r="Q667"/>
  <c r="R667" s="1"/>
  <c r="Q638"/>
  <c r="R638" s="1"/>
  <c r="Q628"/>
  <c r="R628" s="1"/>
  <c r="Q620"/>
  <c r="R620" s="1"/>
  <c r="Q597"/>
  <c r="R597" s="1"/>
  <c r="Q571"/>
  <c r="R571" s="1"/>
  <c r="Q444"/>
  <c r="R444" s="1"/>
  <c r="Q436"/>
  <c r="R436" s="1"/>
  <c r="Q428"/>
  <c r="R428" s="1"/>
  <c r="Q357"/>
  <c r="R357" s="1"/>
  <c r="Q137"/>
  <c r="R137" s="1"/>
  <c r="Q110"/>
  <c r="R110" s="1"/>
  <c r="Q89"/>
  <c r="R89" s="1"/>
  <c r="Q78"/>
  <c r="R78" s="1"/>
  <c r="Q57"/>
  <c r="R57" s="1"/>
  <c r="Q10"/>
  <c r="R10" s="1"/>
  <c r="Q523"/>
  <c r="R523" s="1"/>
  <c r="Q475"/>
  <c r="R475"/>
  <c r="Q369"/>
  <c r="R369" s="1"/>
  <c r="Q304"/>
  <c r="R304" s="1"/>
  <c r="Q272"/>
  <c r="R272" s="1"/>
  <c r="Q240"/>
  <c r="R240" s="1"/>
  <c r="Q222"/>
  <c r="R222" s="1"/>
  <c r="Q202"/>
  <c r="R202" s="1"/>
  <c r="Q41"/>
  <c r="R41" s="1"/>
  <c r="Q517"/>
  <c r="R517" s="1"/>
  <c r="Q509"/>
  <c r="R509" s="1"/>
  <c r="Q501"/>
  <c r="R501" s="1"/>
  <c r="Q317"/>
  <c r="R317" s="1"/>
  <c r="Q309"/>
  <c r="R309" s="1"/>
  <c r="Q106"/>
  <c r="R106" s="1"/>
  <c r="Q85"/>
  <c r="R85" s="1"/>
  <c r="Q74"/>
  <c r="R74" s="1"/>
  <c r="Q61"/>
  <c r="R61" s="1"/>
  <c r="Q9"/>
  <c r="R9" s="1"/>
  <c r="Q29"/>
  <c r="R29" s="1"/>
  <c r="Q4"/>
  <c r="R4" s="1"/>
  <c r="Q483"/>
  <c r="R483" s="1"/>
  <c r="Q448"/>
  <c r="R448" s="1"/>
  <c r="Q235"/>
  <c r="R235" s="1"/>
  <c r="Q169"/>
  <c r="R169" s="1"/>
  <c r="Q40"/>
  <c r="R40" s="1"/>
  <c r="Q2306"/>
  <c r="R2306" s="1"/>
  <c r="Q2307"/>
  <c r="R2307" s="1"/>
  <c r="Q2304"/>
  <c r="R2304" s="1"/>
  <c r="Q2303"/>
  <c r="R2303" s="1"/>
  <c r="Q2308"/>
  <c r="R2308" s="1"/>
</calcChain>
</file>

<file path=xl/sharedStrings.xml><?xml version="1.0" encoding="utf-8"?>
<sst xmlns="http://schemas.openxmlformats.org/spreadsheetml/2006/main" count="14111" uniqueCount="2419">
  <si>
    <t>id_producto</t>
  </si>
  <si>
    <t>producto</t>
  </si>
  <si>
    <t>categoria</t>
  </si>
  <si>
    <t>coste_objetivo</t>
  </si>
  <si>
    <t>precio_venta_recomendado</t>
  </si>
  <si>
    <t>margen_objetivo_pct</t>
  </si>
  <si>
    <t>P001</t>
  </si>
  <si>
    <t>Auriculares inalámbricos</t>
  </si>
  <si>
    <t>Electrónica</t>
  </si>
  <si>
    <t>P002</t>
  </si>
  <si>
    <t>Smartwatch</t>
  </si>
  <si>
    <t>P003</t>
  </si>
  <si>
    <t>Tablet 10"</t>
  </si>
  <si>
    <t>P004</t>
  </si>
  <si>
    <t>Altavoz Bluetooth</t>
  </si>
  <si>
    <t>P005</t>
  </si>
  <si>
    <t>Robot de cocina</t>
  </si>
  <si>
    <t>Hogar</t>
  </si>
  <si>
    <t>P006</t>
  </si>
  <si>
    <t>Set de sartenes</t>
  </si>
  <si>
    <t>P007</t>
  </si>
  <si>
    <t>Aspiradora sin cable</t>
  </si>
  <si>
    <t>P008</t>
  </si>
  <si>
    <t>Lámpara LED de pie</t>
  </si>
  <si>
    <t>P009</t>
  </si>
  <si>
    <t>Aceite de oliva virgen extra 1L</t>
  </si>
  <si>
    <t>Alimentación</t>
  </si>
  <si>
    <t>P010</t>
  </si>
  <si>
    <t>Cava brut nature</t>
  </si>
  <si>
    <t>P011</t>
  </si>
  <si>
    <t>Café en grano 1kg</t>
  </si>
  <si>
    <t>P012</t>
  </si>
  <si>
    <t>Chocolate a la taza 500g</t>
  </si>
  <si>
    <t>P013</t>
  </si>
  <si>
    <t>Camiseta básica algodón</t>
  </si>
  <si>
    <t>Moda</t>
  </si>
  <si>
    <t>P014</t>
  </si>
  <si>
    <t>Chaqueta acolchada</t>
  </si>
  <si>
    <t>P015</t>
  </si>
  <si>
    <t>Zapatillas running</t>
  </si>
  <si>
    <t>P016</t>
  </si>
  <si>
    <t>Bolso bandolera</t>
  </si>
  <si>
    <t>P017</t>
  </si>
  <si>
    <t>Perfume eau de parfum 90ml</t>
  </si>
  <si>
    <t>Perfumería y Belleza</t>
  </si>
  <si>
    <t>P018</t>
  </si>
  <si>
    <t>Crema facial hidratante</t>
  </si>
  <si>
    <t>P019</t>
  </si>
  <si>
    <t>Champú reparador</t>
  </si>
  <si>
    <t>P020</t>
  </si>
  <si>
    <t>Set de maquillaje</t>
  </si>
  <si>
    <t>id_venta</t>
  </si>
  <si>
    <t>fecha</t>
  </si>
  <si>
    <t>cantidad</t>
  </si>
  <si>
    <t>precio_unitario</t>
  </si>
  <si>
    <t>coste_unitario</t>
  </si>
  <si>
    <t>descuento_pct</t>
  </si>
  <si>
    <t>comunidad_autonoma</t>
  </si>
  <si>
    <t>canal</t>
  </si>
  <si>
    <t>V00557</t>
  </si>
  <si>
    <t>online</t>
  </si>
  <si>
    <t>V01049</t>
  </si>
  <si>
    <t>V00142</t>
  </si>
  <si>
    <t>Baleares</t>
  </si>
  <si>
    <t>tienda_fisica</t>
  </si>
  <si>
    <t>V00916</t>
  </si>
  <si>
    <t>V00003</t>
  </si>
  <si>
    <t>Cataluña</t>
  </si>
  <si>
    <t>V00579</t>
  </si>
  <si>
    <t>V00712</t>
  </si>
  <si>
    <t>V00152</t>
  </si>
  <si>
    <t>V00268</t>
  </si>
  <si>
    <t>V01897</t>
  </si>
  <si>
    <t>V00263</t>
  </si>
  <si>
    <t>V00880</t>
  </si>
  <si>
    <t>V01030</t>
  </si>
  <si>
    <t>V01643</t>
  </si>
  <si>
    <t>V01125</t>
  </si>
  <si>
    <t>V01862</t>
  </si>
  <si>
    <t>V00201</t>
  </si>
  <si>
    <t>V02278</t>
  </si>
  <si>
    <t>V01650</t>
  </si>
  <si>
    <t>V00833</t>
  </si>
  <si>
    <t>Madrid</t>
  </si>
  <si>
    <t>V00849</t>
  </si>
  <si>
    <t>V00233</t>
  </si>
  <si>
    <t>V00401</t>
  </si>
  <si>
    <t>V00864</t>
  </si>
  <si>
    <t>V01681</t>
  </si>
  <si>
    <t>V01924</t>
  </si>
  <si>
    <t>V00652</t>
  </si>
  <si>
    <t>V00035</t>
  </si>
  <si>
    <t>V01396</t>
  </si>
  <si>
    <t>V01023</t>
  </si>
  <si>
    <t>V00197</t>
  </si>
  <si>
    <t>V00413</t>
  </si>
  <si>
    <t>Aragón</t>
  </si>
  <si>
    <t>V01812</t>
  </si>
  <si>
    <t>V02072</t>
  </si>
  <si>
    <t>V00667</t>
  </si>
  <si>
    <t>V01383</t>
  </si>
  <si>
    <t>Andalucía</t>
  </si>
  <si>
    <t>V01485</t>
  </si>
  <si>
    <t>V01883</t>
  </si>
  <si>
    <t>V01313</t>
  </si>
  <si>
    <t>V00877</t>
  </si>
  <si>
    <t>V00745</t>
  </si>
  <si>
    <t>V02183</t>
  </si>
  <si>
    <t>V01705</t>
  </si>
  <si>
    <t>V00195</t>
  </si>
  <si>
    <t>V00906</t>
  </si>
  <si>
    <t>V00825</t>
  </si>
  <si>
    <t>V01956</t>
  </si>
  <si>
    <t>V01982</t>
  </si>
  <si>
    <t>V00260</t>
  </si>
  <si>
    <t>V01404</t>
  </si>
  <si>
    <t>V01299</t>
  </si>
  <si>
    <t>V01552</t>
  </si>
  <si>
    <t>V01672</t>
  </si>
  <si>
    <t>V00596</t>
  </si>
  <si>
    <t>V01438</t>
  </si>
  <si>
    <t>V00766</t>
  </si>
  <si>
    <t>V00508</t>
  </si>
  <si>
    <t>V02195</t>
  </si>
  <si>
    <t>V01861</t>
  </si>
  <si>
    <t>V00373</t>
  </si>
  <si>
    <t>V01623</t>
  </si>
  <si>
    <t>V01593</t>
  </si>
  <si>
    <t>V02040</t>
  </si>
  <si>
    <t>V00205</t>
  </si>
  <si>
    <t>V00396</t>
  </si>
  <si>
    <t>V00747</t>
  </si>
  <si>
    <t>V00052</t>
  </si>
  <si>
    <t xml:space="preserve"> tienda_fisica</t>
  </si>
  <si>
    <t>V01887</t>
  </si>
  <si>
    <t>V01757</t>
  </si>
  <si>
    <t>V01057</t>
  </si>
  <si>
    <t>V01907</t>
  </si>
  <si>
    <t>V01454</t>
  </si>
  <si>
    <t>V00329</t>
  </si>
  <si>
    <t>V01930</t>
  </si>
  <si>
    <t>V00716</t>
  </si>
  <si>
    <t>V01969</t>
  </si>
  <si>
    <t>V00100</t>
  </si>
  <si>
    <t>V01305</t>
  </si>
  <si>
    <t>ONLINE</t>
  </si>
  <si>
    <t>V02283</t>
  </si>
  <si>
    <t>V00433</t>
  </si>
  <si>
    <t>V01908</t>
  </si>
  <si>
    <t>V01114</t>
  </si>
  <si>
    <t>V01509</t>
  </si>
  <si>
    <t>V01611</t>
  </si>
  <si>
    <t>V01620</t>
  </si>
  <si>
    <t>V00122</t>
  </si>
  <si>
    <t>Tienda_fisica</t>
  </si>
  <si>
    <t>V00739</t>
  </si>
  <si>
    <t>V01427</t>
  </si>
  <si>
    <t>V01654</t>
  </si>
  <si>
    <t>V01477</t>
  </si>
  <si>
    <t>V02089</t>
  </si>
  <si>
    <t>V00673</t>
  </si>
  <si>
    <t>V00326</t>
  </si>
  <si>
    <t>V00238</t>
  </si>
  <si>
    <t>V01619</t>
  </si>
  <si>
    <t>V01701</t>
  </si>
  <si>
    <t>V02291</t>
  </si>
  <si>
    <t>V01328</t>
  </si>
  <si>
    <t>V01628</t>
  </si>
  <si>
    <t>V02135</t>
  </si>
  <si>
    <t>V01486</t>
  </si>
  <si>
    <t>V01677</t>
  </si>
  <si>
    <t>V01662</t>
  </si>
  <si>
    <t>V00187</t>
  </si>
  <si>
    <t>V00464</t>
  </si>
  <si>
    <t>V00207</t>
  </si>
  <si>
    <t>V00466</t>
  </si>
  <si>
    <t>V00111</t>
  </si>
  <si>
    <t>V00442</t>
  </si>
  <si>
    <t>V02253</t>
  </si>
  <si>
    <t>V00218</t>
  </si>
  <si>
    <t>V01253</t>
  </si>
  <si>
    <t>V01548</t>
  </si>
  <si>
    <t>V01975</t>
  </si>
  <si>
    <t>V00387</t>
  </si>
  <si>
    <t>V00692</t>
  </si>
  <si>
    <t>V01386</t>
  </si>
  <si>
    <t>V01310</t>
  </si>
  <si>
    <t>V00469</t>
  </si>
  <si>
    <t>V00577</t>
  </si>
  <si>
    <t>V00271</t>
  </si>
  <si>
    <t>V01798</t>
  </si>
  <si>
    <t>V00008</t>
  </si>
  <si>
    <t>V00489</t>
  </si>
  <si>
    <t>V01422</t>
  </si>
  <si>
    <t>V00756</t>
  </si>
  <si>
    <t>V01707</t>
  </si>
  <si>
    <t>V02034</t>
  </si>
  <si>
    <t>V00641</t>
  </si>
  <si>
    <t>V02257</t>
  </si>
  <si>
    <t>V01089</t>
  </si>
  <si>
    <t>V01698</t>
  </si>
  <si>
    <t>Online</t>
  </si>
  <si>
    <t>V00993</t>
  </si>
  <si>
    <t>V01809</t>
  </si>
  <si>
    <t>V01480</t>
  </si>
  <si>
    <t>V01462</t>
  </si>
  <si>
    <t>V01945</t>
  </si>
  <si>
    <t>V00242</t>
  </si>
  <si>
    <t>V01252</t>
  </si>
  <si>
    <t>V00061</t>
  </si>
  <si>
    <t>V01456</t>
  </si>
  <si>
    <t>V00876</t>
  </si>
  <si>
    <t>V00659</t>
  </si>
  <si>
    <t>V00013</t>
  </si>
  <si>
    <t>V00241</t>
  </si>
  <si>
    <t>V00811</t>
  </si>
  <si>
    <t>V00515</t>
  </si>
  <si>
    <t>V01288</t>
  </si>
  <si>
    <t>V02282</t>
  </si>
  <si>
    <t>V01513</t>
  </si>
  <si>
    <t>V00427</t>
  </si>
  <si>
    <t>V01169</t>
  </si>
  <si>
    <t>V00319</t>
  </si>
  <si>
    <t>V00620</t>
  </si>
  <si>
    <t>V00569</t>
  </si>
  <si>
    <t>V01158</t>
  </si>
  <si>
    <t>V00790</t>
  </si>
  <si>
    <t>V01722</t>
  </si>
  <si>
    <t>V01376</t>
  </si>
  <si>
    <t>V01258</t>
  </si>
  <si>
    <t>V00886</t>
  </si>
  <si>
    <t>V00998</t>
  </si>
  <si>
    <t>V02295</t>
  </si>
  <si>
    <t>V01472</t>
  </si>
  <si>
    <t>V00055</t>
  </si>
  <si>
    <t>V00505</t>
  </si>
  <si>
    <t>V01209</t>
  </si>
  <si>
    <t>V01045</t>
  </si>
  <si>
    <t>V01415</t>
  </si>
  <si>
    <t>V00928</t>
  </si>
  <si>
    <t>V02263</t>
  </si>
  <si>
    <t>V01171</t>
  </si>
  <si>
    <t>V00047</t>
  </si>
  <si>
    <t>V01699</t>
  </si>
  <si>
    <t>V00770</t>
  </si>
  <si>
    <t>V01921</t>
  </si>
  <si>
    <t>V01237</t>
  </si>
  <si>
    <t>V01127</t>
  </si>
  <si>
    <t>V02018</t>
  </si>
  <si>
    <t>V00451</t>
  </si>
  <si>
    <t>V00856</t>
  </si>
  <si>
    <t>V01468</t>
  </si>
  <si>
    <t>V00340</t>
  </si>
  <si>
    <t>V01287</t>
  </si>
  <si>
    <t>V01756</t>
  </si>
  <si>
    <t>V01335</t>
  </si>
  <si>
    <t>V00988</t>
  </si>
  <si>
    <t>V02252</t>
  </si>
  <si>
    <t>V00182</t>
  </si>
  <si>
    <t>V01784</t>
  </si>
  <si>
    <t>V01344</t>
  </si>
  <si>
    <t>V00545</t>
  </si>
  <si>
    <t>V01464</t>
  </si>
  <si>
    <t>V01268</t>
  </si>
  <si>
    <t>V00540</t>
  </si>
  <si>
    <t xml:space="preserve">tienda_fisica </t>
  </si>
  <si>
    <t>V00468</t>
  </si>
  <si>
    <t>V00685</t>
  </si>
  <si>
    <t>V00424</t>
  </si>
  <si>
    <t>V00397</t>
  </si>
  <si>
    <t>V01932</t>
  </si>
  <si>
    <t>V01515</t>
  </si>
  <si>
    <t>V02116</t>
  </si>
  <si>
    <t>V02216</t>
  </si>
  <si>
    <t>V02037</t>
  </si>
  <si>
    <t>V02078</t>
  </si>
  <si>
    <t>V01465</t>
  </si>
  <si>
    <t>V01211</t>
  </si>
  <si>
    <t>V01284</t>
  </si>
  <si>
    <t>V00448</t>
  </si>
  <si>
    <t>V00730</t>
  </si>
  <si>
    <t>V02029</t>
  </si>
  <si>
    <t>V00029</t>
  </si>
  <si>
    <t>V00342</t>
  </si>
  <si>
    <t>V00591</t>
  </si>
  <si>
    <t>V00603</t>
  </si>
  <si>
    <t>V00514</t>
  </si>
  <si>
    <t>V01587</t>
  </si>
  <si>
    <t>V02267</t>
  </si>
  <si>
    <t>V01833</t>
  </si>
  <si>
    <t>V01481</t>
  </si>
  <si>
    <t>V00098</t>
  </si>
  <si>
    <t>V02127</t>
  </si>
  <si>
    <t>V00279</t>
  </si>
  <si>
    <t>V00475</t>
  </si>
  <si>
    <t>V00921</t>
  </si>
  <si>
    <t>V00661</t>
  </si>
  <si>
    <t>V02113</t>
  </si>
  <si>
    <t>V01147</t>
  </si>
  <si>
    <t>V00706</t>
  </si>
  <si>
    <t>V00604</t>
  </si>
  <si>
    <t>V01173</t>
  </si>
  <si>
    <t>V02254</t>
  </si>
  <si>
    <t>V01615</t>
  </si>
  <si>
    <t>V01166</t>
  </si>
  <si>
    <t>V00893</t>
  </si>
  <si>
    <t>V01088</t>
  </si>
  <si>
    <t>V01538</t>
  </si>
  <si>
    <t>V00044</t>
  </si>
  <si>
    <t>V02139</t>
  </si>
  <si>
    <t>V01542</t>
  </si>
  <si>
    <t>V02245</t>
  </si>
  <si>
    <t>V00180</t>
  </si>
  <si>
    <t>V00504</t>
  </si>
  <si>
    <t>V01882</t>
  </si>
  <si>
    <t>V01781</t>
  </si>
  <si>
    <t>V00946</t>
  </si>
  <si>
    <t>V02268</t>
  </si>
  <si>
    <t>V00463</t>
  </si>
  <si>
    <t>V01821</t>
  </si>
  <si>
    <t>V02093</t>
  </si>
  <si>
    <t>V00095</t>
  </si>
  <si>
    <t>V01120</t>
  </si>
  <si>
    <t>V01855</t>
  </si>
  <si>
    <t>V01946</t>
  </si>
  <si>
    <t>V01540</t>
  </si>
  <si>
    <t>V02180</t>
  </si>
  <si>
    <t>V00037</t>
  </si>
  <si>
    <t>V01922</t>
  </si>
  <si>
    <t>V00059</t>
  </si>
  <si>
    <t>V00159</t>
  </si>
  <si>
    <t>V00420</t>
  </si>
  <si>
    <t>V01535</t>
  </si>
  <si>
    <t>V01559</t>
  </si>
  <si>
    <t>V00432</t>
  </si>
  <si>
    <t>V00740</t>
  </si>
  <si>
    <t>V00384</t>
  </si>
  <si>
    <t>V01370</t>
  </si>
  <si>
    <t>V01822</t>
  </si>
  <si>
    <t>V01816</t>
  </si>
  <si>
    <t>V01528</t>
  </si>
  <si>
    <t>V00842</t>
  </si>
  <si>
    <t>V01624</t>
  </si>
  <si>
    <t>V00654</t>
  </si>
  <si>
    <t>V01566</t>
  </si>
  <si>
    <t>V00653</t>
  </si>
  <si>
    <t>V00025</t>
  </si>
  <si>
    <t>V01223</t>
  </si>
  <si>
    <t>V01124</t>
  </si>
  <si>
    <t>V02110</t>
  </si>
  <si>
    <t>V00526</t>
  </si>
  <si>
    <t>V00922</t>
  </si>
  <si>
    <t>V01948</t>
  </si>
  <si>
    <t>V01138</t>
  </si>
  <si>
    <t>V00457</t>
  </si>
  <si>
    <t>V02223</t>
  </si>
  <si>
    <t>V00072</t>
  </si>
  <si>
    <t>V02145</t>
  </si>
  <si>
    <t>V02261</t>
  </si>
  <si>
    <t>V01673</t>
  </si>
  <si>
    <t>V00280</t>
  </si>
  <si>
    <t>V00580</t>
  </si>
  <si>
    <t>V02132</t>
  </si>
  <si>
    <t>V00173</t>
  </si>
  <si>
    <t>V02099</t>
  </si>
  <si>
    <t>V01314</t>
  </si>
  <si>
    <t>V01688</t>
  </si>
  <si>
    <t>V00669</t>
  </si>
  <si>
    <t>V01737</t>
  </si>
  <si>
    <t>V00836</t>
  </si>
  <si>
    <t>V02190</t>
  </si>
  <si>
    <t>V00962</t>
  </si>
  <si>
    <t>V00480</t>
  </si>
  <si>
    <t>V00858</t>
  </si>
  <si>
    <t>TIENDA_FISICA</t>
  </si>
  <si>
    <t>V01126</t>
  </si>
  <si>
    <t>V01514</t>
  </si>
  <si>
    <t>V01234</t>
  </si>
  <si>
    <t>V01576</t>
  </si>
  <si>
    <t>V01814</t>
  </si>
  <si>
    <t>V01230</t>
  </si>
  <si>
    <t>V01934</t>
  </si>
  <si>
    <t>V01773</t>
  </si>
  <si>
    <t>V00952</t>
  </si>
  <si>
    <t>V00141</t>
  </si>
  <si>
    <t>V00376</t>
  </si>
  <si>
    <t>V01129</t>
  </si>
  <si>
    <t>V00472</t>
  </si>
  <si>
    <t>V01134</t>
  </si>
  <si>
    <t>V01755</t>
  </si>
  <si>
    <t>V00703</t>
  </si>
  <si>
    <t>V02211</t>
  </si>
  <si>
    <t>V02187</t>
  </si>
  <si>
    <t>V00597</t>
  </si>
  <si>
    <t>V00368</t>
  </si>
  <si>
    <t>V00211</t>
  </si>
  <si>
    <t>V01899</t>
  </si>
  <si>
    <t>V01625</t>
  </si>
  <si>
    <t>V01801</t>
  </si>
  <si>
    <t>V02238</t>
  </si>
  <si>
    <t>V02220</t>
  </si>
  <si>
    <t>V00301</t>
  </si>
  <si>
    <t>V02120</t>
  </si>
  <si>
    <t>V00944</t>
  </si>
  <si>
    <t>V00971</t>
  </si>
  <si>
    <t>V01394</t>
  </si>
  <si>
    <t>V02102</t>
  </si>
  <si>
    <t>V00947</t>
  </si>
  <si>
    <t>V00621</t>
  </si>
  <si>
    <t>V01496</t>
  </si>
  <si>
    <t>V01824</t>
  </si>
  <si>
    <t>V00524</t>
  </si>
  <si>
    <t>V02277</t>
  </si>
  <si>
    <t>V01674</t>
  </si>
  <si>
    <t>V02213</t>
  </si>
  <si>
    <t>V02138</t>
  </si>
  <si>
    <t>V01003</t>
  </si>
  <si>
    <t>V01172</t>
  </si>
  <si>
    <t>V02196</t>
  </si>
  <si>
    <t>V01264</t>
  </si>
  <si>
    <t>V00174</t>
  </si>
  <si>
    <t>V00254</t>
  </si>
  <si>
    <t>V01779</t>
  </si>
  <si>
    <t>V01241</t>
  </si>
  <si>
    <t>V00972</t>
  </si>
  <si>
    <t>V01431</t>
  </si>
  <si>
    <t>V01770</t>
  </si>
  <si>
    <t>V00758</t>
  </si>
  <si>
    <t>V01451</t>
  </si>
  <si>
    <t>V00883</t>
  </si>
  <si>
    <t>V01588</t>
  </si>
  <si>
    <t>V00708</t>
  </si>
  <si>
    <t>V01837</t>
  </si>
  <si>
    <t>V01823</t>
  </si>
  <si>
    <t>V00841</t>
  </si>
  <si>
    <t>V01117</t>
  </si>
  <si>
    <t>V02176</t>
  </si>
  <si>
    <t>V00665</t>
  </si>
  <si>
    <t>V00230</t>
  </si>
  <si>
    <t>V01227</t>
  </si>
  <si>
    <t>V01531</t>
  </si>
  <si>
    <t>V01065</t>
  </si>
  <si>
    <t>V02289</t>
  </si>
  <si>
    <t>V01391</t>
  </si>
  <si>
    <t>V01524</t>
  </si>
  <si>
    <t>V00934</t>
  </si>
  <si>
    <t>V00118</t>
  </si>
  <si>
    <t>V01433</t>
  </si>
  <si>
    <t>V00585</t>
  </si>
  <si>
    <t>V02100</t>
  </si>
  <si>
    <t>V02041</t>
  </si>
  <si>
    <t>V01916</t>
  </si>
  <si>
    <t>V01330</t>
  </si>
  <si>
    <t>V02260</t>
  </si>
  <si>
    <t>V00345</t>
  </si>
  <si>
    <t>V01160</t>
  </si>
  <si>
    <t>V01954</t>
  </si>
  <si>
    <t>V00416</t>
  </si>
  <si>
    <t>V01893</t>
  </si>
  <si>
    <t>V01985</t>
  </si>
  <si>
    <t>V00071</t>
  </si>
  <si>
    <t>V02106</t>
  </si>
  <si>
    <t>V01308</t>
  </si>
  <si>
    <t>V00839</t>
  </si>
  <si>
    <t>V00010</t>
  </si>
  <si>
    <t>V01222</t>
  </si>
  <si>
    <t>V00562</t>
  </si>
  <si>
    <t>V01627</t>
  </si>
  <si>
    <t>V01902</t>
  </si>
  <si>
    <t>V00128</t>
  </si>
  <si>
    <t>V01641</t>
  </si>
  <si>
    <t>V00285</t>
  </si>
  <si>
    <t>V00610</t>
  </si>
  <si>
    <t>V01891</t>
  </si>
  <si>
    <t>V00378</t>
  </si>
  <si>
    <t>V02076</t>
  </si>
  <si>
    <t>V01853</t>
  </si>
  <si>
    <t>V01042</t>
  </si>
  <si>
    <t>V01316</t>
  </si>
  <si>
    <t>V00126</t>
  </si>
  <si>
    <t>V00341</t>
  </si>
  <si>
    <t>V00714</t>
  </si>
  <si>
    <t>V01133</t>
  </si>
  <si>
    <t>V01854</t>
  </si>
  <si>
    <t>V02051</t>
  </si>
  <si>
    <t>V01597</t>
  </si>
  <si>
    <t>V01888</t>
  </si>
  <si>
    <t>V00717</t>
  </si>
  <si>
    <t>V00038</t>
  </si>
  <si>
    <t>V01476</t>
  </si>
  <si>
    <t>V00309</t>
  </si>
  <si>
    <t>V01572</t>
  </si>
  <si>
    <t>V00364</t>
  </si>
  <si>
    <t>V00632</t>
  </si>
  <si>
    <t>V01761</t>
  </si>
  <si>
    <t>V02212</t>
  </si>
  <si>
    <t xml:space="preserve"> online</t>
  </si>
  <si>
    <t>V00109</t>
  </si>
  <si>
    <t>V02168</t>
  </si>
  <si>
    <t>V01900</t>
  </si>
  <si>
    <t>V01525</t>
  </si>
  <si>
    <t>V01689</t>
  </si>
  <si>
    <t>V01182</t>
  </si>
  <si>
    <t>V00611</t>
  </si>
  <si>
    <t>V02286</t>
  </si>
  <si>
    <t>V01168</t>
  </si>
  <si>
    <t>V01037</t>
  </si>
  <si>
    <t>V00749</t>
  </si>
  <si>
    <t>V00300</t>
  </si>
  <si>
    <t>V00189</t>
  </si>
  <si>
    <t>V00523</t>
  </si>
  <si>
    <t>V02232</t>
  </si>
  <si>
    <t>V00359</t>
  </si>
  <si>
    <t>V00021</t>
  </si>
  <si>
    <t>V01517</t>
  </si>
  <si>
    <t>V01696</t>
  </si>
  <si>
    <t>V00789</t>
  </si>
  <si>
    <t>V01339</t>
  </si>
  <si>
    <t>V00550</t>
  </si>
  <si>
    <t>V01450</t>
  </si>
  <si>
    <t>V00408</t>
  </si>
  <si>
    <t>V01555</t>
  </si>
  <si>
    <t>V01842</t>
  </si>
  <si>
    <t>V00984</t>
  </si>
  <si>
    <t>V01035</t>
  </si>
  <si>
    <t>V00351</t>
  </si>
  <si>
    <t>V01304</t>
  </si>
  <si>
    <t>V02000</t>
  </si>
  <si>
    <t>V01319</t>
  </si>
  <si>
    <t>V00440</t>
  </si>
  <si>
    <t>V00691</t>
  </si>
  <si>
    <t>V01214</t>
  </si>
  <si>
    <t>V02243</t>
  </si>
  <si>
    <t>V01616</t>
  </si>
  <si>
    <t>V01927</t>
  </si>
  <si>
    <t>V02206</t>
  </si>
  <si>
    <t>V00354</t>
  </si>
  <si>
    <t>V00471</t>
  </si>
  <si>
    <t>V00375</t>
  </si>
  <si>
    <t>V00869</t>
  </si>
  <si>
    <t>C. Valenciana</t>
  </si>
  <si>
    <t>V00422</t>
  </si>
  <si>
    <t>V00191</t>
  </si>
  <si>
    <t>V01295</t>
  </si>
  <si>
    <t>V01602</t>
  </si>
  <si>
    <t>V02064</t>
  </si>
  <si>
    <t>V01193</t>
  </si>
  <si>
    <t>V01471</t>
  </si>
  <si>
    <t>V00821</t>
  </si>
  <si>
    <t>V01276</t>
  </si>
  <si>
    <t>V00143</t>
  </si>
  <si>
    <t>V00588</t>
  </si>
  <si>
    <t>V00362</t>
  </si>
  <si>
    <t>V01543</t>
  </si>
  <si>
    <t>V01412</t>
  </si>
  <si>
    <t>V00752</t>
  </si>
  <si>
    <t>V01345</t>
  </si>
  <si>
    <t>V01776</t>
  </si>
  <si>
    <t>V00718</t>
  </si>
  <si>
    <t>V01442</t>
  </si>
  <si>
    <t>V00956</t>
  </si>
  <si>
    <t>V00186</t>
  </si>
  <si>
    <t>V01236</t>
  </si>
  <si>
    <t>V01038</t>
  </si>
  <si>
    <t>V02049</t>
  </si>
  <si>
    <t>V00161</t>
  </si>
  <si>
    <t>V00738</t>
  </si>
  <si>
    <t>V00670</t>
  </si>
  <si>
    <t>V01059</t>
  </si>
  <si>
    <t>V00638</t>
  </si>
  <si>
    <t>V00862</t>
  </si>
  <si>
    <t>V00264</t>
  </si>
  <si>
    <t>V00369</t>
  </si>
  <si>
    <t>V02265</t>
  </si>
  <si>
    <t>V01115</t>
  </si>
  <si>
    <t>V00518</t>
  </si>
  <si>
    <t>V00682</t>
  </si>
  <si>
    <t>V01294</t>
  </si>
  <si>
    <t>V00428</t>
  </si>
  <si>
    <t>V01261</t>
  </si>
  <si>
    <t>V00148</t>
  </si>
  <si>
    <t>V00399</t>
  </si>
  <si>
    <t>V01664</t>
  </si>
  <si>
    <t>V02194</t>
  </si>
  <si>
    <t>V02202</t>
  </si>
  <si>
    <t>V01771</t>
  </si>
  <si>
    <t>V01152</t>
  </si>
  <si>
    <t>V00859</t>
  </si>
  <si>
    <t>V00381</t>
  </si>
  <si>
    <t>V01068</t>
  </si>
  <si>
    <t>V00548</t>
  </si>
  <si>
    <t>V01140</t>
  </si>
  <si>
    <t>V00639</t>
  </si>
  <si>
    <t>V01418</t>
  </si>
  <si>
    <t>V01445</t>
  </si>
  <si>
    <t>V01976</t>
  </si>
  <si>
    <t>V02279</t>
  </si>
  <si>
    <t>V00688</t>
  </si>
  <si>
    <t>V00931</t>
  </si>
  <si>
    <t>V00640</t>
  </si>
  <si>
    <t>V01710</t>
  </si>
  <si>
    <t>V02236</t>
  </si>
  <si>
    <t>V01795</t>
  </si>
  <si>
    <t>V00144</t>
  </si>
  <si>
    <t>V00805</t>
  </si>
  <si>
    <t>V00719</t>
  </si>
  <si>
    <t>V02272</t>
  </si>
  <si>
    <t>V00431</t>
  </si>
  <si>
    <t>V01051</t>
  </si>
  <si>
    <t>V01123</t>
  </si>
  <si>
    <t>V01210</t>
  </si>
  <si>
    <t>V01034</t>
  </si>
  <si>
    <t>V02087</t>
  </si>
  <si>
    <t>V02080</t>
  </si>
  <si>
    <t>V02060</t>
  </si>
  <si>
    <t>V02125</t>
  </si>
  <si>
    <t>V01493</t>
  </si>
  <si>
    <t>V01494</t>
  </si>
  <si>
    <t>V01197</t>
  </si>
  <si>
    <t>V01684</t>
  </si>
  <si>
    <t>V00147</t>
  </si>
  <si>
    <t>V01439</t>
  </si>
  <si>
    <t>V01179</t>
  </si>
  <si>
    <t>V01852</t>
  </si>
  <si>
    <t>V01302</t>
  </si>
  <si>
    <t>V02170</t>
  </si>
  <si>
    <t>V02215</t>
  </si>
  <si>
    <t>V00636</t>
  </si>
  <si>
    <t>V00563</t>
  </si>
  <si>
    <t>V00265</t>
  </si>
  <si>
    <t>V02031</t>
  </si>
  <si>
    <t>V00112</t>
  </si>
  <si>
    <t>V01437</t>
  </si>
  <si>
    <t>V02107</t>
  </si>
  <si>
    <t>V02146</t>
  </si>
  <si>
    <t>V00455</t>
  </si>
  <si>
    <t>V02028</t>
  </si>
  <si>
    <t>V00675</t>
  </si>
  <si>
    <t>V00339</t>
  </si>
  <si>
    <t>V01096</t>
  </si>
  <si>
    <t>V00804</t>
  </si>
  <si>
    <t>V01188</t>
  </si>
  <si>
    <t>V01980</t>
  </si>
  <si>
    <t>V01079</t>
  </si>
  <si>
    <t>V01303</t>
  </si>
  <si>
    <t>V00542</t>
  </si>
  <si>
    <t>V00507</t>
  </si>
  <si>
    <t>V00441</t>
  </si>
  <si>
    <t>V00221</t>
  </si>
  <si>
    <t>V02163</t>
  </si>
  <si>
    <t>V01048</t>
  </si>
  <si>
    <t>V01973</t>
  </si>
  <si>
    <t>V01435</t>
  </si>
  <si>
    <t>V01512</t>
  </si>
  <si>
    <t>V01309</t>
  </si>
  <si>
    <t>V01958</t>
  </si>
  <si>
    <t>V01272</t>
  </si>
  <si>
    <t>V02271</t>
  </si>
  <si>
    <t>V00299</t>
  </si>
  <si>
    <t>V01706</t>
  </si>
  <si>
    <t>V00803</t>
  </si>
  <si>
    <t>V00114</t>
  </si>
  <si>
    <t>V02086</t>
  </si>
  <si>
    <t>V01915</t>
  </si>
  <si>
    <t>V00519</t>
  </si>
  <si>
    <t>V02038</t>
  </si>
  <si>
    <t>V02224</t>
  </si>
  <si>
    <t>V01137</t>
  </si>
  <si>
    <t>V00096</t>
  </si>
  <si>
    <t>V01434</t>
  </si>
  <si>
    <t>V00705</t>
  </si>
  <si>
    <t>V00348</t>
  </si>
  <si>
    <t>V00741</t>
  </si>
  <si>
    <t>V01139</t>
  </si>
  <si>
    <t>V00117</t>
  </si>
  <si>
    <t>V01355</t>
  </si>
  <si>
    <t>V00531</t>
  </si>
  <si>
    <t>V02095</t>
  </si>
  <si>
    <t>V00736</t>
  </si>
  <si>
    <t>V01546</t>
  </si>
  <si>
    <t>V00005</t>
  </si>
  <si>
    <t>V02227</t>
  </si>
  <si>
    <t>V01063</t>
  </si>
  <si>
    <t>V00987</t>
  </si>
  <si>
    <t>V01884</t>
  </si>
  <si>
    <t>V01058</t>
  </si>
  <si>
    <t>V01769</t>
  </si>
  <si>
    <t>V02101</t>
  </si>
  <si>
    <t>V00228</t>
  </si>
  <si>
    <t>V01536</t>
  </si>
  <si>
    <t>V02184</t>
  </si>
  <si>
    <t>V01458</t>
  </si>
  <si>
    <t>V01369</t>
  </si>
  <si>
    <t>V01713</t>
  </si>
  <si>
    <t>V00082</t>
  </si>
  <si>
    <t>V01470</t>
  </si>
  <si>
    <t>V00722</t>
  </si>
  <si>
    <t>V00453</t>
  </si>
  <si>
    <t>V02258</t>
  </si>
  <si>
    <t>V01730</t>
  </si>
  <si>
    <t>V00454</t>
  </si>
  <si>
    <t>V00702</t>
  </si>
  <si>
    <t>V01993</t>
  </si>
  <si>
    <t>V01577</t>
  </si>
  <si>
    <t>V01274</t>
  </si>
  <si>
    <t>V01767</t>
  </si>
  <si>
    <t>V00331</t>
  </si>
  <si>
    <t>V00110</t>
  </si>
  <si>
    <t>V01939</t>
  </si>
  <si>
    <t>V02056</t>
  </si>
  <si>
    <t>V01157</t>
  </si>
  <si>
    <t>V00929</t>
  </si>
  <si>
    <t>V01804</t>
  </si>
  <si>
    <t>V00528</t>
  </si>
  <si>
    <t>V00689</t>
  </si>
  <si>
    <t>V01603</t>
  </si>
  <si>
    <t>V00312</t>
  </si>
  <si>
    <t>V01974</t>
  </si>
  <si>
    <t>V01318</t>
  </si>
  <si>
    <t>V00748</t>
  </si>
  <si>
    <t>V00020</t>
  </si>
  <si>
    <t>V01780</t>
  </si>
  <si>
    <t>V00358</t>
  </si>
  <si>
    <t>V00361</t>
  </si>
  <si>
    <t>V01331</t>
  </si>
  <si>
    <t>V00735</t>
  </si>
  <si>
    <t>V01151</t>
  </si>
  <si>
    <t>V00393</t>
  </si>
  <si>
    <t>V02157</t>
  </si>
  <si>
    <t>V00857</t>
  </si>
  <si>
    <t>V00223</t>
  </si>
  <si>
    <t>V01103</t>
  </si>
  <si>
    <t>V01083</t>
  </si>
  <si>
    <t>V00624</t>
  </si>
  <si>
    <t>V00763</t>
  </si>
  <si>
    <t>V01668</t>
  </si>
  <si>
    <t>V00398</t>
  </si>
  <si>
    <t>V01107</t>
  </si>
  <si>
    <t>V00314</t>
  </si>
  <si>
    <t>V00288</t>
  </si>
  <si>
    <t>V00594</t>
  </si>
  <si>
    <t>V01071</t>
  </si>
  <si>
    <t>V01011</t>
  </si>
  <si>
    <t>V01990</t>
  </si>
  <si>
    <t>V01052</t>
  </si>
  <si>
    <t>V01660</t>
  </si>
  <si>
    <t>V00439</t>
  </si>
  <si>
    <t>V00327</t>
  </si>
  <si>
    <t>V00695</t>
  </si>
  <si>
    <t>V01504</t>
  </si>
  <si>
    <t>V01741</t>
  </si>
  <si>
    <t>V00018</t>
  </si>
  <si>
    <t>V00994</t>
  </si>
  <si>
    <t>V01409</t>
  </si>
  <si>
    <t>V00282</t>
  </si>
  <si>
    <t>V00848</t>
  </si>
  <si>
    <t>V00352</t>
  </si>
  <si>
    <t>V01277</t>
  </si>
  <si>
    <t>V00872</t>
  </si>
  <si>
    <t>V00985</t>
  </si>
  <si>
    <t>V00043</t>
  </si>
  <si>
    <t>V01651</t>
  </si>
  <si>
    <t>V00102</t>
  </si>
  <si>
    <t>V00276</t>
  </si>
  <si>
    <t>V00287</t>
  </si>
  <si>
    <t>V00447</t>
  </si>
  <si>
    <t>V00846</t>
  </si>
  <si>
    <t>V00250</t>
  </si>
  <si>
    <t>V00135</t>
  </si>
  <si>
    <t>V00575</t>
  </si>
  <si>
    <t>V01835</t>
  </si>
  <si>
    <t>V00595</t>
  </si>
  <si>
    <t>V00129</t>
  </si>
  <si>
    <t>V00573</t>
  </si>
  <si>
    <t>V00104</t>
  </si>
  <si>
    <t>V00411</t>
  </si>
  <si>
    <t>V01825</t>
  </si>
  <si>
    <t>V02043</t>
  </si>
  <si>
    <t>V00605</t>
  </si>
  <si>
    <t>V01165</t>
  </si>
  <si>
    <t>V01589</t>
  </si>
  <si>
    <t>V00834</t>
  </si>
  <si>
    <t>V01153</t>
  </si>
  <si>
    <t>V01375</t>
  </si>
  <si>
    <t>V00325</t>
  </si>
  <si>
    <t>V00079</t>
  </si>
  <si>
    <t>V00541</t>
  </si>
  <si>
    <t>V00356</t>
  </si>
  <si>
    <t>V00494</t>
  </si>
  <si>
    <t>V00360</t>
  </si>
  <si>
    <t>V02164</t>
  </si>
  <si>
    <t>V00225</t>
  </si>
  <si>
    <t>V01372</t>
  </si>
  <si>
    <t>V00958</t>
  </si>
  <si>
    <t>V01184</t>
  </si>
  <si>
    <t>V01232</t>
  </si>
  <si>
    <t>V01802</t>
  </si>
  <si>
    <t>V02126</t>
  </si>
  <si>
    <t>V00658</t>
  </si>
  <si>
    <t>V01043</t>
  </si>
  <si>
    <t>V01039</t>
  </si>
  <si>
    <t>V00004</t>
  </si>
  <si>
    <t>V01807</t>
  </si>
  <si>
    <t>V00216</t>
  </si>
  <si>
    <t>V00099</t>
  </si>
  <si>
    <t>V01636</t>
  </si>
  <si>
    <t>V00796</t>
  </si>
  <si>
    <t>V01630</t>
  </si>
  <si>
    <t>V01150</t>
  </si>
  <si>
    <t>V01792</t>
  </si>
  <si>
    <t>V01896</t>
  </si>
  <si>
    <t>V01189</t>
  </si>
  <si>
    <t>V00700</t>
  </si>
  <si>
    <t>V01901</t>
  </si>
  <si>
    <t>V00168</t>
  </si>
  <si>
    <t>V01016</t>
  </si>
  <si>
    <t>V01911</t>
  </si>
  <si>
    <t>V00493</t>
  </si>
  <si>
    <t>V00701</t>
  </si>
  <si>
    <t>V00456</t>
  </si>
  <si>
    <t>V00743</t>
  </si>
  <si>
    <t>V01871</t>
  </si>
  <si>
    <t>V02297</t>
  </si>
  <si>
    <t>V00522</t>
  </si>
  <si>
    <t>V01725</t>
  </si>
  <si>
    <t>V01262</t>
  </si>
  <si>
    <t>V01337</t>
  </si>
  <si>
    <t>V00014</t>
  </si>
  <si>
    <t>V00390</t>
  </si>
  <si>
    <t>V01019</t>
  </si>
  <si>
    <t>V01649</t>
  </si>
  <si>
    <t>V01012</t>
  </si>
  <si>
    <t>V00863</t>
  </si>
  <si>
    <t>V00607</t>
  </si>
  <si>
    <t>V01545</t>
  </si>
  <si>
    <t>V01356</t>
  </si>
  <si>
    <t>V01764</t>
  </si>
  <si>
    <t>V00884</t>
  </si>
  <si>
    <t>V02148</t>
  </si>
  <si>
    <t>V01354</t>
  </si>
  <si>
    <t>V00502</t>
  </si>
  <si>
    <t>V02174</t>
  </si>
  <si>
    <t>V00759</t>
  </si>
  <si>
    <t>V01551</t>
  </si>
  <si>
    <t>V00429</t>
  </si>
  <si>
    <t>V01082</t>
  </si>
  <si>
    <t>V01492</t>
  </si>
  <si>
    <t>V00900</t>
  </si>
  <si>
    <t>V00026</t>
  </si>
  <si>
    <t>V02155</t>
  </si>
  <si>
    <t>V01874</t>
  </si>
  <si>
    <t>V02058</t>
  </si>
  <si>
    <t>V01190</t>
  </si>
  <si>
    <t>V01195</t>
  </si>
  <si>
    <t>V00116</t>
  </si>
  <si>
    <t>V00807</t>
  </si>
  <si>
    <t>V00948</t>
  </si>
  <si>
    <t>V00371</t>
  </si>
  <si>
    <t>V01746</t>
  </si>
  <si>
    <t>V01432</t>
  </si>
  <si>
    <t>V02036</t>
  </si>
  <si>
    <t>V00097</t>
  </si>
  <si>
    <t>V00936</t>
  </si>
  <si>
    <t>V00587</t>
  </si>
  <si>
    <t>V01594</t>
  </si>
  <si>
    <t>V00612</t>
  </si>
  <si>
    <t>V01938</t>
  </si>
  <si>
    <t>V01923</t>
  </si>
  <si>
    <t>V00649</t>
  </si>
  <si>
    <t>V01612</t>
  </si>
  <si>
    <t>V01820</t>
  </si>
  <si>
    <t>V00512</t>
  </si>
  <si>
    <t>V00780</t>
  </si>
  <si>
    <t>V01554</t>
  </si>
  <si>
    <t>V00566</t>
  </si>
  <si>
    <t>V01154</t>
  </si>
  <si>
    <t>V01728</t>
  </si>
  <si>
    <t>V01731</t>
  </si>
  <si>
    <t>V00119</t>
  </si>
  <si>
    <t>V00506</t>
  </si>
  <si>
    <t>V01402</t>
  </si>
  <si>
    <t>V01200</t>
  </si>
  <si>
    <t>V00022</t>
  </si>
  <si>
    <t>V00501</t>
  </si>
  <si>
    <t>V00924</t>
  </si>
  <si>
    <t>V01810</t>
  </si>
  <si>
    <t>V02285</t>
  </si>
  <si>
    <t>V01399</t>
  </si>
  <si>
    <t>V00165</t>
  </si>
  <si>
    <t>V00977</t>
  </si>
  <si>
    <t>V01913</t>
  </si>
  <si>
    <t>V02172</t>
  </si>
  <si>
    <t>V01819</t>
  </si>
  <si>
    <t>V00978</t>
  </si>
  <si>
    <t>V01733</t>
  </si>
  <si>
    <t>V01950</t>
  </si>
  <si>
    <t>V00379</t>
  </si>
  <si>
    <t>V00064</t>
  </si>
  <si>
    <t>V01455</t>
  </si>
  <si>
    <t>V02171</t>
  </si>
  <si>
    <t>V00699</t>
  </si>
  <si>
    <t>V01635</t>
  </si>
  <si>
    <t>V02044</t>
  </si>
  <si>
    <t>V00295</t>
  </si>
  <si>
    <t>V01040</t>
  </si>
  <si>
    <t>V01226</t>
  </si>
  <si>
    <t>V01341</t>
  </si>
  <si>
    <t>V00896</t>
  </si>
  <si>
    <t>V00316</t>
  </si>
  <si>
    <t>V00529</t>
  </si>
  <si>
    <t>V01325</t>
  </si>
  <si>
    <t>V00131</t>
  </si>
  <si>
    <t>V01178</t>
  </si>
  <si>
    <t>V00190</t>
  </si>
  <si>
    <t>V00028</t>
  </si>
  <si>
    <t>V02010</t>
  </si>
  <si>
    <t>V00650</t>
  </si>
  <si>
    <t>V01233</t>
  </si>
  <si>
    <t>V01850</t>
  </si>
  <si>
    <t>V01579</t>
  </si>
  <si>
    <t>V00831</t>
  </si>
  <si>
    <t>V02179</t>
  </si>
  <si>
    <t>V01925</t>
  </si>
  <si>
    <t>V02081</t>
  </si>
  <si>
    <t>V01122</t>
  </si>
  <si>
    <t>V00322</t>
  </si>
  <si>
    <t>V02019</t>
  </si>
  <si>
    <t>V02229</t>
  </si>
  <si>
    <t>V01348</t>
  </si>
  <si>
    <t>V00267</t>
  </si>
  <si>
    <t>V01600</t>
  </si>
  <si>
    <t>V00586</t>
  </si>
  <si>
    <t>V00838</t>
  </si>
  <si>
    <t>V00711</t>
  </si>
  <si>
    <t>V01529</t>
  </si>
  <si>
    <t>V01739</t>
  </si>
  <si>
    <t>V02121</t>
  </si>
  <si>
    <t>V00076</t>
  </si>
  <si>
    <t>V02129</t>
  </si>
  <si>
    <t>V01778</t>
  </si>
  <si>
    <t>V00817</t>
  </si>
  <si>
    <t>V00220</t>
  </si>
  <si>
    <t>V02296</t>
  </si>
  <si>
    <t>V00303</t>
  </si>
  <si>
    <t>V00572</t>
  </si>
  <si>
    <t>V00986</t>
  </si>
  <si>
    <t>V01508</t>
  </si>
  <si>
    <t>V00631</t>
  </si>
  <si>
    <t>V01813</t>
  </si>
  <si>
    <t>V01687</t>
  </si>
  <si>
    <t>V00865</t>
  </si>
  <si>
    <t>V02222</t>
  </si>
  <si>
    <t>V01877</t>
  </si>
  <si>
    <t>V01293</t>
  </si>
  <si>
    <t>V01782</t>
  </si>
  <si>
    <t>V00181</t>
  </si>
  <si>
    <t>V01352</t>
  </si>
  <si>
    <t>V01935</t>
  </si>
  <si>
    <t>V01518</t>
  </si>
  <si>
    <t>V01550</t>
  </si>
  <si>
    <t>V02054</t>
  </si>
  <si>
    <t>V01760</t>
  </si>
  <si>
    <t>V00377</t>
  </si>
  <si>
    <t>V01645</t>
  </si>
  <si>
    <t>V01449</t>
  </si>
  <si>
    <t>V00732</t>
  </si>
  <si>
    <t>V00024</t>
  </si>
  <si>
    <t>V01972</t>
  </si>
  <si>
    <t>V01704</t>
  </si>
  <si>
    <t>V00684</t>
  </si>
  <si>
    <t>V01026</t>
  </si>
  <si>
    <t>V00347</t>
  </si>
  <si>
    <t>V00074</t>
  </si>
  <si>
    <t>V00644</t>
  </si>
  <si>
    <t>V01885</t>
  </si>
  <si>
    <t>V02269</t>
  </si>
  <si>
    <t>V00009</t>
  </si>
  <si>
    <t>V02239</t>
  </si>
  <si>
    <t>V00229</t>
  </si>
  <si>
    <t>V00490</t>
  </si>
  <si>
    <t>V00214</t>
  </si>
  <si>
    <t>V01574</t>
  </si>
  <si>
    <t>V00830</t>
  </si>
  <si>
    <t>V00979</t>
  </si>
  <si>
    <t>V01204</t>
  </si>
  <si>
    <t>V00937</t>
  </si>
  <si>
    <t>V00450</t>
  </si>
  <si>
    <t>V01747</t>
  </si>
  <si>
    <t>V00016</t>
  </si>
  <si>
    <t>V01414</t>
  </si>
  <si>
    <t>V01904</t>
  </si>
  <si>
    <t>V02160</t>
  </si>
  <si>
    <t>V01307</t>
  </si>
  <si>
    <t>V01680</t>
  </si>
  <si>
    <t>V01629</t>
  </si>
  <si>
    <t>V00824</t>
  </si>
  <si>
    <t>V02032</t>
  </si>
  <si>
    <t>V00547</t>
  </si>
  <si>
    <t>V00728</t>
  </si>
  <si>
    <t>V02284</t>
  </si>
  <si>
    <t>V02008</t>
  </si>
  <si>
    <t>V00355</t>
  </si>
  <si>
    <t>V00281</t>
  </si>
  <si>
    <t>V00208</t>
  </si>
  <si>
    <t>V01029</t>
  </si>
  <si>
    <t>V00769</t>
  </si>
  <si>
    <t>V01638</t>
  </si>
  <si>
    <t>V02068</t>
  </si>
  <si>
    <t>V01388</t>
  </si>
  <si>
    <t>V00417</t>
  </si>
  <si>
    <t>V02230</t>
  </si>
  <si>
    <t>V01691</t>
  </si>
  <si>
    <t>V01506</t>
  </si>
  <si>
    <t>V02071</t>
  </si>
  <si>
    <t>V01601</t>
  </si>
  <si>
    <t>V01086</t>
  </si>
  <si>
    <t>V00443</t>
  </si>
  <si>
    <t>V01410</t>
  </si>
  <si>
    <t>V01479</t>
  </si>
  <si>
    <t>V01006</t>
  </si>
  <si>
    <t>V00537</t>
  </si>
  <si>
    <t>V02240</t>
  </si>
  <si>
    <t>V00784</t>
  </si>
  <si>
    <t>V00861</t>
  </si>
  <si>
    <t>V02012</t>
  </si>
  <si>
    <t>V00349</t>
  </si>
  <si>
    <t>V00069</t>
  </si>
  <si>
    <t>V00404</t>
  </si>
  <si>
    <t>V02255</t>
  </si>
  <si>
    <t>V00363</t>
  </si>
  <si>
    <t>V00755</t>
  </si>
  <si>
    <t>V00798</t>
  </si>
  <si>
    <t>V00027</t>
  </si>
  <si>
    <t>V01426</t>
  </si>
  <si>
    <t>V01507</t>
  </si>
  <si>
    <t>V00178</t>
  </si>
  <si>
    <t>V00954</t>
  </si>
  <si>
    <t>V00357</t>
  </si>
  <si>
    <t>V01207</t>
  </si>
  <si>
    <t>V01488</t>
  </si>
  <si>
    <t>V01392</t>
  </si>
  <si>
    <t>V01235</t>
  </si>
  <si>
    <t>V02105</t>
  </si>
  <si>
    <t>V00253</t>
  </si>
  <si>
    <t>V00733</t>
  </si>
  <si>
    <t>V00415</t>
  </si>
  <si>
    <t>V00559</t>
  </si>
  <si>
    <t>V00554</t>
  </si>
  <si>
    <t>V02013</t>
  </si>
  <si>
    <t>V00194</t>
  </si>
  <si>
    <t>V01829</t>
  </si>
  <si>
    <t>V02209</t>
  </si>
  <si>
    <t>V01460</t>
  </si>
  <si>
    <t>V00474</t>
  </si>
  <si>
    <t>V01560</t>
  </si>
  <si>
    <t>V01326</t>
  </si>
  <si>
    <t>V00446</t>
  </si>
  <si>
    <t>V01334</t>
  </si>
  <si>
    <t>V02161</t>
  </si>
  <si>
    <t>V01806</t>
  </si>
  <si>
    <t>V01875</t>
  </si>
  <si>
    <t>V00452</t>
  </si>
  <si>
    <t>V02061</t>
  </si>
  <si>
    <t>V00465</t>
  </si>
  <si>
    <t xml:space="preserve">online </t>
  </si>
  <si>
    <t>V00721</t>
  </si>
  <si>
    <t>V01544</t>
  </si>
  <si>
    <t>V01076</t>
  </si>
  <si>
    <t>V00459</t>
  </si>
  <si>
    <t>V01759</t>
  </si>
  <si>
    <t>V01322</t>
  </si>
  <si>
    <t>V02193</t>
  </si>
  <si>
    <t>V00949</t>
  </si>
  <si>
    <t>V00511</t>
  </si>
  <si>
    <t>V00370</t>
  </si>
  <si>
    <t>V00485</t>
  </si>
  <si>
    <t>V00171</t>
  </si>
  <si>
    <t>V01519</t>
  </si>
  <si>
    <t>V00308</t>
  </si>
  <si>
    <t>V00286</t>
  </si>
  <si>
    <t>V01206</t>
  </si>
  <si>
    <t>V01838</t>
  </si>
  <si>
    <t>V01075</t>
  </si>
  <si>
    <t>V01078</t>
  </si>
  <si>
    <t>V01364</t>
  </si>
  <si>
    <t>V02003</t>
  </si>
  <si>
    <t>V01085</t>
  </si>
  <si>
    <t>V01947</t>
  </si>
  <si>
    <t>V02096</t>
  </si>
  <si>
    <t>V01765</t>
  </si>
  <si>
    <t>V01632</t>
  </si>
  <si>
    <t>V00622</t>
  </si>
  <si>
    <t>V02201</t>
  </si>
  <si>
    <t>V01297</t>
  </si>
  <si>
    <t>V01926</t>
  </si>
  <si>
    <t>V01998</t>
  </si>
  <si>
    <t>V01906</t>
  </si>
  <si>
    <t>V02143</t>
  </si>
  <si>
    <t>V01657</t>
  </si>
  <si>
    <t>V00664</t>
  </si>
  <si>
    <t>V00775</t>
  </si>
  <si>
    <t>V00574</t>
  </si>
  <si>
    <t>V01724</t>
  </si>
  <si>
    <t>V01091</t>
  </si>
  <si>
    <t>V01180</t>
  </si>
  <si>
    <t>V01135</t>
  </si>
  <si>
    <t>V00140</t>
  </si>
  <si>
    <t>V01181</t>
  </si>
  <si>
    <t>V00283</t>
  </si>
  <si>
    <t>V01610</t>
  </si>
  <si>
    <t>V02181</t>
  </si>
  <si>
    <t>V01239</t>
  </si>
  <si>
    <t>V00726</t>
  </si>
  <si>
    <t>V01245</t>
  </si>
  <si>
    <t>V00678</t>
  </si>
  <si>
    <t>V00056</t>
  </si>
  <si>
    <t>V02241</t>
  </si>
  <si>
    <t>V00167</t>
  </si>
  <si>
    <t>V01420</t>
  </si>
  <si>
    <t>V00873</t>
  </si>
  <si>
    <t>V00888</t>
  </si>
  <si>
    <t>V00889</t>
  </si>
  <si>
    <t>V01561</t>
  </si>
  <si>
    <t>V00499</t>
  </si>
  <si>
    <t>V00715</t>
  </si>
  <si>
    <t>V02079</t>
  </si>
  <si>
    <t>V02090</t>
  </si>
  <si>
    <t>V01984</t>
  </si>
  <si>
    <t>V01482</t>
  </si>
  <si>
    <t>V00801</t>
  </si>
  <si>
    <t>V00618</t>
  </si>
  <si>
    <t>V01532</t>
  </si>
  <si>
    <t>V00124</t>
  </si>
  <si>
    <t>V00335</t>
  </si>
  <si>
    <t>V01192</t>
  </si>
  <si>
    <t>V01622</t>
  </si>
  <si>
    <t>V01562</t>
  </si>
  <si>
    <t>V00919</t>
  </si>
  <si>
    <t>V00582</t>
  </si>
  <si>
    <t>V01163</t>
  </si>
  <si>
    <t>V00829</t>
  </si>
  <si>
    <t>V00992</t>
  </si>
  <si>
    <t>V02248</t>
  </si>
  <si>
    <t>V01397</t>
  </si>
  <si>
    <t>V00410</t>
  </si>
  <si>
    <t>V02030</t>
  </si>
  <si>
    <t>V00298</t>
  </si>
  <si>
    <t>V00926</t>
  </si>
  <si>
    <t>V01567</t>
  </si>
  <si>
    <t>V02124</t>
  </si>
  <si>
    <t>V00729</t>
  </si>
  <si>
    <t>V02159</t>
  </si>
  <si>
    <t>V00672</t>
  </si>
  <si>
    <t>V01983</t>
  </si>
  <si>
    <t>V00202</t>
  </si>
  <si>
    <t>V01270</t>
  </si>
  <si>
    <t>V00127</t>
  </si>
  <si>
    <t>V00532</t>
  </si>
  <si>
    <t>V00200</t>
  </si>
  <si>
    <t>V01121</t>
  </si>
  <si>
    <t>V00693</t>
  </si>
  <si>
    <t>V02042</t>
  </si>
  <si>
    <t>V01609</t>
  </si>
  <si>
    <t>V00818</t>
  </si>
  <si>
    <t>V00217</t>
  </si>
  <si>
    <t>V00153</t>
  </si>
  <si>
    <t>V02153</t>
  </si>
  <si>
    <t>V01534</t>
  </si>
  <si>
    <t>V00966</t>
  </si>
  <si>
    <t>V00479</t>
  </si>
  <si>
    <t>V01592</t>
  </si>
  <si>
    <t>V01721</t>
  </si>
  <si>
    <t>V01459</t>
  </si>
  <si>
    <t>V01772</t>
  </si>
  <si>
    <t>V01607</t>
  </si>
  <si>
    <t>V01009</t>
  </si>
  <si>
    <t>V01832</t>
  </si>
  <si>
    <t>V00968</t>
  </si>
  <si>
    <t>V01702</t>
  </si>
  <si>
    <t>V01362</t>
  </si>
  <si>
    <t>V00973</t>
  </si>
  <si>
    <t>V00188</t>
  </si>
  <si>
    <t>V00247</t>
  </si>
  <si>
    <t>V01224</t>
  </si>
  <si>
    <t>V01783</t>
  </si>
  <si>
    <t>V00284</t>
  </si>
  <si>
    <t>V01498</t>
  </si>
  <si>
    <t>V01966</t>
  </si>
  <si>
    <t>V00904</t>
  </si>
  <si>
    <t>V01617</t>
  </si>
  <si>
    <t>V00976</t>
  </si>
  <si>
    <t>V01864</t>
  </si>
  <si>
    <t>V00123</t>
  </si>
  <si>
    <t>V01073</t>
  </si>
  <si>
    <t>V01598</t>
  </si>
  <si>
    <t>V01777</t>
  </si>
  <si>
    <t>V00870</t>
  </si>
  <si>
    <t>V01406</t>
  </si>
  <si>
    <t>V01351</t>
  </si>
  <si>
    <t>V00757</t>
  </si>
  <si>
    <t>V02025</t>
  </si>
  <si>
    <t>V00068</t>
  </si>
  <si>
    <t>V01443</t>
  </si>
  <si>
    <t>V00333</t>
  </si>
  <si>
    <t>V00337</t>
  </si>
  <si>
    <t>V00913</t>
  </si>
  <si>
    <t>V01321</t>
  </si>
  <si>
    <t>V00473</t>
  </si>
  <si>
    <t>V00902</t>
  </si>
  <si>
    <t>V01970</t>
  </si>
  <si>
    <t>V00885</t>
  </si>
  <si>
    <t>V00478</t>
  </si>
  <si>
    <t>V02200</t>
  </si>
  <si>
    <t>V02128</t>
  </si>
  <si>
    <t>V00133</t>
  </si>
  <si>
    <t>V02131</t>
  </si>
  <si>
    <t>V00982</t>
  </si>
  <si>
    <t>V01743</t>
  </si>
  <si>
    <t>V00257</t>
  </si>
  <si>
    <t>V00551</t>
  </si>
  <si>
    <t>V01931</t>
  </si>
  <si>
    <t>V00899</t>
  </si>
  <si>
    <t>V00290</t>
  </si>
  <si>
    <t>V01646</t>
  </si>
  <si>
    <t>V00778</t>
  </si>
  <si>
    <t>V01582</t>
  </si>
  <si>
    <t>V00054</t>
  </si>
  <si>
    <t>V00558</t>
  </si>
  <si>
    <t>V00041</t>
  </si>
  <si>
    <t>V01347</t>
  </si>
  <si>
    <t>V00262</t>
  </si>
  <si>
    <t>V01228</t>
  </si>
  <si>
    <t>V00084</t>
  </si>
  <si>
    <t>V01556</t>
  </si>
  <si>
    <t>V01084</t>
  </si>
  <si>
    <t>V02144</t>
  </si>
  <si>
    <t>V02270</t>
  </si>
  <si>
    <t>V00031</t>
  </si>
  <si>
    <t>V01289</t>
  </si>
  <si>
    <t>V02108</t>
  </si>
  <si>
    <t>V01735</t>
  </si>
  <si>
    <t>V02046</t>
  </si>
  <si>
    <t>V01021</t>
  </si>
  <si>
    <t>V02235</t>
  </si>
  <si>
    <t>V01196</t>
  </si>
  <si>
    <t>V02221</t>
  </si>
  <si>
    <t>V00049</t>
  </si>
  <si>
    <t>V01523</t>
  </si>
  <si>
    <t>V00894</t>
  </si>
  <si>
    <t>V00154</t>
  </si>
  <si>
    <t>V00395</t>
  </si>
  <si>
    <t>V01148</t>
  </si>
  <si>
    <t>V01159</t>
  </si>
  <si>
    <t>V00269</t>
  </si>
  <si>
    <t>V00386</t>
  </si>
  <si>
    <t>V00042</t>
  </si>
  <si>
    <t>V00598</t>
  </si>
  <si>
    <t>V01090</t>
  </si>
  <si>
    <t>V00681</t>
  </si>
  <si>
    <t>V01634</t>
  </si>
  <si>
    <t>V00525</t>
  </si>
  <si>
    <t>V01349</t>
  </si>
  <si>
    <t>V02226</t>
  </si>
  <si>
    <t>V01648</t>
  </si>
  <si>
    <t>V01017</t>
  </si>
  <si>
    <t>V02114</t>
  </si>
  <si>
    <t>V02082</t>
  </si>
  <si>
    <t>V01398</t>
  </si>
  <si>
    <t>V01683</t>
  </si>
  <si>
    <t>V00226</t>
  </si>
  <si>
    <t>V01581</t>
  </si>
  <si>
    <t>V02189</t>
  </si>
  <si>
    <t>V01278</t>
  </si>
  <si>
    <t>V02300</t>
  </si>
  <si>
    <t>V02237</t>
  </si>
  <si>
    <t>V01605</t>
  </si>
  <si>
    <t>V00206</t>
  </si>
  <si>
    <t>V01028</t>
  </si>
  <si>
    <t>V02085</t>
  </si>
  <si>
    <t>V01229</t>
  </si>
  <si>
    <t>V01047</t>
  </si>
  <si>
    <t>V00694</t>
  </si>
  <si>
    <t>V02231</t>
  </si>
  <si>
    <t>V01727</t>
  </si>
  <si>
    <t>V02177</t>
  </si>
  <si>
    <t>V01187</t>
  </si>
  <si>
    <t>V01174</t>
  </si>
  <si>
    <t>V01359</t>
  </si>
  <si>
    <t>V01423</t>
  </si>
  <si>
    <t>V01775</t>
  </si>
  <si>
    <t>V01361</t>
  </si>
  <si>
    <t>V00158</t>
  </si>
  <si>
    <t>V01353</t>
  </si>
  <si>
    <t>V02020</t>
  </si>
  <si>
    <t>V00306</t>
  </si>
  <si>
    <t>V00657</t>
  </si>
  <si>
    <t>V00400</t>
  </si>
  <si>
    <t>V00799</t>
  </si>
  <si>
    <t>V02182</t>
  </si>
  <si>
    <t>V00619</t>
  </si>
  <si>
    <t>V00509</t>
  </si>
  <si>
    <t>V01758</t>
  </si>
  <si>
    <t>V00737</t>
  </si>
  <si>
    <t>V01549</t>
  </si>
  <si>
    <t>V00275</t>
  </si>
  <si>
    <t>V01282</t>
  </si>
  <si>
    <t>V00868</t>
  </si>
  <si>
    <t>V00460</t>
  </si>
  <si>
    <t>V02192</t>
  </si>
  <si>
    <t>V00063</t>
  </si>
  <si>
    <t>V00600</t>
  </si>
  <si>
    <t>V01298</t>
  </si>
  <si>
    <t>V02035</t>
  </si>
  <si>
    <t>V00458</t>
  </si>
  <si>
    <t>V01257</t>
  </si>
  <si>
    <t>V01118</t>
  </si>
  <si>
    <t>V00871</t>
  </si>
  <si>
    <t>V00791</t>
  </si>
  <si>
    <t>V02065</t>
  </si>
  <si>
    <t>V01533</t>
  </si>
  <si>
    <t>V00761</t>
  </si>
  <si>
    <t>V00955</t>
  </si>
  <si>
    <t>V00651</t>
  </si>
  <si>
    <t>V01591</t>
  </si>
  <si>
    <t>V02154</t>
  </si>
  <si>
    <t>V00380</t>
  </si>
  <si>
    <t>V00565</t>
  </si>
  <si>
    <t>V01201</t>
  </si>
  <si>
    <t>V01647</t>
  </si>
  <si>
    <t>V00957</t>
  </si>
  <si>
    <t>V00742</t>
  </si>
  <si>
    <t>V01269</t>
  </si>
  <si>
    <t>V00232</t>
  </si>
  <si>
    <t>V01553</t>
  </si>
  <si>
    <t>V00383</t>
  </si>
  <si>
    <t>V02063</t>
  </si>
  <si>
    <t>V00073</t>
  </si>
  <si>
    <t>V01095</t>
  </si>
  <si>
    <t>V01708</t>
  </si>
  <si>
    <t>V01390</t>
  </si>
  <si>
    <t>V00172</t>
  </si>
  <si>
    <t>V01333</t>
  </si>
  <si>
    <t>V00169</t>
  </si>
  <si>
    <t>V01618</t>
  </si>
  <si>
    <t>V00273</t>
  </si>
  <si>
    <t>V01216</t>
  </si>
  <si>
    <t>V00421</t>
  </si>
  <si>
    <t>V01119</t>
  </si>
  <si>
    <t>V01748</t>
  </si>
  <si>
    <t>V02151</t>
  </si>
  <si>
    <t>V01067</t>
  </si>
  <si>
    <t>V00057</t>
  </si>
  <si>
    <t>V01128</t>
  </si>
  <si>
    <t>V01421</t>
  </si>
  <si>
    <t>V01505</t>
  </si>
  <si>
    <t>V01682</t>
  </si>
  <si>
    <t>V00039</t>
  </si>
  <si>
    <t>V00307</t>
  </si>
  <si>
    <t>V00007</t>
  </si>
  <si>
    <t>V01105</t>
  </si>
  <si>
    <t>V00783</t>
  </si>
  <si>
    <t>V00409</t>
  </si>
  <si>
    <t>V01977</t>
  </si>
  <si>
    <t>V00782</t>
  </si>
  <si>
    <t>V01191</t>
  </si>
  <si>
    <t>V00535</t>
  </si>
  <si>
    <t>V00584</t>
  </si>
  <si>
    <t>V02115</t>
  </si>
  <si>
    <t>V02247</t>
  </si>
  <si>
    <t>V01831</t>
  </si>
  <si>
    <t>V01590</t>
  </si>
  <si>
    <t>V01424</t>
  </si>
  <si>
    <t>V01380</t>
  </si>
  <si>
    <t>V00814</t>
  </si>
  <si>
    <t>V00317</t>
  </si>
  <si>
    <t>V01894</t>
  </si>
  <si>
    <t>V02133</t>
  </si>
  <si>
    <t>V00517</t>
  </si>
  <si>
    <t>V01999</t>
  </si>
  <si>
    <t>V00662</t>
  </si>
  <si>
    <t>V00534</t>
  </si>
  <si>
    <t>V01991</t>
  </si>
  <si>
    <t>V01343</t>
  </si>
  <si>
    <t>V00272</t>
  </si>
  <si>
    <t>V00549</t>
  </si>
  <si>
    <t>V00965</t>
  </si>
  <si>
    <t>V02117</t>
  </si>
  <si>
    <t>V02073</t>
  </si>
  <si>
    <t>V00599</t>
  </si>
  <si>
    <t>V00895</t>
  </si>
  <si>
    <t>V00571</t>
  </si>
  <si>
    <t>V00075</t>
  </si>
  <si>
    <t>V00062</t>
  </si>
  <si>
    <t>V01248</t>
  </si>
  <si>
    <t>V02293</t>
  </si>
  <si>
    <t>V01260</t>
  </si>
  <si>
    <t>V00810</t>
  </si>
  <si>
    <t>V00245</t>
  </si>
  <si>
    <t>V01050</t>
  </si>
  <si>
    <t>V01413</t>
  </si>
  <si>
    <t>V01247</t>
  </si>
  <si>
    <t>V01937</t>
  </si>
  <si>
    <t>V00106</t>
  </si>
  <si>
    <t>V00674</t>
  </si>
  <si>
    <t>V00643</t>
  </si>
  <si>
    <t>V01978</t>
  </si>
  <si>
    <t>V00666</t>
  </si>
  <si>
    <t>V00510</t>
  </si>
  <si>
    <t>V00132</t>
  </si>
  <si>
    <t>V00445</t>
  </si>
  <si>
    <t>V00867</t>
  </si>
  <si>
    <t>V02292</t>
  </si>
  <si>
    <t>V01061</t>
  </si>
  <si>
    <t>V00209</t>
  </si>
  <si>
    <t>V00058</t>
  </si>
  <si>
    <t>V02173</t>
  </si>
  <si>
    <t>V00103</t>
  </si>
  <si>
    <t>V01870</t>
  </si>
  <si>
    <t>V01808</t>
  </si>
  <si>
    <t>V01585</t>
  </si>
  <si>
    <t>V00087</t>
  </si>
  <si>
    <t>V02207</t>
  </si>
  <si>
    <t>V00772</t>
  </si>
  <si>
    <t>V01583</t>
  </si>
  <si>
    <t>V01565</t>
  </si>
  <si>
    <t>V00709</t>
  </si>
  <si>
    <t>V01110</t>
  </si>
  <si>
    <t>V02001</t>
  </si>
  <si>
    <t>V01715</t>
  </si>
  <si>
    <t>V02007</t>
  </si>
  <si>
    <t>V00539</t>
  </si>
  <si>
    <t>V01843</t>
  </si>
  <si>
    <t>V01511</t>
  </si>
  <si>
    <t>V01996</t>
  </si>
  <si>
    <t>V01676</t>
  </si>
  <si>
    <t>V00419</t>
  </si>
  <si>
    <t>V00498</t>
  </si>
  <si>
    <t>V01074</t>
  </si>
  <si>
    <t>V02118</t>
  </si>
  <si>
    <t>V01868</t>
  </si>
  <si>
    <t>V01644</t>
  </si>
  <si>
    <t>V00852</t>
  </si>
  <si>
    <t>V01005</t>
  </si>
  <si>
    <t>V00437</t>
  </si>
  <si>
    <t>V01317</t>
  </si>
  <si>
    <t>V01280</t>
  </si>
  <si>
    <t>V01004</t>
  </si>
  <si>
    <t>V01279</t>
  </si>
  <si>
    <t>V01033</t>
  </si>
  <si>
    <t>V01666</t>
  </si>
  <si>
    <t>V02199</t>
  </si>
  <si>
    <t>V02167</t>
  </si>
  <si>
    <t>V00305</t>
  </si>
  <si>
    <t>V01941</t>
  </si>
  <si>
    <t>V01099</t>
  </si>
  <si>
    <t>V00336</t>
  </si>
  <si>
    <t>V00996</t>
  </si>
  <si>
    <t>V00570</t>
  </si>
  <si>
    <t>V00089</t>
  </si>
  <si>
    <t>V00875</t>
  </si>
  <si>
    <t>V02088</t>
  </si>
  <si>
    <t>V01242</t>
  </si>
  <si>
    <t>V01957</t>
  </si>
  <si>
    <t>V00713</t>
  </si>
  <si>
    <t>V01069</t>
  </si>
  <si>
    <t>V01919</t>
  </si>
  <si>
    <t>V02204</t>
  </si>
  <si>
    <t>V01766</t>
  </si>
  <si>
    <t>V00222</t>
  </si>
  <si>
    <t>V00320</t>
  </si>
  <si>
    <t>V00520</t>
  </si>
  <si>
    <t>V00879</t>
  </si>
  <si>
    <t>V00630</t>
  </si>
  <si>
    <t>V00826</t>
  </si>
  <si>
    <t>V01199</t>
  </si>
  <si>
    <t>V01291</t>
  </si>
  <si>
    <t>V01031</t>
  </si>
  <si>
    <t>V01878</t>
  </si>
  <si>
    <t>V00139</t>
  </si>
  <si>
    <t>V00164</t>
  </si>
  <si>
    <t>V00002</t>
  </si>
  <si>
    <t>V02062</t>
  </si>
  <si>
    <t>V00961</t>
  </si>
  <si>
    <t>V01848</t>
  </si>
  <si>
    <t>V01768</t>
  </si>
  <si>
    <t>V01510</t>
  </si>
  <si>
    <t>V02262</t>
  </si>
  <si>
    <t>V01667</t>
  </si>
  <si>
    <t>V01060</t>
  </si>
  <si>
    <t>V00634</t>
  </si>
  <si>
    <t>V01243</t>
  </si>
  <si>
    <t>V01679</t>
  </si>
  <si>
    <t>V00656</t>
  </si>
  <si>
    <t>V00017</t>
  </si>
  <si>
    <t>V02069</t>
  </si>
  <si>
    <t>V01491</t>
  </si>
  <si>
    <t>V00138</t>
  </si>
  <si>
    <t>V02137</t>
  </si>
  <si>
    <t>V00698</t>
  </si>
  <si>
    <t>V01098</t>
  </si>
  <si>
    <t>V02150</t>
  </si>
  <si>
    <t>V02059</t>
  </si>
  <si>
    <t>V00449</t>
  </si>
  <si>
    <t>V02067</t>
  </si>
  <si>
    <t>V00036</t>
  </si>
  <si>
    <t>V01267</t>
  </si>
  <si>
    <t>V00328</t>
  </si>
  <si>
    <t>V00318</t>
  </si>
  <si>
    <t>V01963</t>
  </si>
  <si>
    <t>V01170</t>
  </si>
  <si>
    <t>V00527</t>
  </si>
  <si>
    <t>V00088</t>
  </si>
  <si>
    <t>V01363</t>
  </si>
  <si>
    <t>V01637</t>
  </si>
  <si>
    <t>V01503</t>
  </si>
  <si>
    <t>V00149</t>
  </si>
  <si>
    <t>V00304</t>
  </si>
  <si>
    <t>V02075</t>
  </si>
  <si>
    <t>V01547</t>
  </si>
  <si>
    <t>V01873</t>
  </si>
  <si>
    <t>V02092</t>
  </si>
  <si>
    <t>V00366</t>
  </si>
  <si>
    <t>V00590</t>
  </si>
  <si>
    <t>V02234</t>
  </si>
  <si>
    <t>V00199</t>
  </si>
  <si>
    <t>V02233</t>
  </si>
  <si>
    <t>V00193</t>
  </si>
  <si>
    <t>V00405</t>
  </si>
  <si>
    <t>V02022</t>
  </si>
  <si>
    <t>V00251</t>
  </si>
  <si>
    <t>V00484</t>
  </si>
  <si>
    <t>V01183</t>
  </si>
  <si>
    <t>V01340</t>
  </si>
  <si>
    <t>V01281</t>
  </si>
  <si>
    <t>V01872</t>
  </si>
  <si>
    <t>V00792</t>
  </si>
  <si>
    <t>V00800</t>
  </si>
  <si>
    <t>V00385</t>
  </si>
  <si>
    <t>V00751</t>
  </si>
  <si>
    <t>V01202</t>
  </si>
  <si>
    <t>V00423</t>
  </si>
  <si>
    <t>V00315</t>
  </si>
  <si>
    <t>V01022</t>
  </si>
  <si>
    <t>V01382</t>
  </si>
  <si>
    <t>V01323</t>
  </si>
  <si>
    <t>V00544</t>
  </si>
  <si>
    <t>V00914</t>
  </si>
  <si>
    <t>V00663</t>
  </si>
  <si>
    <t>V00903</t>
  </si>
  <si>
    <t>V01788</t>
  </si>
  <si>
    <t>V00686</t>
  </si>
  <si>
    <t>V00434</t>
  </si>
  <si>
    <t>V00160</t>
  </si>
  <si>
    <t>V01000</t>
  </si>
  <si>
    <t>V01669</t>
  </si>
  <si>
    <t>V01385</t>
  </si>
  <si>
    <t>V02244</t>
  </si>
  <si>
    <t>V00203</t>
  </si>
  <si>
    <t>V01024</t>
  </si>
  <si>
    <t>V01968</t>
  </si>
  <si>
    <t>V01652</t>
  </si>
  <si>
    <t>V01521</t>
  </si>
  <si>
    <t>V00113</t>
  </si>
  <si>
    <t>V02175</t>
  </si>
  <si>
    <t>V01332</t>
  </si>
  <si>
    <t>V02015</t>
  </si>
  <si>
    <t>V01447</t>
  </si>
  <si>
    <t>V00981</t>
  </si>
  <si>
    <t>V00923</t>
  </si>
  <si>
    <t>V01903</t>
  </si>
  <si>
    <t>V02039</t>
  </si>
  <si>
    <t>V01815</t>
  </si>
  <si>
    <t>V01596</t>
  </si>
  <si>
    <t>V01320</t>
  </si>
  <si>
    <t>V01484</t>
  </si>
  <si>
    <t>V00816</t>
  </si>
  <si>
    <t>V01745</t>
  </si>
  <si>
    <t>V01658</t>
  </si>
  <si>
    <t>V01474</t>
  </si>
  <si>
    <t>V00680</t>
  </si>
  <si>
    <t>V01094</t>
  </si>
  <si>
    <t>V00081</t>
  </si>
  <si>
    <t>V00613</t>
  </si>
  <si>
    <t>V01749</t>
  </si>
  <si>
    <t>V01967</t>
  </si>
  <si>
    <t>V00753</t>
  </si>
  <si>
    <t>V01240</t>
  </si>
  <si>
    <t>V01690</t>
  </si>
  <si>
    <t>V01055</t>
  </si>
  <si>
    <t>V00243</t>
  </si>
  <si>
    <t>V01716</t>
  </si>
  <si>
    <t>V00642</t>
  </si>
  <si>
    <t>V00697</t>
  </si>
  <si>
    <t>V00210</t>
  </si>
  <si>
    <t>V00503</t>
  </si>
  <si>
    <t>V00771</t>
  </si>
  <si>
    <t>V00754</t>
  </si>
  <si>
    <t>V00436</t>
  </si>
  <si>
    <t>V01064</t>
  </si>
  <si>
    <t>V01446</t>
  </si>
  <si>
    <t>V00975</t>
  </si>
  <si>
    <t>V00552</t>
  </si>
  <si>
    <t>V01785</t>
  </si>
  <si>
    <t>V01796</t>
  </si>
  <si>
    <t>V01516</t>
  </si>
  <si>
    <t>V01014</t>
  </si>
  <si>
    <t>V01008</t>
  </si>
  <si>
    <t>V01428</t>
  </si>
  <si>
    <t>V01275</t>
  </si>
  <si>
    <t>V01387</t>
  </si>
  <si>
    <t>V01296</t>
  </si>
  <si>
    <t>V00467</t>
  </si>
  <si>
    <t>V01500</t>
  </si>
  <si>
    <t>V01889</t>
  </si>
  <si>
    <t>V01675</t>
  </si>
  <si>
    <t>V00278</t>
  </si>
  <si>
    <t>V01070</t>
  </si>
  <si>
    <t>V01018</t>
  </si>
  <si>
    <t>V01694</t>
  </si>
  <si>
    <t>V01789</t>
  </si>
  <si>
    <t>V00723</t>
  </si>
  <si>
    <t>V00941</t>
  </si>
  <si>
    <t>V00787</t>
  </si>
  <si>
    <t>V01986</t>
  </si>
  <si>
    <t>V01467</t>
  </si>
  <si>
    <t>V01324</t>
  </si>
  <si>
    <t>V01754</t>
  </si>
  <si>
    <t>V01400</t>
  </si>
  <si>
    <t>V01750</t>
  </si>
  <si>
    <t>V01671</t>
  </si>
  <si>
    <t>V00907</t>
  </si>
  <si>
    <t>V01497</t>
  </si>
  <si>
    <t>V01774</t>
  </si>
  <si>
    <t>V00564</t>
  </si>
  <si>
    <t>V01250</t>
  </si>
  <si>
    <t>V00389</t>
  </si>
  <si>
    <t>V00023</t>
  </si>
  <si>
    <t>V01569</t>
  </si>
  <si>
    <t>V00125</t>
  </si>
  <si>
    <t>V01448</t>
  </si>
  <si>
    <t>V02140</t>
  </si>
  <si>
    <t>V00774</t>
  </si>
  <si>
    <t>V00881</t>
  </si>
  <si>
    <t>V02166</t>
  </si>
  <si>
    <t>V01847</t>
  </si>
  <si>
    <t>V01145</t>
  </si>
  <si>
    <t>V01527</t>
  </si>
  <si>
    <t>V01167</t>
  </si>
  <si>
    <t>V00051</t>
  </si>
  <si>
    <t>V01786</t>
  </si>
  <si>
    <t>V01869</t>
  </si>
  <si>
    <t>V01106</t>
  </si>
  <si>
    <t>V00704</t>
  </si>
  <si>
    <t>V00483</t>
  </si>
  <si>
    <t>V01346</t>
  </si>
  <si>
    <t>V01146</t>
  </si>
  <si>
    <t>V01817</t>
  </si>
  <si>
    <t>V00204</t>
  </si>
  <si>
    <t>V00067</t>
  </si>
  <si>
    <t>V00847</t>
  </si>
  <si>
    <t>V00734</t>
  </si>
  <si>
    <t>V02162</t>
  </si>
  <si>
    <t>V00802</t>
  </si>
  <si>
    <t>V01987</t>
  </si>
  <si>
    <t>V01918</t>
  </si>
  <si>
    <t>V00908</t>
  </si>
  <si>
    <t>V00032</t>
  </si>
  <si>
    <t>V00418</t>
  </si>
  <si>
    <t>V00882</t>
  </si>
  <si>
    <t>V00633</t>
  </si>
  <si>
    <t>V02004</t>
  </si>
  <si>
    <t>V01845</t>
  </si>
  <si>
    <t>V00065</t>
  </si>
  <si>
    <t>V01164</t>
  </si>
  <si>
    <t>V01430</t>
  </si>
  <si>
    <t>V00777</t>
  </si>
  <si>
    <t>V00078</t>
  </si>
  <si>
    <t>V00492</t>
  </si>
  <si>
    <t>V01803</t>
  </si>
  <si>
    <t>V01959</t>
  </si>
  <si>
    <t>V00533</t>
  </si>
  <si>
    <t>V00066</t>
  </si>
  <si>
    <t>V02112</t>
  </si>
  <si>
    <t>V01436</t>
  </si>
  <si>
    <t>V01285</t>
  </si>
  <si>
    <t>V00297</t>
  </si>
  <si>
    <t>V00592</t>
  </si>
  <si>
    <t>V01444</t>
  </si>
  <si>
    <t>V00768</t>
  </si>
  <si>
    <t>V02198</t>
  </si>
  <si>
    <t>V01286</t>
  </si>
  <si>
    <t>V00725</t>
  </si>
  <si>
    <t>V01826</t>
  </si>
  <si>
    <t>V01306</t>
  </si>
  <si>
    <t>V00627</t>
  </si>
  <si>
    <t>V01377</t>
  </si>
  <si>
    <t>V01800</t>
  </si>
  <si>
    <t>V00746</t>
  </si>
  <si>
    <t>V01213</t>
  </si>
  <si>
    <t>V02057</t>
  </si>
  <si>
    <t>V00252</t>
  </si>
  <si>
    <t>V01895</t>
  </si>
  <si>
    <t>V00477</t>
  </si>
  <si>
    <t>V01539</t>
  </si>
  <si>
    <t>V01685</t>
  </si>
  <si>
    <t>V02242</t>
  </si>
  <si>
    <t>V00983</t>
  </si>
  <si>
    <t>V00980</t>
  </si>
  <si>
    <t>V00707</t>
  </si>
  <si>
    <t>V00488</t>
  </si>
  <si>
    <t>V00274</t>
  </si>
  <si>
    <t>V01929</t>
  </si>
  <si>
    <t>V02097</t>
  </si>
  <si>
    <t>V00964</t>
  </si>
  <si>
    <t>V00878</t>
  </si>
  <si>
    <t>V01793</t>
  </si>
  <si>
    <t>V02188</t>
  </si>
  <si>
    <t>V02273</t>
  </si>
  <si>
    <t>V00412</t>
  </si>
  <si>
    <t>V02021</t>
  </si>
  <si>
    <t>V01856</t>
  </si>
  <si>
    <t>V01453</t>
  </si>
  <si>
    <t>V00668</t>
  </si>
  <si>
    <t>V01263</t>
  </si>
  <si>
    <t>V00150</t>
  </si>
  <si>
    <t>V00645</t>
  </si>
  <si>
    <t>V02055</t>
  </si>
  <si>
    <t>V00219</t>
  </si>
  <si>
    <t>V00240</t>
  </si>
  <si>
    <t>V01132</t>
  </si>
  <si>
    <t>V01217</t>
  </si>
  <si>
    <t>V00793</t>
  </si>
  <si>
    <t>V00192</t>
  </si>
  <si>
    <t>V00334</t>
  </si>
  <si>
    <t>V01693</t>
  </si>
  <si>
    <t>V01697</t>
  </si>
  <si>
    <t>V00963</t>
  </si>
  <si>
    <t>V01840</t>
  </si>
  <si>
    <t>V01692</t>
  </si>
  <si>
    <t>V02275</t>
  </si>
  <si>
    <t>V01041</t>
  </si>
  <si>
    <t>V02185</t>
  </si>
  <si>
    <t>V00776</t>
  </si>
  <si>
    <t>V00583</t>
  </si>
  <si>
    <t>V02246</t>
  </si>
  <si>
    <t>V01839</t>
  </si>
  <si>
    <t>V00840</t>
  </si>
  <si>
    <t>V00628</t>
  </si>
  <si>
    <t>V02130</t>
  </si>
  <si>
    <t>V00324</t>
  </si>
  <si>
    <t>V00296</t>
  </si>
  <si>
    <t>V02249</t>
  </si>
  <si>
    <t>V01161</t>
  </si>
  <si>
    <t>V00779</t>
  </si>
  <si>
    <t>V01077</t>
  </si>
  <si>
    <t>V00940</t>
  </si>
  <si>
    <t>V00438</t>
  </si>
  <si>
    <t>V00120</t>
  </si>
  <si>
    <t>V01738</t>
  </si>
  <si>
    <t>V02005</t>
  </si>
  <si>
    <t>V01366</t>
  </si>
  <si>
    <t>V01027</t>
  </si>
  <si>
    <t>V01254</t>
  </si>
  <si>
    <t>V01762</t>
  </si>
  <si>
    <t>V01381</t>
  </si>
  <si>
    <t>V00077</t>
  </si>
  <si>
    <t>V01054</t>
  </si>
  <si>
    <t>V00901</t>
  </si>
  <si>
    <t>V00372</t>
  </si>
  <si>
    <t>V01205</t>
  </si>
  <si>
    <t>V02186</t>
  </si>
  <si>
    <t>V00950</t>
  </si>
  <si>
    <t>V00942</t>
  </si>
  <si>
    <t>V00578</t>
  </si>
  <si>
    <t>V00820</t>
  </si>
  <si>
    <t>V01997</t>
  </si>
  <si>
    <t>V02203</t>
  </si>
  <si>
    <t>V02136</t>
  </si>
  <si>
    <t>V01584</t>
  </si>
  <si>
    <t>V01846</t>
  </si>
  <si>
    <t>V01614</t>
  </si>
  <si>
    <t>V00887</t>
  </si>
  <si>
    <t>V00969</t>
  </si>
  <si>
    <t>V02048</t>
  </si>
  <si>
    <t>V00786</t>
  </si>
  <si>
    <t>V01981</t>
  </si>
  <si>
    <t>V02103</t>
  </si>
  <si>
    <t>V00850</t>
  </si>
  <si>
    <t>V00302</t>
  </si>
  <si>
    <t>V00690</t>
  </si>
  <si>
    <t>V00813</t>
  </si>
  <si>
    <t>V01062</t>
  </si>
  <si>
    <t>V01378</t>
  </si>
  <si>
    <t>V01522</t>
  </si>
  <si>
    <t>V00237</t>
  </si>
  <si>
    <t>V02191</t>
  </si>
  <si>
    <t>V01116</t>
  </si>
  <si>
    <t>V01734</t>
  </si>
  <si>
    <t>V00500</t>
  </si>
  <si>
    <t>V00823</t>
  </si>
  <si>
    <t>V01578</t>
  </si>
  <si>
    <t>V01080</t>
  </si>
  <si>
    <t>V01327</t>
  </si>
  <si>
    <t>V00795</t>
  </si>
  <si>
    <t>V02259</t>
  </si>
  <si>
    <t>V01964</t>
  </si>
  <si>
    <t>V02264</t>
  </si>
  <si>
    <t>V00991</t>
  </si>
  <si>
    <t>V01751</t>
  </si>
  <si>
    <t>V00935</t>
  </si>
  <si>
    <t>V00388</t>
  </si>
  <si>
    <t>V01880</t>
  </si>
  <si>
    <t>V00391</t>
  </si>
  <si>
    <t>V00744</t>
  </si>
  <si>
    <t>V00353</t>
  </si>
  <si>
    <t>V01218</t>
  </si>
  <si>
    <t>V00236</t>
  </si>
  <si>
    <t>V02119</t>
  </si>
  <si>
    <t>V01719</t>
  </si>
  <si>
    <t>V00481</t>
  </si>
  <si>
    <t>V00568</t>
  </si>
  <si>
    <t>V01141</t>
  </si>
  <si>
    <t>V01633</t>
  </si>
  <si>
    <t>V01678</t>
  </si>
  <si>
    <t>V02104</t>
  </si>
  <si>
    <t>V00101</t>
  </si>
  <si>
    <t>V02014</t>
  </si>
  <si>
    <t>V02009</t>
  </si>
  <si>
    <t>V00121</t>
  </si>
  <si>
    <t>V01389</t>
  </si>
  <si>
    <t>V00491</t>
  </si>
  <si>
    <t>V01025</t>
  </si>
  <si>
    <t>V01087</t>
  </si>
  <si>
    <t>V01273</t>
  </si>
  <si>
    <t>V01478</t>
  </si>
  <si>
    <t>V00927</t>
  </si>
  <si>
    <t>V00516</t>
  </si>
  <si>
    <t>V01595</t>
  </si>
  <si>
    <t>V00224</t>
  </si>
  <si>
    <t>V01890</t>
  </si>
  <si>
    <t>V00614</t>
  </si>
  <si>
    <t>V00844</t>
  </si>
  <si>
    <t>V01246</t>
  </si>
  <si>
    <t>V01626</t>
  </si>
  <si>
    <t>V01953</t>
  </si>
  <si>
    <t>V01490</t>
  </si>
  <si>
    <t>V00053</t>
  </si>
  <si>
    <t>V00530</t>
  </si>
  <si>
    <t>V00486</t>
  </si>
  <si>
    <t>V02251</t>
  </si>
  <si>
    <t>V00819</t>
  </si>
  <si>
    <t>V02074</t>
  </si>
  <si>
    <t>V00156</t>
  </si>
  <si>
    <t>V01367</t>
  </si>
  <si>
    <t>V00601</t>
  </si>
  <si>
    <t>V02205</t>
  </si>
  <si>
    <t>V00249</t>
  </si>
  <si>
    <t>V00762</t>
  </si>
  <si>
    <t>V01466</t>
  </si>
  <si>
    <t>V00589</t>
  </si>
  <si>
    <t>V01131</t>
  </si>
  <si>
    <t>V00543</t>
  </si>
  <si>
    <t>V00794</t>
  </si>
  <si>
    <t>V01726</t>
  </si>
  <si>
    <t>V01142</t>
  </si>
  <si>
    <t>V01865</t>
  </si>
  <si>
    <t>V00629</t>
  </si>
  <si>
    <t>V00151</t>
  </si>
  <si>
    <t>V02077</t>
  </si>
  <si>
    <t>V00292</t>
  </si>
  <si>
    <t>V01564</t>
  </si>
  <si>
    <t>V00382</t>
  </si>
  <si>
    <t>V00687</t>
  </si>
  <si>
    <t>V01368</t>
  </si>
  <si>
    <t>V01225</t>
  </si>
  <si>
    <t>V01621</t>
  </si>
  <si>
    <t>V00898</t>
  </si>
  <si>
    <t>V02142</t>
  </si>
  <si>
    <t>V00855</t>
  </si>
  <si>
    <t>V01072</t>
  </si>
  <si>
    <t>V00555</t>
  </si>
  <si>
    <t>V02169</t>
  </si>
  <si>
    <t>V01794</t>
  </si>
  <si>
    <t>V00866</t>
  </si>
  <si>
    <t>V02109</t>
  </si>
  <si>
    <t>V01530</t>
  </si>
  <si>
    <t>V00892</t>
  </si>
  <si>
    <t>V02147</t>
  </si>
  <si>
    <t>V01720</t>
  </si>
  <si>
    <t>V00536</t>
  </si>
  <si>
    <t>V01365</t>
  </si>
  <si>
    <t>V02053</t>
  </si>
  <si>
    <t>V00616</t>
  </si>
  <si>
    <t>V00155</t>
  </si>
  <si>
    <t>V01194</t>
  </si>
  <si>
    <t>V01914</t>
  </si>
  <si>
    <t>V02123</t>
  </si>
  <si>
    <t>V02298</t>
  </si>
  <si>
    <t>V02158</t>
  </si>
  <si>
    <t>V00323</t>
  </si>
  <si>
    <t>V01989</t>
  </si>
  <si>
    <t>V01988</t>
  </si>
  <si>
    <t>V01283</t>
  </si>
  <si>
    <t>V01799</t>
  </si>
  <si>
    <t>V00083</t>
  </si>
  <si>
    <t>V00513</t>
  </si>
  <si>
    <t>V01489</t>
  </si>
  <si>
    <t>V01960</t>
  </si>
  <si>
    <t>V01905</t>
  </si>
  <si>
    <t>V01575</t>
  </si>
  <si>
    <t>V00930</t>
  </si>
  <si>
    <t>V00676</t>
  </si>
  <si>
    <t>V01358</t>
  </si>
  <si>
    <t>V00011</t>
  </si>
  <si>
    <t>V02208</t>
  </si>
  <si>
    <t>V01495</t>
  </si>
  <si>
    <t>V00832</t>
  </si>
  <si>
    <t>V00033</t>
  </si>
  <si>
    <t>V01940</t>
  </si>
  <si>
    <t>V00414</t>
  </si>
  <si>
    <t>V00581</t>
  </si>
  <si>
    <t>V01407</t>
  </si>
  <si>
    <t>V01818</t>
  </si>
  <si>
    <t>V01992</t>
  </si>
  <si>
    <t>V01912</t>
  </si>
  <si>
    <t>V00108</t>
  </si>
  <si>
    <t>V00615</t>
  </si>
  <si>
    <t>V01046</t>
  </si>
  <si>
    <t>V01403</t>
  </si>
  <si>
    <t>V01015</t>
  </si>
  <si>
    <t>V00090</t>
  </si>
  <si>
    <t>V01010</t>
  </si>
  <si>
    <t>V01951</t>
  </si>
  <si>
    <t>V00602</t>
  </si>
  <si>
    <t>V01238</t>
  </si>
  <si>
    <t>V01858</t>
  </si>
  <si>
    <t>V02197</t>
  </si>
  <si>
    <t>V00134</t>
  </si>
  <si>
    <t>V01371</t>
  </si>
  <si>
    <t>V00556</t>
  </si>
  <si>
    <t>V01032</t>
  </si>
  <si>
    <t>V02052</t>
  </si>
  <si>
    <t>V00321</t>
  </si>
  <si>
    <t>V00256</t>
  </si>
  <si>
    <t>V01212</t>
  </si>
  <si>
    <t>V02141</t>
  </si>
  <si>
    <t>V00635</t>
  </si>
  <si>
    <t>V00553</t>
  </si>
  <si>
    <t>V01329</t>
  </si>
  <si>
    <t>V01056</t>
  </si>
  <si>
    <t>V02256</t>
  </si>
  <si>
    <t>V01709</t>
  </si>
  <si>
    <t>V00797</t>
  </si>
  <si>
    <t>V02091</t>
  </si>
  <si>
    <t>V01752</t>
  </si>
  <si>
    <t>V01265</t>
  </si>
  <si>
    <t>V02122</t>
  </si>
  <si>
    <t>V00175</t>
  </si>
  <si>
    <t>V00767</t>
  </si>
  <si>
    <t>V01797</t>
  </si>
  <si>
    <t>V00246</t>
  </si>
  <si>
    <t>V01081</t>
  </si>
  <si>
    <t>V01655</t>
  </si>
  <si>
    <t>V02274</t>
  </si>
  <si>
    <t>V00145</t>
  </si>
  <si>
    <t>V00146</t>
  </si>
  <si>
    <t>V00091</t>
  </si>
  <si>
    <t>V01703</t>
  </si>
  <si>
    <t>V01417</t>
  </si>
  <si>
    <t>V02217</t>
  </si>
  <si>
    <t>V00683</t>
  </si>
  <si>
    <t>V00311</t>
  </si>
  <si>
    <t>V01898</t>
  </si>
  <si>
    <t>V01384</t>
  </si>
  <si>
    <t>V00094</t>
  </si>
  <si>
    <t>V02016</t>
  </si>
  <si>
    <t>V00925</t>
  </si>
  <si>
    <t>V00407</t>
  </si>
  <si>
    <t>V01910</t>
  </si>
  <si>
    <t>V01036</t>
  </si>
  <si>
    <t>V01401</t>
  </si>
  <si>
    <t>V00244</t>
  </si>
  <si>
    <t>V01501</t>
  </si>
  <si>
    <t>V01112</t>
  </si>
  <si>
    <t>V00215</t>
  </si>
  <si>
    <t>V01469</t>
  </si>
  <si>
    <t>V01881</t>
  </si>
  <si>
    <t>V01198</t>
  </si>
  <si>
    <t>V00999</t>
  </si>
  <si>
    <t>V00854</t>
  </si>
  <si>
    <t>V01828</t>
  </si>
  <si>
    <t>V00426</t>
  </si>
  <si>
    <t>V02214</t>
  </si>
  <si>
    <t>V01143</t>
  </si>
  <si>
    <t>V01144</t>
  </si>
  <si>
    <t>V01700</t>
  </si>
  <si>
    <t>V00227</t>
  </si>
  <si>
    <t>V02066</t>
  </si>
  <si>
    <t>V00001</t>
  </si>
  <si>
    <t>V01419</t>
  </si>
  <si>
    <t>V00402</t>
  </si>
  <si>
    <t>V01429</t>
  </si>
  <si>
    <t>V01104</t>
  </si>
  <si>
    <t>V00085</t>
  </si>
  <si>
    <t>V00163</t>
  </si>
  <si>
    <t>V02210</t>
  </si>
  <si>
    <t>V00115</t>
  </si>
  <si>
    <t>V00671</t>
  </si>
  <si>
    <t>V01175</t>
  </si>
  <si>
    <t>V01962</t>
  </si>
  <si>
    <t>V01944</t>
  </si>
  <si>
    <t>V01586</t>
  </si>
  <si>
    <t>V01393</t>
  </si>
  <si>
    <t>V01568</t>
  </si>
  <si>
    <t>V00890</t>
  </si>
  <si>
    <t>V01502</t>
  </si>
  <si>
    <t>V01661</t>
  </si>
  <si>
    <t>V01557</t>
  </si>
  <si>
    <t>V00626</t>
  </si>
  <si>
    <t>V02111</t>
  </si>
  <si>
    <t>V01537</t>
  </si>
  <si>
    <t>V01965</t>
  </si>
  <si>
    <t>V01886</t>
  </si>
  <si>
    <t>V01097</t>
  </si>
  <si>
    <t>V01867</t>
  </si>
  <si>
    <t>V00953</t>
  </si>
  <si>
    <t>V00808</t>
  </si>
  <si>
    <t>V00259</t>
  </si>
  <si>
    <t>V00625</t>
  </si>
  <si>
    <t>V00827</t>
  </si>
  <si>
    <t>V00235</t>
  </si>
  <si>
    <t>V00136</t>
  </si>
  <si>
    <t>V00617</t>
  </si>
  <si>
    <t>V01541</t>
  </si>
  <si>
    <t>V02281</t>
  </si>
  <si>
    <t>V00837</t>
  </si>
  <si>
    <t>V00843</t>
  </si>
  <si>
    <t>V00960</t>
  </si>
  <si>
    <t>V01827</t>
  </si>
  <si>
    <t>V01876</t>
  </si>
  <si>
    <t>V02178</t>
  </si>
  <si>
    <t>V00593</t>
  </si>
  <si>
    <t>V01315</t>
  </si>
  <si>
    <t>V01526</t>
  </si>
  <si>
    <t>V01563</t>
  </si>
  <si>
    <t>V01292</t>
  </si>
  <si>
    <t>V01753</t>
  </si>
  <si>
    <t>V01606</t>
  </si>
  <si>
    <t>V00344</t>
  </si>
  <si>
    <t>V02083</t>
  </si>
  <si>
    <t>V02024</t>
  </si>
  <si>
    <t>V00294</t>
  </si>
  <si>
    <t>V00365</t>
  </si>
  <si>
    <t>V00179</t>
  </si>
  <si>
    <t>V00660</t>
  </si>
  <si>
    <t>V00997</t>
  </si>
  <si>
    <t>V00015</t>
  </si>
  <si>
    <t>V01711</t>
  </si>
  <si>
    <t>V01111</t>
  </si>
  <si>
    <t>V01395</t>
  </si>
  <si>
    <t>V00166</t>
  </si>
  <si>
    <t>V02225</t>
  </si>
  <si>
    <t>V01360</t>
  </si>
  <si>
    <t>V00060</t>
  </si>
  <si>
    <t>V00710</t>
  </si>
  <si>
    <t>V01879</t>
  </si>
  <si>
    <t>V00677</t>
  </si>
  <si>
    <t>V01379</t>
  </si>
  <si>
    <t>V00781</t>
  </si>
  <si>
    <t>V00425</t>
  </si>
  <si>
    <t>V00293</t>
  </si>
  <si>
    <t>V01066</t>
  </si>
  <si>
    <t>V02165</t>
  </si>
  <si>
    <t>V00330</t>
  </si>
  <si>
    <t>V01639</t>
  </si>
  <si>
    <t>V00430</t>
  </si>
  <si>
    <t>V01013</t>
  </si>
  <si>
    <t>V00080</t>
  </si>
  <si>
    <t>V01718</t>
  </si>
  <si>
    <t>V01053</t>
  </si>
  <si>
    <t>V00938</t>
  </si>
  <si>
    <t>V01732</t>
  </si>
  <si>
    <t>V01917</t>
  </si>
  <si>
    <t>V01943</t>
  </si>
  <si>
    <t>V00835</t>
  </si>
  <si>
    <t>V00750</t>
  </si>
  <si>
    <t>V00891</t>
  </si>
  <si>
    <t>V00255</t>
  </si>
  <si>
    <t>V01185</t>
  </si>
  <si>
    <t>V01483</t>
  </si>
  <si>
    <t>V02280</t>
  </si>
  <si>
    <t>V01408</t>
  </si>
  <si>
    <t>V01338</t>
  </si>
  <si>
    <t>V01109</t>
  </si>
  <si>
    <t>V01599</t>
  </si>
  <si>
    <t>V02228</t>
  </si>
  <si>
    <t>V00137</t>
  </si>
  <si>
    <t>V01136</t>
  </si>
  <si>
    <t>V01219</t>
  </si>
  <si>
    <t>V00853</t>
  </si>
  <si>
    <t>V01203</t>
  </si>
  <si>
    <t>V01580</t>
  </si>
  <si>
    <t>V00724</t>
  </si>
  <si>
    <t>V00860</t>
  </si>
  <si>
    <t>V00970</t>
  </si>
  <si>
    <t>V00497</t>
  </si>
  <si>
    <t>V00951</t>
  </si>
  <si>
    <t>V00806</t>
  </si>
  <si>
    <t>V01830</t>
  </si>
  <si>
    <t>V00130</t>
  </si>
  <si>
    <t>V01740</t>
  </si>
  <si>
    <t>V00338</t>
  </si>
  <si>
    <t>V00731</t>
  </si>
  <si>
    <t>V00609</t>
  </si>
  <si>
    <t>V01149</t>
  </si>
  <si>
    <t>V00196</t>
  </si>
  <si>
    <t>V01251</t>
  </si>
  <si>
    <t>V01714</t>
  </si>
  <si>
    <t>V02290</t>
  </si>
  <si>
    <t>V00910</t>
  </si>
  <si>
    <t>V02011</t>
  </si>
  <si>
    <t>V01811</t>
  </si>
  <si>
    <t>V01995</t>
  </si>
  <si>
    <t>V00720</t>
  </si>
  <si>
    <t>V01570</t>
  </si>
  <si>
    <t>V00435</t>
  </si>
  <si>
    <t>V01300</t>
  </si>
  <si>
    <t>V00406</t>
  </si>
  <si>
    <t>V00822</t>
  </si>
  <si>
    <t>V01790</t>
  </si>
  <si>
    <t>V01859</t>
  </si>
  <si>
    <t>V01558</t>
  </si>
  <si>
    <t>V00546</t>
  </si>
  <si>
    <t>V00213</t>
  </si>
  <si>
    <t>V00897</t>
  </si>
  <si>
    <t>V01942</t>
  </si>
  <si>
    <t>V01892</t>
  </si>
  <si>
    <t>V00917</t>
  </si>
  <si>
    <t>V01290</t>
  </si>
  <si>
    <t>V00815</t>
  </si>
  <si>
    <t>V01266</t>
  </si>
  <si>
    <t>V00343</t>
  </si>
  <si>
    <t>V01411</t>
  </si>
  <si>
    <t>V01215</t>
  </si>
  <si>
    <t>V00967</t>
  </si>
  <si>
    <t>V01231</t>
  </si>
  <si>
    <t>V00696</t>
  </si>
  <si>
    <t>V00606</t>
  </si>
  <si>
    <t>V00105</t>
  </si>
  <si>
    <t>V00646</t>
  </si>
  <si>
    <t>V01405</t>
  </si>
  <si>
    <t>V00495</t>
  </si>
  <si>
    <t>V01020</t>
  </si>
  <si>
    <t>V00092</t>
  </si>
  <si>
    <t>V01113</t>
  </si>
  <si>
    <t>V00909</t>
  </si>
  <si>
    <t>V01475</t>
  </si>
  <si>
    <t>V01742</t>
  </si>
  <si>
    <t>V00239</t>
  </si>
  <si>
    <t>V00943</t>
  </si>
  <si>
    <t>V01271</t>
  </si>
  <si>
    <t>V00939</t>
  </si>
  <si>
    <t>V01425</t>
  </si>
  <si>
    <t>V01863</t>
  </si>
  <si>
    <t>V01670</t>
  </si>
  <si>
    <t>V00006</t>
  </si>
  <si>
    <t>V00248</t>
  </si>
  <si>
    <t>V00019</t>
  </si>
  <si>
    <t>V01971</t>
  </si>
  <si>
    <t>V00812</t>
  </si>
  <si>
    <t>V01301</t>
  </si>
  <si>
    <t>V01336</t>
  </si>
  <si>
    <t>V02219</t>
  </si>
  <si>
    <t>V00261</t>
  </si>
  <si>
    <t>V01805</t>
  </si>
  <si>
    <t>V01571</t>
  </si>
  <si>
    <t>V00185</t>
  </si>
  <si>
    <t>V01744</t>
  </si>
  <si>
    <t>V01631</t>
  </si>
  <si>
    <t>V01717</t>
  </si>
  <si>
    <t>V00521</t>
  </si>
  <si>
    <t>V02017</t>
  </si>
  <si>
    <t>V01659</t>
  </si>
  <si>
    <t>V01613</t>
  </si>
  <si>
    <t>V02288</t>
  </si>
  <si>
    <t>V00608</t>
  </si>
  <si>
    <t>V00231</t>
  </si>
  <si>
    <t>V00332</t>
  </si>
  <si>
    <t>V01441</t>
  </si>
  <si>
    <t>V01928</t>
  </si>
  <si>
    <t>V01092</t>
  </si>
  <si>
    <t>V01102</t>
  </si>
  <si>
    <t>V01130</t>
  </si>
  <si>
    <t>V00462</t>
  </si>
  <si>
    <t>V00959</t>
  </si>
  <si>
    <t>V01663</t>
  </si>
  <si>
    <t>V00560</t>
  </si>
  <si>
    <t>V02152</t>
  </si>
  <si>
    <t>V01520</t>
  </si>
  <si>
    <t>V02218</t>
  </si>
  <si>
    <t>V02033</t>
  </si>
  <si>
    <t>V02299</t>
  </si>
  <si>
    <t>V02098</t>
  </si>
  <si>
    <t>V00070</t>
  </si>
  <si>
    <t>V01573</t>
  </si>
  <si>
    <t>V00809</t>
  </si>
  <si>
    <t>V00012</t>
  </si>
  <si>
    <t>V02026</t>
  </si>
  <si>
    <t>V00918</t>
  </si>
  <si>
    <t>V01452</t>
  </si>
  <si>
    <t>V00177</t>
  </si>
  <si>
    <t>V00995</t>
  </si>
  <si>
    <t>V01256</t>
  </si>
  <si>
    <t>V01665</t>
  </si>
  <si>
    <t>V01108</t>
  </si>
  <si>
    <t>V01791</t>
  </si>
  <si>
    <t>V00157</t>
  </si>
  <si>
    <t>V01461</t>
  </si>
  <si>
    <t>V02047</t>
  </si>
  <si>
    <t>V01851</t>
  </si>
  <si>
    <t>V02006</t>
  </si>
  <si>
    <t>V01186</t>
  </si>
  <si>
    <t>V01007</t>
  </si>
  <si>
    <t>V00561</t>
  </si>
  <si>
    <t>V00911</t>
  </si>
  <si>
    <t>V01312</t>
  </si>
  <si>
    <t>V02050</t>
  </si>
  <si>
    <t>V00270</t>
  </si>
  <si>
    <t>V01994</t>
  </si>
  <si>
    <t>V00266</t>
  </si>
  <si>
    <t>V00915</t>
  </si>
  <si>
    <t>V02287</t>
  </si>
  <si>
    <t>V00874</t>
  </si>
  <si>
    <t>V02094</t>
  </si>
  <si>
    <t>V00476</t>
  </si>
  <si>
    <t>V01653</t>
  </si>
  <si>
    <t>V01961</t>
  </si>
  <si>
    <t>V00046</t>
  </si>
  <si>
    <t>V00162</t>
  </si>
  <si>
    <t>V00289</t>
  </si>
  <si>
    <t>V01949</t>
  </si>
  <si>
    <t>V00576</t>
  </si>
  <si>
    <t>V00851</t>
  </si>
  <si>
    <t>V00912</t>
  </si>
  <si>
    <t>V01255</t>
  </si>
  <si>
    <t>V01834</t>
  </si>
  <si>
    <t>V01723</t>
  </si>
  <si>
    <t>V02134</t>
  </si>
  <si>
    <t>V01736</t>
  </si>
  <si>
    <t>V00933</t>
  </si>
  <si>
    <t>V01101</t>
  </si>
  <si>
    <t>V01208</t>
  </si>
  <si>
    <t>V01844</t>
  </si>
  <si>
    <t>V01849</t>
  </si>
  <si>
    <t>V01695</t>
  </si>
  <si>
    <t>V00086</t>
  </si>
  <si>
    <t>V00470</t>
  </si>
  <si>
    <t>V00234</t>
  </si>
  <si>
    <t>V02266</t>
  </si>
  <si>
    <t>V01712</t>
  </si>
  <si>
    <t>V00183</t>
  </si>
  <si>
    <t>V00989</t>
  </si>
  <si>
    <t>V01001</t>
  </si>
  <si>
    <t>V01642</t>
  </si>
  <si>
    <t>V01357</t>
  </si>
  <si>
    <t>V01463</t>
  </si>
  <si>
    <t>V00050</t>
  </si>
  <si>
    <t>V01259</t>
  </si>
  <si>
    <t>V00487</t>
  </si>
  <si>
    <t>V02276</t>
  </si>
  <si>
    <t>V01909</t>
  </si>
  <si>
    <t>V00107</t>
  </si>
  <si>
    <t>V00444</t>
  </si>
  <si>
    <t>V01955</t>
  </si>
  <si>
    <t>V00647</t>
  </si>
  <si>
    <t>V01763</t>
  </si>
  <si>
    <t>V00727</t>
  </si>
  <si>
    <t>V01857</t>
  </si>
  <si>
    <t>V00030</t>
  </si>
  <si>
    <t>V00170</t>
  </si>
  <si>
    <t>V01002</t>
  </si>
  <si>
    <t>V02149</t>
  </si>
  <si>
    <t>V00198</t>
  </si>
  <si>
    <t>V00496</t>
  </si>
  <si>
    <t>V02027</t>
  </si>
  <si>
    <t>V00648</t>
  </si>
  <si>
    <t>V00045</t>
  </si>
  <si>
    <t>V00374</t>
  </si>
  <si>
    <t>V00679</t>
  </si>
  <si>
    <t>V00567</t>
  </si>
  <si>
    <t>V00461</t>
  </si>
  <si>
    <t>V01933</t>
  </si>
  <si>
    <t>V01156</t>
  </si>
  <si>
    <t>V00040</t>
  </si>
  <si>
    <t>V00974</t>
  </si>
  <si>
    <t>V01787</t>
  </si>
  <si>
    <t>V01499</t>
  </si>
  <si>
    <t>V01836</t>
  </si>
  <si>
    <t>V01841</t>
  </si>
  <si>
    <t>V02084</t>
  </si>
  <si>
    <t>V00828</t>
  </si>
  <si>
    <t>V01936</t>
  </si>
  <si>
    <t>V02045</t>
  </si>
  <si>
    <t>V00310</t>
  </si>
  <si>
    <t>V00277</t>
  </si>
  <si>
    <t>V00637</t>
  </si>
  <si>
    <t>V00655</t>
  </si>
  <si>
    <t>V00623</t>
  </si>
  <si>
    <t>V01860</t>
  </si>
  <si>
    <t>V00845</t>
  </si>
  <si>
    <t>V00394</t>
  </si>
  <si>
    <t>V02156</t>
  </si>
  <si>
    <t>V00350</t>
  </si>
  <si>
    <t>V00785</t>
  </si>
  <si>
    <t>V00048</t>
  </si>
  <si>
    <t>V01979</t>
  </si>
  <si>
    <t>V01656</t>
  </si>
  <si>
    <t>V02070</t>
  </si>
  <si>
    <t>V00403</t>
  </si>
  <si>
    <t>V01155</t>
  </si>
  <si>
    <t>V01440</t>
  </si>
  <si>
    <t>V02294</t>
  </si>
  <si>
    <t>V02002</t>
  </si>
  <si>
    <t>V00990</t>
  </si>
  <si>
    <t>V01866</t>
  </si>
  <si>
    <t>V01311</t>
  </si>
  <si>
    <t>V00034</t>
  </si>
  <si>
    <t>V00788</t>
  </si>
  <si>
    <t>V01044</t>
  </si>
  <si>
    <t>V00482</t>
  </si>
  <si>
    <t>V01244</t>
  </si>
  <si>
    <t>V00932</t>
  </si>
  <si>
    <t>V01686</t>
  </si>
  <si>
    <t>V01249</t>
  </si>
  <si>
    <t>V00760</t>
  </si>
  <si>
    <t>V00093</t>
  </si>
  <si>
    <t>V01176</t>
  </si>
  <si>
    <t>V01416</t>
  </si>
  <si>
    <t>V01342</t>
  </si>
  <si>
    <t>V01473</t>
  </si>
  <si>
    <t>V01608</t>
  </si>
  <si>
    <t>V00765</t>
  </si>
  <si>
    <t>V01374</t>
  </si>
  <si>
    <t>V01952</t>
  </si>
  <si>
    <t>V01729</t>
  </si>
  <si>
    <t>V00258</t>
  </si>
  <si>
    <t>V00945</t>
  </si>
  <si>
    <t>V01220</t>
  </si>
  <si>
    <t>V01162</t>
  </si>
  <si>
    <t>V00773</t>
  </si>
  <si>
    <t>V01487</t>
  </si>
  <si>
    <t>V02250</t>
  </si>
  <si>
    <t>V00313</t>
  </si>
  <si>
    <t>V00291</t>
  </si>
  <si>
    <t>V00764</t>
  </si>
  <si>
    <t>V00184</t>
  </si>
  <si>
    <t>V01177</t>
  </si>
  <si>
    <t>V01350</t>
  </si>
  <si>
    <t>V01100</t>
  </si>
  <si>
    <t>V00392</t>
  </si>
  <si>
    <t>V01920</t>
  </si>
  <si>
    <t>V01457</t>
  </si>
  <si>
    <t>V01093</t>
  </si>
  <si>
    <t>V02023</t>
  </si>
  <si>
    <t>V00905</t>
  </si>
  <si>
    <t>V00367</t>
  </si>
  <si>
    <t>V00346</t>
  </si>
  <si>
    <t>V01373</t>
  </si>
  <si>
    <t>V01640</t>
  </si>
  <si>
    <t>V00920</t>
  </si>
  <si>
    <t>V00212</t>
  </si>
  <si>
    <t>V01604</t>
  </si>
  <si>
    <t>V00538</t>
  </si>
  <si>
    <t>V01221</t>
  </si>
  <si>
    <t>V00176</t>
  </si>
  <si>
    <t>año</t>
  </si>
  <si>
    <t>mes</t>
  </si>
  <si>
    <t>Sin dato</t>
  </si>
  <si>
    <t>nombre_mes</t>
  </si>
  <si>
    <t>trimestre</t>
  </si>
  <si>
    <t>ingresos</t>
  </si>
  <si>
    <t>beneficio</t>
  </si>
  <si>
    <t>beneficio_pct</t>
  </si>
  <si>
    <t>Rótulos de fila</t>
  </si>
  <si>
    <t>Total general</t>
  </si>
  <si>
    <t>Suma de cantidad</t>
  </si>
  <si>
    <t>Valores</t>
  </si>
  <si>
    <t>Suma de ingresos</t>
  </si>
  <si>
    <t>Promedio de beneficio_pct</t>
  </si>
  <si>
    <t>KPIS DE NEGOCIO</t>
  </si>
  <si>
    <t>Ingresos Totales</t>
  </si>
  <si>
    <t>Costes Totales</t>
  </si>
  <si>
    <t>Unidades Totales Vendidas</t>
  </si>
  <si>
    <t>Margen de Beneficio Promedio</t>
  </si>
  <si>
    <t>CATALUÑA Y 2025</t>
  </si>
  <si>
    <t>Caro</t>
  </si>
  <si>
    <t>gama</t>
  </si>
  <si>
    <t>Promedio de precio_unitario</t>
  </si>
  <si>
    <t>Económico</t>
  </si>
  <si>
    <t>Accesible</t>
  </si>
  <si>
    <t>costes</t>
  </si>
  <si>
    <t>Suma de costes</t>
  </si>
  <si>
    <t>Promedio de beneficio</t>
  </si>
  <si>
    <t>TOP 1 PRODUCTOS DE NEGOCIO</t>
  </si>
  <si>
    <t>Productos Volumen</t>
  </si>
  <si>
    <t>Producto Costes</t>
  </si>
  <si>
    <t>Producto</t>
  </si>
  <si>
    <t>Mantener el producto como referencia de volumen, evitando incrementos de precio</t>
  </si>
  <si>
    <t>Oportunidad de aumentar su visibilidad mediante acciones de publicidad y promoción.</t>
  </si>
  <si>
    <t>Producto de Volumen</t>
  </si>
  <si>
    <t>Estrategia</t>
  </si>
  <si>
    <t>Producto de Ingresos</t>
  </si>
  <si>
    <t>Tablet 10</t>
  </si>
  <si>
    <t>Potenciar su promoción entre clientes con mayor poder adquisitivo.</t>
  </si>
  <si>
    <t>Producto de beneficios</t>
  </si>
  <si>
    <t>INFORME DE PRODUCTOS DE NEGOCIO: CATALUÑA Y 2025</t>
  </si>
  <si>
    <t>Producto ingresos</t>
  </si>
  <si>
    <t>Producto Beneficio promedio</t>
  </si>
  <si>
    <t>Beneficio Promedio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</si>
</sst>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9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0"/>
      <name val="Calibri"/>
      <family val="2"/>
      <charset val="1"/>
    </font>
    <font>
      <b/>
      <sz val="20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14" fontId="0" fillId="0" borderId="0" xfId="0" applyNumberFormat="1"/>
    <xf numFmtId="14" fontId="0" fillId="7" borderId="0" xfId="0" applyNumberFormat="1" applyFill="1"/>
    <xf numFmtId="0" fontId="0" fillId="7" borderId="0" xfId="0" applyNumberFormat="1" applyFill="1"/>
    <xf numFmtId="0" fontId="0" fillId="0" borderId="0" xfId="0" applyNumberFormat="1"/>
    <xf numFmtId="2" fontId="0" fillId="0" borderId="0" xfId="0" applyNumberFormat="1"/>
    <xf numFmtId="0" fontId="0" fillId="8" borderId="0" xfId="0" applyFill="1"/>
    <xf numFmtId="9" fontId="2" fillId="0" borderId="0" xfId="1" applyFont="1"/>
    <xf numFmtId="9" fontId="3" fillId="3" borderId="0" xfId="1" applyFont="1" applyFill="1"/>
    <xf numFmtId="9" fontId="2" fillId="8" borderId="0" xfId="1" applyFont="1" applyFill="1"/>
    <xf numFmtId="14" fontId="0" fillId="8" borderId="0" xfId="0" applyNumberFormat="1" applyFill="1"/>
    <xf numFmtId="14" fontId="0" fillId="9" borderId="0" xfId="0" applyNumberFormat="1" applyFill="1"/>
    <xf numFmtId="164" fontId="3" fillId="3" borderId="0" xfId="1" applyNumberFormat="1" applyFont="1" applyFill="1"/>
    <xf numFmtId="164" fontId="2" fillId="0" borderId="0" xfId="1" applyNumberFormat="1" applyFont="1"/>
    <xf numFmtId="164" fontId="0" fillId="3" borderId="0" xfId="0" applyNumberFormat="1" applyFill="1"/>
    <xf numFmtId="164" fontId="0" fillId="0" borderId="0" xfId="0" applyNumberFormat="1"/>
    <xf numFmtId="164" fontId="0" fillId="9" borderId="0" xfId="0" applyNumberFormat="1" applyFill="1"/>
    <xf numFmtId="164" fontId="0" fillId="8" borderId="0" xfId="0" applyNumberFormat="1" applyFill="1"/>
    <xf numFmtId="164" fontId="0" fillId="5" borderId="0" xfId="0" applyNumberFormat="1" applyFill="1"/>
    <xf numFmtId="10" fontId="3" fillId="3" borderId="0" xfId="1" applyNumberFormat="1" applyFont="1" applyFill="1"/>
    <xf numFmtId="10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0" fillId="8" borderId="0" xfId="0" applyFill="1" applyAlignment="1">
      <alignment horizontal="left" indent="1"/>
    </xf>
    <xf numFmtId="9" fontId="1" fillId="0" borderId="0" xfId="0" applyNumberFormat="1" applyFont="1" applyFill="1"/>
    <xf numFmtId="0" fontId="0" fillId="0" borderId="0" xfId="0" applyFill="1" applyAlignment="1">
      <alignment horizontal="left" indent="1"/>
    </xf>
    <xf numFmtId="9" fontId="1" fillId="8" borderId="0" xfId="0" applyNumberFormat="1" applyFont="1" applyFill="1"/>
    <xf numFmtId="0" fontId="0" fillId="8" borderId="0" xfId="0" applyNumberFormat="1" applyFill="1"/>
    <xf numFmtId="0" fontId="0" fillId="8" borderId="0" xfId="0" applyFill="1" applyAlignment="1">
      <alignment horizontal="left"/>
    </xf>
    <xf numFmtId="2" fontId="0" fillId="8" borderId="0" xfId="0" applyNumberFormat="1" applyFill="1"/>
    <xf numFmtId="10" fontId="0" fillId="0" borderId="0" xfId="0" applyNumberFormat="1"/>
    <xf numFmtId="0" fontId="0" fillId="5" borderId="0" xfId="0" applyFill="1" applyAlignment="1">
      <alignment horizontal="left"/>
    </xf>
    <xf numFmtId="9" fontId="1" fillId="5" borderId="0" xfId="0" applyNumberFormat="1" applyFont="1" applyFill="1"/>
    <xf numFmtId="0" fontId="0" fillId="5" borderId="0" xfId="0" applyFill="1" applyAlignment="1">
      <alignment horizontal="left" indent="1"/>
    </xf>
    <xf numFmtId="0" fontId="4" fillId="10" borderId="1" xfId="0" applyFont="1" applyFill="1" applyBorder="1"/>
    <xf numFmtId="0" fontId="4" fillId="10" borderId="2" xfId="0" applyFont="1" applyFill="1" applyBorder="1" applyAlignment="1">
      <alignment horizontal="left"/>
    </xf>
    <xf numFmtId="0" fontId="4" fillId="10" borderId="2" xfId="0" applyNumberFormat="1" applyFont="1" applyFill="1" applyBorder="1"/>
    <xf numFmtId="2" fontId="4" fillId="10" borderId="2" xfId="0" applyNumberFormat="1" applyFont="1" applyFill="1" applyBorder="1"/>
    <xf numFmtId="9" fontId="6" fillId="10" borderId="1" xfId="0" applyNumberFormat="1" applyFont="1" applyFill="1" applyBorder="1"/>
    <xf numFmtId="9" fontId="6" fillId="10" borderId="2" xfId="0" applyNumberFormat="1" applyFont="1" applyFill="1" applyBorder="1"/>
    <xf numFmtId="0" fontId="7" fillId="11" borderId="0" xfId="0" applyFont="1" applyFill="1"/>
    <xf numFmtId="0" fontId="8" fillId="11" borderId="0" xfId="0" applyFont="1" applyFill="1"/>
    <xf numFmtId="0" fontId="0" fillId="11" borderId="0" xfId="0" applyFill="1"/>
    <xf numFmtId="0" fontId="0" fillId="5" borderId="0" xfId="0" applyFill="1"/>
  </cellXfs>
  <cellStyles count="2">
    <cellStyle name="Normal" xfId="0" builtinId="0"/>
    <cellStyle name="Porcentual" xfId="1" builtinId="5"/>
  </cellStyles>
  <dxfs count="10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colors>
    <mruColors>
      <color rgb="FFCC00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[Rambla_Market_datos_trabajados.xlsx]TD01_volumen_ventas!Tabla_volumen</c:name>
    <c:fmtId val="0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TD01_volumen_ventas!$B$4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TD01_volumen_ventas!$A$5:$A$10</c:f>
              <c:strCache>
                <c:ptCount val="5"/>
                <c:pt idx="0">
                  <c:v>Smartwatch</c:v>
                </c:pt>
                <c:pt idx="1">
                  <c:v>Chaqueta acolchada</c:v>
                </c:pt>
                <c:pt idx="2">
                  <c:v>Robot de cocina</c:v>
                </c:pt>
                <c:pt idx="3">
                  <c:v>Aceite de oliva virgen extra 1L</c:v>
                </c:pt>
                <c:pt idx="4">
                  <c:v>Crema facial hidratante</c:v>
                </c:pt>
              </c:strCache>
            </c:strRef>
          </c:cat>
          <c:val>
            <c:numRef>
              <c:f>TD01_volumen_ventas!$B$5:$B$10</c:f>
              <c:numCache>
                <c:formatCode>General</c:formatCode>
                <c:ptCount val="5"/>
                <c:pt idx="0">
                  <c:v>80</c:v>
                </c:pt>
                <c:pt idx="1">
                  <c:v>76</c:v>
                </c:pt>
                <c:pt idx="2">
                  <c:v>71</c:v>
                </c:pt>
                <c:pt idx="3">
                  <c:v>70</c:v>
                </c:pt>
                <c:pt idx="4">
                  <c:v>69</c:v>
                </c:pt>
              </c:numCache>
            </c:numRef>
          </c:val>
        </c:ser>
        <c:dLbls>
          <c:showVal val="1"/>
        </c:dLbls>
        <c:overlap val="-25"/>
        <c:axId val="149732352"/>
        <c:axId val="149742336"/>
      </c:barChart>
      <c:catAx>
        <c:axId val="149732352"/>
        <c:scaling>
          <c:orientation val="minMax"/>
        </c:scaling>
        <c:axPos val="b"/>
        <c:majorTickMark val="none"/>
        <c:tickLblPos val="nextTo"/>
        <c:crossAx val="149742336"/>
        <c:crosses val="autoZero"/>
        <c:auto val="1"/>
        <c:lblAlgn val="ctr"/>
        <c:lblOffset val="100"/>
      </c:catAx>
      <c:valAx>
        <c:axId val="149742336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4973235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[Rambla_Market_datos_trabajados.xlsx]TD02_ingresos_costes_beneficios!Tabla_ingresos_costes_beneficios</c:name>
    <c:fmtId val="0"/>
  </c:pivotSource>
  <c:chart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6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TD02_ingresos_costes_beneficios!$B$4:$B$5</c:f>
              <c:strCache>
                <c:ptCount val="1"/>
                <c:pt idx="0">
                  <c:v>Suma de ingresos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TD02_ingresos_costes_beneficios!$A$6:$A$11</c:f>
              <c:strCache>
                <c:ptCount val="5"/>
                <c:pt idx="0">
                  <c:v>Tablet 10"</c:v>
                </c:pt>
                <c:pt idx="1">
                  <c:v>Altavoz Bluetooth</c:v>
                </c:pt>
                <c:pt idx="2">
                  <c:v>Auriculares inalámbricos</c:v>
                </c:pt>
                <c:pt idx="3">
                  <c:v>Smartwatch</c:v>
                </c:pt>
                <c:pt idx="4">
                  <c:v>Lámpara LED de pie</c:v>
                </c:pt>
              </c:strCache>
            </c:strRef>
          </c:cat>
          <c:val>
            <c:numRef>
              <c:f>TD02_ingresos_costes_beneficios!$B$6:$B$11</c:f>
              <c:numCache>
                <c:formatCode>0.00</c:formatCode>
                <c:ptCount val="5"/>
                <c:pt idx="0">
                  <c:v>10466.429</c:v>
                </c:pt>
                <c:pt idx="1">
                  <c:v>8258.2093000000004</c:v>
                </c:pt>
                <c:pt idx="2">
                  <c:v>8029.3124000000007</c:v>
                </c:pt>
                <c:pt idx="3">
                  <c:v>5535.6745000000001</c:v>
                </c:pt>
                <c:pt idx="4">
                  <c:v>5394.3361999999997</c:v>
                </c:pt>
              </c:numCache>
            </c:numRef>
          </c:val>
        </c:ser>
        <c:ser>
          <c:idx val="1"/>
          <c:order val="1"/>
          <c:tx>
            <c:strRef>
              <c:f>TD02_ingresos_costes_beneficios!$C$4:$C$5</c:f>
              <c:strCache>
                <c:ptCount val="1"/>
                <c:pt idx="0">
                  <c:v>Suma de costes</c:v>
                </c:pt>
              </c:strCache>
            </c:strRef>
          </c:tx>
          <c:dLbls>
            <c:delete val="1"/>
          </c:dLbls>
          <c:cat>
            <c:strRef>
              <c:f>TD02_ingresos_costes_beneficios!$A$6:$A$11</c:f>
              <c:strCache>
                <c:ptCount val="5"/>
                <c:pt idx="0">
                  <c:v>Tablet 10"</c:v>
                </c:pt>
                <c:pt idx="1">
                  <c:v>Altavoz Bluetooth</c:v>
                </c:pt>
                <c:pt idx="2">
                  <c:v>Auriculares inalámbricos</c:v>
                </c:pt>
                <c:pt idx="3">
                  <c:v>Smartwatch</c:v>
                </c:pt>
                <c:pt idx="4">
                  <c:v>Lámpara LED de pie</c:v>
                </c:pt>
              </c:strCache>
            </c:strRef>
          </c:cat>
          <c:val>
            <c:numRef>
              <c:f>TD02_ingresos_costes_beneficios!$C$6:$C$11</c:f>
              <c:numCache>
                <c:formatCode>0.00</c:formatCode>
                <c:ptCount val="5"/>
                <c:pt idx="0">
                  <c:v>5775.8</c:v>
                </c:pt>
                <c:pt idx="1">
                  <c:v>5579.1299999999983</c:v>
                </c:pt>
                <c:pt idx="2">
                  <c:v>5699.8</c:v>
                </c:pt>
                <c:pt idx="3">
                  <c:v>3770.89</c:v>
                </c:pt>
                <c:pt idx="4">
                  <c:v>3107.35</c:v>
                </c:pt>
              </c:numCache>
            </c:numRef>
          </c:val>
        </c:ser>
        <c:ser>
          <c:idx val="2"/>
          <c:order val="2"/>
          <c:tx>
            <c:strRef>
              <c:f>TD02_ingresos_costes_beneficios!$D$4:$D$5</c:f>
              <c:strCache>
                <c:ptCount val="1"/>
                <c:pt idx="0">
                  <c:v>Promedio de beneficio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TD02_ingresos_costes_beneficios!$A$6:$A$11</c:f>
              <c:strCache>
                <c:ptCount val="5"/>
                <c:pt idx="0">
                  <c:v>Tablet 10"</c:v>
                </c:pt>
                <c:pt idx="1">
                  <c:v>Altavoz Bluetooth</c:v>
                </c:pt>
                <c:pt idx="2">
                  <c:v>Auriculares inalámbricos</c:v>
                </c:pt>
                <c:pt idx="3">
                  <c:v>Smartwatch</c:v>
                </c:pt>
                <c:pt idx="4">
                  <c:v>Lámpara LED de pie</c:v>
                </c:pt>
              </c:strCache>
            </c:strRef>
          </c:cat>
          <c:val>
            <c:numRef>
              <c:f>TD02_ingresos_costes_beneficios!$D$6:$D$11</c:f>
              <c:numCache>
                <c:formatCode>0.00</c:formatCode>
                <c:ptCount val="5"/>
                <c:pt idx="0">
                  <c:v>223.36328571428567</c:v>
                </c:pt>
                <c:pt idx="1">
                  <c:v>148.83773888888891</c:v>
                </c:pt>
                <c:pt idx="2">
                  <c:v>116.47562000000001</c:v>
                </c:pt>
                <c:pt idx="3">
                  <c:v>65.362388888888901</c:v>
                </c:pt>
                <c:pt idx="4">
                  <c:v>91.479448000000005</c:v>
                </c:pt>
              </c:numCache>
            </c:numRef>
          </c:val>
        </c:ser>
        <c:dLbls>
          <c:showVal val="1"/>
        </c:dLbls>
        <c:overlap val="-25"/>
        <c:axId val="156726784"/>
        <c:axId val="156728320"/>
      </c:barChart>
      <c:catAx>
        <c:axId val="156726784"/>
        <c:scaling>
          <c:orientation val="minMax"/>
        </c:scaling>
        <c:axPos val="b"/>
        <c:majorTickMark val="none"/>
        <c:tickLblPos val="nextTo"/>
        <c:crossAx val="156728320"/>
        <c:crosses val="autoZero"/>
        <c:auto val="1"/>
        <c:lblAlgn val="ctr"/>
        <c:lblOffset val="100"/>
      </c:catAx>
      <c:valAx>
        <c:axId val="156728320"/>
        <c:scaling>
          <c:orientation val="minMax"/>
        </c:scaling>
        <c:delete val="1"/>
        <c:axPos val="l"/>
        <c:numFmt formatCode="0.00" sourceLinked="1"/>
        <c:tickLblPos val="nextTo"/>
        <c:crossAx val="156726784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[Rambla_Market_datos_trabajados.xlsx]TD03_beneficios_pct!Tabla_beneficios_pct</c:name>
    <c:fmtId val="0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TD03_beneficios_pct!$B$4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TD03_beneficios_pct!$A$5:$A$10</c:f>
              <c:strCache>
                <c:ptCount val="5"/>
                <c:pt idx="0">
                  <c:v>Perfume eau de parfum 90ml</c:v>
                </c:pt>
                <c:pt idx="1">
                  <c:v>Bolso bandolera</c:v>
                </c:pt>
                <c:pt idx="2">
                  <c:v>Tablet 10"</c:v>
                </c:pt>
                <c:pt idx="3">
                  <c:v>Café en grano 1kg</c:v>
                </c:pt>
                <c:pt idx="4">
                  <c:v>Aceite de oliva virgen extra 1L</c:v>
                </c:pt>
              </c:strCache>
            </c:strRef>
          </c:cat>
          <c:val>
            <c:numRef>
              <c:f>TD03_beneficios_pct!$B$5:$B$10</c:f>
              <c:numCache>
                <c:formatCode>General</c:formatCode>
                <c:ptCount val="5"/>
                <c:pt idx="0">
                  <c:v>0.52511543122681137</c:v>
                </c:pt>
                <c:pt idx="1">
                  <c:v>0.46525941745861787</c:v>
                </c:pt>
                <c:pt idx="2">
                  <c:v>0.43989436245626523</c:v>
                </c:pt>
                <c:pt idx="3">
                  <c:v>0.43801593953000872</c:v>
                </c:pt>
                <c:pt idx="4">
                  <c:v>0.43594402298397117</c:v>
                </c:pt>
              </c:numCache>
            </c:numRef>
          </c:val>
        </c:ser>
        <c:dLbls>
          <c:showVal val="1"/>
        </c:dLbls>
        <c:overlap val="-25"/>
        <c:axId val="156884992"/>
        <c:axId val="156886528"/>
      </c:barChart>
      <c:catAx>
        <c:axId val="156884992"/>
        <c:scaling>
          <c:orientation val="minMax"/>
        </c:scaling>
        <c:axPos val="b"/>
        <c:majorTickMark val="none"/>
        <c:tickLblPos val="nextTo"/>
        <c:crossAx val="156886528"/>
        <c:crosses val="autoZero"/>
        <c:auto val="1"/>
        <c:lblAlgn val="ctr"/>
        <c:lblOffset val="100"/>
      </c:catAx>
      <c:valAx>
        <c:axId val="156886528"/>
        <c:scaling>
          <c:orientation val="minMax"/>
        </c:scaling>
        <c:delete val="1"/>
        <c:axPos val="l"/>
        <c:numFmt formatCode="General" sourceLinked="1"/>
        <c:tickLblPos val="nextTo"/>
        <c:crossAx val="15688499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informe_final!$D$6</c:f>
              <c:strCache>
                <c:ptCount val="1"/>
                <c:pt idx="0">
                  <c:v>Suma de cantidad</c:v>
                </c:pt>
              </c:strCache>
            </c:strRef>
          </c:tx>
          <c:dLbls>
            <c:showVal val="1"/>
          </c:dLbls>
          <c:cat>
            <c:strRef>
              <c:f>informe_final!$C$7:$C$12</c:f>
              <c:strCache>
                <c:ptCount val="6"/>
                <c:pt idx="0">
                  <c:v>Smartwatch</c:v>
                </c:pt>
                <c:pt idx="1">
                  <c:v>Chaqueta acolchada</c:v>
                </c:pt>
                <c:pt idx="2">
                  <c:v>Robot de cocina</c:v>
                </c:pt>
                <c:pt idx="3">
                  <c:v>Aceite de oliva virgen extra 1L</c:v>
                </c:pt>
                <c:pt idx="4">
                  <c:v>Crema facial hidratante</c:v>
                </c:pt>
                <c:pt idx="5">
                  <c:v>Total general</c:v>
                </c:pt>
              </c:strCache>
            </c:strRef>
          </c:cat>
          <c:val>
            <c:numRef>
              <c:f>informe_final!$D$7:$D$12</c:f>
              <c:numCache>
                <c:formatCode>General</c:formatCode>
                <c:ptCount val="6"/>
                <c:pt idx="0">
                  <c:v>80</c:v>
                </c:pt>
                <c:pt idx="1">
                  <c:v>76</c:v>
                </c:pt>
                <c:pt idx="2">
                  <c:v>71</c:v>
                </c:pt>
                <c:pt idx="3">
                  <c:v>70</c:v>
                </c:pt>
                <c:pt idx="4">
                  <c:v>69</c:v>
                </c:pt>
                <c:pt idx="5">
                  <c:v>366</c:v>
                </c:pt>
              </c:numCache>
            </c:numRef>
          </c:val>
        </c:ser>
        <c:dLbls>
          <c:showVal val="1"/>
        </c:dLbls>
        <c:overlap val="-25"/>
        <c:axId val="157334144"/>
        <c:axId val="157348224"/>
      </c:barChart>
      <c:catAx>
        <c:axId val="157334144"/>
        <c:scaling>
          <c:orientation val="minMax"/>
        </c:scaling>
        <c:axPos val="b"/>
        <c:majorTickMark val="none"/>
        <c:tickLblPos val="nextTo"/>
        <c:crossAx val="157348224"/>
        <c:crosses val="autoZero"/>
        <c:auto val="1"/>
        <c:lblAlgn val="ctr"/>
        <c:lblOffset val="100"/>
      </c:catAx>
      <c:valAx>
        <c:axId val="157348224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57334144"/>
        <c:crosses val="autoZero"/>
        <c:crossBetween val="between"/>
      </c:valAx>
    </c:plotArea>
    <c:legend>
      <c:legendPos val="t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informe_final!$G$6</c:f>
              <c:strCache>
                <c:ptCount val="1"/>
                <c:pt idx="0">
                  <c:v>Suma de ingresos</c:v>
                </c:pt>
              </c:strCache>
            </c:strRef>
          </c:tx>
          <c:dLbls>
            <c:showVal val="1"/>
          </c:dLbls>
          <c:cat>
            <c:strRef>
              <c:f>informe_final!$F$7:$F$12</c:f>
              <c:strCache>
                <c:ptCount val="6"/>
                <c:pt idx="0">
                  <c:v>Tablet 10"</c:v>
                </c:pt>
                <c:pt idx="1">
                  <c:v>Altavoz Bluetooth</c:v>
                </c:pt>
                <c:pt idx="2">
                  <c:v>Auriculares inalámbricos</c:v>
                </c:pt>
                <c:pt idx="3">
                  <c:v>Smartwatch</c:v>
                </c:pt>
                <c:pt idx="4">
                  <c:v>Lámpara LED de pie</c:v>
                </c:pt>
                <c:pt idx="5">
                  <c:v>Total general</c:v>
                </c:pt>
              </c:strCache>
            </c:strRef>
          </c:cat>
          <c:val>
            <c:numRef>
              <c:f>informe_final!$G$7:$G$12</c:f>
              <c:numCache>
                <c:formatCode>0.00</c:formatCode>
                <c:ptCount val="6"/>
                <c:pt idx="0">
                  <c:v>10466.429</c:v>
                </c:pt>
                <c:pt idx="1">
                  <c:v>8258.2093000000004</c:v>
                </c:pt>
                <c:pt idx="2">
                  <c:v>8029.3124000000007</c:v>
                </c:pt>
                <c:pt idx="3">
                  <c:v>5535.6745000000001</c:v>
                </c:pt>
                <c:pt idx="4">
                  <c:v>5394.3361999999997</c:v>
                </c:pt>
                <c:pt idx="5">
                  <c:v>37683.9614</c:v>
                </c:pt>
              </c:numCache>
            </c:numRef>
          </c:val>
        </c:ser>
        <c:dLbls>
          <c:showVal val="1"/>
        </c:dLbls>
        <c:overlap val="-25"/>
        <c:axId val="157430144"/>
        <c:axId val="157431680"/>
      </c:barChart>
      <c:catAx>
        <c:axId val="157430144"/>
        <c:scaling>
          <c:orientation val="minMax"/>
        </c:scaling>
        <c:axPos val="b"/>
        <c:majorTickMark val="none"/>
        <c:tickLblPos val="nextTo"/>
        <c:crossAx val="157431680"/>
        <c:crosses val="autoZero"/>
        <c:auto val="1"/>
        <c:lblAlgn val="ctr"/>
        <c:lblOffset val="100"/>
      </c:catAx>
      <c:valAx>
        <c:axId val="157431680"/>
        <c:scaling>
          <c:orientation val="minMax"/>
        </c:scaling>
        <c:delete val="1"/>
        <c:axPos val="l"/>
        <c:numFmt formatCode="0.00" sourceLinked="1"/>
        <c:tickLblPos val="nextTo"/>
        <c:crossAx val="157430144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informe_final!$J$6</c:f>
              <c:strCache>
                <c:ptCount val="1"/>
                <c:pt idx="0">
                  <c:v>Promedio de beneficio_pct</c:v>
                </c:pt>
              </c:strCache>
            </c:strRef>
          </c:tx>
          <c:dLbls>
            <c:showVal val="1"/>
          </c:dLbls>
          <c:cat>
            <c:strRef>
              <c:f>informe_final!$I$7:$I$12</c:f>
              <c:strCache>
                <c:ptCount val="6"/>
                <c:pt idx="0">
                  <c:v>Perfume eau de parfum 90ml</c:v>
                </c:pt>
                <c:pt idx="1">
                  <c:v>Bolso bandolera</c:v>
                </c:pt>
                <c:pt idx="2">
                  <c:v>Tablet 10"</c:v>
                </c:pt>
                <c:pt idx="3">
                  <c:v>Café en grano 1kg</c:v>
                </c:pt>
                <c:pt idx="4">
                  <c:v>Aceite de oliva virgen extra 1L</c:v>
                </c:pt>
                <c:pt idx="5">
                  <c:v>Total general</c:v>
                </c:pt>
              </c:strCache>
            </c:strRef>
          </c:cat>
          <c:val>
            <c:numRef>
              <c:f>informe_final!$J$7:$J$12</c:f>
              <c:numCache>
                <c:formatCode>0%</c:formatCode>
                <c:ptCount val="6"/>
                <c:pt idx="0">
                  <c:v>0.52511543122681137</c:v>
                </c:pt>
                <c:pt idx="1">
                  <c:v>0.46525941745861787</c:v>
                </c:pt>
                <c:pt idx="2">
                  <c:v>0.43989436245626523</c:v>
                </c:pt>
                <c:pt idx="3">
                  <c:v>0.43801593953000872</c:v>
                </c:pt>
                <c:pt idx="4" formatCode="0.00">
                  <c:v>0.43594402298397117</c:v>
                </c:pt>
                <c:pt idx="5">
                  <c:v>0.45588213787580262</c:v>
                </c:pt>
              </c:numCache>
            </c:numRef>
          </c:val>
        </c:ser>
        <c:dLbls>
          <c:showVal val="1"/>
        </c:dLbls>
        <c:overlap val="-25"/>
        <c:axId val="157456256"/>
        <c:axId val="157457792"/>
      </c:barChart>
      <c:catAx>
        <c:axId val="157456256"/>
        <c:scaling>
          <c:orientation val="minMax"/>
        </c:scaling>
        <c:axPos val="b"/>
        <c:majorTickMark val="none"/>
        <c:tickLblPos val="nextTo"/>
        <c:crossAx val="157457792"/>
        <c:crosses val="autoZero"/>
        <c:auto val="1"/>
        <c:lblAlgn val="ctr"/>
        <c:lblOffset val="100"/>
      </c:catAx>
      <c:valAx>
        <c:axId val="157457792"/>
        <c:scaling>
          <c:orientation val="minMax"/>
        </c:scaling>
        <c:delete val="1"/>
        <c:axPos val="l"/>
        <c:numFmt formatCode="0%" sourceLinked="1"/>
        <c:tickLblPos val="nextTo"/>
        <c:crossAx val="157456256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38100</xdr:rowOff>
    </xdr:from>
    <xdr:to>
      <xdr:col>13</xdr:col>
      <xdr:colOff>723900</xdr:colOff>
      <xdr:row>25</xdr:row>
      <xdr:rowOff>30480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1127760</xdr:colOff>
      <xdr:row>2</xdr:row>
      <xdr:rowOff>167640</xdr:rowOff>
    </xdr:from>
    <xdr:to>
      <xdr:col>12</xdr:col>
      <xdr:colOff>922020</xdr:colOff>
      <xdr:row>29</xdr:row>
      <xdr:rowOff>129540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15240</xdr:rowOff>
    </xdr:from>
    <xdr:to>
      <xdr:col>7</xdr:col>
      <xdr:colOff>1470660</xdr:colOff>
      <xdr:row>20</xdr:row>
      <xdr:rowOff>160020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13</xdr:row>
      <xdr:rowOff>160020</xdr:rowOff>
    </xdr:from>
    <xdr:to>
      <xdr:col>3</xdr:col>
      <xdr:colOff>4808220</xdr:colOff>
      <xdr:row>29</xdr:row>
      <xdr:rowOff>60960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396240</xdr:colOff>
      <xdr:row>13</xdr:row>
      <xdr:rowOff>114300</xdr:rowOff>
    </xdr:from>
    <xdr:to>
      <xdr:col>7</xdr:col>
      <xdr:colOff>121920</xdr:colOff>
      <xdr:row>28</xdr:row>
      <xdr:rowOff>129540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617220</xdr:colOff>
      <xdr:row>13</xdr:row>
      <xdr:rowOff>114300</xdr:rowOff>
    </xdr:from>
    <xdr:to>
      <xdr:col>10</xdr:col>
      <xdr:colOff>99060</xdr:colOff>
      <xdr:row>28</xdr:row>
      <xdr:rowOff>129540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2.581636921299" createdVersion="3" refreshedVersion="3" minRefreshableVersion="3" recordCount="2308">
  <cacheSource type="worksheet">
    <worksheetSource name="Tabla2"/>
  </cacheSource>
  <cacheFields count="21">
    <cacheField name="id_venta" numFmtId="0">
      <sharedItems/>
    </cacheField>
    <cacheField name="fecha" numFmtId="14">
      <sharedItems containsNonDate="0" containsDate="1" containsString="0" containsBlank="1" minDate="2024-01-01T00:00:00" maxDate="2026-01-01T00:00:00"/>
    </cacheField>
    <cacheField name="año" numFmtId="0">
      <sharedItems containsSemiMixedTypes="0" containsString="0" containsNumber="1" containsInteger="1" minValue="1900" maxValue="2025" count="3">
        <n v="2025"/>
        <n v="2024"/>
        <n v="1900"/>
      </sharedItems>
    </cacheField>
    <cacheField name="mes" numFmtId="0">
      <sharedItems containsSemiMixedTypes="0" containsString="0" containsNumber="1" containsInteger="1" minValue="1" maxValue="12"/>
    </cacheField>
    <cacheField name="nombre_mes" numFmtId="0">
      <sharedItems/>
    </cacheField>
    <cacheField name="trimestre" numFmtId="0">
      <sharedItems/>
    </cacheField>
    <cacheField name="id_producto" numFmtId="0">
      <sharedItems/>
    </cacheField>
    <cacheField name="producto" numFmtId="0">
      <sharedItems count="20">
        <s v="Set de sartenes"/>
        <s v="Cava brut nature"/>
        <s v="Zapatillas running"/>
        <s v="Smartwatch"/>
        <s v="Lámpara LED de pie"/>
        <s v="Crema facial hidratante"/>
        <s v="Altavoz Bluetooth"/>
        <s v="Tablet 10&quot;"/>
        <s v="Camiseta básica algodón"/>
        <s v="Auriculares inalámbricos"/>
        <s v="Café en grano 1kg"/>
        <s v="Bolso bandolera"/>
        <s v="Aceite de oliva virgen extra 1L"/>
        <s v="Chocolate a la taza 500g"/>
        <s v="Champú reparador"/>
        <s v="Aspiradora sin cable"/>
        <s v="Chaqueta acolchada"/>
        <s v="Perfume eau de parfum 90ml"/>
        <s v="Robot de cocina"/>
        <s v="Set de maquillaje"/>
      </sharedItems>
    </cacheField>
    <cacheField name="gama" numFmtId="0">
      <sharedItems count="3">
        <s v="Accesible"/>
        <s v="Económico"/>
        <s v="Caro"/>
      </sharedItems>
    </cacheField>
    <cacheField name="categoria" numFmtId="0">
      <sharedItems count="5">
        <s v="Hogar"/>
        <s v="Alimentación"/>
        <s v="Moda"/>
        <s v="Electrónica"/>
        <s v="Perfumería y Belleza"/>
      </sharedItems>
    </cacheField>
    <cacheField name="cantidad" numFmtId="0">
      <sharedItems containsSemiMixedTypes="0" containsString="0" containsNumber="1" containsInteger="1" minValue="1" maxValue="14"/>
    </cacheField>
    <cacheField name="precio_unitario" numFmtId="164">
      <sharedItems containsSemiMixedTypes="0" containsString="0" containsNumber="1" minValue="7.24" maxValue="179.97"/>
    </cacheField>
    <cacheField name="coste_unitario" numFmtId="164">
      <sharedItems containsSemiMixedTypes="0" containsString="0" containsNumber="1" minValue="4.12" maxValue="141.26"/>
    </cacheField>
    <cacheField name="descuento_pct" numFmtId="9">
      <sharedItems containsSemiMixedTypes="0" containsString="0" containsNumber="1" minValue="0" maxValue="0.3"/>
    </cacheField>
    <cacheField name="ingresos" numFmtId="164">
      <sharedItems containsSemiMixedTypes="0" containsString="0" containsNumber="1" minValue="5.4020000000000001" maxValue="2488.08"/>
    </cacheField>
    <cacheField name="costes" numFmtId="164">
      <sharedItems containsSemiMixedTypes="0" containsString="0" containsNumber="1" minValue="4.12" maxValue="1300.32"/>
    </cacheField>
    <cacheField name="beneficio" numFmtId="164">
      <sharedItems containsSemiMixedTypes="0" containsString="0" containsNumber="1" minValue="-50.756400000000014" maxValue="1187.76"/>
    </cacheField>
    <cacheField name="beneficio_pct" numFmtId="10">
      <sharedItems containsSemiMixedTypes="0" containsString="0" containsNumber="1" minValue="-0.80581491856001675" maxValue="0.59195942137892166" count="2293">
        <n v="0.4583418628454452"/>
        <n v="0.36930178880553949"/>
        <n v="0.43592879467318929"/>
        <n v="0.39115511551155119"/>
        <n v="0.26574581642871153"/>
        <n v="0.49694563225412342"/>
        <n v="0.26455450838847677"/>
        <n v="0.46428571428571414"/>
        <n v="0.31526749546025978"/>
        <n v="0.45040540540540536"/>
        <n v="0.32436134719820758"/>
        <n v="0.45858170606372045"/>
        <n v="0.43740722414646216"/>
        <n v="0.44852546916890074"/>
        <n v="0.31743925698648312"/>
        <n v="0.43056943056943053"/>
        <n v="0.47315184815184819"/>
        <n v="0.42506720430107531"/>
        <n v="0.47109826589595383"/>
        <n v="0.39686522143602176"/>
        <n v="0.43091655266757861"/>
        <n v="0.3124620060790273"/>
        <n v="0.46220570012391576"/>
        <n v="0.31311881188118812"/>
        <n v="0.45665290568434425"/>
        <n v="0.32937288206501275"/>
        <n v="0.46321911348632505"/>
        <n v="0.38873106060606061"/>
        <n v="0.4722488038277512"/>
        <n v="0.17881760339342526"/>
        <n v="0.35377814615278352"/>
        <n v="0.41763942931258102"/>
        <n v="0.30575035063113604"/>
        <n v="0.44958949096880124"/>
        <n v="0.29319436689620937"/>
        <n v="0.35520964801570615"/>
        <n v="0.45299849046246743"/>
        <n v="0.40091116173120722"/>
        <n v="0.396039603960396"/>
        <n v="0.38929534077782058"/>
        <n v="0.5640172278778387"/>
        <n v="0.42921686746987958"/>
        <n v="0.3630970964720574"/>
        <n v="0.29215167697050359"/>
        <n v="0.4959486833220797"/>
        <n v="0.32662449683726275"/>
        <n v="0.5093384745150018"/>
        <n v="0.47603715170278638"/>
        <n v="0.45380346065948418"/>
        <n v="0.30374551051821447"/>
        <n v="0.42369276218611518"/>
        <n v="0.31697908504610939"/>
        <n v="0.30736200136909581"/>
        <n v="0.32157870154133594"/>
        <n v="0.16168028429972964"/>
        <n v="0.34919690660321234"/>
        <n v="0.45746388443017655"/>
        <n v="0.31065504638740515"/>
        <n v="0.39375985272490649"/>
        <n v="0.42783835792174474"/>
        <n v="0.32291040288634992"/>
        <n v="0.55492501013376572"/>
        <n v="0.47676693568109563"/>
        <n v="7.3336704167193248E-2"/>
        <n v="0.28266812465828328"/>
        <n v="0.50314998788466203"/>
        <n v="0.41395112366112213"/>
        <n v="0.47936893203883491"/>
        <n v="0.32633557888140374"/>
        <n v="0.515732546705998"/>
        <n v="0.31150077359463646"/>
        <n v="0.32397660818713453"/>
        <n v="0.49711903886232678"/>
        <n v="0.36097800504580163"/>
        <n v="0.34508816120906805"/>
        <n v="0.23849703459393903"/>
        <n v="0.4403524969683606"/>
        <n v="0.42650443932916798"/>
        <n v="0.41606641435722136"/>
        <n v="0.40875133404482383"/>
        <n v="0.43282179768243029"/>
        <n v="0.43394969182075638"/>
        <n v="0.40720759602934836"/>
        <n v="0.4150293002412962"/>
        <n v="0.25699168556311403"/>
        <n v="0.36278221848268133"/>
        <n v="0.43392709196354601"/>
        <n v="0.45101737540009151"/>
        <n v="0.46600406595888866"/>
        <n v="0.35851023777114888"/>
        <n v="0.38832421162366432"/>
        <n v="0.10977273176549675"/>
        <n v="0.27008132286263986"/>
        <n v="0.46701164294954722"/>
        <n v="0.33606138107416877"/>
        <n v="0.3351482153660012"/>
        <n v="0.32123735871505049"/>
        <n v="0.38003388505147923"/>
        <n v="0.51720033329365556"/>
        <n v="0.22254043126684631"/>
        <n v="0.31756928553267227"/>
        <n v="0.26364800372482833"/>
        <n v="0.43217507517540926"/>
        <n v="0.48982737361282358"/>
        <n v="0.45398464056401872"/>
        <n v="0.39327411167512683"/>
        <n v="0.21750181554103137"/>
        <n v="0.39399293286219089"/>
        <n v="0.44738968805560042"/>
        <n v="0.47578534031413611"/>
        <n v="3.0221992178513974E-2"/>
        <n v="0.32381716118684856"/>
        <n v="0.42322037510656441"/>
        <n v="0.33985165205664203"/>
        <n v="0.29867380245243613"/>
        <n v="0.35825585963074508"/>
        <n v="0.29733194455572465"/>
        <n v="0.48069537093187786"/>
        <n v="0.40583366976180862"/>
        <n v="0.44173266526588006"/>
        <n v="0.40100755667506299"/>
        <n v="0.21572327044025147"/>
        <n v="0.34487871419251537"/>
        <n v="0.37198067632850235"/>
        <n v="0.35149051490514904"/>
        <n v="0.3582437859546293"/>
        <n v="0.38207670232194102"/>
        <n v="0.16388586216289847"/>
        <n v="0.51152129328025087"/>
        <n v="0.44677710349352145"/>
        <n v="0.46570397111913359"/>
        <n v="0.39849166768033073"/>
        <n v="0.28925619834710742"/>
        <n v="0.36107884888372693"/>
        <n v="0.36228455512611291"/>
        <n v="0.39680662329982258"/>
        <n v="0.47732793522267203"/>
        <n v="0.36249150859591356"/>
        <n v="0.45308670790057182"/>
        <n v="0.46906250000000005"/>
        <n v="0.30627306273062727"/>
        <n v="0.45073891625615764"/>
        <n v="0.45408094661826004"/>
        <n v="0.28567792295944344"/>
        <n v="0.20118879344713847"/>
        <n v="0.51705526770293608"/>
        <n v="0.31275818003506806"/>
        <n v="0.5008978810008381"/>
        <n v="0.29136253041362536"/>
        <n v="0.53899129025724113"/>
        <n v="0.55597162002364997"/>
        <n v="0.32658890740299923"/>
        <n v="0.3835978835978836"/>
        <n v="0.30873575691806837"/>
        <n v="0.34919175668428709"/>
        <n v="0.46572327044025164"/>
        <n v="0.34223568281938327"/>
        <n v="0.28851980698013696"/>
        <n v="0.4739633558341369"/>
        <n v="0.33022170361726955"/>
        <n v="0.43864187550525469"/>
        <n v="0.43296839495971906"/>
        <n v="0.45298105336346256"/>
        <n v="0.40817634243239781"/>
        <n v="0.28652939717191761"/>
        <n v="0.29663281667557451"/>
        <n v="0.35493372606774665"/>
        <n v="0.40948717948717944"/>
        <n v="0.43603238866396765"/>
        <n v="0.31834625322997423"/>
        <n v="0.40170535291331116"/>
        <n v="0.46765094226383386"/>
        <n v="0.42028985507246369"/>
        <n v="0.55905963302752304"/>
        <n v="0.29031855869334827"/>
        <n v="0.380201779367287"/>
        <n v="0.31201377375334777"/>
        <n v="0.46570886419083762"/>
        <n v="0.3344831747691937"/>
        <n v="0.46146660439047182"/>
        <n v="0.34463667820069199"/>
        <n v="0.40449095712253608"/>
        <n v="0.47817073170731705"/>
        <n v="0.310058663614251"/>
        <n v="0.41970286522815703"/>
        <n v="0.35195004123954277"/>
        <n v="0.44195305951383068"/>
        <n v="0.29684712660385582"/>
        <n v="0.26430863867344206"/>
        <n v="0.25442622950819677"/>
        <n v="0.35505287896592241"/>
        <n v="0.47306485355648537"/>
        <n v="0.36180228648285134"/>
        <n v="0.26269478774852228"/>
        <n v="0.18476300411225735"/>
        <n v="0.44242824150445392"/>
        <n v="0.48476098812961188"/>
        <n v="0.30761516480197837"/>
        <n v="0.39386326933429028"/>
        <n v="0.46157540826128718"/>
        <n v="0.22236842105263147"/>
        <n v="0.47405189620758481"/>
        <n v="0.34856361149110804"/>
        <n v="0.46221281741233372"/>
        <n v="0.43092566619915845"/>
        <n v="0.26332453825857516"/>
        <n v="0.45161290322580638"/>
        <n v="0.3988965041596621"/>
        <n v="0.18652919121585429"/>
        <n v="0.41902944383860419"/>
        <n v="0.31541725601131548"/>
        <n v="0.23562488663159806"/>
        <n v="0.30774071743234749"/>
        <n v="0.42785926702774141"/>
        <n v="0.34167140420693576"/>
        <n v="0.40055347884320108"/>
        <n v="0.54874213836477992"/>
        <n v="0.31044570641886077"/>
        <n v="0.47851002865329517"/>
        <n v="0.32423555173222812"/>
        <n v="0.36472131147540987"/>
        <n v="0.22526506380682118"/>
        <n v="0.28758224369118007"/>
        <n v="0.34553620032661941"/>
        <n v="0.43327995729917268"/>
        <n v="0.48191605177210589"/>
        <n v="0.45806451612903226"/>
        <n v="0.28424607252973133"/>
        <n v="0.25833333333333336"/>
        <n v="0.39387755102040811"/>
        <n v="0.40131291028446392"/>
        <n v="0.43904732058915708"/>
        <n v="0.45386942273758507"/>
        <n v="0.34644943129418998"/>
        <n v="0.51949101191678448"/>
        <n v="0.25652841781874047"/>
        <n v="0.32596291012838807"/>
        <n v="0.4374701385570951"/>
        <n v="0.37149285336156695"/>
        <n v="0.36621764395139988"/>
        <n v="0.32886519421172888"/>
        <n v="0.50647571606475705"/>
        <n v="0.2747232807113047"/>
        <n v="0.37349094567404423"/>
        <n v="0.43437500000000001"/>
        <n v="0.35470059699692458"/>
        <n v="0.47870870493656575"/>
        <n v="0.35617584423486454"/>
        <n v="0.59195942137892166"/>
        <n v="0.31375101708706266"/>
        <n v="0.4098423194303154"/>
        <n v="0.28307810597808675"/>
        <n v="0.26959403479701727"/>
        <n v="0.42092772384034521"/>
        <n v="0.34733178654292346"/>
        <n v="0.3184114510244177"/>
        <n v="0.40130568356374807"/>
        <n v="0.41182117388919365"/>
        <n v="0.47051541751069104"/>
        <n v="0.45812395309882747"/>
        <n v="0.41207670338637298"/>
        <n v="0.32530120481927721"/>
        <n v="0.43230361871138573"/>
        <n v="0.40049044914816717"/>
        <n v="0.31910378830431252"/>
        <n v="0.47820224719101129"/>
        <n v="0.39228352085051932"/>
        <n v="0.38964004236413902"/>
        <n v="0.37344398340248974"/>
        <n v="0.48445146014206797"/>
        <n v="0.3581456953642384"/>
        <n v="0.26288300835654588"/>
        <n v="0.36603773584905663"/>
        <n v="0.5300011928903734"/>
        <n v="0.44349419670128282"/>
        <n v="0.36849574266792812"/>
        <n v="0.34757505773672054"/>
        <n v="0.49775307473982972"/>
        <n v="0.23718913178157355"/>
        <n v="0.391675560298826"/>
        <n v="4.6522777105838804E-2"/>
        <n v="0.45532194480946131"/>
        <n v="0.41503759398496237"/>
        <n v="0.46987709046947423"/>
        <n v="0.45888362820832307"/>
        <n v="0.34999103739902371"/>
        <n v="0.28468899521531088"/>
        <n v="0.5443556648227823"/>
        <n v="0.27897813095159912"/>
        <n v="0.49844036697247707"/>
        <n v="0.40315934065934061"/>
        <n v="0.4585916388491495"/>
        <n v="0.35097813578826242"/>
        <n v="0.28855639290756735"/>
        <n v="0.4362989323843417"/>
        <n v="0.47162351740849373"/>
        <n v="0.33138856476079342"/>
        <n v="0.2235371466140697"/>
        <n v="0.40999894302927808"/>
        <n v="0.40558510638297868"/>
        <n v="0.43435621638721927"/>
        <n v="0.3444576877234804"/>
        <n v="0.18660220610708209"/>
        <n v="0.44714881780250348"/>
        <n v="0.37863372093023251"/>
        <n v="0.37065052950075639"/>
        <n v="0.47102183209543097"/>
        <n v="0.2758529549420356"/>
        <n v="0.3922472214692328"/>
        <n v="0.43236166870308945"/>
        <n v="0.34814484253474437"/>
        <n v="0.49402154611104532"/>
        <n v="0.48493351226058318"/>
        <n v="0.53379620175617726"/>
        <n v="1.5083599096649671E-2"/>
        <n v="0.3402723430896854"/>
        <n v="0.40037776200993375"/>
        <n v="0.45808012604096326"/>
        <n v="0.35821682933262988"/>
        <n v="0.28254211332312412"/>
        <n v="0.53692065985860182"/>
        <n v="0.40680056377730794"/>
        <n v="0.40663058186738837"/>
        <n v="0.4317867036011081"/>
        <n v="0.2817062445030783"/>
        <n v="0.31717069324773328"/>
        <n v="0.43375924680564898"/>
        <n v="0.47286945419725496"/>
        <n v="0.49467738431457742"/>
        <n v="0.44489907255864691"/>
        <n v="0.22874093605800927"/>
        <n v="0.31357718536887785"/>
        <n v="0.37658674188998592"/>
        <n v="0.46974175916113559"/>
        <n v="0.26716814159292035"/>
        <n v="0.36517633990558174"/>
        <n v="0.56764481707317072"/>
        <n v="0.40292648108493939"/>
        <n v="0.47103490508266999"/>
        <n v="0.45238819592333429"/>
        <n v="0.4548165653837497"/>
        <n v="0.26903203582500868"/>
        <n v="0.43649158942670785"/>
        <n v="0.42734719596723375"/>
        <n v="0.32921327482850254"/>
        <n v="5.2852442263975931E-2"/>
        <n v="0.5800980022615907"/>
        <n v="0.33605619996732561"/>
        <n v="0.37940094587493434"/>
        <n v="0.29335260115606943"/>
        <n v="0.27494456762749436"/>
        <n v="0.37916950306330838"/>
        <n v="0.35287356321839075"/>
        <n v="0.29646355425518384"/>
        <n v="0.33678756476683935"/>
        <n v="0.36895223420647155"/>
        <n v="0.52328997062526228"/>
        <n v="0.41822429906542052"/>
        <n v="0.4127235680326013"/>
        <n v="0.20368919499844604"/>
        <n v="0.32666666666666672"/>
        <n v="0.36245954692556631"/>
        <n v="0.16072798951558398"/>
        <n v="0.44898715415019769"/>
        <n v="0.39646464646464652"/>
        <n v="0.4799741602067184"/>
        <n v="0.41792020928711571"/>
        <n v="0.2648057016799592"/>
        <n v="0.2403981029991317"/>
        <n v="0.1731295620437957"/>
        <n v="0.44310189359783586"/>
        <n v="0.42795595978937295"/>
        <n v="0.4624708624708625"/>
        <n v="0.44000806614236748"/>
        <n v="0.22945430637738329"/>
        <n v="0.46119845577127511"/>
        <n v="0.39454806312768997"/>
        <n v="0.28833301508497233"/>
        <n v="0.34986605674181059"/>
        <n v="0.44933679748393263"/>
        <n v="0.38748335552596541"/>
        <n v="0.45060827250608276"/>
        <n v="0.25584255842558434"/>
        <n v="0.34286531312553614"/>
        <n v="0.44775526420341677"/>
        <n v="0.3199658455442641"/>
        <n v="0.23477694562031898"/>
        <n v="0.30659536541889476"/>
        <n v="0.38247171710116129"/>
        <n v="0.54611317799099279"/>
        <n v="0.10694852541081734"/>
        <n v="0.30730522949329964"/>
        <n v="0.45024630541871918"/>
        <n v="0.29568302779420458"/>
        <n v="0.42395877156079093"/>
        <n v="0.46334971334971337"/>
        <n v="0.4784136546184739"/>
        <n v="0.54922576945134782"/>
        <n v="0.38705277515475817"/>
        <n v="0.31813759555246701"/>
        <n v="0.21191475329620937"/>
        <n v="0.24090909090909096"/>
        <n v="0.38447357640311347"/>
        <n v="0.42802056555269924"/>
        <n v="0.4115019542155221"/>
        <n v="0.3885450954575379"/>
        <n v="0.33004791238877484"/>
        <n v="0.46008254716981134"/>
        <n v="0.43323065772784919"/>
        <n v="0.35894463507372715"/>
        <n v="0.29705858520379219"/>
        <n v="0.52547770700636942"/>
        <n v="0.35191815856777497"/>
        <n v="0.26359832635983266"/>
        <n v="0.32650638171564256"/>
        <n v="0.37395165268870251"/>
        <n v="0.37479185346483918"/>
        <n v="0.54389349797414621"/>
        <n v="0.31649708612540101"/>
        <n v="0.47400736799017595"/>
        <n v="0.23583662714097497"/>
        <n v="0.28255883102540136"/>
        <n v="0.45222822417285624"/>
        <n v="0.3792105263157895"/>
        <n v="0.30029409426913595"/>
        <n v="0.24984430730906415"/>
        <n v="0.33664459161147908"/>
        <n v="0.33506646971935"/>
        <n v="0.30541871921182273"/>
        <n v="0.30334256238567353"/>
        <n v="0.26732133115111834"/>
        <n v="0.434108527131783"/>
        <n v="0.45406301824212264"/>
        <n v="0.29317336938154787"/>
        <n v="-3.6278275714895537E-2"/>
        <n v="0.3679925253603844"/>
        <n v="0.40599241135679703"/>
        <n v="0.4246461282264779"/>
        <n v="0.37858900738310086"/>
        <n v="0.49457013574660635"/>
        <n v="0.45803933854578144"/>
        <n v="0.29026586990033459"/>
        <n v="9.5711945010590216E-2"/>
        <n v="0.46139995498537023"/>
        <n v="0.40652511651993789"/>
        <n v="0.40152301834544829"/>
        <n v="0.45874183006535946"/>
        <n v="0.2866507747318236"/>
        <n v="0.50263932877701833"/>
        <n v="0.28141891891891896"/>
        <n v="0.26026531901452932"/>
        <n v="0.40995315856214898"/>
        <n v="0.4711955018895751"/>
        <n v="0.27881631538442453"/>
        <n v="0.27742543709290368"/>
        <n v="0.37794432548179874"/>
        <n v="0.43699281242754467"/>
        <n v="0.36406433895645351"/>
        <n v="0.35973154362416115"/>
        <n v="0.45904023267086774"/>
        <n v="0.42669296515450361"/>
        <n v="0.17845420769397374"/>
        <n v="0.24808882417182374"/>
        <n v="0.32221624529316839"/>
        <n v="0.31026663538978816"/>
        <n v="0.2516843530884092"/>
        <n v="0.15695590796007561"/>
        <n v="0.37710194675691999"/>
        <n v="0.37199795605518654"/>
        <n v="0.37763046326986816"/>
        <n v="0.36705028334918388"/>
        <n v="0.30132283168589469"/>
        <n v="0.34270184866843584"/>
        <n v="0.27248999477988511"/>
        <n v="0.52414833980163866"/>
        <n v="0.46014492753623182"/>
        <n v="0.42645074224021595"/>
        <n v="0.56020544036522735"/>
        <n v="0.45087719298245615"/>
        <n v="0.32940275650842266"/>
        <n v="0.44336882865440463"/>
        <n v="0.41639463184620962"/>
        <n v="0.50263736263736258"/>
        <n v="0.27542687453600601"/>
        <n v="0.35461490489554104"/>
        <n v="0.44950681070925319"/>
        <n v="0.54924613275895828"/>
        <n v="0.38357400722021656"/>
        <n v="0.33101529902642568"/>
        <n v="0.47581003106968489"/>
        <n v="0.38769670958512165"/>
        <n v="0.4088412959912136"/>
        <n v="0.2577946768060837"/>
        <n v="0.48745574880714182"/>
        <n v="0.32223638101306157"/>
        <n v="0.24324804548685142"/>
        <n v="0.4641571010578438"/>
        <n v="0.33380153680905572"/>
        <n v="0.46884472886493772"/>
        <n v="0.33783783783783783"/>
        <n v="2.3949959068869178E-2"/>
        <n v="0.396061847495705"/>
        <n v="0.47427016328550226"/>
        <n v="0.34185082872928185"/>
        <n v="0.58882386256371533"/>
        <n v="0.42706237424547283"/>
        <n v="0.32921878883273964"/>
        <n v="0.46709594333547971"/>
        <n v="0.36933265410086602"/>
        <n v="0.22993827160493829"/>
        <n v="0.30916976456009909"/>
        <n v="-0.30001840603718016"/>
        <n v="0.29843667662041107"/>
        <n v="0.41970293258854896"/>
        <n v="0.35621699471915502"/>
        <n v="0.38155958803334972"/>
        <n v="0.2970112079701121"/>
        <n v="0.28819993672888322"/>
        <n v="0.44192817858298283"/>
        <n v="0.28694404591104733"/>
        <n v="0.37285780453913853"/>
        <n v="0.36366013071895426"/>
        <n v="0.38227887944601824"/>
        <n v="0.45457513515589743"/>
        <n v="0.34262948207171307"/>
        <n v="0.2388311572963851"/>
        <n v="0.40383644623927312"/>
        <n v="0.30391024583402082"/>
        <n v="0.42209201388888878"/>
        <n v="0.40828509406657021"/>
        <n v="0.55322795657969903"/>
        <n v="0.34979838709677419"/>
        <n v="0.31968948482709941"/>
        <n v="0.38180331698201359"/>
        <n v="0.35049645390070922"/>
        <n v="0.44329896907216493"/>
        <n v="0.15183323321424441"/>
        <n v="0.44534436545857131"/>
        <n v="0.45145631067961173"/>
        <n v="0.30680104753590992"/>
        <n v="0.47669113271176355"/>
        <n v="0.40343915343915338"/>
        <n v="0.38435670693735213"/>
        <n v="0.45063938618925831"/>
        <n v="0.42243463534898651"/>
        <n v="0.32285890326555761"/>
        <n v="0.3215590742996346"/>
        <n v="0.47594895287958111"/>
        <n v="0.48761367199749139"/>
        <n v="0.41224489795918362"/>
        <n v="0.46217105263157898"/>
        <n v="0.42916811695092244"/>
        <n v="0.28816083395383468"/>
        <n v="0.38490770901194349"/>
        <n v="0.20761580865698898"/>
        <n v="0.3556593977154725"/>
        <n v="0.41762578099309433"/>
        <n v="0.25448776055997341"/>
        <n v="0.38491195165155778"/>
        <n v="0.50675970344526822"/>
        <n v="0.4408783783783784"/>
        <n v="0.47582697201017815"/>
        <n v="0.45206878937510647"/>
        <n v="0.38472834067547723"/>
        <n v="0.39697618410489699"/>
        <n v="0.34559636765818741"/>
        <n v="0.26967741935483869"/>
        <n v="0.35309243470023022"/>
        <n v="0.34898093359631821"/>
        <n v="0.31823599523241963"/>
        <n v="0.38498334329888106"/>
        <n v="0.47602970965563807"/>
        <n v="0.32159783344617471"/>
        <n v="0.45145391818629865"/>
        <n v="0.47009538540861046"/>
        <n v="0.26732673267326734"/>
        <n v="0.22614150555327034"/>
        <n v="0.31565495207667726"/>
        <n v="0.26204819277108432"/>
        <n v="0.44336569579288027"/>
        <n v="0.45033112582781459"/>
        <n v="0.49016100178890876"/>
        <n v="0.33510953226761397"/>
        <n v="0.47368421052631582"/>
        <n v="0.32467976088812978"/>
        <n v="0.29905865314989144"/>
        <n v="0.30694275274056038"/>
        <n v="0.38272921108742003"/>
        <n v="0.29272948117300024"/>
        <n v="0.46711041503523887"/>
        <n v="0.44680851063829785"/>
        <n v="0.30322217532010681"/>
        <n v="0.4914472203466127"/>
        <n v="0.34814427600627279"/>
        <n v="0.25857238158772516"/>
        <n v="0.43859861671839412"/>
        <n v="0.39498153101515732"/>
        <n v="0.46938202247191008"/>
        <n v="0.29504591902729271"/>
        <n v="0.482392667631452"/>
        <n v="0.40143921870984317"/>
        <n v="7.0588235294117549E-2"/>
        <n v="0.33595641646489099"/>
        <n v="0.45741380319615998"/>
        <n v="0.15584321860031636"/>
        <n v="0.3552542372881356"/>
        <n v="0.45042016806722684"/>
        <n v="0.36368244518501736"/>
        <n v="0.34331797235023037"/>
        <n v="0.36903156190990016"/>
        <n v="0.28791208791208789"/>
        <n v="0.44601412714429872"/>
        <n v="0.19875834073995466"/>
        <n v="0.29487833928875284"/>
        <n v="0.45392554367858462"/>
        <n v="0.39687795648060548"/>
        <n v="0.43219538523815954"/>
        <n v="0.48344535723176502"/>
        <n v="0.43466619064619777"/>
        <n v="0.46664262531554279"/>
        <n v="0.30898203592814372"/>
        <n v="0.23903369357914811"/>
        <n v="0.39373143500973062"/>
        <n v="0.37195671776375111"/>
        <n v="0.24734699325902698"/>
        <n v="0.51267127440281313"/>
        <n v="0.50045787545787546"/>
        <n v="0.38019840775108199"/>
        <n v="0.42573018080667602"/>
        <n v="0.42713747983509587"/>
        <n v="0.44918444165621085"/>
        <n v="0.40614498319731157"/>
        <n v="0.45875534548728336"/>
        <n v="0.25391471396341059"/>
        <n v="0.41937094358462307"/>
        <n v="0.29737479291448965"/>
        <n v="0.29748163693599156"/>
        <n v="0.41777675700505273"/>
        <n v="0.21941489361702118"/>
        <n v="0.36134676564156942"/>
        <n v="0.28731030029060378"/>
        <n v="0.33759902498476546"/>
        <n v="0.45937429664641011"/>
        <n v="0.39452387375236042"/>
        <n v="0.36080536912751682"/>
        <n v="0.42308388108303685"/>
        <n v="0.47456059204440337"/>
        <n v="0.34028312503701957"/>
        <n v="0.29688325409403066"/>
        <n v="0.47492343032159268"/>
        <n v="0.43185769693727433"/>
        <n v="0.3875930521091811"/>
        <n v="0.30190199871050932"/>
        <n v="0.28135048231511256"/>
        <n v="0.31466470154753129"/>
        <n v="0.45416276894293728"/>
        <n v="0.44133395960544863"/>
        <n v="0.39308855291576672"/>
        <n v="0.32340703271599902"/>
        <n v="0.46701164294954728"/>
        <n v="0.57063125481139343"/>
        <n v="0.49186295503212002"/>
        <n v="0.32845647403072425"/>
        <n v="0.29252669039145912"/>
        <n v="0.1672193352865621"/>
        <n v="0.26546546546546546"/>
        <n v="0.40773538221122546"/>
        <n v="0.41294867494129484"/>
        <n v="0.30886577752098482"/>
        <n v="0.49225139905294879"/>
        <n v="0.48185117967332131"/>
        <n v="0.41153913195049679"/>
        <n v="0.48834890965732086"/>
        <n v="0.35109819121447033"/>
        <n v="0.26263871763255231"/>
        <n v="0.30435510887772194"/>
        <n v="0.40480935299588144"/>
        <n v="0.31854171129310921"/>
        <n v="0.40276853454013045"/>
        <n v="0.47541075849651132"/>
        <n v="0.15255101312567157"/>
        <n v="0.40740100293965065"/>
        <n v="0.24461956161843587"/>
        <n v="0.46954201867496659"/>
        <n v="0.40870904759345844"/>
        <n v="0.47523376295173109"/>
        <n v="0.39735354573484083"/>
        <n v="0.32551528073916136"/>
        <n v="0.33027823240589199"/>
        <n v="0.39077340569877878"/>
        <n v="0.33906071019473089"/>
        <n v="0.30695266272189353"/>
        <n v="0.23671931083991382"/>
        <n v="0.46861021132191882"/>
        <n v="0.47678795483061481"/>
        <n v="0.39061417686446553"/>
        <n v="0.46597537265068045"/>
        <n v="0.37992115114905073"/>
        <n v="0.48106402164111811"/>
        <n v="0.41871794871794865"/>
        <n v="0.4033642293168555"/>
        <n v="0.32860615883306332"/>
        <n v="0.3339343105745865"/>
        <n v="0.46507352941176466"/>
        <n v="0.27004165331624486"/>
        <n v="0.37334165756204146"/>
        <n v="0.33047971618078048"/>
        <n v="0.41760575643928044"/>
        <n v="0.49229124465451268"/>
        <n v="0.28203592814371253"/>
        <n v="0.2715882153741957"/>
        <n v="0.32388086944026967"/>
        <n v="-2.9242865977559915E-2"/>
        <n v="0.48225602027883396"/>
        <n v="0.34302515517804638"/>
        <n v="0.36152954808806498"/>
        <n v="0.30500000000000005"/>
        <n v="0.34565928631210535"/>
        <n v="0.26582718193660454"/>
        <n v="0.42691154422788613"/>
        <n v="0.438535692581903"/>
        <n v="0.43832020997375326"/>
        <n v="0.27738396624472578"/>
        <n v="0.1970506912442396"/>
        <n v="0.40007574801161466"/>
        <n v="0.54735521639138618"/>
        <n v="0.468663967611336"/>
        <n v="0.48653582838886356"/>
        <n v="0.44343163538873992"/>
        <n v="0.38178506375227689"/>
        <n v="0.40215121136173765"/>
        <n v="0.33952125061064969"/>
        <n v="0.39984070091596968"/>
        <n v="0.25624912721686915"/>
        <n v="0.48399071925754067"/>
        <n v="0.4010542499450912"/>
        <n v="0.22636036694844505"/>
        <n v="0.22713567839195972"/>
        <n v="0.3130086357013398"/>
        <n v="0.27686472819216185"/>
        <n v="0.40166624589750066"/>
        <n v="0.21907683726119076"/>
        <n v="0.26984126984126983"/>
        <n v="0.16749625105705107"/>
        <n v="0.43869076697606252"/>
        <n v="0.29115479115479126"/>
        <n v="0.35151515151515156"/>
        <n v="0.38308070993652027"/>
        <n v="0.36105808562857927"/>
        <n v="0.3159203980099502"/>
        <n v="0.23934426229508199"/>
        <n v="0.26073428749222149"/>
        <n v="0.44505026409950588"/>
        <n v="0.5015384615384616"/>
        <n v="0.39590885551527705"/>
        <n v="0.53798208024931837"/>
        <n v="0.47083019523781944"/>
        <n v="0.45563549160671463"/>
        <n v="0.44760881246641593"/>
        <n v="0.34768740031897927"/>
        <n v="0.43359440093317775"/>
        <n v="0.42838283828382839"/>
        <n v="0.31563201196709045"/>
        <n v="0.47705544933078398"/>
        <n v="0.4418007042923765"/>
        <n v="0.45161290322580644"/>
        <n v="0.48339249492900604"/>
        <n v="0.49761677788369879"/>
        <n v="0.48632765651235299"/>
        <n v="0.40497655968265417"/>
        <n v="0.26768642447418733"/>
        <n v="0.44665012406947896"/>
        <n v="0.46704660354812028"/>
        <n v="0.46748466257668714"/>
        <n v="0.54638743455497385"/>
        <n v="0.45728038507821905"/>
        <n v="0.45492866407263299"/>
        <n v="0.55500821018062396"/>
        <n v="0.28138893147324845"/>
        <n v="0.32946512723845423"/>
        <n v="0.42399999999999999"/>
        <n v="0.24256346976817456"/>
        <n v="0.53120552957918277"/>
        <n v="0.40427807486631012"/>
        <n v="0.49024756189047258"/>
        <n v="0.46519370460048426"/>
        <n v="0.42265267688996505"/>
        <n v="0.51180069930069927"/>
        <n v="0.20922056026543312"/>
        <n v="0.41716867469879526"/>
        <n v="0.462223291626564"/>
        <n v="0.26215098241985518"/>
        <n v="0.56298353501289422"/>
        <n v="4.7619047619047471E-2"/>
        <n v="0.55828104202319839"/>
        <n v="0.54423198150872032"/>
        <n v="0.43369798589101322"/>
        <n v="0.40812112869924294"/>
        <n v="0.47360000000000002"/>
        <n v="0.32555282555282555"/>
        <n v="0.43747921516461591"/>
        <n v="0.22065901517956316"/>
        <n v="0.446081208687441"/>
        <n v="0.45532297996848975"/>
        <n v="0.52420033670033672"/>
        <n v="0.39862724392819432"/>
        <n v="0.38932538607423461"/>
        <n v="0.44980868782354266"/>
        <n v="0.51714822645055214"/>
        <n v="0.31055155875299761"/>
        <n v="0.47530784186649389"/>
        <n v="0.47833670943056494"/>
        <n v="0.44967793880837359"/>
        <n v="0.55242814667988116"/>
        <n v="0.48853832881439491"/>
        <n v="0.40801051886315365"/>
        <n v="0.47303073478526358"/>
        <n v="0.43036144578313251"/>
        <n v="0.36884888953403983"/>
        <n v="0.34219955898566712"/>
        <n v="0.38785444809541192"/>
        <n v="0.36859395532194478"/>
        <n v="0.30603600423579241"/>
        <n v="0.46585804132973946"/>
        <n v="0.47540721814116893"/>
        <n v="0.4884944920440637"/>
        <n v="0.21560416799081766"/>
        <n v="0.46832607342874921"/>
        <n v="0.39062541498433934"/>
        <n v="0.2744412668149559"/>
        <n v="0.48935185185185198"/>
        <n v="0.1764003277732254"/>
        <n v="0.41009708737864076"/>
        <n v="0.44437787098062714"/>
        <n v="0.49530168150346188"/>
        <n v="0.44451849383538816"/>
        <n v="0.47321131447587356"/>
        <n v="0.24091547881951414"/>
        <n v="0.48718269351006627"/>
        <n v="0.40273168241000767"/>
        <n v="0.48209280597944565"/>
        <n v="0.15642082705264893"/>
        <n v="8.9255669162074364E-2"/>
        <n v="0.44412191582002908"/>
        <n v="0.41881557887248805"/>
        <n v="0.39695857367593079"/>
        <n v="0.5191893057352307"/>
        <n v="0.37845517156181474"/>
        <n v="0.32705772522172083"/>
        <n v="0.48964301454385195"/>
        <n v="0.48778978167904558"/>
        <n v="0.45933395250099512"/>
        <n v="0.49642573471008739"/>
        <n v="0.38137151865475566"/>
        <n v="0.27716186252771619"/>
        <n v="0.47879295892707457"/>
        <n v="0.27047780266386368"/>
        <n v="0.41620973269362577"/>
        <n v="0.30587344328508925"/>
        <n v="0.33630321029557342"/>
        <n v="0.39047837033646143"/>
        <n v="0.38878652276914982"/>
        <n v="0.50064683053040104"/>
        <n v="0.49186676994577849"/>
        <n v="0.45604125736738704"/>
        <n v="0.3804794520547945"/>
        <n v="0.4302145257172395"/>
        <n v="0.49954586739327883"/>
        <n v="0.41331567541536246"/>
        <n v="0.43660598179453847"/>
        <n v="0.3681102362204724"/>
        <n v="0.41803728070175433"/>
        <n v="0.50173995571021834"/>
        <n v="0.4773801485482782"/>
        <n v="0.36404990902001561"/>
        <n v="0.41584754262788365"/>
        <n v="0.43161332992691315"/>
        <n v="0.39231282678829682"/>
        <n v="0.36453744493392076"/>
        <n v="0.46017274472168906"/>
        <n v="0.25410872313527172"/>
        <n v="0.24794007490636708"/>
        <n v="0.39557333565247638"/>
        <n v="0.45476029709655635"/>
        <n v="0.36296296296296299"/>
        <n v="0.41438534401998539"/>
        <n v="0.46753319828944406"/>
        <n v="0.44317399090783854"/>
        <n v="0.43489318413021361"/>
        <n v="0.47366071428571427"/>
        <n v="0.38719932137337904"/>
        <n v="0.34885091337654678"/>
        <n v="0.42250646346441689"/>
        <n v="0.22714476218699081"/>
        <n v="0.44705154175106909"/>
        <n v="-0.38311458927746539"/>
        <n v="0.49370393120393125"/>
        <n v="0.42043735387154446"/>
        <n v="0.44361054766734276"/>
        <n v="0.46468401486988847"/>
        <n v="0.39353478566408989"/>
        <n v="0.56000752445447699"/>
        <n v="0.35408719346049056"/>
        <n v="0.48418787425149695"/>
        <n v="0.24474474474474472"/>
        <n v="0.44946641556811051"/>
        <n v="0.41705875256363856"/>
        <n v="0.46920205319645358"/>
        <n v="0.37623831380240746"/>
        <n v="0.29449148961344085"/>
        <n v="0.28123983078424997"/>
        <n v="0.399582075690736"/>
        <n v="0.3077312626603646"/>
        <n v="0.4989657293006094"/>
        <n v="0.46489270386266091"/>
        <n v="0.41039251292079904"/>
        <n v="0.46737144348734011"/>
        <n v="0.23124888651345099"/>
        <n v="0.28696407105649802"/>
        <n v="0.26871072176728239"/>
        <n v="0.48381979695431476"/>
        <n v="0.18781642177476549"/>
        <n v="0.48684000638060293"/>
        <n v="0.48252769998782413"/>
        <n v="0.24387306983992083"/>
        <n v="0.34431178811582275"/>
        <n v="0.22128555184903498"/>
        <n v="0.44210009813542689"/>
        <n v="0.34371257485029927"/>
        <n v="0.39077340569877883"/>
        <n v="0.49400798934753665"/>
        <n v="0.45396825396825397"/>
        <n v="0.39320070590329959"/>
        <n v="0.46425773599686643"/>
        <n v="0.3062426383981155"/>
        <n v="0.37568756875687576"/>
        <n v="0.32002801120448177"/>
        <n v="0.33593981399206213"/>
        <n v="0.44583470530128422"/>
        <n v="0.45421245421245421"/>
        <n v="0.42393915132105681"/>
        <n v="0.48900356309128884"/>
        <n v="0.44653392330383485"/>
        <n v="0.46466809421841548"/>
        <n v="0.40909090909090912"/>
        <n v="0.44807562457798789"/>
        <n v="0.55962941060516458"/>
        <n v="0.36548154202424737"/>
        <n v="0.3792714760322734"/>
        <n v="0.42377325508802599"/>
        <n v="0.31952662721893488"/>
        <n v="0.29174093879976226"/>
        <n v="0.26411221347930208"/>
        <n v="0.44742801682303468"/>
        <n v="0.41426063207179087"/>
        <n v="0.51563841530724885"/>
        <n v="0.45607973421926906"/>
        <n v="0.29607145954383834"/>
        <n v="0.28917077754287063"/>
        <n v="0.5083170254403131"/>
        <n v="0.40905947441217155"/>
        <n v="0.37919143258183591"/>
        <n v="0.42848369535583819"/>
        <n v="0.2540574282147316"/>
        <n v="6.1444819619690949E-2"/>
        <n v="0.47676956657312125"/>
        <n v="0.52551233793391883"/>
        <n v="0.33054750127920862"/>
        <n v="0.26643623588482584"/>
        <n v="0.38799850913156919"/>
        <n v="0.46914153132250586"/>
        <n v="0.43235781336278301"/>
        <n v="0.44420640834575253"/>
        <n v="0.44113842173350581"/>
        <n v="0.4466812836356388"/>
        <n v="0.45208799403430278"/>
        <n v="0.35934769947583001"/>
        <n v="0.45872340425531916"/>
        <n v="0.47496947496947506"/>
        <n v="0.37701708590412902"/>
        <n v="0.48112352763515553"/>
        <n v="0.29805160610847808"/>
        <n v="0.26154806491885141"/>
        <n v="0.55498668851116117"/>
        <n v="0.38273708120386146"/>
        <n v="0.26795488472383483"/>
        <n v="0.35586350796409061"/>
        <n v="0.42327344651392779"/>
        <n v="0.56388942586506863"/>
        <n v="0.36007875953728763"/>
        <n v="0.35648873855292462"/>
        <n v="0.31053013798111834"/>
        <n v="0.48686514886164622"/>
        <n v="0.32863021751910648"/>
        <n v="0.3095470202118672"/>
        <n v="0.42623487078835465"/>
        <n v="0.27093194488271793"/>
        <n v="0.41298701298701307"/>
        <n v="0.24522647486942381"/>
        <n v="0.45832869700678763"/>
        <n v="0.50912386706948642"/>
        <n v="0.33612474732890568"/>
        <n v="0.43263118534214134"/>
        <n v="0.41452710116304586"/>
        <n v="0.46024678794046558"/>
        <n v="0.2675437780300351"/>
        <n v="0.46939714680165673"/>
        <n v="0.45593108018555334"/>
        <n v="0.36558063679157854"/>
        <n v="0.21808510638297871"/>
        <n v="0.58062015503875974"/>
        <n v="0.38197534002796496"/>
        <n v="0.43157894736842112"/>
        <n v="0.43219428325811304"/>
        <n v="0.3091351163598472"/>
        <n v="0.34816275745221587"/>
        <n v="0.42218473218051461"/>
        <n v="0.32137519425573102"/>
        <n v="0.24397920087575264"/>
        <n v="0.28684399712437098"/>
        <n v="0.45615982241953384"/>
        <n v="0.2267369032006846"/>
        <n v="0.3385650224215247"/>
        <n v="0.12675452694739087"/>
        <n v="0.39226519337016569"/>
        <n v="0.41027953110910731"/>
        <n v="0.50531139345969589"/>
        <n v="0.42566079295154197"/>
        <n v="0.38704675506701763"/>
        <n v="0.49550142637700245"/>
        <n v="0.4734001542020046"/>
        <n v="0.45382952439777646"/>
        <n v="0.53316162266580813"/>
        <n v="0.3153669724770643"/>
        <n v="0.46835686161528856"/>
        <n v="0.46691251792665439"/>
        <n v="0.24677167589044985"/>
        <n v="0.35198545326050157"/>
        <n v="0.4489281210592686"/>
        <n v="0.48157248157248161"/>
        <n v="0.47650583412172814"/>
        <n v="0.30073696145124712"/>
        <n v="0.30330672748004556"/>
        <n v="0.46528377989052144"/>
        <n v="0.39807625830594412"/>
        <n v="0.46270504487774688"/>
        <n v="0.4821428571428571"/>
        <n v="0.42810905016805678"/>
        <n v="0.3264070455483693"/>
        <n v="0.30731294913343671"/>
        <n v="0.34148040271006147"/>
        <n v="0.29150726855394038"/>
        <n v="0.30104230533415077"/>
        <n v="0.29946524064171121"/>
        <n v="0.35736354273944393"/>
        <n v="0.25666016894087074"/>
        <n v="0.25460172563725003"/>
        <n v="0.16871905547797386"/>
        <n v="0.27971982194291695"/>
        <n v="0.47217205713347565"/>
        <n v="0.46003805899143674"/>
        <n v="0.45479962721342038"/>
        <n v="0.3539697276614901"/>
        <n v="0.33276714021000631"/>
        <n v="0.36733692986758215"/>
        <n v="0.40705942102590142"/>
        <n v="0.25633528265107214"/>
        <n v="0.24310861846149984"/>
        <n v="0.44456425840603875"/>
        <n v="0.54432219223583145"/>
        <n v="0.34219637169367118"/>
        <n v="0.33921213120158233"/>
        <n v="0.32339089481946626"/>
        <n v="0.25898000677736366"/>
        <n v="0.47413902655991863"/>
        <n v="0.41334470262204215"/>
        <n v="0.3183962264150943"/>
        <n v="0.37962589153545956"/>
        <n v="0.58084174442963243"/>
        <n v="0.33947671548461422"/>
        <n v="0.36562600579336979"/>
        <n v="0.40928359474353543"/>
        <n v="0.45386371046625368"/>
        <n v="0.46933378347963084"/>
        <n v="0.44413763806287165"/>
        <n v="0.37951807228915668"/>
        <n v="2.2997936282265864E-2"/>
        <n v="0.40474068793441459"/>
        <n v="0.4593546773386693"/>
        <n v="0.44458204334365314"/>
        <n v="0.36680672268907571"/>
        <n v="0.34787934466391057"/>
        <n v="0.27072989076464754"/>
        <n v="0.37062177572631011"/>
        <n v="0.28069432684165957"/>
        <n v="0.28717010713352492"/>
        <n v="0.16397171649066219"/>
        <n v="0.41289437585733879"/>
        <n v="0.43039175816727654"/>
        <n v="0.45124221290114419"/>
        <n v="0.42960115329168669"/>
        <n v="0.33668341708542715"/>
        <n v="0.3721456025322179"/>
        <n v="0.46618502909893633"/>
        <n v="0.29149659863945582"/>
        <n v="0.22238255571588911"/>
        <n v="0.21584033943584494"/>
        <n v="0.34132021580450655"/>
        <n v="0.44281524926686217"/>
        <n v="0.33830275229357798"/>
        <n v="0.41849782743637487"/>
        <n v="0.36233951497860206"/>
        <n v="0.48603619801030806"/>
        <n v="0.41435306443163955"/>
        <n v="0.43808209727492237"/>
        <n v="0.30353186498110257"/>
        <n v="0.34761575673807887"/>
        <n v="0.47827319100699039"/>
        <n v="0.30072992700729911"/>
        <n v="0.33960708888583602"/>
        <n v="0.32228987111567964"/>
        <n v="0.58255924170616113"/>
        <n v="0.47404718693284942"/>
        <n v="0.30690227098749667"/>
        <n v="0.3852207549686541"/>
        <n v="0.2972085385878489"/>
        <n v="0.46339573918657201"/>
        <n v="0.46168005354752339"/>
        <n v="0.2749449671923197"/>
        <n v="0.33854572678928402"/>
        <n v="0.38894211030518677"/>
        <n v="0.10419684627428612"/>
        <n v="0.26937626883128879"/>
        <n v="0.37199124726477034"/>
        <n v="0.44158415841584159"/>
        <n v="0.17313270485859325"/>
        <n v="0.29806451612903223"/>
        <n v="0.44796318852348088"/>
        <n v="0.31846516137969233"/>
        <n v="0.39339112953888683"/>
        <n v="0.37983978638184246"/>
        <n v="0.50098966351440499"/>
        <n v="0.13336912339903359"/>
        <n v="0.30741124170269779"/>
        <n v="0.33286908077994426"/>
        <n v="0.47220924801494624"/>
        <n v="0.3055202597769307"/>
        <n v="0.42152281473337005"/>
        <n v="0.38104520560660904"/>
        <n v="0.46138500997435161"/>
        <n v="0.4776987718164189"/>
        <n v="0.44661125319693101"/>
        <n v="0.39148206968735444"/>
        <n v="0.39978284473398473"/>
        <n v="0.53141361256544495"/>
        <n v="0.35404624277456659"/>
        <n v="0.15668932678780492"/>
        <n v="0.3436426116838488"/>
        <n v="0.31458995856220473"/>
        <n v="0.33516414141414141"/>
        <n v="0.32728130157981605"/>
        <n v="0.35906219075892526"/>
        <n v="0.31759069130732365"/>
        <n v="0.45117311350665817"/>
        <n v="0.36685299371866537"/>
        <n v="0.32063711911357334"/>
        <n v="0.4980293801504837"/>
        <n v="0.3818466353677622"/>
        <n v="0.44644792590402999"/>
        <n v="0.34498834498834496"/>
        <n v="0.47847008019740894"/>
        <n v="0.31669446939561152"/>
        <n v="0.4441031941031941"/>
        <n v="0.3239025628013194"/>
        <n v="-0.29997875504567661"/>
        <n v="0.46209386281588455"/>
        <n v="0.14686050900930536"/>
        <n v="0.51755229622505405"/>
        <n v="0.56103195995379285"/>
        <n v="0.38409869335705499"/>
        <n v="0.40114315406599116"/>
        <n v="0.33074191968658184"/>
        <n v="0.28630057456307179"/>
        <n v="0.49167229349538594"/>
        <n v="0.4596577017114914"/>
        <n v="0.27403846153846156"/>
        <n v="0.30915576694411423"/>
        <n v="0.24268660632297004"/>
        <n v="0.38314465408805032"/>
        <n v="0.24315733710047682"/>
        <n v="0.46066312384473196"/>
        <n v="0.25173666208258411"/>
        <n v="0.2548157123039913"/>
        <n v="0.44787120550868004"/>
        <n v="0.48674698795180732"/>
        <n v="0.41114670083279947"/>
        <n v="0.2790123456790124"/>
        <n v="0.27774279449809963"/>
        <n v="0.31519274376417233"/>
        <n v="0.37963453389830504"/>
        <n v="0.47159020266069868"/>
        <n v="0.38954123429819765"/>
        <n v="0.16268980477223438"/>
        <n v="0.44020552344251757"/>
        <n v="0.22911840850252085"/>
        <n v="0.4845360824742268"/>
        <n v="0.29104477611940288"/>
        <n v="5.8481322718921924E-2"/>
        <n v="0.3842079432545305"/>
        <n v="0.4753025193414005"/>
        <n v="0.47310482862146613"/>
        <n v="0.46279069767441861"/>
        <n v="0.45329732162952963"/>
        <n v="0.26815947569634074"/>
        <n v="0.26916175339656501"/>
        <n v="0.2809499747347145"/>
        <n v="0.40704125895289012"/>
        <n v="0.47119780554708929"/>
        <n v="0.27849661121380154"/>
        <n v="0.32224685883222465"/>
        <n v="0.43792766373411535"/>
        <n v="0.11551308843400394"/>
        <n v="0.46578888138645058"/>
        <n v="0.52304817275747506"/>
        <n v="0.32175925925925924"/>
        <n v="0.36411609498680741"/>
        <n v="0.35760422783323548"/>
        <n v="0.24746486390322012"/>
        <n v="0.49296646410083278"/>
        <n v="0.46570003118178976"/>
        <n v="0.42403140013578616"/>
        <n v="0.31203810149449829"/>
        <n v="0.47667783715243184"/>
        <n v="0.13449553203068765"/>
        <n v="0.46457971014492755"/>
        <n v="0.46406820950060901"/>
        <n v="0.15204932955498912"/>
        <n v="0.52155172413793105"/>
        <n v="4.5840178229853465E-2"/>
        <n v="0.34701427828198173"/>
        <n v="0.47251138581652569"/>
        <n v="0.35849999999999999"/>
        <n v="0.27387160582629017"/>
        <n v="0.44738162958005689"/>
        <n v="0.38617021276595753"/>
        <n v="0.28414901387874364"/>
        <n v="0.39099526066350709"/>
        <n v="0.440516005733397"/>
        <n v="0.41590705987488835"/>
        <n v="0.48459383753501406"/>
        <n v="0.45657620041753649"/>
        <n v="0.35643241480515248"/>
        <n v="0.26618389856715807"/>
        <n v="0.3027210884353741"/>
        <n v="0.47400241837968565"/>
        <n v="0.45015384615384613"/>
        <n v="0.3256394260761073"/>
        <n v="0.50044722719141321"/>
        <n v="0.4859090909090909"/>
        <n v="0.3910990009082651"/>
        <n v="0.28629128769746287"/>
        <n v="0.37998629863579719"/>
        <n v="0.42328767123287669"/>
        <n v="0.32588350328258142"/>
        <n v="0.38187702265372159"/>
        <n v="0.42033256156598608"/>
        <n v="0.45529197080291972"/>
        <n v="0.31631287052973789"/>
        <n v="0.51350771869639789"/>
        <n v="0.43271686931644021"/>
        <n v="0.28955954323001637"/>
        <n v="0.30676822094247319"/>
        <n v="0.36489607390300233"/>
        <n v="0.29179978700745474"/>
        <n v="0.48502409915079181"/>
        <n v="0.11400394477317556"/>
        <n v="0.28557230412456508"/>
        <n v="0.20713201820940821"/>
        <n v="0.45155510047356962"/>
        <n v="0.46861233480176212"/>
        <n v="0.41550437885176772"/>
        <n v="0.33181559476380185"/>
        <n v="0.45570496341704569"/>
        <n v="0.21936943239587697"/>
        <n v="0.39294862980561113"/>
        <n v="0.29347826086956519"/>
        <n v="0.44458171549594067"/>
        <n v="0.31966527196652728"/>
        <n v="0.3825114678899082"/>
        <n v="0.4788422211735095"/>
        <n v="0.21245901639344264"/>
        <n v="0.30024600246002459"/>
        <n v="0.31702127659574458"/>
        <n v="0.36881188118811881"/>
        <n v="0.15664627674431592"/>
        <n v="0.35695246557085747"/>
        <n v="0.42063631569695897"/>
        <n v="0.4832921810699588"/>
        <n v="0.35283296541574688"/>
        <n v="0.31366818161890425"/>
        <n v="0.21271618667791542"/>
        <n v="0.36942023360033877"/>
        <n v="0.40462325745544381"/>
        <n v="0.28902439024390236"/>
        <n v="0.35919732441471558"/>
        <n v="0.32616081540203851"/>
        <n v="8.007709830033298E-2"/>
        <n v="0.39377418220189941"/>
        <n v="0.35651947375276799"/>
        <n v="0.52037242675322459"/>
        <n v="0.44834954434624386"/>
        <n v="0.45430762827754323"/>
        <n v="0.33141059255374933"/>
        <n v="0.54425128407743972"/>
        <n v="0.34926146060142416"/>
        <n v="0.36910684671878702"/>
        <n v="0.44603629417383006"/>
        <n v="0.31473718155433733"/>
        <n v="0.56588693957114999"/>
        <n v="0.41974972796517956"/>
        <n v="0.48405253283302063"/>
        <n v="0.37275472897790496"/>
        <n v="0.354726368159204"/>
        <n v="0.2982456140350877"/>
        <n v="0.48118811881188128"/>
        <n v="0.30476522953395008"/>
        <n v="0.46342561332433041"/>
        <n v="0.36363636363636365"/>
        <n v="0.33364404052509522"/>
        <n v="0.40327645051194538"/>
        <n v="0.5827865688923195"/>
        <n v="0.52682520379148978"/>
        <n v="0.49264705882352949"/>
        <n v="0.4728072513996267"/>
        <n v="0.36540540540540539"/>
        <n v="0.45847335573691789"/>
        <n v="0.39362416107382553"/>
        <n v="0.23969365759050351"/>
        <n v="0.28421701602959309"/>
        <n v="0.33418538947934878"/>
        <n v="0.35878797153569519"/>
        <n v="0.36898395721925137"/>
        <n v="0.3855146124523508"/>
        <n v="0.42399213372664701"/>
        <n v="0.4343818302765371"/>
        <n v="0.43333906760708762"/>
        <n v="0.44165385272509827"/>
        <n v="0.34186666666666665"/>
        <n v="0.34127388294762262"/>
        <n v="0.31360044364342154"/>
        <n v="0.23690417805179947"/>
        <n v="0.35866816521494815"/>
        <n v="0.39152388516963577"/>
        <n v="0.45169189670525384"/>
        <n v="0.30920477716283123"/>
        <n v="0.28296296296296297"/>
        <n v="0.26655657624707557"/>
        <n v="0.35578583765112259"/>
        <n v="0.49871536061662691"/>
        <n v="0.29980781550288277"/>
        <n v="0.49144254278728605"/>
        <n v="0.45270194360184246"/>
        <n v="0.47850325994519516"/>
        <n v="0.42204827136333989"/>
        <n v="0.46838940354298714"/>
        <n v="0.28764478764478757"/>
        <n v="0.33802816901408445"/>
        <n v="0.32165948275862066"/>
        <n v="0.42994460736396217"/>
        <n v="9.8286446507555594E-2"/>
        <n v="0.5032000478843327"/>
        <n v="0.30170408099100798"/>
        <n v="0.34637316005834767"/>
        <n v="0.24251584929779407"/>
        <n v="0.20978029766123313"/>
        <n v="0.41811691209281576"/>
        <n v="0.24931271477663239"/>
        <n v="0.43217266187050363"/>
        <n v="0.28414948453608246"/>
        <n v="0.16885934373602859"/>
        <n v="0.49592326139088733"/>
        <n v="0.48444087532623975"/>
        <n v="0.30984848484848487"/>
        <n v="0.36325966850828734"/>
        <n v="0.38950409244102069"/>
        <n v="0.40263669764426196"/>
        <n v="0.43222541376008755"/>
        <n v="0.35286284953395469"/>
        <n v="0.38461538461538469"/>
        <n v="0.35992661082785776"/>
        <n v="0.47840844804827459"/>
        <n v="0.42368421052631577"/>
        <n v="0.27369219105382864"/>
        <n v="0.38141311266709094"/>
        <n v="0.47042783262811461"/>
        <n v="0.2859925474254742"/>
        <n v="0.45494681918522978"/>
        <n v="0.46792707629979741"/>
        <n v="0.32368332466260674"/>
        <n v="9.5631946239337681E-3"/>
        <n v="0.5285407725321889"/>
        <n v="0.28453364817001192"/>
        <n v="0.42633485220236012"/>
        <n v="0.56482546988876103"/>
        <n v="0.42200806813088299"/>
        <n v="0.2649807586586036"/>
        <n v="0.30483843392032833"/>
        <n v="0.24114021571648694"/>
        <n v="0.48747528015820701"/>
        <n v="0.4038150080978945"/>
        <n v="0.55795094936708856"/>
        <n v="0.45991234854343904"/>
        <n v="0.31273308470964301"/>
        <n v="0.27128953771289543"/>
        <n v="0.54172560113154178"/>
        <n v="0.43764802800947378"/>
        <n v="0.33666666666666667"/>
        <n v="0.41353225467535198"/>
        <n v="0.42957746478873243"/>
        <n v="0.47578067371526933"/>
        <n v="0.26001511715797437"/>
        <n v="0.30544521175823497"/>
        <n v="0.40586419753086422"/>
        <n v="0.32234834614915175"/>
        <n v="0.43459540993622786"/>
        <n v="0.33430063842135804"/>
        <n v="0.31627533966715266"/>
        <n v="-3.0661713782031176E-2"/>
        <n v="0.47136699507389157"/>
        <n v="0.42060726729716275"/>
        <n v="0.56393691810754332"/>
        <n v="9.8528107129330078E-2"/>
        <n v="0.3865072202166065"/>
        <n v="0.35904004314412841"/>
        <n v="0.30919994149480773"/>
        <n v="0.3031502344276723"/>
        <n v="0.31182076575823447"/>
        <n v="0.36603028308097429"/>
        <n v="0.31208666624677206"/>
        <n v="0.30315938942137033"/>
        <n v="0.31987891019172549"/>
        <n v="0.38731924360400449"/>
        <n v="0.46192893401015223"/>
        <n v="0.26012712777418662"/>
        <n v="0.35415556739477894"/>
        <n v="0.33982419728970831"/>
        <n v="0.31216197476078217"/>
        <n v="0.21648770349844129"/>
        <n v="0.27977758267486108"/>
        <n v="0.4876207729468599"/>
        <n v="0.43480010732492624"/>
        <n v="0.27872860635696806"/>
        <n v="0.22185219440295709"/>
        <n v="0.44685751892069764"/>
        <n v="0.41646947468054896"/>
        <n v="0.3476279817743233"/>
        <n v="0.29956584659913166"/>
        <n v="0.16976631931627822"/>
        <n v="0.30135811293781278"/>
        <n v="0.3170605485595997"/>
        <n v="0.3037423846823325"/>
        <n v="0.43984600577478344"/>
        <n v="0.4493382961124896"/>
        <n v="0.49663760896637604"/>
        <n v="0.46303108331800624"/>
        <n v="0.4951690821256039"/>
        <n v="0.43239227340267461"/>
        <n v="0.29498714652956298"/>
        <n v="0.34836776533669767"/>
        <n v="0.36600186974135257"/>
        <n v="0.34890510948905112"/>
        <n v="0.3694512408248864"/>
        <n v="0.36277687736358732"/>
        <n v="0.46542311191992719"/>
        <n v="0.40346688810462938"/>
        <n v="0.42296006944444442"/>
        <n v="0.36641638225255979"/>
        <n v="0.4006698395910453"/>
        <n v="0.53415758591785412"/>
        <n v="0.406303602058319"/>
        <n v="0.51287553648068673"/>
        <n v="0.49940828402366855"/>
        <n v="0.47222222222222215"/>
        <n v="0.31642232510288071"/>
        <n v="0.45621890547263683"/>
        <n v="0.53388601036269434"/>
        <n v="0.33817034700315457"/>
        <n v="8.1501831501831698E-2"/>
        <n v="0.51080797481636941"/>
        <n v="0.31814946619217083"/>
        <n v="0.40086945066526153"/>
        <n v="0.42736694185842261"/>
        <n v="0.30981059614209644"/>
        <n v="0.46370463078848562"/>
        <n v="0.24512637192663317"/>
        <n v="0.33836518387666614"/>
        <n v="0.37570942111237232"/>
        <n v="0.2736842105263157"/>
        <n v="0.43931186380141679"/>
        <n v="0.30529323069597653"/>
        <n v="0.42170577617328525"/>
        <n v="0.4429416242168745"/>
        <n v="0.26380368098159512"/>
        <n v="0.44779874213836479"/>
        <n v="0.25205624834173523"/>
        <n v="0.41940735916639538"/>
        <n v="0.3880361173814898"/>
        <n v="0.3015613724249277"/>
        <n v="0.47452312516331335"/>
        <n v="0.45303408146300916"/>
        <n v="0.47658945293247906"/>
        <n v="0.3743155798904928"/>
        <n v="0.42788790157211215"/>
        <n v="0.29193464279506348"/>
        <n v="0.12986296935146921"/>
        <n v="0.238848922914211"/>
        <n v="0.2822913627401572"/>
        <n v="0.13844232870298107"/>
        <n v="0.48704335735052456"/>
        <n v="0.4598643747043053"/>
        <n v="0.33692579505300363"/>
        <n v="0.16502396413110712"/>
        <n v="0.28846946036025906"/>
        <n v="0.41655672823218992"/>
        <n v="0.33510638297872342"/>
        <n v="0.46276466293502072"/>
        <n v="0.26103169670602855"/>
        <n v="0.43398312481815532"/>
        <n v="0.39120429557657893"/>
        <n v="0.31680009631011857"/>
        <n v="0.47330960854092519"/>
        <n v="0.41923076923076918"/>
        <n v="0.4426703372333104"/>
        <n v="0.28202054794520548"/>
        <n v="0.38895727096887633"/>
        <n v="0.35389830508474585"/>
        <n v="0.33825198637911469"/>
        <n v="0.36623748211731044"/>
        <n v="0.34107498341074993"/>
        <n v="0.45181953212031195"/>
        <n v="0.35090640029596748"/>
        <n v="0.33660396845889529"/>
        <n v="0.2628163530175211"/>
        <n v="0.23476811933280453"/>
        <n v="0.44585572382348149"/>
        <n v="0.43938879456706276"/>
        <n v="0.29625292740046832"/>
        <n v="0.45660377358490567"/>
        <n v="0.2693195708271085"/>
        <n v="0.37323315930217754"/>
        <n v="0.49604725124943205"/>
        <n v="0.52995024875621877"/>
        <n v="0.28449502133712656"/>
        <n v="0.39002251107399599"/>
        <n v="0.25915767120863559"/>
        <n v="0.54818111455108354"/>
        <n v="0.48166392993979201"/>
        <n v="0.17055909412597314"/>
        <n v="0.2713754646840148"/>
        <n v="0.41078838174273863"/>
        <n v="0.30049958368026636"/>
        <n v="0.43062079471880155"/>
        <n v="0.31654676258992803"/>
        <n v="0.28761329305135958"/>
        <n v="0.48777429467084638"/>
        <n v="0.2320598296165757"/>
        <n v="0.47584541062801933"/>
        <n v="0.32973621103117506"/>
        <n v="0.4895424836601307"/>
        <n v="0.26302708261912933"/>
        <n v="0.48888888888888893"/>
        <n v="0.39373814041745731"/>
        <n v="0.33985223874721915"/>
        <n v="0.31599335915882681"/>
        <n v="0.37588938563761243"/>
        <n v="0.23815417256011312"/>
        <n v="0.20883140826713267"/>
        <n v="0.48730350665054406"/>
        <n v="0.31375337789788083"/>
        <n v="0.38116963915387808"/>
        <n v="0.33469387755102048"/>
        <n v="0.31167268351383881"/>
        <n v="0.28347064881565398"/>
        <n v="0.48154580981328704"/>
        <n v="0.31599768029493391"/>
        <n v="0.45419103313840153"/>
        <n v="0.23001672504654605"/>
        <n v="0.48103169095535508"/>
        <n v="0.36621308791146745"/>
        <n v="0.36075949367088606"/>
        <n v="0.45337328611640781"/>
        <n v="0.44733333333333331"/>
        <n v="0.40037910699241785"/>
        <n v="0.45972146368104855"/>
        <n v="0.41813763110770019"/>
        <n v="0.40085136573252927"/>
        <n v="0.46284634760705295"/>
        <n v="0.31775700934579443"/>
        <n v="0.41897280966767375"/>
        <n v="0.40654911838790941"/>
        <n v="0.41990771259063936"/>
        <n v="0.29606879606879605"/>
        <n v="0.34912280701754389"/>
        <n v="0.40760157273918746"/>
        <n v="0.33470254957507078"/>
        <n v="0.49244851258581251"/>
        <n v="0.44837905236907732"/>
        <n v="0.30959261147940392"/>
        <n v="0.38691383719335615"/>
        <n v="0.30523351997557424"/>
        <n v="0.30724299065420568"/>
        <n v="0.37207144514033863"/>
        <n v="0.2296769613063544"/>
        <n v="0.35748256182625238"/>
        <n v="0.43100511073253839"/>
        <n v="0.26210335848890065"/>
        <n v="0.46833370964100246"/>
        <n v="0.52154436860068265"/>
        <n v="0.47601918465227816"/>
        <n v="0.38719279499313081"/>
        <n v="0.24252761533463296"/>
        <n v="0.41768201188404064"/>
        <n v="0.34064616675657838"/>
        <n v="0.36530815109343939"/>
        <n v="0.4357682619647355"/>
        <n v="0.41991924629878874"/>
        <n v="0.51811151811151812"/>
        <n v="0.26718574343173584"/>
        <n v="0.24410646387832705"/>
        <n v="0.49022004889975551"/>
        <n v="0.41792102001062514"/>
        <n v="0.31132376395534295"/>
        <n v="0.41652892561983473"/>
        <n v="0.32347703648486337"/>
        <n v="0.24913126233258256"/>
        <n v="0.2970666666666667"/>
        <n v="0.31845115061320101"/>
        <n v="0.46554149085794655"/>
        <n v="0.47634402624117422"/>
        <n v="0.42818262214298208"/>
        <n v="0.37868038311457963"/>
        <n v="0.41362555567042292"/>
        <n v="0.34872501722949695"/>
        <n v="0.38728139250018018"/>
        <n v="0.46220069948883513"/>
        <n v="0.49223811270015888"/>
        <n v="0.29655990510083036"/>
        <n v="0.47335278759023192"/>
        <n v="0.3030439829743326"/>
        <n v="0.36247723132969029"/>
        <n v="0.50271575135787572"/>
        <n v="0.27719883284701957"/>
        <n v="0.31358024691358027"/>
        <n v="0.46411680032901509"/>
        <n v="0.33535827695706205"/>
        <n v="0.34958148695224017"/>
        <n v="0.51117068811438782"/>
        <n v="0.31997084548104959"/>
        <n v="0.27010927827921277"/>
        <n v="0.41180438448566603"/>
        <n v="0.41157256182921143"/>
        <n v="0.17223608986230785"/>
        <n v="0.46958637469586373"/>
        <n v="0.33790024630541871"/>
        <n v="0.41699782079220621"/>
        <n v="0.40760869565217389"/>
        <n v="0.4082697201017812"/>
        <n v="0.43211597435182597"/>
        <n v="0.33166248955722638"/>
        <n v="0.49264528574873401"/>
        <n v="0.26895657809462092"/>
        <n v="0.37457098283931345"/>
        <n v="0.39787798408488062"/>
        <n v="0.50094956741928676"/>
        <n v="0.30271181001283698"/>
        <n v="0.43222506393861887"/>
        <n v="0.52995500828794684"/>
        <n v="0.39636835278858623"/>
        <n v="0.3592277246202577"/>
        <n v="0.22274509803921569"/>
        <n v="0.33453237410071945"/>
        <n v="0.16755508173418629"/>
        <n v="0.52273693157671064"/>
        <n v="0.30226421518556351"/>
        <n v="0.4375544161749057"/>
        <n v="0.38942976356050069"/>
        <n v="0.36648501362397812"/>
        <n v="0.5118630080462141"/>
        <n v="0.30621409231988378"/>
        <n v="0.31279303415941057"/>
        <n v="0.48286290322580644"/>
        <n v="0.48206546795758415"/>
        <n v="0.31315483119906862"/>
        <n v="0.37100805331852266"/>
        <n v="0.34186046511627904"/>
        <n v="0.44468295904887711"/>
        <n v="0.45255474452554745"/>
        <n v="0.40481863913158594"/>
        <n v="0.43147656940760387"/>
        <n v="0.42880560165135395"/>
        <n v="0.50016000000000005"/>
        <n v="0.31810093820769975"/>
        <n v="0.4340706342417206"/>
        <n v="0.44287729196050779"/>
        <n v="0.49945338122754962"/>
        <n v="0.28470120211017902"/>
        <n v="0.30750605326876512"/>
        <n v="0.41887005085555717"/>
        <n v="0.30530973451327437"/>
        <n v="0.3949264015032885"/>
        <n v="0.27508802816901401"/>
        <n v="0.34632034632034625"/>
        <n v="0.47239108409321173"/>
        <n v="0.45904761904761909"/>
        <n v="0.45879354290569241"/>
        <n v="0.30728513720573908"/>
        <n v="0.49522102747909202"/>
        <n v="0.35263432446531046"/>
        <n v="0.42639794507014422"/>
        <n v="0.46412096360840599"/>
        <n v="0.42370851864522757"/>
        <n v="0.38215784486259646"/>
        <n v="0.3668171557562076"/>
        <n v="0.42607433217189306"/>
        <n v="0.26613862388339193"/>
        <n v="0.28518518518518526"/>
        <n v="0.44710781003826233"/>
        <n v="0.44493171281794275"/>
        <n v="0.46674764652292744"/>
        <n v="0.46044559250887951"/>
        <n v="0.36659608258337745"/>
        <n v="0.32215153267784835"/>
        <n v="0.2462669673773612"/>
        <n v="0.33964497041420105"/>
        <n v="0.48823647697566858"/>
        <n v="0.30371219721943526"/>
        <n v="0.37869822485207094"/>
        <n v="0.37537012113055185"/>
        <n v="0.34597432905484243"/>
        <n v="0.44272681196148"/>
        <n v="0.42543275632490013"/>
        <n v="0.44519506840060796"/>
        <n v="0.30118656904822017"/>
        <n v="0.44418668122270749"/>
        <n v="0.10871854885898198"/>
        <n v="0.34227181878747498"/>
        <n v="0.48148605282646262"/>
        <n v="0.28337754199823162"/>
        <n v="0.50448479544957348"/>
        <n v="0.33766233766233766"/>
        <n v="0.30485802881984558"/>
        <n v="0.3380447585394582"/>
        <n v="0.4554367201426025"/>
        <n v="0.48463655124971322"/>
        <n v="7.5221330822956137E-2"/>
        <n v="0.32113821138211385"/>
        <n v="0.37867780602978568"/>
        <n v="9.6287927549996266E-2"/>
        <n v="0.48078881585038424"/>
        <n v="0.29228272628921742"/>
        <n v="0.30283778060144001"/>
        <n v="0.32912980739067688"/>
        <n v="0.3985545197444223"/>
        <n v="0.46607022282241728"/>
        <n v="0.52750533049040504"/>
        <n v="0.48096885813148788"/>
        <n v="0.4889782783588093"/>
        <n v="0.34066530889341484"/>
        <n v="0.44988205766591616"/>
        <n v="0.37923220963960314"/>
        <n v="0.29086932750136679"/>
        <n v="0.50113071008593402"/>
        <n v="0.47173366834170855"/>
        <n v="0.28574226400313363"/>
        <n v="0.33964635762261097"/>
        <n v="0.41479781034787222"/>
        <n v="0.5039076590116629"/>
        <n v="0.52895595432300158"/>
        <n v="0.35352"/>
        <n v="0.553518038668527"/>
        <n v="0.31348704990524323"/>
        <n v="0.3726427985788468"/>
        <n v="0.3485285631852279"/>
        <n v="0.52180451127819549"/>
        <n v="0.33539518900343646"/>
        <n v="0.49978041282389107"/>
        <n v="0.28813559322033905"/>
        <n v="0.39823008849557523"/>
        <n v="0.47926059513074826"/>
        <n v="0.16949259423444887"/>
        <n v="0.31572629051620649"/>
        <n v="0.33600856072766189"/>
        <n v="0.33610936517913265"/>
        <n v="0.37374149659863942"/>
        <n v="0.32283721309375479"/>
        <n v="7.2986029507768585E-2"/>
        <n v="0.33259598672776108"/>
        <n v="0.40331351966611856"/>
        <n v="0.28837953091684443"/>
        <n v="0.19734539761477185"/>
        <n v="0.2855411255411256"/>
        <n v="0.27334359187823498"/>
        <n v="0.35560123329907511"/>
        <n v="0.37248504622077222"/>
        <n v="0.43597409068261084"/>
        <n v="0.3031400966183575"/>
        <n v="0.36018411967779057"/>
        <n v="0.2220997472178988"/>
        <n v="0.26757046022119158"/>
        <n v="0.23391812865497083"/>
        <n v="0.47445927289461576"/>
        <n v="0.46806581163363126"/>
        <n v="0.31185031185031187"/>
        <n v="0.44034650216563853"/>
        <n v="0.34134558736891718"/>
        <n v="0.29585798816568037"/>
        <n v="0.32463638683337581"/>
        <n v="0.47262070890315383"/>
        <n v="0.26597853793624315"/>
        <n v="0.54655625126237128"/>
        <n v="0.43695742042166191"/>
        <n v="0.46389891696750901"/>
        <n v="0.23896331483553118"/>
        <n v="0.33713247439709276"/>
        <n v="3.0348078989292586E-2"/>
        <n v="0.41426893716970054"/>
        <n v="-0.80581491856001675"/>
        <n v="0.47509113001215064"/>
        <n v="0.22123733719247474"/>
        <n v="0.44779551951945007"/>
        <n v="0.44622991347342394"/>
        <n v="0.40319777546054908"/>
        <n v="0.55127186009538953"/>
        <n v="0.29651304559863439"/>
        <n v="0.36023949440070974"/>
        <n v="0.30974842767295591"/>
        <n v="0.33112253357652127"/>
        <n v="0.28882743452279885"/>
        <n v="0.42036553524804171"/>
        <n v="0.31442928930366121"/>
        <n v="0.2939773404889684"/>
        <n v="0.40694330320460148"/>
        <n v="0.28043609933373714"/>
        <n v="9.9969023382005737E-2"/>
        <n v="0.33974358974358976"/>
        <n v="0.33988533988533992"/>
        <n v="0.50908304498269896"/>
        <n v="0.43236880823933305"/>
        <n v="0.4541015625"/>
        <n v="0.42239953293762772"/>
        <n v="0.39599686028257453"/>
        <n v="0.48327137546468407"/>
        <n v="0.28564206268958547"/>
        <n v="0.32818870533132061"/>
        <n v="0.2895670688431512"/>
        <n v="0.48140900195694719"/>
        <n v="0.49022736338252892"/>
        <n v="0.4703115066751431"/>
        <n v="0.42317255096966683"/>
        <n v="0.48475289169295482"/>
        <n v="0.34724337496192503"/>
        <n v="0.4739809892057355"/>
        <n v="0.33797909407665511"/>
        <n v="0.35819287755352147"/>
        <n v="0.39863915154612828"/>
        <n v="0.29859611231101507"/>
        <n v="0.35133843212237093"/>
        <n v="0.4034296028880866"/>
        <n v="0.46978363591146483"/>
        <n v="0.34329966329966333"/>
        <n v="0.26516853932584272"/>
        <n v="0.34863968148639679"/>
        <n v="0.33216297271596806"/>
        <n v="0.41290322580645156"/>
        <n v="0.53896859247770446"/>
        <n v="0.33625682607976171"/>
        <n v="0.4044621161917385"/>
        <n v="-0.30022321428571419"/>
        <n v="0.46059989832231824"/>
        <n v="0.47664115988723316"/>
        <n v="0.15115858750794631"/>
        <n v="0.45294855708908399"/>
        <n v="0.4168056018672891"/>
        <n v="0.42800084086609208"/>
        <n v="0.28144682382580533"/>
        <n v="0.35585959093421782"/>
        <n v="0.34836386409895098"/>
        <n v="0.28368794326241148"/>
        <n v="0.38368246968026465"/>
        <n v="0.31290276385507665"/>
        <n v="0.46331307674994376"/>
        <n v="0.41548527808069791"/>
        <n v="0.26487733637691291"/>
        <n v="0.32654232424677193"/>
        <n v="0.32207792207792202"/>
        <n v="0.33370535714285721"/>
        <n v="0.33372348207754204"/>
        <n v="0.30844949461584198"/>
        <n v="0.43283312240101252"/>
        <n v="0.20611120116712603"/>
        <n v="0.3616792249730893"/>
        <n v="0.47129714811407547"/>
        <n v="0.39448380566801627"/>
        <n v="0.38004246284501064"/>
        <n v="0.47244482801134263"/>
        <n v="0.36895161290322576"/>
        <n v="0.30919749009247027"/>
        <n v="0.48935499132628918"/>
        <n v="8.5128253362535836E-2"/>
        <n v="0.43495934959349591"/>
        <n v="0.28725065047701642"/>
        <n v="0.27836990595611283"/>
        <n v="0.56926751592356684"/>
        <n v="0.45157068062827216"/>
        <n v="0.25997899159663851"/>
        <n v="0.20334353224782653"/>
        <n v="0.41903833053160877"/>
        <n v="0.41206443773762391"/>
        <n v="0.51351945482523631"/>
        <n v="0.44786772140605485"/>
        <n v="0.28866624921728251"/>
        <n v="0.4003195455352388"/>
        <n v="0.34543697362971154"/>
        <n v="0.4052976726244053"/>
        <n v="0.302454991816694"/>
        <n v="0.48107997545510328"/>
        <n v="0.46673060784078652"/>
        <n v="0.27604166666666663"/>
        <n v="0.31045056320400505"/>
        <n v="0.27191867852604823"/>
        <n v="0.49968322925151593"/>
        <n v="0.32119118647616052"/>
        <n v="0.45743329097839902"/>
        <n v="0.23112582781456956"/>
        <n v="0.53942327082073005"/>
        <n v="0.47459766487851068"/>
        <n v="0.13170922355393452"/>
        <n v="0.38708086785009865"/>
        <n v="0.46532413168910514"/>
        <n v="0.49380666581534927"/>
        <n v="0.43200519705500218"/>
        <n v="0.41726495726495721"/>
        <n v="0.33445945945945948"/>
        <n v="0.42677165354330704"/>
        <n v="0.3931071620893915"/>
        <n v="0.25770653514180025"/>
        <n v="0.38717504332755642"/>
        <n v="0.31620561265748282"/>
        <n v="0.2331453129196884"/>
        <n v="0.50999555752998671"/>
        <n v="0.3751210067763795"/>
        <n v="0.4508689839572193"/>
        <n v="0.45768866435112093"/>
        <n v="0.42519133025647016"/>
        <n v="0.27024465885596144"/>
        <n v="0.49316559816136452"/>
        <n v="0.47933884297520668"/>
        <n v="5.992236778262966E-2"/>
        <n v="0.34105263157894733"/>
        <n v="0.36681030692111505"/>
        <n v="0.24764181418787967"/>
        <n v="0.41458634206725808"/>
        <n v="0.43471710746568459"/>
        <n v="0.39642938887617302"/>
        <n v="0.41533546325878606"/>
        <n v="0.29810247344685836"/>
        <n v="0.4108567018266015"/>
        <n v="0.45139813581890809"/>
        <n v="0.29496402877697853"/>
        <n v="0.35581395348837208"/>
        <n v="0.447074181281571"/>
        <n v="0.42238421955403088"/>
        <n v="0.29985994397759108"/>
        <n v="0.31575424603285268"/>
        <n v="0.41800418702023728"/>
        <n v="0.39327259182854851"/>
        <n v="0.35106548452325409"/>
        <n v="0.32667876588021771"/>
        <n v="0.34047735021919151"/>
        <n v="0.43986905582357"/>
        <n v="0.29912390488110135"/>
        <n v="0.38977635782747605"/>
        <n v="0.42231470471660726"/>
        <n v="0.41084947839046199"/>
        <n v="0.46609403254972875"/>
        <n v="0.38311996206733046"/>
        <n v="0.25436294449547292"/>
        <n v="0.42633555926544248"/>
        <n v="0.34005305039787809"/>
        <n v="0.31478197052168061"/>
        <n v="0.36824974108595954"/>
        <n v="0.52035419997540278"/>
        <n v="0.40091308758877242"/>
        <n v="0.43276796642769716"/>
        <n v="0.43163246776829489"/>
        <n v="0.49164345403899717"/>
        <n v="0.27657772130453201"/>
        <n v="0.47150867127396007"/>
        <n v="0.46093453210079777"/>
        <n v="0.28899937849596025"/>
        <n v="0.28447965430320488"/>
        <n v="0.42627582553416915"/>
        <n v="0.43374777975133211"/>
        <n v="0.38396139705882359"/>
        <n v="0.38603196664350242"/>
        <n v="0.47268361016609961"/>
        <n v="0.40526515630932797"/>
        <n v="0.42205750224618155"/>
        <n v="0.47906634185032004"/>
        <n v="0.28142244022072338"/>
        <n v="0.38935436175455884"/>
        <n v="0.47957506007335271"/>
        <n v="0.52990066896411914"/>
        <n v="0.26092567402601935"/>
        <n v="0.49984998499849975"/>
        <n v="0.4246227970077342"/>
        <n v="0.52127659574468088"/>
        <n v="0.52916043580431538"/>
        <n v="0.39105208870551839"/>
        <n v="0.41235911387485424"/>
        <n v="0.30998851894374291"/>
        <n v="0.4130315751049462"/>
        <n v="0.43408944835478358"/>
        <n v="0.43997472620050548"/>
        <n v="0.24424953632282323"/>
        <n v="0.39257463638683338"/>
        <n v="0.26426799007444179"/>
        <n v="0.5086930091185411"/>
        <n v="0.54432868095144482"/>
        <n v="0.54435715654339911"/>
        <n v="0.30872969837587"/>
        <n v="0.44430700028113579"/>
        <n v="0.43233903237540922"/>
        <n v="0.44877780829442454"/>
        <n v="0.36418096953214013"/>
        <n v="0.33333333333333337"/>
        <n v="0.25066386368665639"/>
        <n v="0.47205669189885652"/>
        <n v="0.42862033550154055"/>
        <n v="0.43019801980198019"/>
        <n v="0.44102148358329962"/>
        <n v="0.41359386490177535"/>
        <n v="0.42106062229843166"/>
        <n v="0.35060639470782806"/>
        <n v="0.31970260223048325"/>
        <n v="0.37407350216182844"/>
        <n v="0.44496166484118299"/>
        <n v="0.49258289703315883"/>
        <n v="0.20691949434464402"/>
        <n v="0.37111111111111111"/>
        <n v="0.40022446689113356"/>
        <n v="0.45319405383688233"/>
        <n v="0.25964048834688713"/>
        <n v="0.34098243097884551"/>
        <n v="0.47646493756003844"/>
        <n v="0.39338763775754665"/>
        <n v="0.37177851492727731"/>
        <n v="0.2699186991869918"/>
        <n v="0.47225609756097559"/>
        <n v="0.49197615772581382"/>
        <n v="0.42668519805420435"/>
        <n v="0.38292011019283739"/>
        <n v="0.33053288526164187"/>
        <n v="0.13477658721481159"/>
        <n v="0.45425388251181636"/>
        <n v="0.15897355656391801"/>
        <n v="0.42760487144790249"/>
        <n v="0.4861111111111111"/>
        <n v="0.33074690831623105"/>
        <n v="0.43031526336024606"/>
        <n v="0.42451229855810002"/>
        <n v="0.44738197424892706"/>
        <n v="0.28085642317380355"/>
        <n v="0.32002524854031855"/>
        <n v="0.23937629659372286"/>
        <n v="0.46290664983647939"/>
        <n v="0.44256904866286711"/>
        <n v="0.37328767123287665"/>
        <n v="0.53646578140960166"/>
        <n v="0.48272503294562541"/>
        <n v="0.27372906259183077"/>
        <n v="0.36570130607609314"/>
        <n v="0.25006147037128096"/>
        <n v="0.37883797827113841"/>
        <n v="0.26386496727523251"/>
        <n v="0.29370889688546969"/>
        <n v="0.45699456253089477"/>
        <n v="0.31435545823311917"/>
        <n v="0.48790199081163854"/>
        <n v="0.4558944765045343"/>
        <n v="0.513215859030837"/>
        <n v="0.43585732165206509"/>
        <n v="0.46867517956903432"/>
        <n v="0.4965935835501053"/>
        <n v="0.43066538090646095"/>
        <n v="0.26250962278675904"/>
        <n v="0.29826430940308563"/>
        <n v="0.42278260869565221"/>
        <n v="0.37194061789487759"/>
        <n v="0.36684420772303594"/>
        <n v="0.41285040244240911"/>
        <n v="3.4066385050273519E-2"/>
        <n v="0.28278999241849878"/>
        <n v="0.33375719043293978"/>
        <n v="0.41666666666666663"/>
        <n v="0.35146709879043925"/>
        <n v="0.3639873103237396"/>
        <n v="0.31676940495659822"/>
        <n v="0.28891736066623958"/>
        <n v="0.47731316725978651"/>
        <n v="0.36325561915398574"/>
        <n v="0.35699797160243407"/>
        <n v="2.2082314913420661E-2"/>
        <n v="0.46996655518394653"/>
        <n v="0.26538711776187385"/>
        <n v="0.39266887336030398"/>
        <n v="0.47748928060981427"/>
        <n v="0.43878908848968723"/>
        <n v="0.25480367585630748"/>
        <n v="0.30361117981696756"/>
        <n v="0.33267824856536432"/>
        <n v="0.50654450261780104"/>
        <n v="0.39467174553070078"/>
        <n v="0.38860281496738769"/>
        <n v="0.44523933402705512"/>
        <n v="0.28128872366790586"/>
        <n v="0.41052631578947363"/>
        <n v="0.36349433667491216"/>
        <n v="0.47612424663885022"/>
        <n v="0.41900937081659972"/>
        <n v="0.45599346538697161"/>
        <n v="0.33702277831248001"/>
        <n v="0.48053121329840093"/>
        <n v="0.32804322134053693"/>
        <n v="0.41482159194876489"/>
        <n v="0.30526315789473685"/>
        <n v="0.39253996447602119"/>
        <n v="0.36125984251968501"/>
        <n v="0.44034551016735646"/>
        <n v="0.4289075630252101"/>
        <n v="0.38542990258365101"/>
        <n v="0.45624836258842028"/>
        <n v="0.32461208319577417"/>
        <n v="0.49210307564422268"/>
        <n v="0.33297062023939061"/>
        <n v="0.35740688086437306"/>
        <n v="0.31279620853080575"/>
        <n v="0.54259818731117826"/>
        <n v="0.35780885780885779"/>
        <n v="0.35159617210899252"/>
        <n v="0.1816873995091817"/>
        <n v="0.32682687792229004"/>
        <n v="0.28376703841387857"/>
        <n v="0.42159257449926718"/>
        <n v="0.31224483400143016"/>
        <n v="0.5062836624775584"/>
        <n v="0.3173508907823393"/>
        <n v="0.27577409955385745"/>
        <n v="0.38328797266778619"/>
        <n v="0.27290472123947779"/>
        <n v="0.35415220911404111"/>
        <n v="0.25802469135802458"/>
        <n v="0.52471721826560536"/>
        <n v="0.43693479295573534"/>
        <n v="0.45218120805369127"/>
        <n v="0.23220404230747144"/>
        <n v="0.32256909404603018"/>
        <n v="0.45554294362466891"/>
        <n v="0.2625942426319397"/>
        <n v="0.33567839195979898"/>
        <n v="0.37979601748421565"/>
        <n v="0.37554685701128249"/>
        <n v="0.40370938502300929"/>
        <n v="0.26119653528503328"/>
        <n v="0.40439189189189195"/>
        <n v="0.42544971628636963"/>
        <n v="0.47450859950859958"/>
        <n v="0.39655172413793094"/>
        <n v="0.45416124837451238"/>
        <n v="0.31045075543853051"/>
        <n v="0.32658497602557268"/>
        <n v="0.4430662871085807"/>
        <n v="0.39959772041568886"/>
        <n v="0.33038999264164831"/>
        <n v="0.30038314176245207"/>
        <n v="0.38331678252234364"/>
        <n v="0.46979980607996352"/>
        <n v="-0.46053870275175929"/>
        <n v="0.28933631618195382"/>
        <n v="0.30461060265929879"/>
        <n v="0.46996124031007758"/>
        <n v="0.49878345498783455"/>
        <n v="0.38029146426092991"/>
        <n v="0.48226821041115869"/>
        <n v="0.44260458167330669"/>
        <n v="0.33395337460305263"/>
        <n v="0.24753974261922795"/>
        <n v="0.34377207440546276"/>
        <n v="0.47276979619111259"/>
        <n v="0.36688311688311692"/>
        <n v="0.43013698630136982"/>
        <n v="0.43638332430969129"/>
        <n v="0.28927089508002374"/>
        <n v="0.47453183520599246"/>
        <n v="0.38976566236250598"/>
        <n v="0.45670761670761667"/>
        <n v="0.34450867052023121"/>
        <n v="0.47526024932527955"/>
        <n v="0.19346315993921867"/>
        <n v="0.31930246542393259"/>
        <n v="0.30365277892818693"/>
        <n v="0.39118660758247165"/>
        <n v="0.44499478623566219"/>
        <n v="0.45620372042622359"/>
        <n v="0.42146550187199144"/>
        <n v="0.30596369922212624"/>
        <n v="0.3160762942779291"/>
        <n v="0.26918372982996003"/>
        <n v="0.32642857142857146"/>
        <n v="0.33586731167933664"/>
        <n v="0.4581543220484619"/>
        <n v="0.48647151168159575"/>
        <n v="0.29539391783745333"/>
        <n v="0.44286414909269256"/>
        <n v="0.48272957034540864"/>
        <n v="0.35632544285938228"/>
        <n v="0.29467353951890046"/>
        <n v="0.20284104696384422"/>
        <n v="0.27117611212675191"/>
        <n v="0.47186700767263429"/>
        <n v="0.39234935680433314"/>
        <n v="0.43581600245876445"/>
        <n v="0.32051706993702356"/>
        <n v="0.33622183708838815"/>
        <n v="0.45992633049663406"/>
        <n v="0.48601513655807832"/>
        <n v="0.38752174993785726"/>
        <n v="0.46964024092462969"/>
        <n v="0.38641686182669804"/>
        <n v="0.32234950668271833"/>
        <n v="0.24918883841661257"/>
        <n v="0.48514548238897398"/>
        <n v="0.41304347826086957"/>
        <n v="0.45841316352980954"/>
        <n v="0.47885462555066077"/>
        <n v="0.38269587011005773"/>
        <n v="0.42533333333333334"/>
        <n v="0.44631093544137024"/>
        <n v="0.47719078225427181"/>
        <n v="0.49680687073331858"/>
        <n v="0.45124546971178742"/>
        <n v="0.31757866801465939"/>
        <n v="0.41467491225137881"/>
        <n v="0.33397401399246551"/>
        <n v="0.45710627400768239"/>
        <n v="0.34331337325349293"/>
        <n v="0.35707885304659492"/>
        <n v="0.38742521255379447"/>
        <n v="0.3015567458988952"/>
        <n v="0.40547263681592055"/>
        <n v="0.38349834983498354"/>
        <n v="0.4474380790319531"/>
        <n v="0.30068211751292484"/>
        <n v="0.45269535497902758"/>
        <n v="0.46234529053912315"/>
        <n v="0.42751842751842756"/>
        <n v="0.32533860045146723"/>
        <n v="0.19488929727837576"/>
        <n v="0.3083716651333947"/>
        <n v="0.35748062204455711"/>
        <n v="0.32520325203252043"/>
        <n v="0.49285392752644608"/>
        <n v="0.34702400107769116"/>
        <n v="0.31409211416627952"/>
        <n v="0.4197223211107155"/>
        <n v="0.4683195592286501"/>
        <n v="0.34082840236686379"/>
        <n v="0.4277135231316726"/>
        <n v="0.46798029556650245"/>
        <n v="0.3709842070497808"/>
        <n v="0.32000746083063913"/>
        <n v="0.44207723035952051"/>
        <n v="0.39571334151638182"/>
        <n v="0.34978470264755213"/>
        <n v="0.27710429616401666"/>
        <n v="0.46967139320279089"/>
        <n v="0.38444896920335975"/>
        <n v="0.32050657574281538"/>
        <n v="0.33449623220764724"/>
        <n v="0.29082251082251087"/>
        <n v="0.39526860522424839"/>
        <n v="0.49888343010272446"/>
        <n v="0.31506640393848256"/>
      </sharedItems>
    </cacheField>
    <cacheField name="promedio_beneficio_pct" numFmtId="10">
      <sharedItems count="2">
        <s v="superior"/>
        <s v="inferior"/>
      </sharedItems>
    </cacheField>
    <cacheField name="comunidad_autonoma" numFmtId="0">
      <sharedItems count="8">
        <s v="C. Valenciana"/>
        <s v="Sin dato"/>
        <s v="Baleares"/>
        <s v="Cataluña"/>
        <s v="Madrid"/>
        <s v="Aragón"/>
        <s v="Andalucía"/>
        <s v="Catalunya" u="1"/>
      </sharedItems>
    </cacheField>
    <cacheField name="canal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08">
  <r>
    <s v="V00557"/>
    <d v="2025-05-08T00:00:00"/>
    <x v="0"/>
    <n v="5"/>
    <s v="mayo"/>
    <s v="T3"/>
    <s v="P006"/>
    <x v="0"/>
    <x v="0"/>
    <x v="0"/>
    <n v="7"/>
    <n v="48.85"/>
    <n v="26.46"/>
    <n v="0"/>
    <n v="341.95"/>
    <n v="185.22"/>
    <n v="156.72999999999999"/>
    <x v="0"/>
    <x v="0"/>
    <x v="0"/>
    <s v="online"/>
  </r>
  <r>
    <s v="V01049"/>
    <d v="2024-09-05T00:00:00"/>
    <x v="1"/>
    <n v="9"/>
    <s v="septiembre"/>
    <s v="T3"/>
    <s v="P010"/>
    <x v="1"/>
    <x v="1"/>
    <x v="1"/>
    <n v="4"/>
    <n v="17.329999999999998"/>
    <n v="10.93"/>
    <n v="0"/>
    <n v="69.319999999999993"/>
    <n v="43.72"/>
    <n v="25.599999999999994"/>
    <x v="1"/>
    <x v="1"/>
    <x v="1"/>
    <s v="online"/>
  </r>
  <r>
    <s v="V00142"/>
    <d v="2025-04-17T00:00:00"/>
    <x v="0"/>
    <n v="4"/>
    <s v="abril"/>
    <s v="T2"/>
    <s v="P015"/>
    <x v="2"/>
    <x v="2"/>
    <x v="2"/>
    <n v="3"/>
    <n v="73.59"/>
    <n v="41.51"/>
    <n v="0"/>
    <n v="220.77"/>
    <n v="124.53"/>
    <n v="96.240000000000009"/>
    <x v="2"/>
    <x v="0"/>
    <x v="2"/>
    <s v="tienda_fisica"/>
  </r>
  <r>
    <s v="V00916"/>
    <d v="2024-05-16T00:00:00"/>
    <x v="1"/>
    <n v="5"/>
    <s v="mayo"/>
    <s v="T2"/>
    <s v="P002"/>
    <x v="3"/>
    <x v="2"/>
    <x v="3"/>
    <n v="1"/>
    <n v="75.75"/>
    <n v="46.12"/>
    <n v="0"/>
    <n v="75.75"/>
    <n v="46.12"/>
    <n v="29.630000000000003"/>
    <x v="3"/>
    <x v="0"/>
    <x v="0"/>
    <s v="tienda_fisica"/>
  </r>
  <r>
    <s v="V00003"/>
    <d v="2025-12-02T00:00:00"/>
    <x v="0"/>
    <n v="12"/>
    <s v="diciembre"/>
    <s v="T4"/>
    <s v="P008"/>
    <x v="4"/>
    <x v="2"/>
    <x v="0"/>
    <n v="1"/>
    <n v="107.63"/>
    <n v="56.9"/>
    <n v="0.28000000000000003"/>
    <n v="77.493600000000001"/>
    <n v="56.9"/>
    <n v="20.593600000000002"/>
    <x v="4"/>
    <x v="1"/>
    <x v="3"/>
    <s v="tienda_fisica"/>
  </r>
  <r>
    <s v="V00579"/>
    <d v="2024-08-27T00:00:00"/>
    <x v="1"/>
    <n v="8"/>
    <s v="agosto"/>
    <s v="T3"/>
    <s v="P018"/>
    <x v="5"/>
    <x v="0"/>
    <x v="4"/>
    <n v="3"/>
    <n v="32.74"/>
    <n v="16.47"/>
    <n v="0"/>
    <n v="98.22"/>
    <n v="49.41"/>
    <n v="48.81"/>
    <x v="5"/>
    <x v="0"/>
    <x v="3"/>
    <s v="tienda_fisica"/>
  </r>
  <r>
    <s v="V00712"/>
    <d v="2025-02-07T00:00:00"/>
    <x v="0"/>
    <n v="2"/>
    <s v="febrero"/>
    <s v="T1"/>
    <s v="P004"/>
    <x v="6"/>
    <x v="2"/>
    <x v="3"/>
    <n v="1"/>
    <n v="149.61000000000001"/>
    <n v="110.03"/>
    <n v="0"/>
    <n v="149.61000000000001"/>
    <n v="110.03"/>
    <n v="39.580000000000013"/>
    <x v="6"/>
    <x v="1"/>
    <x v="3"/>
    <s v="tienda_fisica"/>
  </r>
  <r>
    <s v="V00152"/>
    <d v="2025-04-13T00:00:00"/>
    <x v="0"/>
    <n v="4"/>
    <s v="abril"/>
    <s v="T2"/>
    <s v="P003"/>
    <x v="7"/>
    <x v="2"/>
    <x v="3"/>
    <n v="6"/>
    <n v="172.48"/>
    <n v="92.4"/>
    <n v="0"/>
    <n v="1034.8799999999999"/>
    <n v="554.40000000000009"/>
    <n v="480.47999999999979"/>
    <x v="7"/>
    <x v="0"/>
    <x v="3"/>
    <s v="online"/>
  </r>
  <r>
    <s v="V00268"/>
    <d v="2025-05-16T00:00:00"/>
    <x v="0"/>
    <n v="5"/>
    <s v="mayo"/>
    <s v="T2"/>
    <s v="P013"/>
    <x v="8"/>
    <x v="2"/>
    <x v="2"/>
    <n v="4"/>
    <n v="71.59"/>
    <n v="49.02"/>
    <n v="0"/>
    <n v="286.36"/>
    <n v="196.08"/>
    <n v="90.28"/>
    <x v="8"/>
    <x v="1"/>
    <x v="3"/>
    <s v="tienda_fisica"/>
  </r>
  <r>
    <s v="V01897"/>
    <d v="2025-04-08T00:00:00"/>
    <x v="0"/>
    <n v="4"/>
    <s v="abril"/>
    <s v="T2"/>
    <s v="P015"/>
    <x v="2"/>
    <x v="2"/>
    <x v="2"/>
    <n v="4"/>
    <n v="74"/>
    <n v="40.67"/>
    <n v="0"/>
    <n v="296"/>
    <n v="162.68"/>
    <n v="133.32"/>
    <x v="9"/>
    <x v="0"/>
    <x v="3"/>
    <s v="tienda_fisica"/>
  </r>
  <r>
    <s v="V00263"/>
    <d v="2025-07-13T00:00:00"/>
    <x v="0"/>
    <n v="7"/>
    <s v="julio"/>
    <s v="T3"/>
    <s v="P015"/>
    <x v="2"/>
    <x v="2"/>
    <x v="2"/>
    <n v="5"/>
    <n v="74.66"/>
    <n v="44.39"/>
    <n v="0.12"/>
    <n v="328.50399999999996"/>
    <n v="221.95"/>
    <n v="106.55399999999997"/>
    <x v="10"/>
    <x v="1"/>
    <x v="3"/>
    <s v="tienda_fisica"/>
  </r>
  <r>
    <s v="V00880"/>
    <d v="2024-01-23T00:00:00"/>
    <x v="1"/>
    <n v="1"/>
    <s v="enero"/>
    <s v="T1"/>
    <s v="P006"/>
    <x v="0"/>
    <x v="0"/>
    <x v="0"/>
    <n v="4"/>
    <n v="48.65"/>
    <n v="26.34"/>
    <n v="0"/>
    <n v="194.6"/>
    <n v="105.36"/>
    <n v="89.24"/>
    <x v="11"/>
    <x v="0"/>
    <x v="0"/>
    <s v="online"/>
  </r>
  <r>
    <s v="V01030"/>
    <d v="2024-03-08T00:00:00"/>
    <x v="1"/>
    <n v="3"/>
    <s v="marzo"/>
    <s v="T1"/>
    <s v="P008"/>
    <x v="4"/>
    <x v="2"/>
    <x v="0"/>
    <n v="10"/>
    <n v="101.05"/>
    <n v="56.85"/>
    <n v="0"/>
    <n v="1010.5"/>
    <n v="568.5"/>
    <n v="442"/>
    <x v="12"/>
    <x v="0"/>
    <x v="0"/>
    <s v="online"/>
  </r>
  <r>
    <s v="V01643"/>
    <d v="2024-08-27T00:00:00"/>
    <x v="1"/>
    <n v="8"/>
    <s v="agosto"/>
    <s v="T3"/>
    <s v="P015"/>
    <x v="2"/>
    <x v="2"/>
    <x v="2"/>
    <n v="1"/>
    <n v="74.599999999999994"/>
    <n v="41.14"/>
    <n v="0"/>
    <n v="74.599999999999994"/>
    <n v="41.14"/>
    <n v="33.459999999999994"/>
    <x v="13"/>
    <x v="0"/>
    <x v="2"/>
    <s v="tienda_fisica"/>
  </r>
  <r>
    <s v="V01125"/>
    <d v="2025-03-20T00:00:00"/>
    <x v="0"/>
    <n v="3"/>
    <s v="marzo"/>
    <s v="T1"/>
    <s v="P001"/>
    <x v="9"/>
    <x v="2"/>
    <x v="3"/>
    <n v="1"/>
    <n v="120.59"/>
    <n v="82.31"/>
    <n v="0"/>
    <n v="120.59"/>
    <n v="82.31"/>
    <n v="38.28"/>
    <x v="14"/>
    <x v="1"/>
    <x v="3"/>
    <s v="tienda_fisica"/>
  </r>
  <r>
    <s v="V01862"/>
    <d v="2024-08-30T00:00:00"/>
    <x v="1"/>
    <n v="8"/>
    <s v="agosto"/>
    <s v="T3"/>
    <s v="P011"/>
    <x v="10"/>
    <x v="1"/>
    <x v="1"/>
    <n v="5"/>
    <n v="20.02"/>
    <n v="11.4"/>
    <n v="0"/>
    <n v="100.1"/>
    <n v="57"/>
    <n v="43.099999999999994"/>
    <x v="15"/>
    <x v="0"/>
    <x v="0"/>
    <s v="tienda_fisica"/>
  </r>
  <r>
    <s v="V00201"/>
    <d v="2025-07-04T00:00:00"/>
    <x v="0"/>
    <n v="7"/>
    <s v="julio"/>
    <s v="T3"/>
    <s v="P016"/>
    <x v="11"/>
    <x v="2"/>
    <x v="2"/>
    <n v="6"/>
    <n v="80.08"/>
    <n v="42.19"/>
    <n v="0"/>
    <n v="480.48"/>
    <n v="253.14"/>
    <n v="227.34000000000003"/>
    <x v="16"/>
    <x v="0"/>
    <x v="2"/>
    <s v="tienda_fisica"/>
  </r>
  <r>
    <s v="V02278"/>
    <d v="2024-12-31T00:00:00"/>
    <x v="1"/>
    <n v="12"/>
    <s v="diciembre"/>
    <s v="T4"/>
    <s v="P018"/>
    <x v="5"/>
    <x v="1"/>
    <x v="4"/>
    <n v="3"/>
    <n v="29.76"/>
    <n v="17.11"/>
    <n v="0"/>
    <n v="89.28"/>
    <n v="51.33"/>
    <n v="37.950000000000003"/>
    <x v="17"/>
    <x v="0"/>
    <x v="3"/>
    <s v="tienda_fisica"/>
  </r>
  <r>
    <s v="V01650"/>
    <d v="2025-11-29T00:00:00"/>
    <x v="0"/>
    <n v="11"/>
    <s v="noviembre"/>
    <s v="T4"/>
    <s v="P018"/>
    <x v="5"/>
    <x v="0"/>
    <x v="4"/>
    <n v="4"/>
    <n v="31.14"/>
    <n v="16.47"/>
    <n v="0"/>
    <n v="124.56"/>
    <n v="65.88"/>
    <n v="58.680000000000007"/>
    <x v="18"/>
    <x v="0"/>
    <x v="3"/>
    <s v="tienda_fisica"/>
  </r>
  <r>
    <s v="V00833"/>
    <d v="2024-02-23T00:00:00"/>
    <x v="1"/>
    <n v="2"/>
    <s v="febrero"/>
    <s v="T1"/>
    <s v="P015"/>
    <x v="2"/>
    <x v="2"/>
    <x v="2"/>
    <n v="2"/>
    <n v="74.680000000000007"/>
    <n v="42.79"/>
    <n v="0.05"/>
    <n v="141.892"/>
    <n v="85.58"/>
    <n v="56.311999999999998"/>
    <x v="19"/>
    <x v="0"/>
    <x v="4"/>
    <s v="online"/>
  </r>
  <r>
    <s v="V00849"/>
    <d v="2025-01-24T00:00:00"/>
    <x v="0"/>
    <n v="1"/>
    <s v="enero"/>
    <s v="T1"/>
    <s v="P009"/>
    <x v="12"/>
    <x v="1"/>
    <x v="1"/>
    <n v="2"/>
    <n v="7.31"/>
    <n v="4.16"/>
    <n v="0"/>
    <n v="14.62"/>
    <n v="8.32"/>
    <n v="6.2999999999999989"/>
    <x v="20"/>
    <x v="0"/>
    <x v="1"/>
    <s v="tienda_fisica"/>
  </r>
  <r>
    <s v="V00233"/>
    <d v="2024-06-15T00:00:00"/>
    <x v="1"/>
    <n v="6"/>
    <s v="junio"/>
    <s v="T2"/>
    <s v="P010"/>
    <x v="1"/>
    <x v="1"/>
    <x v="1"/>
    <n v="8"/>
    <n v="16.45"/>
    <n v="11.31"/>
    <n v="0"/>
    <n v="131.6"/>
    <n v="90.48"/>
    <n v="41.11999999999999"/>
    <x v="21"/>
    <x v="1"/>
    <x v="4"/>
    <s v="tienda_fisica"/>
  </r>
  <r>
    <s v="V00401"/>
    <d v="2025-02-21T00:00:00"/>
    <x v="0"/>
    <n v="2"/>
    <s v="febrero"/>
    <s v="T1"/>
    <s v="P009"/>
    <x v="12"/>
    <x v="1"/>
    <x v="1"/>
    <n v="2"/>
    <n v="8.07"/>
    <n v="4.34"/>
    <n v="0"/>
    <n v="16.14"/>
    <n v="8.68"/>
    <n v="7.4600000000000009"/>
    <x v="22"/>
    <x v="0"/>
    <x v="0"/>
    <s v="tienda_fisica"/>
  </r>
  <r>
    <s v="V00864"/>
    <d v="2025-11-12T00:00:00"/>
    <x v="0"/>
    <n v="11"/>
    <s v="noviembre"/>
    <s v="T4"/>
    <s v="P012"/>
    <x v="13"/>
    <x v="1"/>
    <x v="1"/>
    <n v="8"/>
    <n v="8.08"/>
    <n v="5.55"/>
    <n v="0"/>
    <n v="64.64"/>
    <n v="44.4"/>
    <n v="20.240000000000002"/>
    <x v="23"/>
    <x v="1"/>
    <x v="0"/>
    <s v="tienda_fisica"/>
  </r>
  <r>
    <s v="V01681"/>
    <d v="2024-07-05T00:00:00"/>
    <x v="1"/>
    <n v="7"/>
    <s v="julio"/>
    <s v="T3"/>
    <s v="P018"/>
    <x v="5"/>
    <x v="0"/>
    <x v="4"/>
    <n v="1"/>
    <n v="31.49"/>
    <n v="17.11"/>
    <n v="0"/>
    <n v="31.49"/>
    <n v="17.11"/>
    <n v="14.379999999999999"/>
    <x v="24"/>
    <x v="0"/>
    <x v="4"/>
    <s v="online"/>
  </r>
  <r>
    <s v="V01924"/>
    <d v="2025-12-16T00:00:00"/>
    <x v="0"/>
    <n v="12"/>
    <s v="diciembre"/>
    <s v="T4"/>
    <s v="P019"/>
    <x v="14"/>
    <x v="0"/>
    <x v="4"/>
    <n v="4"/>
    <n v="58.3"/>
    <n v="32.06"/>
    <n v="0.18"/>
    <n v="191.22400000000002"/>
    <n v="128.24"/>
    <n v="62.984000000000009"/>
    <x v="25"/>
    <x v="1"/>
    <x v="4"/>
    <s v="online"/>
  </r>
  <r>
    <s v="V00652"/>
    <d v="2024-07-23T00:00:00"/>
    <x v="1"/>
    <n v="7"/>
    <s v="julio"/>
    <s v="T3"/>
    <s v="P019"/>
    <x v="14"/>
    <x v="2"/>
    <x v="4"/>
    <n v="1"/>
    <n v="63.62"/>
    <n v="34.15"/>
    <n v="0"/>
    <n v="63.62"/>
    <n v="34.15"/>
    <n v="29.47"/>
    <x v="26"/>
    <x v="0"/>
    <x v="3"/>
    <s v="online"/>
  </r>
  <r>
    <s v="V00035"/>
    <d v="2025-01-07T00:00:00"/>
    <x v="0"/>
    <n v="1"/>
    <s v="enero"/>
    <s v="T1"/>
    <s v="P007"/>
    <x v="15"/>
    <x v="1"/>
    <x v="0"/>
    <n v="4"/>
    <n v="21.12"/>
    <n v="12.91"/>
    <n v="0"/>
    <n v="84.48"/>
    <n v="51.64"/>
    <n v="32.840000000000003"/>
    <x v="27"/>
    <x v="0"/>
    <x v="0"/>
    <s v="tienda_fisica"/>
  </r>
  <r>
    <s v="V01396"/>
    <d v="2025-07-19T00:00:00"/>
    <x v="0"/>
    <n v="7"/>
    <s v="julio"/>
    <s v="T3"/>
    <s v="P011"/>
    <x v="10"/>
    <x v="1"/>
    <x v="1"/>
    <n v="1"/>
    <n v="20.9"/>
    <n v="11.03"/>
    <n v="0"/>
    <n v="20.9"/>
    <n v="11.03"/>
    <n v="9.8699999999999992"/>
    <x v="28"/>
    <x v="0"/>
    <x v="0"/>
    <s v="online"/>
  </r>
  <r>
    <s v="V01023"/>
    <d v="2025-12-12T00:00:00"/>
    <x v="0"/>
    <n v="12"/>
    <s v="diciembre"/>
    <s v="T4"/>
    <s v="P007"/>
    <x v="15"/>
    <x v="1"/>
    <x v="0"/>
    <n v="1"/>
    <n v="18.86"/>
    <n v="12.39"/>
    <n v="0.2"/>
    <n v="15.088000000000001"/>
    <n v="12.39"/>
    <n v="2.6980000000000004"/>
    <x v="29"/>
    <x v="1"/>
    <x v="3"/>
    <s v="tienda_fisica"/>
  </r>
  <r>
    <s v="V00197"/>
    <d v="2025-03-13T00:00:00"/>
    <x v="0"/>
    <n v="3"/>
    <s v="marzo"/>
    <s v="T1"/>
    <s v="P013"/>
    <x v="8"/>
    <x v="2"/>
    <x v="2"/>
    <n v="4"/>
    <n v="72.39"/>
    <n v="46.78"/>
    <n v="0"/>
    <n v="289.56"/>
    <n v="187.12"/>
    <n v="102.44"/>
    <x v="30"/>
    <x v="1"/>
    <x v="0"/>
    <s v="online"/>
  </r>
  <r>
    <s v="V00413"/>
    <d v="2025-07-10T00:00:00"/>
    <x v="0"/>
    <n v="7"/>
    <s v="julio"/>
    <s v="T3"/>
    <s v="P009"/>
    <x v="12"/>
    <x v="1"/>
    <x v="1"/>
    <n v="4"/>
    <n v="7.71"/>
    <n v="4.49"/>
    <n v="0"/>
    <n v="30.84"/>
    <n v="17.96"/>
    <n v="12.879999999999999"/>
    <x v="31"/>
    <x v="0"/>
    <x v="5"/>
    <s v="tienda_fisica"/>
  </r>
  <r>
    <s v="V01812"/>
    <d v="2025-12-19T00:00:00"/>
    <x v="0"/>
    <n v="12"/>
    <s v="diciembre"/>
    <s v="T4"/>
    <s v="P014"/>
    <x v="16"/>
    <x v="1"/>
    <x v="2"/>
    <n v="8"/>
    <n v="14.26"/>
    <n v="9.9"/>
    <n v="0"/>
    <n v="114.08"/>
    <n v="79.2"/>
    <n v="34.879999999999995"/>
    <x v="32"/>
    <x v="1"/>
    <x v="2"/>
    <s v="online"/>
  </r>
  <r>
    <s v="V02072"/>
    <d v="2025-05-01T00:00:00"/>
    <x v="0"/>
    <n v="5"/>
    <s v="mayo"/>
    <s v="T2"/>
    <s v="P018"/>
    <x v="5"/>
    <x v="0"/>
    <x v="4"/>
    <n v="1"/>
    <n v="30.45"/>
    <n v="16.760000000000002"/>
    <n v="0"/>
    <n v="30.45"/>
    <n v="16.760000000000002"/>
    <n v="13.689999999999998"/>
    <x v="33"/>
    <x v="0"/>
    <x v="3"/>
    <s v="online"/>
  </r>
  <r>
    <s v="V00667"/>
    <d v="2025-08-05T00:00:00"/>
    <x v="0"/>
    <n v="8"/>
    <s v="agosto"/>
    <s v="T3"/>
    <s v="P004"/>
    <x v="6"/>
    <x v="2"/>
    <x v="3"/>
    <n v="5"/>
    <n v="161.19"/>
    <n v="113.93"/>
    <n v="0"/>
    <n v="805.95"/>
    <n v="569.65000000000009"/>
    <n v="236.29999999999995"/>
    <x v="34"/>
    <x v="1"/>
    <x v="4"/>
    <s v="tienda_fisica"/>
  </r>
  <r>
    <s v="V01383"/>
    <d v="2024-12-27T00:00:00"/>
    <x v="1"/>
    <n v="12"/>
    <s v="diciembre"/>
    <s v="T4"/>
    <s v="P002"/>
    <x v="3"/>
    <x v="2"/>
    <x v="3"/>
    <n v="2"/>
    <n v="71.31"/>
    <n v="45.98"/>
    <n v="0"/>
    <n v="142.62"/>
    <n v="91.96"/>
    <n v="50.660000000000011"/>
    <x v="35"/>
    <x v="1"/>
    <x v="6"/>
    <s v="online"/>
  </r>
  <r>
    <s v="V01485"/>
    <d v="2024-03-10T00:00:00"/>
    <x v="1"/>
    <n v="3"/>
    <s v="marzo"/>
    <s v="T1"/>
    <s v="P016"/>
    <x v="11"/>
    <x v="2"/>
    <x v="2"/>
    <n v="5"/>
    <n v="72.87"/>
    <n v="39.86"/>
    <n v="0"/>
    <n v="364.35"/>
    <n v="199.3"/>
    <n v="165.05"/>
    <x v="36"/>
    <x v="0"/>
    <x v="3"/>
    <s v="online"/>
  </r>
  <r>
    <s v="V01883"/>
    <d v="2024-07-10T00:00:00"/>
    <x v="1"/>
    <n v="7"/>
    <s v="julio"/>
    <s v="T3"/>
    <s v="P015"/>
    <x v="2"/>
    <x v="2"/>
    <x v="2"/>
    <n v="2"/>
    <n v="74.63"/>
    <n v="44.71"/>
    <n v="0"/>
    <n v="149.26"/>
    <n v="89.42"/>
    <n v="59.839999999999989"/>
    <x v="37"/>
    <x v="0"/>
    <x v="5"/>
    <s v="tienda_fisica"/>
  </r>
  <r>
    <s v="V01313"/>
    <d v="2024-05-27T00:00:00"/>
    <x v="1"/>
    <n v="5"/>
    <s v="mayo"/>
    <s v="T2"/>
    <s v="P014"/>
    <x v="16"/>
    <x v="1"/>
    <x v="2"/>
    <n v="3"/>
    <n v="15.15"/>
    <n v="9.15"/>
    <n v="0"/>
    <n v="45.45"/>
    <n v="27.450000000000003"/>
    <n v="18"/>
    <x v="38"/>
    <x v="0"/>
    <x v="2"/>
    <s v="tienda_fisica"/>
  </r>
  <r>
    <s v="V00877"/>
    <d v="2025-09-05T00:00:00"/>
    <x v="0"/>
    <n v="9"/>
    <s v="septiembre"/>
    <s v="T3"/>
    <s v="P002"/>
    <x v="3"/>
    <x v="2"/>
    <x v="3"/>
    <n v="5"/>
    <n v="77.91"/>
    <n v="47.58"/>
    <n v="0"/>
    <n v="389.54999999999995"/>
    <n v="237.89999999999998"/>
    <n v="151.64999999999998"/>
    <x v="39"/>
    <x v="0"/>
    <x v="3"/>
    <s v="tienda_fisica"/>
  </r>
  <r>
    <s v="V00745"/>
    <d v="2024-10-29T00:00:00"/>
    <x v="1"/>
    <n v="10"/>
    <s v="octubre"/>
    <s v="T4"/>
    <s v="P017"/>
    <x v="17"/>
    <x v="0"/>
    <x v="4"/>
    <n v="5"/>
    <n v="51.08"/>
    <n v="22.27"/>
    <n v="0"/>
    <n v="255.39999999999998"/>
    <n v="111.35"/>
    <n v="144.04999999999998"/>
    <x v="40"/>
    <x v="0"/>
    <x v="0"/>
    <s v="tienda_fisica"/>
  </r>
  <r>
    <s v="V02183"/>
    <d v="2024-12-07T00:00:00"/>
    <x v="1"/>
    <n v="12"/>
    <s v="diciembre"/>
    <s v="T4"/>
    <s v="P015"/>
    <x v="2"/>
    <x v="2"/>
    <x v="2"/>
    <n v="4"/>
    <n v="73.040000000000006"/>
    <n v="41.69"/>
    <n v="0"/>
    <n v="292.16000000000003"/>
    <n v="166.76"/>
    <n v="125.40000000000003"/>
    <x v="41"/>
    <x v="0"/>
    <x v="2"/>
    <s v="online"/>
  </r>
  <r>
    <s v="V01705"/>
    <d v="2024-06-04T00:00:00"/>
    <x v="1"/>
    <n v="6"/>
    <s v="junio"/>
    <s v="T2"/>
    <s v="P005"/>
    <x v="18"/>
    <x v="2"/>
    <x v="0"/>
    <n v="9"/>
    <n v="64.06"/>
    <n v="40.799999999999997"/>
    <n v="0"/>
    <n v="576.54"/>
    <n v="367.2"/>
    <n v="209.33999999999997"/>
    <x v="42"/>
    <x v="1"/>
    <x v="3"/>
    <s v="online"/>
  </r>
  <r>
    <s v="V00195"/>
    <d v="2024-11-01T00:00:00"/>
    <x v="1"/>
    <n v="11"/>
    <s v="noviembre"/>
    <s v="T4"/>
    <s v="P001"/>
    <x v="9"/>
    <x v="2"/>
    <x v="3"/>
    <n v="3"/>
    <n v="129.05000000000001"/>
    <n v="84.04"/>
    <n v="0.08"/>
    <n v="356.17800000000005"/>
    <n v="252.12"/>
    <n v="104.05800000000005"/>
    <x v="43"/>
    <x v="1"/>
    <x v="4"/>
    <s v="online"/>
  </r>
  <r>
    <s v="V00906"/>
    <d v="2024-06-18T00:00:00"/>
    <x v="1"/>
    <n v="6"/>
    <s v="junio"/>
    <s v="T2"/>
    <s v="P003"/>
    <x v="7"/>
    <x v="2"/>
    <x v="3"/>
    <n v="1"/>
    <n v="177.72"/>
    <n v="89.58"/>
    <n v="0"/>
    <n v="177.72"/>
    <n v="89.58"/>
    <n v="88.14"/>
    <x v="44"/>
    <x v="0"/>
    <x v="4"/>
    <s v="online"/>
  </r>
  <r>
    <s v="V00825"/>
    <d v="2025-02-04T00:00:00"/>
    <x v="0"/>
    <n v="2"/>
    <s v="febrero"/>
    <s v="T1"/>
    <s v="P010"/>
    <x v="1"/>
    <x v="1"/>
    <x v="1"/>
    <n v="1"/>
    <n v="17.39"/>
    <n v="11.71"/>
    <n v="0"/>
    <n v="17.39"/>
    <n v="11.71"/>
    <n v="5.68"/>
    <x v="45"/>
    <x v="1"/>
    <x v="4"/>
    <s v="tienda_fisica"/>
  </r>
  <r>
    <s v="V01956"/>
    <d v="2024-03-10T00:00:00"/>
    <x v="1"/>
    <n v="3"/>
    <s v="marzo"/>
    <s v="T1"/>
    <s v="P015"/>
    <x v="2"/>
    <x v="2"/>
    <x v="2"/>
    <n v="7"/>
    <n v="82.99"/>
    <n v="40.72"/>
    <n v="0"/>
    <n v="580.92999999999995"/>
    <n v="285.03999999999996"/>
    <n v="295.89"/>
    <x v="46"/>
    <x v="0"/>
    <x v="6"/>
    <s v="tienda_fisica"/>
  </r>
  <r>
    <s v="V01982"/>
    <d v="2025-10-15T00:00:00"/>
    <x v="0"/>
    <n v="10"/>
    <s v="octubre"/>
    <s v="T4"/>
    <s v="P015"/>
    <x v="2"/>
    <x v="2"/>
    <x v="2"/>
    <n v="2"/>
    <n v="80.75"/>
    <n v="42.31"/>
    <n v="0"/>
    <n v="161.5"/>
    <n v="84.62"/>
    <n v="76.88"/>
    <x v="47"/>
    <x v="0"/>
    <x v="0"/>
    <s v="online"/>
  </r>
  <r>
    <s v="V00260"/>
    <d v="2025-06-01T00:00:00"/>
    <x v="0"/>
    <n v="6"/>
    <s v="junio"/>
    <s v="T2"/>
    <s v="P018"/>
    <x v="5"/>
    <x v="0"/>
    <x v="4"/>
    <n v="3"/>
    <n v="30.63"/>
    <n v="16.73"/>
    <n v="0"/>
    <n v="91.89"/>
    <n v="50.19"/>
    <n v="41.7"/>
    <x v="48"/>
    <x v="0"/>
    <x v="4"/>
    <s v="online"/>
  </r>
  <r>
    <s v="V01404"/>
    <d v="2025-07-03T00:00:00"/>
    <x v="0"/>
    <n v="7"/>
    <s v="julio"/>
    <s v="T3"/>
    <s v="P005"/>
    <x v="18"/>
    <x v="0"/>
    <x v="0"/>
    <n v="4"/>
    <n v="58.47"/>
    <n v="40.71"/>
    <n v="0"/>
    <n v="233.88"/>
    <n v="162.84"/>
    <n v="71.039999999999992"/>
    <x v="49"/>
    <x v="1"/>
    <x v="3"/>
    <s v="tienda_fisica"/>
  </r>
  <r>
    <s v="V01299"/>
    <d v="2025-10-16T00:00:00"/>
    <x v="0"/>
    <n v="10"/>
    <s v="octubre"/>
    <s v="T4"/>
    <s v="P003"/>
    <x v="7"/>
    <x v="2"/>
    <x v="3"/>
    <n v="4"/>
    <n v="169.25"/>
    <n v="97.54"/>
    <n v="0"/>
    <n v="677"/>
    <n v="390.16"/>
    <n v="286.83999999999997"/>
    <x v="50"/>
    <x v="0"/>
    <x v="0"/>
    <s v="tienda_fisica"/>
  </r>
  <r>
    <s v="V01552"/>
    <d v="2024-10-01T00:00:00"/>
    <x v="1"/>
    <n v="10"/>
    <s v="octubre"/>
    <s v="T4"/>
    <s v="P004"/>
    <x v="6"/>
    <x v="2"/>
    <x v="3"/>
    <n v="5"/>
    <n v="165.91"/>
    <n v="113.32"/>
    <n v="0"/>
    <n v="829.55"/>
    <n v="566.59999999999991"/>
    <n v="262.95000000000005"/>
    <x v="51"/>
    <x v="1"/>
    <x v="2"/>
    <s v="tienda_fisica"/>
  </r>
  <r>
    <s v="V01672"/>
    <d v="2024-10-17T00:00:00"/>
    <x v="1"/>
    <n v="10"/>
    <s v="octubre"/>
    <s v="T4"/>
    <s v="P004"/>
    <x v="6"/>
    <x v="2"/>
    <x v="3"/>
    <n v="1"/>
    <n v="160.69"/>
    <n v="111.3"/>
    <n v="0"/>
    <n v="160.69"/>
    <n v="111.3"/>
    <n v="49.39"/>
    <x v="52"/>
    <x v="1"/>
    <x v="6"/>
    <s v="tienda_fisica"/>
  </r>
  <r>
    <s v="V00596"/>
    <d v="2024-02-16T00:00:00"/>
    <x v="1"/>
    <n v="2"/>
    <s v="febrero"/>
    <s v="T1"/>
    <s v="P020"/>
    <x v="19"/>
    <x v="2"/>
    <x v="4"/>
    <n v="1"/>
    <n v="64.23"/>
    <n v="34.86"/>
    <n v="0.2"/>
    <n v="51.384000000000007"/>
    <n v="34.86"/>
    <n v="16.524000000000008"/>
    <x v="53"/>
    <x v="1"/>
    <x v="3"/>
    <s v="tienda_fisica"/>
  </r>
  <r>
    <s v="V01438"/>
    <d v="2025-10-12T00:00:00"/>
    <x v="0"/>
    <n v="10"/>
    <s v="octubre"/>
    <s v="T4"/>
    <s v="P012"/>
    <x v="13"/>
    <x v="1"/>
    <x v="1"/>
    <n v="1"/>
    <n v="9.02"/>
    <n v="5.52"/>
    <n v="0.27"/>
    <n v="6.5845999999999991"/>
    <n v="5.52"/>
    <n v="1.0645999999999995"/>
    <x v="54"/>
    <x v="1"/>
    <x v="0"/>
    <s v="online"/>
  </r>
  <r>
    <s v="V00766"/>
    <d v="2024-05-27T00:00:00"/>
    <x v="1"/>
    <n v="5"/>
    <s v="mayo"/>
    <s v="T2"/>
    <s v="P010"/>
    <x v="1"/>
    <x v="1"/>
    <x v="1"/>
    <n v="1"/>
    <n v="16.809999999999999"/>
    <n v="10.94"/>
    <n v="0"/>
    <n v="16.809999999999999"/>
    <n v="10.94"/>
    <n v="5.8699999999999992"/>
    <x v="55"/>
    <x v="1"/>
    <x v="3"/>
    <s v="tienda_fisica"/>
  </r>
  <r>
    <s v="V00508"/>
    <d v="2025-12-27T00:00:00"/>
    <x v="0"/>
    <n v="12"/>
    <s v="diciembre"/>
    <s v="T4"/>
    <s v="P017"/>
    <x v="17"/>
    <x v="0"/>
    <x v="4"/>
    <n v="1"/>
    <n v="49"/>
    <n v="23.66"/>
    <n v="0.11"/>
    <n v="43.61"/>
    <n v="23.66"/>
    <n v="19.95"/>
    <x v="56"/>
    <x v="0"/>
    <x v="3"/>
    <s v="online"/>
  </r>
  <r>
    <s v="V02195"/>
    <d v="2024-06-18T00:00:00"/>
    <x v="1"/>
    <n v="6"/>
    <s v="junio"/>
    <s v="T2"/>
    <s v="P002"/>
    <x v="3"/>
    <x v="2"/>
    <x v="3"/>
    <n v="4"/>
    <n v="71.14"/>
    <n v="49.04"/>
    <n v="0"/>
    <n v="284.56"/>
    <n v="196.16"/>
    <n v="88.4"/>
    <x v="57"/>
    <x v="1"/>
    <x v="3"/>
    <s v="tienda_fisica"/>
  </r>
  <r>
    <s v="V01861"/>
    <d v="2025-08-05T00:00:00"/>
    <x v="0"/>
    <n v="8"/>
    <s v="agosto"/>
    <s v="T3"/>
    <s v="P011"/>
    <x v="10"/>
    <x v="1"/>
    <x v="1"/>
    <n v="2"/>
    <n v="20.11"/>
    <n v="11.46"/>
    <n v="0.06"/>
    <n v="37.806799999999996"/>
    <n v="22.92"/>
    <n v="14.886799999999994"/>
    <x v="58"/>
    <x v="0"/>
    <x v="2"/>
    <s v="tienda_fisica"/>
  </r>
  <r>
    <s v="V00373"/>
    <d v="2024-03-17T00:00:00"/>
    <x v="1"/>
    <n v="3"/>
    <s v="marzo"/>
    <s v="T1"/>
    <s v="P006"/>
    <x v="0"/>
    <x v="0"/>
    <x v="0"/>
    <n v="2"/>
    <n v="46.77"/>
    <n v="26.76"/>
    <n v="0"/>
    <n v="93.54"/>
    <n v="53.52"/>
    <n v="40.020000000000003"/>
    <x v="59"/>
    <x v="0"/>
    <x v="2"/>
    <s v="online"/>
  </r>
  <r>
    <s v="V01623"/>
    <d v="2024-01-04T00:00:00"/>
    <x v="1"/>
    <n v="1"/>
    <s v="enero"/>
    <s v="T1"/>
    <s v="P010"/>
    <x v="1"/>
    <x v="1"/>
    <x v="1"/>
    <n v="1"/>
    <n v="16.63"/>
    <n v="11.26"/>
    <n v="0"/>
    <n v="16.63"/>
    <n v="11.26"/>
    <n v="5.3699999999999992"/>
    <x v="60"/>
    <x v="1"/>
    <x v="5"/>
    <s v="tienda_fisica"/>
  </r>
  <r>
    <s v="V01593"/>
    <d v="2024-01-24T00:00:00"/>
    <x v="1"/>
    <n v="1"/>
    <s v="enero"/>
    <s v="T1"/>
    <s v="P017"/>
    <x v="17"/>
    <x v="0"/>
    <x v="4"/>
    <n v="2"/>
    <n v="49.34"/>
    <n v="21.96"/>
    <n v="0"/>
    <n v="98.68"/>
    <n v="43.92"/>
    <n v="54.760000000000005"/>
    <x v="61"/>
    <x v="0"/>
    <x v="2"/>
    <s v="tienda_fisica"/>
  </r>
  <r>
    <s v="V02040"/>
    <d v="2025-07-05T00:00:00"/>
    <x v="0"/>
    <n v="7"/>
    <s v="julio"/>
    <s v="T3"/>
    <s v="P015"/>
    <x v="2"/>
    <x v="2"/>
    <x v="2"/>
    <n v="8"/>
    <n v="81.78"/>
    <n v="42.79"/>
    <n v="0"/>
    <n v="654.24"/>
    <n v="342.32"/>
    <n v="311.92"/>
    <x v="62"/>
    <x v="0"/>
    <x v="4"/>
    <s v="tienda_fisica"/>
  </r>
  <r>
    <s v="V00205"/>
    <d v="2024-08-11T00:00:00"/>
    <x v="1"/>
    <n v="8"/>
    <s v="agosto"/>
    <s v="T3"/>
    <s v="P001"/>
    <x v="9"/>
    <x v="2"/>
    <x v="3"/>
    <n v="2"/>
    <n v="131.85"/>
    <n v="87.97"/>
    <n v="0.28000000000000003"/>
    <n v="189.86399999999998"/>
    <n v="175.94"/>
    <n v="13.923999999999978"/>
    <x v="63"/>
    <x v="1"/>
    <x v="4"/>
    <s v="online"/>
  </r>
  <r>
    <s v="V00396"/>
    <d v="2025-09-25T00:00:00"/>
    <x v="0"/>
    <n v="9"/>
    <s v="septiembre"/>
    <s v="T3"/>
    <s v="P007"/>
    <x v="15"/>
    <x v="1"/>
    <x v="0"/>
    <n v="7"/>
    <n v="18.29"/>
    <n v="13.12"/>
    <n v="0"/>
    <n v="128.03"/>
    <n v="91.839999999999989"/>
    <n v="36.190000000000012"/>
    <x v="64"/>
    <x v="1"/>
    <x v="0"/>
    <s v="tienda_fisica"/>
  </r>
  <r>
    <s v="V00747"/>
    <d v="2025-12-15T00:00:00"/>
    <x v="0"/>
    <n v="12"/>
    <s v="diciembre"/>
    <s v="T4"/>
    <s v="P015"/>
    <x v="2"/>
    <x v="2"/>
    <x v="2"/>
    <n v="4"/>
    <n v="82.54"/>
    <n v="41.01"/>
    <n v="0"/>
    <n v="330.16"/>
    <n v="164.04"/>
    <n v="166.12000000000003"/>
    <x v="65"/>
    <x v="0"/>
    <x v="3"/>
    <s v="tienda_fisica"/>
  </r>
  <r>
    <s v="V00052"/>
    <d v="2025-09-12T00:00:00"/>
    <x v="0"/>
    <n v="9"/>
    <s v="septiembre"/>
    <s v="T3"/>
    <s v="P006"/>
    <x v="0"/>
    <x v="0"/>
    <x v="0"/>
    <n v="1"/>
    <n v="50.19"/>
    <n v="25.59"/>
    <n v="0.13"/>
    <n v="43.665299999999995"/>
    <n v="25.59"/>
    <n v="18.075299999999995"/>
    <x v="66"/>
    <x v="0"/>
    <x v="4"/>
    <s v=" tienda_fisica"/>
  </r>
  <r>
    <s v="V01887"/>
    <d v="2025-02-06T00:00:00"/>
    <x v="0"/>
    <n v="2"/>
    <s v="febrero"/>
    <s v="T1"/>
    <s v="P009"/>
    <x v="12"/>
    <x v="1"/>
    <x v="1"/>
    <n v="6"/>
    <n v="8.24"/>
    <n v="4.29"/>
    <n v="0"/>
    <n v="49.44"/>
    <n v="25.740000000000002"/>
    <n v="23.699999999999996"/>
    <x v="67"/>
    <x v="0"/>
    <x v="0"/>
    <s v="tienda_fisica"/>
  </r>
  <r>
    <s v="V01757"/>
    <d v="2024-12-15T00:00:00"/>
    <x v="1"/>
    <n v="12"/>
    <s v="diciembre"/>
    <s v="T4"/>
    <s v="P001"/>
    <x v="9"/>
    <x v="2"/>
    <x v="3"/>
    <n v="3"/>
    <n v="127.66"/>
    <n v="86"/>
    <n v="0"/>
    <n v="382.98"/>
    <n v="258"/>
    <n v="124.98000000000002"/>
    <x v="68"/>
    <x v="1"/>
    <x v="3"/>
    <s v="online"/>
  </r>
  <r>
    <s v="V01057"/>
    <d v="2025-05-06T00:00:00"/>
    <x v="0"/>
    <n v="5"/>
    <s v="mayo"/>
    <s v="T2"/>
    <s v="P016"/>
    <x v="11"/>
    <x v="2"/>
    <x v="2"/>
    <n v="4"/>
    <n v="81.36"/>
    <n v="39.4"/>
    <n v="0"/>
    <n v="325.44"/>
    <n v="157.6"/>
    <n v="167.84"/>
    <x v="69"/>
    <x v="0"/>
    <x v="3"/>
    <s v="tienda_fisica"/>
  </r>
  <r>
    <s v="V01907"/>
    <d v="2025-01-25T00:00:00"/>
    <x v="0"/>
    <n v="1"/>
    <s v="enero"/>
    <s v="T1"/>
    <s v="P007"/>
    <x v="15"/>
    <x v="1"/>
    <x v="0"/>
    <n v="1"/>
    <n v="19.39"/>
    <n v="13.35"/>
    <n v="0"/>
    <n v="19.39"/>
    <n v="13.35"/>
    <n v="6.0400000000000009"/>
    <x v="70"/>
    <x v="1"/>
    <x v="3"/>
    <s v="online"/>
  </r>
  <r>
    <s v="V01454"/>
    <d v="2024-07-28T00:00:00"/>
    <x v="1"/>
    <n v="7"/>
    <s v="julio"/>
    <s v="T3"/>
    <s v="P011"/>
    <x v="10"/>
    <x v="1"/>
    <x v="1"/>
    <n v="1"/>
    <n v="22.8"/>
    <n v="11.56"/>
    <n v="0.25"/>
    <n v="17.100000000000001"/>
    <n v="11.56"/>
    <n v="5.5400000000000009"/>
    <x v="71"/>
    <x v="1"/>
    <x v="2"/>
    <s v="tienda_fisica"/>
  </r>
  <r>
    <s v="V00329"/>
    <d v="2025-08-09T00:00:00"/>
    <x v="0"/>
    <n v="8"/>
    <s v="agosto"/>
    <s v="T3"/>
    <s v="P016"/>
    <x v="11"/>
    <x v="2"/>
    <x v="2"/>
    <n v="1"/>
    <n v="81.569999999999993"/>
    <n v="41.02"/>
    <n v="0"/>
    <n v="81.569999999999993"/>
    <n v="41.02"/>
    <n v="40.54999999999999"/>
    <x v="72"/>
    <x v="0"/>
    <x v="5"/>
    <s v="tienda_fisica"/>
  </r>
  <r>
    <s v="V01930"/>
    <d v="2024-11-24T00:00:00"/>
    <x v="1"/>
    <n v="11"/>
    <s v="noviembre"/>
    <s v="T4"/>
    <s v="P008"/>
    <x v="4"/>
    <x v="2"/>
    <x v="0"/>
    <n v="3"/>
    <n v="97.35"/>
    <n v="56.61"/>
    <n v="0.09"/>
    <n v="265.76549999999997"/>
    <n v="169.82999999999998"/>
    <n v="95.93549999999999"/>
    <x v="73"/>
    <x v="1"/>
    <x v="3"/>
    <s v="tienda_fisica"/>
  </r>
  <r>
    <s v="V00716"/>
    <d v="2024-05-03T00:00:00"/>
    <x v="1"/>
    <n v="5"/>
    <s v="mayo"/>
    <s v="T2"/>
    <s v="P005"/>
    <x v="18"/>
    <x v="2"/>
    <x v="0"/>
    <n v="5"/>
    <n v="63.52"/>
    <n v="41.6"/>
    <n v="0"/>
    <n v="317.60000000000002"/>
    <n v="208"/>
    <n v="109.60000000000002"/>
    <x v="74"/>
    <x v="1"/>
    <x v="3"/>
    <s v="tienda_fisica"/>
  </r>
  <r>
    <s v="V01969"/>
    <d v="2024-11-08T00:00:00"/>
    <x v="1"/>
    <n v="11"/>
    <s v="noviembre"/>
    <s v="T4"/>
    <s v="P001"/>
    <x v="9"/>
    <x v="2"/>
    <x v="3"/>
    <n v="3"/>
    <n v="118.88"/>
    <n v="82.38"/>
    <n v="0.09"/>
    <n v="324.54239999999999"/>
    <n v="247.14"/>
    <n v="77.4024"/>
    <x v="75"/>
    <x v="1"/>
    <x v="0"/>
    <s v="tienda_fisica"/>
  </r>
  <r>
    <s v="V00100"/>
    <d v="2024-08-14T00:00:00"/>
    <x v="1"/>
    <n v="8"/>
    <s v="agosto"/>
    <s v="T3"/>
    <s v="P020"/>
    <x v="19"/>
    <x v="2"/>
    <x v="4"/>
    <n v="2"/>
    <n v="61.76"/>
    <n v="32.49"/>
    <n v="0.06"/>
    <n v="116.10879999999999"/>
    <n v="64.98"/>
    <n v="51.128799999999984"/>
    <x v="76"/>
    <x v="0"/>
    <x v="4"/>
    <s v="tienda_fisica"/>
  </r>
  <r>
    <s v="V01305"/>
    <d v="2025-07-18T00:00:00"/>
    <x v="0"/>
    <n v="7"/>
    <s v="julio"/>
    <s v="T3"/>
    <s v="P018"/>
    <x v="5"/>
    <x v="0"/>
    <x v="4"/>
    <n v="1"/>
    <n v="30.41"/>
    <n v="17.440000000000001"/>
    <n v="0"/>
    <n v="30.41"/>
    <n v="17.440000000000001"/>
    <n v="12.969999999999999"/>
    <x v="77"/>
    <x v="0"/>
    <x v="6"/>
    <s v="online"/>
  </r>
  <r>
    <s v="V02283"/>
    <d v="2024-06-13T00:00:00"/>
    <x v="1"/>
    <n v="6"/>
    <s v="junio"/>
    <s v="T2"/>
    <s v="P013"/>
    <x v="8"/>
    <x v="2"/>
    <x v="2"/>
    <n v="1"/>
    <n v="81.91"/>
    <n v="47.83"/>
    <n v="0"/>
    <n v="81.91"/>
    <n v="47.83"/>
    <n v="34.08"/>
    <x v="78"/>
    <x v="0"/>
    <x v="2"/>
    <s v="tienda_fisica"/>
  </r>
  <r>
    <s v="V00433"/>
    <d v="2025-12-23T00:00:00"/>
    <x v="0"/>
    <n v="12"/>
    <s v="diciembre"/>
    <s v="T4"/>
    <s v="P012"/>
    <x v="13"/>
    <x v="1"/>
    <x v="1"/>
    <n v="1"/>
    <n v="9.3699999999999992"/>
    <n v="5.54"/>
    <n v="0"/>
    <n v="9.3699999999999992"/>
    <n v="5.54"/>
    <n v="3.8299999999999992"/>
    <x v="79"/>
    <x v="0"/>
    <x v="0"/>
    <s v="online"/>
  </r>
  <r>
    <s v="V01908"/>
    <d v="2024-08-15T00:00:00"/>
    <x v="1"/>
    <n v="8"/>
    <s v="agosto"/>
    <s v="T3"/>
    <s v="P018"/>
    <x v="5"/>
    <x v="0"/>
    <x v="4"/>
    <n v="3"/>
    <n v="31.93"/>
    <n v="18.11"/>
    <n v="0"/>
    <n v="95.789999999999992"/>
    <n v="54.33"/>
    <n v="41.459999999999994"/>
    <x v="80"/>
    <x v="0"/>
    <x v="5"/>
    <s v="tienda_fisica"/>
  </r>
  <r>
    <s v="V01114"/>
    <d v="2024-10-13T00:00:00"/>
    <x v="1"/>
    <n v="10"/>
    <s v="octubre"/>
    <s v="T4"/>
    <s v="P019"/>
    <x v="14"/>
    <x v="2"/>
    <x v="4"/>
    <n v="1"/>
    <n v="60.03"/>
    <n v="33.979999999999997"/>
    <n v="0"/>
    <n v="60.03"/>
    <n v="33.979999999999997"/>
    <n v="26.050000000000004"/>
    <x v="81"/>
    <x v="0"/>
    <x v="6"/>
    <s v="online"/>
  </r>
  <r>
    <s v="V01509"/>
    <d v="2025-05-24T00:00:00"/>
    <x v="0"/>
    <n v="5"/>
    <s v="mayo"/>
    <s v="T2"/>
    <s v="P006"/>
    <x v="0"/>
    <x v="0"/>
    <x v="0"/>
    <n v="6"/>
    <n v="46.34"/>
    <n v="27.47"/>
    <n v="0"/>
    <n v="278.04000000000002"/>
    <n v="164.82"/>
    <n v="113.22000000000003"/>
    <x v="82"/>
    <x v="0"/>
    <x v="0"/>
    <s v="tienda_fisica"/>
  </r>
  <r>
    <s v="V01611"/>
    <d v="2025-10-21T00:00:00"/>
    <x v="0"/>
    <n v="10"/>
    <s v="octubre"/>
    <s v="T4"/>
    <s v="P018"/>
    <x v="5"/>
    <x v="1"/>
    <x v="4"/>
    <n v="1"/>
    <n v="29.01"/>
    <n v="16.97"/>
    <n v="0"/>
    <n v="29.01"/>
    <n v="16.97"/>
    <n v="12.040000000000003"/>
    <x v="83"/>
    <x v="0"/>
    <x v="5"/>
    <s v="tienda_fisica"/>
  </r>
  <r>
    <s v="V01620"/>
    <d v="2025-09-29T00:00:00"/>
    <x v="0"/>
    <n v="9"/>
    <s v="septiembre"/>
    <s v="T3"/>
    <s v="P014"/>
    <x v="16"/>
    <x v="1"/>
    <x v="2"/>
    <n v="3"/>
    <n v="13.23"/>
    <n v="9.83"/>
    <n v="0"/>
    <n v="39.69"/>
    <n v="29.490000000000002"/>
    <n v="10.199999999999996"/>
    <x v="84"/>
    <x v="1"/>
    <x v="4"/>
    <s v="tienda_fisica"/>
  </r>
  <r>
    <s v="V00122"/>
    <d v="2024-01-08T00:00:00"/>
    <x v="1"/>
    <n v="1"/>
    <s v="enero"/>
    <s v="T1"/>
    <s v="P002"/>
    <x v="3"/>
    <x v="2"/>
    <x v="3"/>
    <n v="6"/>
    <n v="71.31"/>
    <n v="45.44"/>
    <n v="0"/>
    <n v="427.86"/>
    <n v="272.64"/>
    <n v="155.22000000000003"/>
    <x v="85"/>
    <x v="1"/>
    <x v="3"/>
    <s v="tienda_fisica"/>
  </r>
  <r>
    <s v="V00739"/>
    <d v="2025-10-07T00:00:00"/>
    <x v="0"/>
    <n v="10"/>
    <s v="octubre"/>
    <s v="T4"/>
    <s v="P006"/>
    <x v="0"/>
    <x v="0"/>
    <x v="0"/>
    <n v="2"/>
    <n v="48.28"/>
    <n v="27.33"/>
    <n v="0"/>
    <n v="96.56"/>
    <n v="54.66"/>
    <n v="41.900000000000006"/>
    <x v="86"/>
    <x v="0"/>
    <x v="3"/>
    <s v="online"/>
  </r>
  <r>
    <s v="V01427"/>
    <d v="2024-03-09T00:00:00"/>
    <x v="1"/>
    <n v="3"/>
    <s v="marzo"/>
    <s v="T1"/>
    <s v="P003"/>
    <x v="7"/>
    <x v="2"/>
    <x v="3"/>
    <n v="2"/>
    <n v="174.96"/>
    <n v="96.05"/>
    <n v="0"/>
    <n v="349.92"/>
    <n v="192.1"/>
    <n v="157.82000000000002"/>
    <x v="87"/>
    <x v="0"/>
    <x v="3"/>
    <s v="tienda_fisica"/>
  </r>
  <r>
    <s v="V01654"/>
    <d v="2024-12-31T00:00:00"/>
    <x v="1"/>
    <n v="12"/>
    <s v="diciembre"/>
    <s v="T4"/>
    <s v="P003"/>
    <x v="7"/>
    <x v="2"/>
    <x v="3"/>
    <n v="3"/>
    <n v="177.08"/>
    <n v="94.56"/>
    <n v="0"/>
    <n v="531.24"/>
    <n v="283.68"/>
    <n v="247.56"/>
    <x v="88"/>
    <x v="0"/>
    <x v="6"/>
    <s v="online"/>
  </r>
  <r>
    <s v="V01477"/>
    <d v="2025-04-18T00:00:00"/>
    <x v="0"/>
    <n v="4"/>
    <s v="abril"/>
    <s v="T2"/>
    <s v="P009"/>
    <x v="12"/>
    <x v="1"/>
    <x v="1"/>
    <n v="1"/>
    <n v="8.0299999999999994"/>
    <n v="4.43"/>
    <n v="0.14000000000000001"/>
    <n v="6.9057999999999993"/>
    <n v="4.43"/>
    <n v="2.4757999999999996"/>
    <x v="89"/>
    <x v="1"/>
    <x v="3"/>
    <s v="online"/>
  </r>
  <r>
    <s v="V02089"/>
    <d v="2024-01-10T00:00:00"/>
    <x v="1"/>
    <n v="1"/>
    <s v="enero"/>
    <s v="T1"/>
    <s v="P002"/>
    <x v="3"/>
    <x v="2"/>
    <x v="3"/>
    <n v="2"/>
    <n v="76.739999999999995"/>
    <n v="46.94"/>
    <n v="0"/>
    <n v="153.47999999999999"/>
    <n v="93.88"/>
    <n v="59.599999999999994"/>
    <x v="90"/>
    <x v="0"/>
    <x v="0"/>
    <s v="online"/>
  </r>
  <r>
    <s v="V00673"/>
    <d v="2024-12-10T00:00:00"/>
    <x v="1"/>
    <n v="12"/>
    <s v="diciembre"/>
    <s v="T4"/>
    <s v="P007"/>
    <x v="15"/>
    <x v="1"/>
    <x v="0"/>
    <n v="4"/>
    <n v="19.21"/>
    <n v="13.51"/>
    <n v="0.21"/>
    <n v="60.703600000000009"/>
    <n v="54.04"/>
    <n v="6.6636000000000095"/>
    <x v="91"/>
    <x v="1"/>
    <x v="0"/>
    <s v="tienda_fisica"/>
  </r>
  <r>
    <s v="V00326"/>
    <d v="2024-11-11T00:00:00"/>
    <x v="1"/>
    <n v="11"/>
    <s v="noviembre"/>
    <s v="T4"/>
    <s v="P004"/>
    <x v="6"/>
    <x v="2"/>
    <x v="3"/>
    <n v="4"/>
    <n v="158.47"/>
    <n v="108.73"/>
    <n v="0.06"/>
    <n v="595.84719999999993"/>
    <n v="434.92"/>
    <n v="160.92719999999991"/>
    <x v="92"/>
    <x v="1"/>
    <x v="2"/>
    <s v="tienda_fisica"/>
  </r>
  <r>
    <s v="V00238"/>
    <d v="2024-04-14T00:00:00"/>
    <x v="1"/>
    <n v="4"/>
    <s v="abril"/>
    <s v="T2"/>
    <s v="P009"/>
    <x v="12"/>
    <x v="1"/>
    <x v="1"/>
    <n v="2"/>
    <n v="7.73"/>
    <n v="4.12"/>
    <n v="0"/>
    <n v="15.46"/>
    <n v="8.24"/>
    <n v="7.2200000000000006"/>
    <x v="93"/>
    <x v="0"/>
    <x v="3"/>
    <s v="online"/>
  </r>
  <r>
    <s v="V01619"/>
    <d v="2024-04-20T00:00:00"/>
    <x v="1"/>
    <n v="4"/>
    <s v="abril"/>
    <s v="T2"/>
    <s v="P007"/>
    <x v="15"/>
    <x v="1"/>
    <x v="0"/>
    <n v="1"/>
    <n v="19.55"/>
    <n v="12.98"/>
    <n v="0"/>
    <n v="19.55"/>
    <n v="12.98"/>
    <n v="6.57"/>
    <x v="94"/>
    <x v="1"/>
    <x v="3"/>
    <s v="tienda_fisica"/>
  </r>
  <r>
    <s v="V01701"/>
    <d v="2024-08-29T00:00:00"/>
    <x v="1"/>
    <n v="8"/>
    <s v="agosto"/>
    <s v="T3"/>
    <s v="P010"/>
    <x v="1"/>
    <x v="1"/>
    <x v="1"/>
    <n v="7"/>
    <n v="16.53"/>
    <n v="10.99"/>
    <n v="0"/>
    <n v="115.71000000000001"/>
    <n v="76.930000000000007"/>
    <n v="38.78"/>
    <x v="95"/>
    <x v="1"/>
    <x v="6"/>
    <s v="tienda_fisica"/>
  </r>
  <r>
    <s v="V02291"/>
    <d v="2025-04-10T00:00:00"/>
    <x v="0"/>
    <n v="4"/>
    <s v="abril"/>
    <s v="T2"/>
    <s v="P010"/>
    <x v="1"/>
    <x v="1"/>
    <x v="1"/>
    <n v="1"/>
    <n v="16.809999999999999"/>
    <n v="11.41"/>
    <n v="0"/>
    <n v="16.809999999999999"/>
    <n v="11.41"/>
    <n v="5.3999999999999986"/>
    <x v="96"/>
    <x v="1"/>
    <x v="2"/>
    <s v="tienda_fisica"/>
  </r>
  <r>
    <s v="V01328"/>
    <d v="2025-06-24T00:00:00"/>
    <x v="0"/>
    <n v="6"/>
    <s v="junio"/>
    <s v="T2"/>
    <s v="P002"/>
    <x v="3"/>
    <x v="2"/>
    <x v="3"/>
    <n v="1"/>
    <n v="76.73"/>
    <n v="47.57"/>
    <n v="0"/>
    <n v="76.73"/>
    <n v="47.57"/>
    <n v="29.160000000000004"/>
    <x v="97"/>
    <x v="0"/>
    <x v="5"/>
    <s v="online"/>
  </r>
  <r>
    <s v="V01628"/>
    <d v="2024-08-17T00:00:00"/>
    <x v="1"/>
    <n v="8"/>
    <s v="agosto"/>
    <s v="T3"/>
    <s v="P016"/>
    <x v="11"/>
    <x v="2"/>
    <x v="2"/>
    <n v="3"/>
    <n v="84.01"/>
    <n v="40.56"/>
    <n v="0"/>
    <n v="252.03000000000003"/>
    <n v="121.68"/>
    <n v="130.35000000000002"/>
    <x v="98"/>
    <x v="0"/>
    <x v="3"/>
    <s v="tienda_fisica"/>
  </r>
  <r>
    <s v="V02135"/>
    <d v="2024-01-29T00:00:00"/>
    <x v="1"/>
    <n v="1"/>
    <s v="enero"/>
    <s v="T1"/>
    <s v="P014"/>
    <x v="16"/>
    <x v="1"/>
    <x v="2"/>
    <n v="6"/>
    <n v="14.84"/>
    <n v="9.23"/>
    <n v="0.2"/>
    <n v="71.231999999999999"/>
    <n v="55.38"/>
    <n v="15.851999999999997"/>
    <x v="99"/>
    <x v="1"/>
    <x v="4"/>
    <s v="tienda_fisica"/>
  </r>
  <r>
    <s v="V01486"/>
    <d v="2025-04-04T00:00:00"/>
    <x v="0"/>
    <n v="4"/>
    <s v="abril"/>
    <s v="T2"/>
    <s v="P001"/>
    <x v="9"/>
    <x v="2"/>
    <x v="3"/>
    <n v="2"/>
    <n v="117.99"/>
    <n v="80.52"/>
    <n v="0"/>
    <n v="235.98"/>
    <n v="161.04"/>
    <n v="74.94"/>
    <x v="100"/>
    <x v="1"/>
    <x v="0"/>
    <s v=" tienda_fisica"/>
  </r>
  <r>
    <s v="V01677"/>
    <d v="2025-03-08T00:00:00"/>
    <x v="0"/>
    <n v="3"/>
    <s v="marzo"/>
    <s v="T1"/>
    <s v="P019"/>
    <x v="14"/>
    <x v="2"/>
    <x v="4"/>
    <n v="2"/>
    <n v="60.5"/>
    <n v="31.63"/>
    <n v="0.28999999999999998"/>
    <n v="85.91"/>
    <n v="63.26"/>
    <n v="22.65"/>
    <x v="101"/>
    <x v="1"/>
    <x v="6"/>
    <s v="tienda_fisica"/>
  </r>
  <r>
    <s v="V01662"/>
    <d v="2024-10-02T00:00:00"/>
    <x v="1"/>
    <n v="10"/>
    <s v="octubre"/>
    <s v="T4"/>
    <s v="P019"/>
    <x v="14"/>
    <x v="2"/>
    <x v="4"/>
    <n v="1"/>
    <n v="59.86"/>
    <n v="33.99"/>
    <n v="0"/>
    <n v="59.86"/>
    <n v="33.99"/>
    <n v="25.869999999999997"/>
    <x v="102"/>
    <x v="0"/>
    <x v="2"/>
    <s v="tienda_fisica"/>
  </r>
  <r>
    <s v="V00187"/>
    <d v="2025-05-10T00:00:00"/>
    <x v="0"/>
    <n v="5"/>
    <s v="mayo"/>
    <s v="T2"/>
    <s v="P020"/>
    <x v="19"/>
    <x v="2"/>
    <x v="4"/>
    <n v="3"/>
    <n v="64.88"/>
    <n v="33.1"/>
    <n v="0"/>
    <n v="194.64"/>
    <n v="99.300000000000011"/>
    <n v="95.339999999999975"/>
    <x v="103"/>
    <x v="0"/>
    <x v="3"/>
    <s v="online"/>
  </r>
  <r>
    <s v="V00464"/>
    <d v="2024-05-18T00:00:00"/>
    <x v="1"/>
    <n v="5"/>
    <s v="mayo"/>
    <s v="T2"/>
    <s v="P015"/>
    <x v="2"/>
    <x v="2"/>
    <x v="2"/>
    <n v="1"/>
    <n v="79.430000000000007"/>
    <n v="43.37"/>
    <n v="0"/>
    <n v="79.430000000000007"/>
    <n v="43.37"/>
    <n v="36.060000000000009"/>
    <x v="104"/>
    <x v="0"/>
    <x v="6"/>
    <s v="tienda_fisica"/>
  </r>
  <r>
    <s v="V00207"/>
    <d v="2025-04-04T00:00:00"/>
    <x v="0"/>
    <n v="4"/>
    <s v="abril"/>
    <s v="T2"/>
    <s v="P013"/>
    <x v="8"/>
    <x v="2"/>
    <x v="2"/>
    <n v="2"/>
    <n v="78.8"/>
    <n v="47.81"/>
    <n v="0"/>
    <n v="157.6"/>
    <n v="95.62"/>
    <n v="61.97999999999999"/>
    <x v="105"/>
    <x v="0"/>
    <x v="5"/>
    <s v="tienda_fisica"/>
  </r>
  <r>
    <s v="V00466"/>
    <d v="2024-06-08T00:00:00"/>
    <x v="1"/>
    <n v="6"/>
    <s v="junio"/>
    <s v="T2"/>
    <s v="P009"/>
    <x v="12"/>
    <x v="1"/>
    <x v="1"/>
    <n v="7"/>
    <n v="7.65"/>
    <n v="4.3099999999999996"/>
    <n v="0.28000000000000003"/>
    <n v="38.556000000000004"/>
    <n v="30.169999999999998"/>
    <n v="8.3860000000000063"/>
    <x v="106"/>
    <x v="1"/>
    <x v="3"/>
    <s v="online"/>
  </r>
  <r>
    <s v="V00111"/>
    <d v="2025-06-27T00:00:00"/>
    <x v="0"/>
    <n v="6"/>
    <s v="junio"/>
    <s v="T2"/>
    <s v="P020"/>
    <x v="19"/>
    <x v="0"/>
    <x v="4"/>
    <n v="2"/>
    <n v="56.6"/>
    <n v="34.299999999999997"/>
    <n v="0"/>
    <n v="113.2"/>
    <n v="68.599999999999994"/>
    <n v="44.600000000000009"/>
    <x v="107"/>
    <x v="0"/>
    <x v="3"/>
    <s v="tienda_fisica"/>
  </r>
  <r>
    <s v="V00442"/>
    <d v="2024-09-13T00:00:00"/>
    <x v="1"/>
    <n v="9"/>
    <s v="septiembre"/>
    <s v="T3"/>
    <s v="P019"/>
    <x v="14"/>
    <x v="2"/>
    <x v="4"/>
    <n v="3"/>
    <n v="61.87"/>
    <n v="34.19"/>
    <n v="0"/>
    <n v="185.60999999999999"/>
    <n v="102.57"/>
    <n v="83.039999999999992"/>
    <x v="108"/>
    <x v="0"/>
    <x v="4"/>
    <s v="tienda_fisica"/>
  </r>
  <r>
    <s v="V02253"/>
    <d v="2025-01-19T00:00:00"/>
    <x v="0"/>
    <n v="1"/>
    <s v="enero"/>
    <s v="T1"/>
    <s v="P008"/>
    <x v="4"/>
    <x v="2"/>
    <x v="0"/>
    <n v="2"/>
    <n v="106.96"/>
    <n v="56.07"/>
    <n v="0"/>
    <n v="213.92"/>
    <n v="112.14"/>
    <n v="101.77999999999999"/>
    <x v="109"/>
    <x v="0"/>
    <x v="3"/>
    <s v="tienda_fisica"/>
  </r>
  <r>
    <s v="V00218"/>
    <d v="2025-08-24T00:00:00"/>
    <x v="0"/>
    <n v="8"/>
    <s v="agosto"/>
    <s v="T3"/>
    <s v="P007"/>
    <x v="15"/>
    <x v="1"/>
    <x v="0"/>
    <n v="3"/>
    <n v="19.32"/>
    <n v="13.49"/>
    <n v="0.28000000000000003"/>
    <n v="41.731200000000001"/>
    <n v="40.47"/>
    <n v="1.2612000000000023"/>
    <x v="110"/>
    <x v="1"/>
    <x v="2"/>
    <s v="tienda_fisica"/>
  </r>
  <r>
    <s v="V01253"/>
    <d v="2025-10-28T00:00:00"/>
    <x v="0"/>
    <n v="10"/>
    <s v="octubre"/>
    <s v="T4"/>
    <s v="P005"/>
    <x v="18"/>
    <x v="2"/>
    <x v="0"/>
    <n v="3"/>
    <n v="62.35"/>
    <n v="42.16"/>
    <n v="0"/>
    <n v="187.05"/>
    <n v="126.47999999999999"/>
    <n v="60.570000000000022"/>
    <x v="111"/>
    <x v="1"/>
    <x v="3"/>
    <s v="online"/>
  </r>
  <r>
    <s v="V01548"/>
    <d v="2024-01-04T00:00:00"/>
    <x v="1"/>
    <n v="1"/>
    <s v="enero"/>
    <s v="T1"/>
    <s v="P009"/>
    <x v="12"/>
    <x v="1"/>
    <x v="1"/>
    <n v="6"/>
    <n v="8.16"/>
    <n v="4.33"/>
    <n v="0.08"/>
    <n v="45.043200000000006"/>
    <n v="25.98"/>
    <n v="19.063200000000005"/>
    <x v="112"/>
    <x v="0"/>
    <x v="0"/>
    <s v="online"/>
  </r>
  <r>
    <s v="V01975"/>
    <d v="2024-09-07T00:00:00"/>
    <x v="1"/>
    <n v="9"/>
    <s v="septiembre"/>
    <s v="T3"/>
    <s v="P014"/>
    <x v="16"/>
    <x v="1"/>
    <x v="2"/>
    <n v="1"/>
    <n v="14.83"/>
    <n v="9.7899999999999991"/>
    <n v="0"/>
    <n v="14.83"/>
    <n v="9.7899999999999991"/>
    <n v="5.0400000000000009"/>
    <x v="113"/>
    <x v="1"/>
    <x v="0"/>
    <s v="tienda_fisica"/>
  </r>
  <r>
    <s v="V00387"/>
    <d v="2025-06-19T00:00:00"/>
    <x v="0"/>
    <n v="6"/>
    <s v="junio"/>
    <s v="T2"/>
    <s v="P001"/>
    <x v="9"/>
    <x v="2"/>
    <x v="3"/>
    <n v="1"/>
    <n v="131.63999999999999"/>
    <n v="85.86"/>
    <n v="7.0000000000000007E-2"/>
    <n v="122.42519999999998"/>
    <n v="85.86"/>
    <n v="36.565199999999976"/>
    <x v="114"/>
    <x v="1"/>
    <x v="3"/>
    <s v="online"/>
  </r>
  <r>
    <s v="V00692"/>
    <d v="2024-10-07T00:00:00"/>
    <x v="1"/>
    <n v="10"/>
    <s v="octubre"/>
    <s v="T4"/>
    <s v="P002"/>
    <x v="3"/>
    <x v="2"/>
    <x v="3"/>
    <n v="3"/>
    <n v="76.37"/>
    <n v="49.01"/>
    <n v="0"/>
    <n v="229.11"/>
    <n v="147.03"/>
    <n v="82.080000000000013"/>
    <x v="115"/>
    <x v="1"/>
    <x v="5"/>
    <s v="tienda_fisica"/>
  </r>
  <r>
    <s v="V01386"/>
    <d v="2025-04-02T00:00:00"/>
    <x v="0"/>
    <n v="4"/>
    <s v="abril"/>
    <s v="T2"/>
    <s v="P001"/>
    <x v="9"/>
    <x v="2"/>
    <x v="3"/>
    <n v="12"/>
    <n v="124.81"/>
    <n v="87.7"/>
    <n v="0"/>
    <n v="1497.72"/>
    <n v="1052.4000000000001"/>
    <n v="445.31999999999994"/>
    <x v="116"/>
    <x v="1"/>
    <x v="3"/>
    <s v="online"/>
  </r>
  <r>
    <s v="V01310"/>
    <d v="2024-01-23T00:00:00"/>
    <x v="1"/>
    <n v="1"/>
    <s v="enero"/>
    <s v="T1"/>
    <s v="P006"/>
    <x v="0"/>
    <x v="0"/>
    <x v="0"/>
    <n v="1"/>
    <n v="49.47"/>
    <n v="25.69"/>
    <n v="0"/>
    <n v="49.47"/>
    <n v="25.69"/>
    <n v="23.779999999999998"/>
    <x v="117"/>
    <x v="0"/>
    <x v="4"/>
    <s v="tienda_fisica"/>
  </r>
  <r>
    <s v="V00469"/>
    <d v="2025-06-13T00:00:00"/>
    <x v="0"/>
    <n v="6"/>
    <s v="junio"/>
    <s v="T2"/>
    <s v="P008"/>
    <x v="4"/>
    <x v="2"/>
    <x v="0"/>
    <n v="7"/>
    <n v="99.08"/>
    <n v="58.87"/>
    <n v="0"/>
    <n v="693.56"/>
    <n v="412.09"/>
    <n v="281.46999999999997"/>
    <x v="118"/>
    <x v="0"/>
    <x v="2"/>
    <s v="tienda_fisica"/>
  </r>
  <r>
    <s v="V00577"/>
    <d v="2024-06-06T00:00:00"/>
    <x v="1"/>
    <n v="6"/>
    <s v="junio"/>
    <s v="T2"/>
    <s v="P020"/>
    <x v="19"/>
    <x v="2"/>
    <x v="4"/>
    <n v="2"/>
    <n v="61.87"/>
    <n v="34.54"/>
    <n v="0"/>
    <n v="123.74"/>
    <n v="69.08"/>
    <n v="54.66"/>
    <x v="119"/>
    <x v="0"/>
    <x v="5"/>
    <s v="tienda_fisica"/>
  </r>
  <r>
    <s v="V00271"/>
    <d v="2025-11-29T00:00:00"/>
    <x v="0"/>
    <n v="11"/>
    <s v="noviembre"/>
    <s v="T4"/>
    <s v="P011"/>
    <x v="10"/>
    <x v="1"/>
    <x v="1"/>
    <n v="4"/>
    <n v="19.850000000000001"/>
    <n v="11.89"/>
    <n v="0"/>
    <n v="79.400000000000006"/>
    <n v="47.56"/>
    <n v="31.840000000000003"/>
    <x v="120"/>
    <x v="0"/>
    <x v="2"/>
    <s v="online"/>
  </r>
  <r>
    <s v="V01798"/>
    <d v="2024-06-25T00:00:00"/>
    <x v="1"/>
    <n v="6"/>
    <s v="junio"/>
    <s v="T2"/>
    <s v="P007"/>
    <x v="15"/>
    <x v="1"/>
    <x v="0"/>
    <n v="1"/>
    <n v="21.2"/>
    <n v="12.47"/>
    <n v="0.25"/>
    <n v="15.899999999999999"/>
    <n v="12.47"/>
    <n v="3.4299999999999979"/>
    <x v="121"/>
    <x v="1"/>
    <x v="0"/>
    <s v="tienda_fisica"/>
  </r>
  <r>
    <s v="V00008"/>
    <d v="2025-10-02T00:00:00"/>
    <x v="0"/>
    <n v="10"/>
    <s v="octubre"/>
    <s v="T4"/>
    <s v="P004"/>
    <x v="6"/>
    <x v="2"/>
    <x v="3"/>
    <n v="4"/>
    <n v="168.61"/>
    <n v="110.46"/>
    <n v="0"/>
    <n v="674.44"/>
    <n v="441.84"/>
    <n v="232.60000000000008"/>
    <x v="122"/>
    <x v="1"/>
    <x v="3"/>
    <s v="tienda_fisica"/>
  </r>
  <r>
    <s v="V00489"/>
    <d v="2025-06-22T00:00:00"/>
    <x v="0"/>
    <n v="6"/>
    <s v="junio"/>
    <s v="T2"/>
    <s v="P007"/>
    <x v="15"/>
    <x v="1"/>
    <x v="0"/>
    <n v="3"/>
    <n v="20.7"/>
    <n v="13"/>
    <n v="0"/>
    <n v="62.099999999999994"/>
    <n v="39"/>
    <n v="23.099999999999994"/>
    <x v="123"/>
    <x v="1"/>
    <x v="4"/>
    <s v="tienda_fisica"/>
  </r>
  <r>
    <s v="V01422"/>
    <d v="2024-03-24T00:00:00"/>
    <x v="1"/>
    <n v="3"/>
    <s v="marzo"/>
    <s v="T1"/>
    <s v="P013"/>
    <x v="8"/>
    <x v="2"/>
    <x v="2"/>
    <n v="3"/>
    <n v="73.8"/>
    <n v="47.86"/>
    <n v="0"/>
    <n v="221.39999999999998"/>
    <n v="143.57999999999998"/>
    <n v="77.819999999999993"/>
    <x v="124"/>
    <x v="1"/>
    <x v="2"/>
    <s v="tienda_fisica"/>
  </r>
  <r>
    <s v="V00756"/>
    <d v="2024-04-30T00:00:00"/>
    <x v="1"/>
    <n v="4"/>
    <s v="abril"/>
    <s v="T2"/>
    <s v="P017"/>
    <x v="17"/>
    <x v="0"/>
    <x v="4"/>
    <n v="1"/>
    <n v="49.8"/>
    <n v="23.65"/>
    <n v="0.26"/>
    <n v="36.851999999999997"/>
    <n v="23.65"/>
    <n v="13.201999999999998"/>
    <x v="125"/>
    <x v="1"/>
    <x v="4"/>
    <s v="tienda_fisica"/>
  </r>
  <r>
    <s v="V01707"/>
    <d v="2024-05-03T00:00:00"/>
    <x v="1"/>
    <n v="5"/>
    <s v="mayo"/>
    <s v="T2"/>
    <s v="P002"/>
    <x v="3"/>
    <x v="2"/>
    <x v="3"/>
    <n v="1"/>
    <n v="76.66"/>
    <n v="47.37"/>
    <n v="0"/>
    <n v="76.66"/>
    <n v="47.37"/>
    <n v="29.29"/>
    <x v="126"/>
    <x v="0"/>
    <x v="4"/>
    <s v="online"/>
  </r>
  <r>
    <s v="V02034"/>
    <d v="2024-06-15T00:00:00"/>
    <x v="1"/>
    <n v="6"/>
    <s v="junio"/>
    <s v="T2"/>
    <s v="P013"/>
    <x v="8"/>
    <x v="2"/>
    <x v="2"/>
    <n v="4"/>
    <n v="73.42"/>
    <n v="49.11"/>
    <n v="0.2"/>
    <n v="234.94400000000002"/>
    <n v="196.44"/>
    <n v="38.504000000000019"/>
    <x v="127"/>
    <x v="1"/>
    <x v="4"/>
    <s v="online"/>
  </r>
  <r>
    <s v="V00641"/>
    <d v="2025-08-02T00:00:00"/>
    <x v="0"/>
    <n v="8"/>
    <s v="agosto"/>
    <s v="T3"/>
    <s v="P016"/>
    <x v="11"/>
    <x v="2"/>
    <x v="2"/>
    <n v="5"/>
    <n v="82.89"/>
    <n v="40.49"/>
    <n v="0"/>
    <n v="414.45"/>
    <n v="202.45000000000002"/>
    <n v="211.99999999999997"/>
    <x v="128"/>
    <x v="0"/>
    <x v="0"/>
    <s v="online"/>
  </r>
  <r>
    <s v="V02257"/>
    <d v="2025-06-25T00:00:00"/>
    <x v="0"/>
    <n v="6"/>
    <s v="junio"/>
    <s v="T2"/>
    <s v="P020"/>
    <x v="19"/>
    <x v="2"/>
    <x v="4"/>
    <n v="1"/>
    <n v="60.97"/>
    <n v="33.729999999999997"/>
    <n v="0"/>
    <n v="60.97"/>
    <n v="33.729999999999997"/>
    <n v="27.240000000000002"/>
    <x v="129"/>
    <x v="0"/>
    <x v="0"/>
    <s v="tienda_fisica"/>
  </r>
  <r>
    <s v="V01089"/>
    <d v="2025-08-28T00:00:00"/>
    <x v="0"/>
    <n v="8"/>
    <s v="agosto"/>
    <s v="T3"/>
    <s v="P009"/>
    <x v="12"/>
    <x v="1"/>
    <x v="1"/>
    <n v="5"/>
    <n v="8.31"/>
    <n v="4.4400000000000004"/>
    <n v="0"/>
    <n v="41.550000000000004"/>
    <n v="22.200000000000003"/>
    <n v="19.350000000000001"/>
    <x v="130"/>
    <x v="0"/>
    <x v="3"/>
    <s v="online"/>
  </r>
  <r>
    <s v="V01698"/>
    <d v="2024-02-25T00:00:00"/>
    <x v="1"/>
    <n v="2"/>
    <s v="febrero"/>
    <s v="T1"/>
    <s v="P013"/>
    <x v="8"/>
    <x v="2"/>
    <x v="2"/>
    <n v="3"/>
    <n v="82.21"/>
    <n v="49.45"/>
    <n v="0"/>
    <n v="246.63"/>
    <n v="148.35000000000002"/>
    <n v="98.279999999999973"/>
    <x v="131"/>
    <x v="0"/>
    <x v="0"/>
    <s v="online"/>
  </r>
  <r>
    <s v="V00993"/>
    <d v="2025-11-20T00:00:00"/>
    <x v="0"/>
    <n v="11"/>
    <s v="noviembre"/>
    <s v="T4"/>
    <s v="P014"/>
    <x v="16"/>
    <x v="1"/>
    <x v="2"/>
    <n v="2"/>
    <n v="13.31"/>
    <n v="9.4600000000000009"/>
    <n v="0"/>
    <n v="26.62"/>
    <n v="18.920000000000002"/>
    <n v="7.6999999999999993"/>
    <x v="132"/>
    <x v="1"/>
    <x v="3"/>
    <s v="tienda_fisica"/>
  </r>
  <r>
    <s v="V01809"/>
    <d v="2025-09-13T00:00:00"/>
    <x v="0"/>
    <n v="9"/>
    <s v="septiembre"/>
    <s v="T3"/>
    <s v="P013"/>
    <x v="8"/>
    <x v="2"/>
    <x v="2"/>
    <n v="1"/>
    <n v="77.489999999999995"/>
    <n v="49.51"/>
    <n v="0"/>
    <n v="77.489999999999995"/>
    <n v="49.51"/>
    <n v="27.979999999999997"/>
    <x v="133"/>
    <x v="1"/>
    <x v="0"/>
    <s v="online"/>
  </r>
  <r>
    <s v="V01480"/>
    <d v="2025-09-06T00:00:00"/>
    <x v="0"/>
    <n v="9"/>
    <s v="septiembre"/>
    <s v="T3"/>
    <s v="P003"/>
    <x v="7"/>
    <x v="2"/>
    <x v="3"/>
    <n v="4"/>
    <n v="174.38"/>
    <n v="92.3"/>
    <n v="0.17"/>
    <n v="578.94159999999999"/>
    <n v="369.2"/>
    <n v="209.74160000000001"/>
    <x v="134"/>
    <x v="1"/>
    <x v="6"/>
    <s v="tienda_fisica"/>
  </r>
  <r>
    <s v="V01462"/>
    <d v="2025-09-23T00:00:00"/>
    <x v="0"/>
    <n v="9"/>
    <s v="septiembre"/>
    <s v="T3"/>
    <s v="P018"/>
    <x v="5"/>
    <x v="0"/>
    <x v="4"/>
    <n v="3"/>
    <n v="33.25"/>
    <n v="17.850000000000001"/>
    <n v="0.11"/>
    <n v="88.777500000000003"/>
    <n v="53.550000000000004"/>
    <n v="35.227499999999999"/>
    <x v="135"/>
    <x v="0"/>
    <x v="3"/>
    <s v="online"/>
  </r>
  <r>
    <s v="V01945"/>
    <d v="2024-07-14T00:00:00"/>
    <x v="1"/>
    <n v="7"/>
    <s v="julio"/>
    <s v="T3"/>
    <s v="P006"/>
    <x v="0"/>
    <x v="0"/>
    <x v="0"/>
    <n v="4"/>
    <n v="49.4"/>
    <n v="25.82"/>
    <n v="0"/>
    <n v="197.6"/>
    <n v="103.28"/>
    <n v="94.32"/>
    <x v="136"/>
    <x v="0"/>
    <x v="2"/>
    <s v="online"/>
  </r>
  <r>
    <s v="V00242"/>
    <d v="2025-01-24T00:00:00"/>
    <x v="0"/>
    <n v="1"/>
    <s v="enero"/>
    <s v="T1"/>
    <s v="P020"/>
    <x v="19"/>
    <x v="2"/>
    <x v="4"/>
    <n v="2"/>
    <n v="63.79"/>
    <n v="35.380000000000003"/>
    <n v="0.13"/>
    <n v="110.99459999999999"/>
    <n v="70.760000000000005"/>
    <n v="40.234599999999986"/>
    <x v="137"/>
    <x v="1"/>
    <x v="2"/>
    <s v="online"/>
  </r>
  <r>
    <s v="V01252"/>
    <d v="2025-08-10T00:00:00"/>
    <x v="0"/>
    <n v="8"/>
    <s v="agosto"/>
    <s v="T3"/>
    <s v="P003"/>
    <x v="7"/>
    <x v="2"/>
    <x v="3"/>
    <n v="6"/>
    <n v="171.38"/>
    <n v="93.73"/>
    <n v="0"/>
    <n v="1028.28"/>
    <n v="562.38"/>
    <n v="465.9"/>
    <x v="138"/>
    <x v="0"/>
    <x v="6"/>
    <s v="tienda_fisica"/>
  </r>
  <r>
    <s v="V00061"/>
    <d v="2024-12-04T00:00:00"/>
    <x v="1"/>
    <n v="12"/>
    <s v="diciembre"/>
    <s v="T4"/>
    <s v="P018"/>
    <x v="5"/>
    <x v="0"/>
    <x v="4"/>
    <n v="1"/>
    <n v="32"/>
    <n v="16.989999999999998"/>
    <n v="0"/>
    <n v="32"/>
    <n v="16.989999999999998"/>
    <n v="15.010000000000002"/>
    <x v="139"/>
    <x v="0"/>
    <x v="3"/>
    <s v="tienda_fisica"/>
  </r>
  <r>
    <s v="V01456"/>
    <d v="2024-05-29T00:00:00"/>
    <x v="1"/>
    <n v="5"/>
    <s v="mayo"/>
    <s v="T2"/>
    <s v="P011"/>
    <x v="10"/>
    <x v="1"/>
    <x v="1"/>
    <n v="1"/>
    <n v="21.68"/>
    <n v="11.28"/>
    <n v="0.25"/>
    <n v="16.259999999999998"/>
    <n v="11.28"/>
    <n v="4.9799999999999986"/>
    <x v="140"/>
    <x v="1"/>
    <x v="3"/>
    <s v="online"/>
  </r>
  <r>
    <s v="V00876"/>
    <d v="2024-05-28T00:00:00"/>
    <x v="1"/>
    <n v="5"/>
    <s v="mayo"/>
    <s v="T2"/>
    <s v="P011"/>
    <x v="10"/>
    <x v="1"/>
    <x v="1"/>
    <n v="1"/>
    <n v="20.3"/>
    <n v="11.15"/>
    <n v="0"/>
    <n v="20.3"/>
    <n v="11.15"/>
    <n v="9.15"/>
    <x v="141"/>
    <x v="0"/>
    <x v="2"/>
    <s v="online"/>
  </r>
  <r>
    <s v="V00659"/>
    <d v="2025-11-19T00:00:00"/>
    <x v="0"/>
    <n v="11"/>
    <s v="noviembre"/>
    <s v="T4"/>
    <s v="P016"/>
    <x v="11"/>
    <x v="2"/>
    <x v="2"/>
    <n v="4"/>
    <n v="74.37"/>
    <n v="40.6"/>
    <n v="0"/>
    <n v="297.48"/>
    <n v="162.4"/>
    <n v="135.08000000000001"/>
    <x v="142"/>
    <x v="0"/>
    <x v="3"/>
    <s v="tienda_fisica"/>
  </r>
  <r>
    <s v="V00013"/>
    <d v="2024-03-13T00:00:00"/>
    <x v="1"/>
    <n v="3"/>
    <s v="marzo"/>
    <s v="T1"/>
    <s v="P001"/>
    <x v="9"/>
    <x v="2"/>
    <x v="3"/>
    <n v="2"/>
    <n v="117.86"/>
    <n v="84.19"/>
    <n v="0"/>
    <n v="235.72"/>
    <n v="168.38"/>
    <n v="67.34"/>
    <x v="143"/>
    <x v="1"/>
    <x v="4"/>
    <s v="online"/>
  </r>
  <r>
    <s v="V00241"/>
    <d v="2025-05-10T00:00:00"/>
    <x v="0"/>
    <n v="5"/>
    <s v="mayo"/>
    <s v="T2"/>
    <s v="P010"/>
    <x v="1"/>
    <x v="1"/>
    <x v="1"/>
    <n v="3"/>
    <n v="16.23"/>
    <n v="11.02"/>
    <n v="0.15"/>
    <n v="41.386499999999998"/>
    <n v="33.06"/>
    <n v="8.3264999999999958"/>
    <x v="144"/>
    <x v="1"/>
    <x v="2"/>
    <s v="online"/>
  </r>
  <r>
    <s v="V00811"/>
    <d v="2025-06-09T00:00:00"/>
    <x v="0"/>
    <n v="6"/>
    <s v="junio"/>
    <s v="T2"/>
    <s v="P017"/>
    <x v="17"/>
    <x v="0"/>
    <x v="4"/>
    <n v="1"/>
    <n v="46.32"/>
    <n v="22.37"/>
    <n v="0"/>
    <n v="46.32"/>
    <n v="22.37"/>
    <n v="23.95"/>
    <x v="145"/>
    <x v="0"/>
    <x v="0"/>
    <s v="online"/>
  </r>
  <r>
    <s v="V00515"/>
    <d v="2025-02-25T00:00:00"/>
    <x v="0"/>
    <n v="2"/>
    <s v="febrero"/>
    <s v="T1"/>
    <s v="P014"/>
    <x v="16"/>
    <x v="1"/>
    <x v="2"/>
    <n v="7"/>
    <n v="14.63"/>
    <n v="9.25"/>
    <n v="0.08"/>
    <n v="94.21720000000002"/>
    <n v="64.75"/>
    <n v="29.46720000000002"/>
    <x v="146"/>
    <x v="1"/>
    <x v="3"/>
    <s v="tienda_fisica"/>
  </r>
  <r>
    <s v="V01288"/>
    <d v="2024-10-25T00:00:00"/>
    <x v="1"/>
    <n v="10"/>
    <s v="octubre"/>
    <s v="T4"/>
    <s v="P016"/>
    <x v="11"/>
    <x v="2"/>
    <x v="2"/>
    <n v="4"/>
    <n v="83.53"/>
    <n v="41.69"/>
    <n v="0"/>
    <n v="334.12"/>
    <n v="166.76"/>
    <n v="167.36"/>
    <x v="147"/>
    <x v="0"/>
    <x v="3"/>
    <s v="online"/>
  </r>
  <r>
    <s v="V02282"/>
    <d v="2024-04-30T00:00:00"/>
    <x v="1"/>
    <n v="4"/>
    <s v="abril"/>
    <s v="T2"/>
    <s v="P010"/>
    <x v="1"/>
    <x v="1"/>
    <x v="1"/>
    <n v="1"/>
    <n v="16.440000000000001"/>
    <n v="11.65"/>
    <n v="0"/>
    <n v="16.440000000000001"/>
    <n v="11.65"/>
    <n v="4.7900000000000009"/>
    <x v="148"/>
    <x v="1"/>
    <x v="0"/>
    <s v="tienda_fisica"/>
  </r>
  <r>
    <s v="V01513"/>
    <d v="2024-07-25T00:00:00"/>
    <x v="1"/>
    <n v="7"/>
    <s v="julio"/>
    <s v="T3"/>
    <s v="P017"/>
    <x v="17"/>
    <x v="0"/>
    <x v="4"/>
    <n v="4"/>
    <n v="49.37"/>
    <n v="22.76"/>
    <n v="0"/>
    <n v="197.48"/>
    <n v="91.04"/>
    <n v="106.43999999999998"/>
    <x v="149"/>
    <x v="0"/>
    <x v="3"/>
    <s v="online"/>
  </r>
  <r>
    <s v="V00427"/>
    <d v="2024-04-30T00:00:00"/>
    <x v="1"/>
    <n v="4"/>
    <s v="abril"/>
    <s v="T2"/>
    <s v="P017"/>
    <x v="17"/>
    <x v="0"/>
    <x v="4"/>
    <n v="1"/>
    <n v="50.74"/>
    <n v="22.53"/>
    <n v="0"/>
    <n v="50.74"/>
    <n v="22.53"/>
    <n v="28.21"/>
    <x v="150"/>
    <x v="0"/>
    <x v="3"/>
    <s v="tienda_fisica"/>
  </r>
  <r>
    <s v="V01169"/>
    <d v="2024-11-14T00:00:00"/>
    <x v="1"/>
    <n v="11"/>
    <s v="noviembre"/>
    <s v="T4"/>
    <s v="P001"/>
    <x v="9"/>
    <x v="2"/>
    <x v="3"/>
    <n v="2"/>
    <n v="126.03"/>
    <n v="84.87"/>
    <n v="0"/>
    <n v="252.06"/>
    <n v="169.74"/>
    <n v="82.32"/>
    <x v="151"/>
    <x v="1"/>
    <x v="3"/>
    <s v="online"/>
  </r>
  <r>
    <s v="V00319"/>
    <d v="2025-04-02T00:00:00"/>
    <x v="0"/>
    <n v="4"/>
    <s v="abril"/>
    <s v="T2"/>
    <s v="P011"/>
    <x v="10"/>
    <x v="1"/>
    <x v="1"/>
    <n v="5"/>
    <n v="22.5"/>
    <n v="11.65"/>
    <n v="0.16"/>
    <n v="94.5"/>
    <n v="58.25"/>
    <n v="36.25"/>
    <x v="152"/>
    <x v="0"/>
    <x v="3"/>
    <s v="online"/>
  </r>
  <r>
    <s v="V00620"/>
    <d v="2024-08-18T00:00:00"/>
    <x v="1"/>
    <n v="8"/>
    <s v="agosto"/>
    <s v="T3"/>
    <s v="P007"/>
    <x v="15"/>
    <x v="1"/>
    <x v="0"/>
    <n v="3"/>
    <n v="18.43"/>
    <n v="12.74"/>
    <n v="0"/>
    <n v="55.29"/>
    <n v="38.22"/>
    <n v="17.07"/>
    <x v="153"/>
    <x v="1"/>
    <x v="3"/>
    <s v="tienda_fisica"/>
  </r>
  <r>
    <s v="V00569"/>
    <d v="2025-08-14T00:00:00"/>
    <x v="0"/>
    <n v="8"/>
    <s v="agosto"/>
    <s v="T3"/>
    <s v="P001"/>
    <x v="9"/>
    <x v="2"/>
    <x v="3"/>
    <n v="5"/>
    <n v="130.53"/>
    <n v="84.95"/>
    <n v="0"/>
    <n v="652.65"/>
    <n v="424.75"/>
    <n v="227.89999999999998"/>
    <x v="154"/>
    <x v="1"/>
    <x v="0"/>
    <s v="tienda_fisica"/>
  </r>
  <r>
    <s v="V01158"/>
    <d v="2024-08-07T00:00:00"/>
    <x v="1"/>
    <n v="8"/>
    <s v="agosto"/>
    <s v="T3"/>
    <s v="P020"/>
    <x v="19"/>
    <x v="2"/>
    <x v="4"/>
    <n v="8"/>
    <n v="63.6"/>
    <n v="33.979999999999997"/>
    <n v="0"/>
    <n v="508.8"/>
    <n v="271.83999999999997"/>
    <n v="236.96000000000004"/>
    <x v="155"/>
    <x v="0"/>
    <x v="6"/>
    <s v="tienda_fisica"/>
  </r>
  <r>
    <s v="V00790"/>
    <d v="2024-11-04T00:00:00"/>
    <x v="1"/>
    <n v="11"/>
    <s v="noviembre"/>
    <s v="T4"/>
    <s v="P002"/>
    <x v="3"/>
    <x v="2"/>
    <x v="3"/>
    <n v="1"/>
    <n v="72.64"/>
    <n v="47.78"/>
    <n v="0"/>
    <n v="72.64"/>
    <n v="47.78"/>
    <n v="24.86"/>
    <x v="156"/>
    <x v="1"/>
    <x v="4"/>
    <s v="tienda_fisica"/>
  </r>
  <r>
    <s v="V01722"/>
    <d v="2025-07-21T00:00:00"/>
    <x v="0"/>
    <n v="7"/>
    <s v="julio"/>
    <s v="T3"/>
    <s v="P014"/>
    <x v="16"/>
    <x v="1"/>
    <x v="2"/>
    <n v="1"/>
    <n v="14.07"/>
    <n v="9.51"/>
    <n v="0.05"/>
    <n v="13.3665"/>
    <n v="9.51"/>
    <n v="3.8565000000000005"/>
    <x v="157"/>
    <x v="1"/>
    <x v="3"/>
    <s v="tienda_fisica"/>
  </r>
  <r>
    <s v="V01376"/>
    <d v="2024-01-13T00:00:00"/>
    <x v="1"/>
    <n v="1"/>
    <s v="enero"/>
    <s v="T1"/>
    <s v="P015"/>
    <x v="2"/>
    <x v="2"/>
    <x v="2"/>
    <n v="2"/>
    <n v="82.96"/>
    <n v="43.64"/>
    <n v="0"/>
    <n v="165.92"/>
    <n v="87.28"/>
    <n v="78.639999999999986"/>
    <x v="158"/>
    <x v="0"/>
    <x v="6"/>
    <s v="tienda_fisica"/>
  </r>
  <r>
    <s v="V01258"/>
    <d v="2024-01-28T00:00:00"/>
    <x v="1"/>
    <n v="1"/>
    <s v="enero"/>
    <s v="T1"/>
    <s v="P012"/>
    <x v="13"/>
    <x v="1"/>
    <x v="1"/>
    <n v="2"/>
    <n v="8.57"/>
    <n v="5.74"/>
    <n v="0"/>
    <n v="17.14"/>
    <n v="11.48"/>
    <n v="5.66"/>
    <x v="159"/>
    <x v="1"/>
    <x v="3"/>
    <s v="tienda_fisica"/>
  </r>
  <r>
    <s v="V00886"/>
    <d v="2024-06-25T00:00:00"/>
    <x v="1"/>
    <n v="6"/>
    <s v="junio"/>
    <s v="T2"/>
    <s v="P020"/>
    <x v="19"/>
    <x v="2"/>
    <x v="4"/>
    <n v="5"/>
    <n v="61.85"/>
    <n v="34.72"/>
    <n v="0"/>
    <n v="309.25"/>
    <n v="173.6"/>
    <n v="135.65"/>
    <x v="160"/>
    <x v="0"/>
    <x v="4"/>
    <s v="online"/>
  </r>
  <r>
    <s v="V00998"/>
    <d v="2024-09-02T00:00:00"/>
    <x v="1"/>
    <n v="9"/>
    <s v="septiembre"/>
    <s v="T3"/>
    <s v="P006"/>
    <x v="0"/>
    <x v="0"/>
    <x v="0"/>
    <n v="1"/>
    <n v="48.41"/>
    <n v="27.45"/>
    <n v="0"/>
    <n v="48.41"/>
    <n v="27.45"/>
    <n v="20.959999999999997"/>
    <x v="161"/>
    <x v="0"/>
    <x v="4"/>
    <s v="online"/>
  </r>
  <r>
    <s v="V02295"/>
    <d v="2025-01-19T00:00:00"/>
    <x v="0"/>
    <n v="1"/>
    <s v="enero"/>
    <s v="T1"/>
    <s v="P019"/>
    <x v="14"/>
    <x v="0"/>
    <x v="4"/>
    <n v="2"/>
    <n v="57.53"/>
    <n v="31.47"/>
    <n v="0"/>
    <n v="115.06"/>
    <n v="62.94"/>
    <n v="52.120000000000005"/>
    <x v="162"/>
    <x v="0"/>
    <x v="6"/>
    <s v="online"/>
  </r>
  <r>
    <s v="V01472"/>
    <d v="2024-09-13T00:00:00"/>
    <x v="1"/>
    <n v="9"/>
    <s v="septiembre"/>
    <s v="T3"/>
    <s v="P002"/>
    <x v="3"/>
    <x v="2"/>
    <x v="3"/>
    <n v="2"/>
    <n v="78.03"/>
    <n v="46.18"/>
    <n v="0"/>
    <n v="156.06"/>
    <n v="92.36"/>
    <n v="63.7"/>
    <x v="163"/>
    <x v="0"/>
    <x v="3"/>
    <s v="tienda_fisica"/>
  </r>
  <r>
    <s v="V00055"/>
    <d v="2025-03-06T00:00:00"/>
    <x v="0"/>
    <n v="3"/>
    <s v="marzo"/>
    <s v="T1"/>
    <s v="P001"/>
    <x v="9"/>
    <x v="2"/>
    <x v="3"/>
    <n v="7"/>
    <n v="120.93"/>
    <n v="86.28"/>
    <n v="0"/>
    <n v="846.51"/>
    <n v="603.96"/>
    <n v="242.54999999999995"/>
    <x v="164"/>
    <x v="1"/>
    <x v="2"/>
    <s v="online"/>
  </r>
  <r>
    <s v="V00505"/>
    <d v="2025-07-13T00:00:00"/>
    <x v="0"/>
    <n v="7"/>
    <s v="julio"/>
    <s v="T3"/>
    <s v="P007"/>
    <x v="15"/>
    <x v="1"/>
    <x v="0"/>
    <n v="3"/>
    <n v="18.71"/>
    <n v="13.16"/>
    <n v="0"/>
    <n v="56.13"/>
    <n v="39.480000000000004"/>
    <n v="16.649999999999999"/>
    <x v="165"/>
    <x v="1"/>
    <x v="0"/>
    <s v="online"/>
  </r>
  <r>
    <s v="V01209"/>
    <d v="2025-03-04T00:00:00"/>
    <x v="0"/>
    <n v="3"/>
    <s v="marzo"/>
    <s v="T1"/>
    <s v="P007"/>
    <x v="15"/>
    <x v="1"/>
    <x v="0"/>
    <n v="6"/>
    <n v="20.37"/>
    <n v="13.14"/>
    <n v="0"/>
    <n v="122.22"/>
    <n v="78.84"/>
    <n v="43.379999999999995"/>
    <x v="166"/>
    <x v="1"/>
    <x v="5"/>
    <s v="online"/>
  </r>
  <r>
    <s v="V01045"/>
    <d v="2025-03-08T00:00:00"/>
    <x v="0"/>
    <n v="3"/>
    <s v="marzo"/>
    <s v="T1"/>
    <s v="P013"/>
    <x v="8"/>
    <x v="2"/>
    <x v="2"/>
    <n v="10"/>
    <n v="78"/>
    <n v="46.06"/>
    <n v="0"/>
    <n v="780"/>
    <n v="460.6"/>
    <n v="319.39999999999998"/>
    <x v="167"/>
    <x v="0"/>
    <x v="0"/>
    <s v="tienda_fisica"/>
  </r>
  <r>
    <s v="V01415"/>
    <d v="2025-02-26T00:00:00"/>
    <x v="0"/>
    <n v="2"/>
    <s v="febrero"/>
    <s v="T1"/>
    <s v="P015"/>
    <x v="2"/>
    <x v="2"/>
    <x v="2"/>
    <n v="5"/>
    <n v="74.099999999999994"/>
    <n v="41.79"/>
    <n v="0"/>
    <n v="370.5"/>
    <n v="208.95"/>
    <n v="161.55000000000001"/>
    <x v="168"/>
    <x v="0"/>
    <x v="3"/>
    <s v="online"/>
  </r>
  <r>
    <s v="V00928"/>
    <d v="2024-07-16T00:00:00"/>
    <x v="1"/>
    <n v="7"/>
    <s v="julio"/>
    <s v="T3"/>
    <s v="P007"/>
    <x v="15"/>
    <x v="1"/>
    <x v="0"/>
    <n v="1"/>
    <n v="19.350000000000001"/>
    <n v="13.19"/>
    <n v="0"/>
    <n v="19.350000000000001"/>
    <n v="13.19"/>
    <n v="6.1600000000000019"/>
    <x v="169"/>
    <x v="1"/>
    <x v="4"/>
    <s v="tienda_fisica"/>
  </r>
  <r>
    <s v="V02263"/>
    <d v="2025-09-05T00:00:00"/>
    <x v="0"/>
    <n v="9"/>
    <s v="septiembre"/>
    <s v="T3"/>
    <s v="P007"/>
    <x v="15"/>
    <x v="1"/>
    <x v="0"/>
    <n v="2"/>
    <n v="21.11"/>
    <n v="12.63"/>
    <n v="0"/>
    <n v="42.22"/>
    <n v="25.26"/>
    <n v="16.959999999999997"/>
    <x v="170"/>
    <x v="0"/>
    <x v="3"/>
    <s v="tienda_fisica"/>
  </r>
  <r>
    <s v="V01171"/>
    <d v="2024-03-24T00:00:00"/>
    <x v="1"/>
    <n v="3"/>
    <s v="marzo"/>
    <s v="T1"/>
    <s v="P015"/>
    <x v="2"/>
    <x v="2"/>
    <x v="2"/>
    <n v="2"/>
    <n v="83.31"/>
    <n v="44.35"/>
    <n v="0"/>
    <n v="166.62"/>
    <n v="88.7"/>
    <n v="77.92"/>
    <x v="171"/>
    <x v="0"/>
    <x v="5"/>
    <s v="tienda_fisica"/>
  </r>
  <r>
    <s v="V00047"/>
    <d v="2025-09-09T00:00:00"/>
    <x v="0"/>
    <n v="9"/>
    <s v="septiembre"/>
    <s v="T3"/>
    <s v="P018"/>
    <x v="5"/>
    <x v="0"/>
    <x v="4"/>
    <n v="1"/>
    <n v="30.36"/>
    <n v="17.600000000000001"/>
    <n v="0"/>
    <n v="30.36"/>
    <n v="17.600000000000001"/>
    <n v="12.759999999999998"/>
    <x v="172"/>
    <x v="0"/>
    <x v="5"/>
    <s v="tienda_fisica"/>
  </r>
  <r>
    <s v="V01699"/>
    <d v="2025-08-05T00:00:00"/>
    <x v="0"/>
    <n v="8"/>
    <s v="agosto"/>
    <s v="T3"/>
    <s v="P017"/>
    <x v="17"/>
    <x v="0"/>
    <x v="4"/>
    <n v="5"/>
    <n v="52.32"/>
    <n v="23.07"/>
    <n v="0"/>
    <n v="261.60000000000002"/>
    <n v="115.35"/>
    <n v="146.25000000000003"/>
    <x v="173"/>
    <x v="0"/>
    <x v="0"/>
    <s v="tienda_fisica"/>
  </r>
  <r>
    <s v="V00770"/>
    <d v="2024-09-09T00:00:00"/>
    <x v="1"/>
    <n v="9"/>
    <s v="septiembre"/>
    <s v="T3"/>
    <s v="P004"/>
    <x v="6"/>
    <x v="2"/>
    <x v="3"/>
    <n v="1"/>
    <n v="160.41"/>
    <n v="113.84"/>
    <n v="0"/>
    <n v="160.41"/>
    <n v="113.84"/>
    <n v="46.569999999999993"/>
    <x v="174"/>
    <x v="1"/>
    <x v="2"/>
    <s v="tienda_fisica"/>
  </r>
  <r>
    <s v="V01921"/>
    <d v="2025-02-17T00:00:00"/>
    <x v="0"/>
    <n v="2"/>
    <s v="febrero"/>
    <s v="T1"/>
    <s v="P020"/>
    <x v="19"/>
    <x v="2"/>
    <x v="4"/>
    <n v="2"/>
    <n v="64.709999999999994"/>
    <n v="33.69"/>
    <n v="0.16"/>
    <n v="108.71279999999999"/>
    <n v="67.38"/>
    <n v="41.332799999999992"/>
    <x v="175"/>
    <x v="0"/>
    <x v="0"/>
    <s v="tienda_fisica"/>
  </r>
  <r>
    <s v="V01237"/>
    <d v="2025-03-29T00:00:00"/>
    <x v="0"/>
    <n v="3"/>
    <s v="marzo"/>
    <s v="T1"/>
    <s v="P004"/>
    <x v="6"/>
    <x v="2"/>
    <x v="3"/>
    <n v="1"/>
    <n v="156.82"/>
    <n v="107.89"/>
    <n v="0"/>
    <n v="156.82"/>
    <n v="107.89"/>
    <n v="48.929999999999993"/>
    <x v="176"/>
    <x v="1"/>
    <x v="3"/>
    <s v="tienda_fisica"/>
  </r>
  <r>
    <s v="V01127"/>
    <d v="2025-05-16T00:00:00"/>
    <x v="0"/>
    <n v="5"/>
    <s v="mayo"/>
    <s v="T2"/>
    <s v="P016"/>
    <x v="11"/>
    <x v="2"/>
    <x v="2"/>
    <n v="2"/>
    <n v="73.78"/>
    <n v="39.42"/>
    <n v="0"/>
    <n v="147.56"/>
    <n v="78.84"/>
    <n v="68.72"/>
    <x v="177"/>
    <x v="0"/>
    <x v="2"/>
    <s v="online"/>
  </r>
  <r>
    <s v="V02018"/>
    <d v="2024-05-07T00:00:00"/>
    <x v="1"/>
    <n v="5"/>
    <s v="mayo"/>
    <s v="T2"/>
    <s v="P006"/>
    <x v="0"/>
    <x v="0"/>
    <x v="0"/>
    <n v="1"/>
    <n v="47.92"/>
    <n v="26.47"/>
    <n v="0.17"/>
    <n v="39.773600000000002"/>
    <n v="26.47"/>
    <n v="13.303600000000003"/>
    <x v="178"/>
    <x v="1"/>
    <x v="4"/>
    <s v="online"/>
  </r>
  <r>
    <s v="V00451"/>
    <d v="2025-01-05T00:00:00"/>
    <x v="0"/>
    <n v="1"/>
    <s v="enero"/>
    <s v="T1"/>
    <s v="P011"/>
    <x v="10"/>
    <x v="1"/>
    <x v="1"/>
    <n v="3"/>
    <n v="21.41"/>
    <n v="11.53"/>
    <n v="0"/>
    <n v="64.23"/>
    <n v="34.589999999999996"/>
    <n v="29.640000000000008"/>
    <x v="179"/>
    <x v="0"/>
    <x v="4"/>
    <s v="online"/>
  </r>
  <r>
    <s v="V00856"/>
    <d v="2024-06-18T00:00:00"/>
    <x v="1"/>
    <n v="6"/>
    <s v="junio"/>
    <s v="T2"/>
    <s v="P014"/>
    <x v="16"/>
    <x v="1"/>
    <x v="2"/>
    <n v="1"/>
    <n v="14.45"/>
    <n v="9.4700000000000006"/>
    <n v="0"/>
    <n v="14.45"/>
    <n v="9.4700000000000006"/>
    <n v="4.9799999999999986"/>
    <x v="180"/>
    <x v="1"/>
    <x v="1"/>
    <s v="online"/>
  </r>
  <r>
    <s v="V01468"/>
    <d v="2025-01-23T00:00:00"/>
    <x v="0"/>
    <n v="1"/>
    <s v="enero"/>
    <s v="T1"/>
    <s v="P008"/>
    <x v="4"/>
    <x v="2"/>
    <x v="0"/>
    <n v="1"/>
    <n v="98.42"/>
    <n v="58.61"/>
    <n v="0"/>
    <n v="98.42"/>
    <n v="58.61"/>
    <n v="39.81"/>
    <x v="181"/>
    <x v="0"/>
    <x v="4"/>
    <s v="tienda_fisica"/>
  </r>
  <r>
    <s v="V00340"/>
    <d v="2024-06-30T00:00:00"/>
    <x v="1"/>
    <n v="6"/>
    <s v="junio"/>
    <s v="T2"/>
    <s v="P015"/>
    <x v="2"/>
    <x v="2"/>
    <x v="2"/>
    <n v="3"/>
    <n v="82"/>
    <n v="42.79"/>
    <n v="0"/>
    <n v="246"/>
    <n v="128.37"/>
    <n v="117.63"/>
    <x v="182"/>
    <x v="0"/>
    <x v="6"/>
    <s v="tienda_fisica"/>
  </r>
  <r>
    <s v="V01287"/>
    <d v="2025-01-25T00:00:00"/>
    <x v="0"/>
    <n v="1"/>
    <s v="enero"/>
    <s v="T1"/>
    <s v="P002"/>
    <x v="3"/>
    <x v="2"/>
    <x v="3"/>
    <n v="4"/>
    <n v="69.89"/>
    <n v="48.22"/>
    <n v="0"/>
    <n v="279.56"/>
    <n v="192.88"/>
    <n v="86.68"/>
    <x v="183"/>
    <x v="1"/>
    <x v="5"/>
    <s v="online"/>
  </r>
  <r>
    <s v="V01756"/>
    <d v="2025-10-17T00:00:00"/>
    <x v="0"/>
    <n v="10"/>
    <s v="octubre"/>
    <s v="T4"/>
    <s v="P020"/>
    <x v="19"/>
    <x v="0"/>
    <x v="4"/>
    <n v="9"/>
    <n v="56.54"/>
    <n v="32.81"/>
    <n v="0"/>
    <n v="508.86"/>
    <n v="295.29000000000002"/>
    <n v="213.57"/>
    <x v="184"/>
    <x v="0"/>
    <x v="2"/>
    <s v="tienda_fisica"/>
  </r>
  <r>
    <s v="V01335"/>
    <d v="2025-09-06T00:00:00"/>
    <x v="0"/>
    <n v="9"/>
    <s v="septiembre"/>
    <s v="T3"/>
    <s v="P009"/>
    <x v="12"/>
    <x v="1"/>
    <x v="1"/>
    <n v="1"/>
    <n v="7.38"/>
    <n v="4.4000000000000004"/>
    <n v="0.08"/>
    <n v="6.7896000000000001"/>
    <n v="4.4000000000000004"/>
    <n v="2.3895999999999997"/>
    <x v="185"/>
    <x v="1"/>
    <x v="3"/>
    <s v="tienda_fisica"/>
  </r>
  <r>
    <s v="V00988"/>
    <d v="2025-07-09T00:00:00"/>
    <x v="0"/>
    <n v="7"/>
    <s v="julio"/>
    <s v="T3"/>
    <s v="P006"/>
    <x v="0"/>
    <x v="0"/>
    <x v="0"/>
    <n v="4"/>
    <n v="47.72"/>
    <n v="26.63"/>
    <n v="0"/>
    <n v="190.88"/>
    <n v="106.52"/>
    <n v="84.36"/>
    <x v="186"/>
    <x v="0"/>
    <x v="0"/>
    <s v="online"/>
  </r>
  <r>
    <s v="V02252"/>
    <d v="2025-02-18T00:00:00"/>
    <x v="0"/>
    <n v="2"/>
    <s v="febrero"/>
    <s v="T1"/>
    <s v="P015"/>
    <x v="2"/>
    <x v="2"/>
    <x v="2"/>
    <n v="1"/>
    <n v="79.66"/>
    <n v="42.57"/>
    <n v="0.24"/>
    <n v="60.541599999999995"/>
    <n v="42.57"/>
    <n v="17.971599999999995"/>
    <x v="187"/>
    <x v="1"/>
    <x v="2"/>
    <s v="tienda_fisica"/>
  </r>
  <r>
    <s v="V00182"/>
    <d v="2025-03-02T00:00:00"/>
    <x v="0"/>
    <n v="3"/>
    <s v="marzo"/>
    <s v="T1"/>
    <s v="P004"/>
    <x v="6"/>
    <x v="2"/>
    <x v="3"/>
    <n v="5"/>
    <n v="149.56"/>
    <n v="110.03"/>
    <n v="0"/>
    <n v="747.8"/>
    <n v="550.15"/>
    <n v="197.64999999999998"/>
    <x v="188"/>
    <x v="1"/>
    <x v="4"/>
    <s v="tienda_fisica"/>
  </r>
  <r>
    <s v="V01784"/>
    <d v="2025-07-04T00:00:00"/>
    <x v="0"/>
    <n v="7"/>
    <s v="julio"/>
    <s v="T3"/>
    <s v="P010"/>
    <x v="1"/>
    <x v="1"/>
    <x v="1"/>
    <n v="4"/>
    <n v="15.25"/>
    <n v="11.37"/>
    <n v="0"/>
    <n v="61"/>
    <n v="45.48"/>
    <n v="15.520000000000003"/>
    <x v="189"/>
    <x v="1"/>
    <x v="4"/>
    <s v="tienda_fisica"/>
  </r>
  <r>
    <s v="V01344"/>
    <d v="2024-08-17T00:00:00"/>
    <x v="1"/>
    <n v="8"/>
    <s v="agosto"/>
    <s v="T3"/>
    <s v="P004"/>
    <x v="6"/>
    <x v="2"/>
    <x v="3"/>
    <n v="3"/>
    <n v="170.2"/>
    <n v="109.77"/>
    <n v="0"/>
    <n v="510.59999999999997"/>
    <n v="329.31"/>
    <n v="181.28999999999996"/>
    <x v="190"/>
    <x v="1"/>
    <x v="2"/>
    <s v="online"/>
  </r>
  <r>
    <s v="V00545"/>
    <d v="2025-05-27T00:00:00"/>
    <x v="0"/>
    <n v="5"/>
    <s v="mayo"/>
    <s v="T2"/>
    <s v="P016"/>
    <x v="11"/>
    <x v="2"/>
    <x v="2"/>
    <n v="3"/>
    <n v="76.48"/>
    <n v="40.299999999999997"/>
    <n v="0"/>
    <n v="229.44"/>
    <n v="120.89999999999999"/>
    <n v="108.54"/>
    <x v="191"/>
    <x v="0"/>
    <x v="3"/>
    <s v="online"/>
  </r>
  <r>
    <s v="V01464"/>
    <d v="2025-08-16T00:00:00"/>
    <x v="0"/>
    <n v="8"/>
    <s v="agosto"/>
    <s v="T3"/>
    <s v="P014"/>
    <x v="16"/>
    <x v="1"/>
    <x v="2"/>
    <n v="2"/>
    <n v="14.87"/>
    <n v="9.49"/>
    <n v="0"/>
    <n v="29.74"/>
    <n v="18.98"/>
    <n v="10.759999999999998"/>
    <x v="192"/>
    <x v="1"/>
    <x v="5"/>
    <s v="tienda_fisica"/>
  </r>
  <r>
    <s v="V01268"/>
    <d v="2025-05-02T00:00:00"/>
    <x v="0"/>
    <n v="5"/>
    <s v="mayo"/>
    <s v="T2"/>
    <s v="P004"/>
    <x v="6"/>
    <x v="2"/>
    <x v="3"/>
    <n v="8"/>
    <n v="148.88"/>
    <n v="109.77"/>
    <n v="0"/>
    <n v="1191.04"/>
    <n v="878.16"/>
    <n v="312.88"/>
    <x v="193"/>
    <x v="1"/>
    <x v="0"/>
    <s v="online"/>
  </r>
  <r>
    <s v="V00540"/>
    <d v="2024-12-04T00:00:00"/>
    <x v="1"/>
    <n v="12"/>
    <s v="diciembre"/>
    <s v="T4"/>
    <s v="P007"/>
    <x v="15"/>
    <x v="1"/>
    <x v="0"/>
    <n v="3"/>
    <n v="18.37"/>
    <n v="12.43"/>
    <n v="0.17"/>
    <n v="45.741299999999995"/>
    <n v="37.29"/>
    <n v="8.4512999999999963"/>
    <x v="194"/>
    <x v="1"/>
    <x v="5"/>
    <s v="tienda_fisica "/>
  </r>
  <r>
    <s v="V00468"/>
    <d v="2025-03-23T00:00:00"/>
    <x v="0"/>
    <n v="3"/>
    <s v="marzo"/>
    <s v="T1"/>
    <s v="P018"/>
    <x v="5"/>
    <x v="0"/>
    <x v="4"/>
    <n v="5"/>
    <n v="30.31"/>
    <n v="16.899999999999999"/>
    <n v="0"/>
    <n v="151.54999999999998"/>
    <n v="84.5"/>
    <n v="67.049999999999983"/>
    <x v="195"/>
    <x v="0"/>
    <x v="0"/>
    <s v="online"/>
  </r>
  <r>
    <s v="V00685"/>
    <d v="2025-06-21T00:00:00"/>
    <x v="0"/>
    <n v="6"/>
    <s v="junio"/>
    <s v="T2"/>
    <s v="P019"/>
    <x v="14"/>
    <x v="2"/>
    <x v="4"/>
    <n v="1"/>
    <n v="62.34"/>
    <n v="32.119999999999997"/>
    <n v="0"/>
    <n v="62.34"/>
    <n v="32.119999999999997"/>
    <n v="30.220000000000006"/>
    <x v="196"/>
    <x v="0"/>
    <x v="3"/>
    <s v="tienda_fisica"/>
  </r>
  <r>
    <s v="V00424"/>
    <d v="2024-08-09T00:00:00"/>
    <x v="1"/>
    <n v="8"/>
    <s v="agosto"/>
    <s v="T3"/>
    <s v="P003"/>
    <x v="7"/>
    <x v="2"/>
    <x v="3"/>
    <n v="8"/>
    <n v="177.72"/>
    <n v="97.21"/>
    <n v="0.21"/>
    <n v="1123.1904"/>
    <n v="777.68"/>
    <n v="345.5104"/>
    <x v="197"/>
    <x v="1"/>
    <x v="0"/>
    <s v="tienda_fisica"/>
  </r>
  <r>
    <s v="V00397"/>
    <d v="2025-09-28T00:00:00"/>
    <x v="0"/>
    <n v="9"/>
    <s v="septiembre"/>
    <s v="T3"/>
    <s v="P020"/>
    <x v="19"/>
    <x v="0"/>
    <x v="4"/>
    <n v="1"/>
    <n v="55.73"/>
    <n v="33.78"/>
    <n v="0"/>
    <n v="55.73"/>
    <n v="33.78"/>
    <n v="21.949999999999996"/>
    <x v="198"/>
    <x v="0"/>
    <x v="3"/>
    <s v="online"/>
  </r>
  <r>
    <s v="V01932"/>
    <d v="2025-09-18T00:00:00"/>
    <x v="0"/>
    <n v="9"/>
    <s v="septiembre"/>
    <s v="T3"/>
    <s v="P011"/>
    <x v="10"/>
    <x v="1"/>
    <x v="1"/>
    <n v="2"/>
    <n v="20.82"/>
    <n v="11.21"/>
    <n v="0"/>
    <n v="41.64"/>
    <n v="22.42"/>
    <n v="19.22"/>
    <x v="199"/>
    <x v="0"/>
    <x v="0"/>
    <s v="tienda_fisica"/>
  </r>
  <r>
    <s v="V01515"/>
    <d v="2025-07-05T00:00:00"/>
    <x v="0"/>
    <n v="7"/>
    <s v="julio"/>
    <s v="T3"/>
    <s v="P010"/>
    <x v="1"/>
    <x v="1"/>
    <x v="1"/>
    <n v="3"/>
    <n v="15.2"/>
    <n v="11.82"/>
    <n v="0"/>
    <n v="45.599999999999994"/>
    <n v="35.46"/>
    <n v="10.139999999999993"/>
    <x v="200"/>
    <x v="1"/>
    <x v="6"/>
    <s v="tienda_fisica"/>
  </r>
  <r>
    <s v="V02116"/>
    <d v="2024-11-21T00:00:00"/>
    <x v="1"/>
    <n v="11"/>
    <s v="noviembre"/>
    <s v="T4"/>
    <s v="P006"/>
    <x v="0"/>
    <x v="0"/>
    <x v="0"/>
    <n v="1"/>
    <n v="50.1"/>
    <n v="26.35"/>
    <n v="0"/>
    <n v="50.1"/>
    <n v="26.35"/>
    <n v="23.75"/>
    <x v="201"/>
    <x v="0"/>
    <x v="2"/>
    <s v="tienda_fisica"/>
  </r>
  <r>
    <s v="V02216"/>
    <d v="2024-05-20T00:00:00"/>
    <x v="1"/>
    <n v="5"/>
    <s v="mayo"/>
    <s v="T2"/>
    <s v="P013"/>
    <x v="8"/>
    <x v="2"/>
    <x v="2"/>
    <n v="1"/>
    <n v="73.099999999999994"/>
    <n v="47.62"/>
    <n v="0"/>
    <n v="73.099999999999994"/>
    <n v="47.62"/>
    <n v="25.479999999999997"/>
    <x v="202"/>
    <x v="1"/>
    <x v="0"/>
    <s v="tienda_fisica"/>
  </r>
  <r>
    <s v="V02037"/>
    <d v="2025-08-31T00:00:00"/>
    <x v="0"/>
    <n v="8"/>
    <s v="agosto"/>
    <s v="T3"/>
    <s v="P018"/>
    <x v="5"/>
    <x v="0"/>
    <x v="4"/>
    <n v="1"/>
    <n v="33.08"/>
    <n v="17.79"/>
    <n v="0"/>
    <n v="33.08"/>
    <n v="17.79"/>
    <n v="15.29"/>
    <x v="203"/>
    <x v="0"/>
    <x v="0"/>
    <s v="tienda_fisica"/>
  </r>
  <r>
    <s v="V02078"/>
    <d v="2025-04-17T00:00:00"/>
    <x v="0"/>
    <n v="4"/>
    <s v="abril"/>
    <s v="T2"/>
    <s v="P020"/>
    <x v="19"/>
    <x v="0"/>
    <x v="4"/>
    <n v="1"/>
    <n v="57.04"/>
    <n v="32.46"/>
    <n v="0"/>
    <n v="57.04"/>
    <n v="32.46"/>
    <n v="24.58"/>
    <x v="204"/>
    <x v="0"/>
    <x v="3"/>
    <s v="tienda_fisica"/>
  </r>
  <r>
    <s v="V01465"/>
    <d v="2025-01-28T00:00:00"/>
    <x v="0"/>
    <n v="1"/>
    <s v="enero"/>
    <s v="T1"/>
    <s v="P005"/>
    <x v="18"/>
    <x v="0"/>
    <x v="0"/>
    <n v="1"/>
    <n v="56.85"/>
    <n v="41.88"/>
    <n v="0"/>
    <n v="56.85"/>
    <n v="41.88"/>
    <n v="14.969999999999999"/>
    <x v="205"/>
    <x v="1"/>
    <x v="5"/>
    <s v="tienda_fisica"/>
  </r>
  <r>
    <s v="V01211"/>
    <d v="2024-12-08T00:00:00"/>
    <x v="1"/>
    <n v="12"/>
    <s v="diciembre"/>
    <s v="T4"/>
    <s v="P018"/>
    <x v="5"/>
    <x v="0"/>
    <x v="4"/>
    <n v="4"/>
    <n v="31.31"/>
    <n v="17.170000000000002"/>
    <n v="0"/>
    <n v="125.24"/>
    <n v="68.680000000000007"/>
    <n v="56.559999999999988"/>
    <x v="206"/>
    <x v="0"/>
    <x v="2"/>
    <s v="tienda_fisica"/>
  </r>
  <r>
    <s v="V01284"/>
    <d v="2024-10-09T00:00:00"/>
    <x v="1"/>
    <n v="10"/>
    <s v="octubre"/>
    <s v="T4"/>
    <s v="P008"/>
    <x v="4"/>
    <x v="2"/>
    <x v="0"/>
    <n v="5"/>
    <n v="105.45"/>
    <n v="55.78"/>
    <n v="0.12"/>
    <n v="463.98"/>
    <n v="278.89999999999998"/>
    <n v="185.08000000000004"/>
    <x v="207"/>
    <x v="0"/>
    <x v="3"/>
    <s v="online"/>
  </r>
  <r>
    <s v="V00448"/>
    <d v="2025-05-08T00:00:00"/>
    <x v="0"/>
    <n v="5"/>
    <s v="mayo"/>
    <s v="T2"/>
    <s v="P002"/>
    <x v="3"/>
    <x v="2"/>
    <x v="3"/>
    <n v="11"/>
    <n v="74.680000000000007"/>
    <n v="46.17"/>
    <n v="0.24"/>
    <n v="624.32479999999998"/>
    <n v="507.87"/>
    <n v="116.45479999999998"/>
    <x v="208"/>
    <x v="1"/>
    <x v="3"/>
    <s v="online"/>
  </r>
  <r>
    <s v="V00730"/>
    <d v="2024-08-25T00:00:00"/>
    <x v="1"/>
    <n v="8"/>
    <s v="agosto"/>
    <s v="T3"/>
    <s v="P016"/>
    <x v="11"/>
    <x v="2"/>
    <x v="2"/>
    <n v="2"/>
    <n v="73.36"/>
    <n v="42.62"/>
    <n v="0"/>
    <n v="146.72"/>
    <n v="85.24"/>
    <n v="61.480000000000004"/>
    <x v="209"/>
    <x v="0"/>
    <x v="2"/>
    <s v="tienda_fisica"/>
  </r>
  <r>
    <s v="V02029"/>
    <d v="2024-03-26T00:00:00"/>
    <x v="1"/>
    <n v="3"/>
    <s v="marzo"/>
    <s v="T1"/>
    <s v="P014"/>
    <x v="16"/>
    <x v="1"/>
    <x v="2"/>
    <n v="1"/>
    <n v="14.14"/>
    <n v="9.68"/>
    <n v="0"/>
    <n v="14.14"/>
    <n v="9.68"/>
    <n v="4.4600000000000009"/>
    <x v="210"/>
    <x v="1"/>
    <x v="5"/>
    <s v="online"/>
  </r>
  <r>
    <s v="V00029"/>
    <d v="2024-08-30T00:00:00"/>
    <x v="1"/>
    <n v="8"/>
    <s v="agosto"/>
    <s v="T3"/>
    <s v="P005"/>
    <x v="18"/>
    <x v="0"/>
    <x v="0"/>
    <n v="7"/>
    <n v="55.13"/>
    <n v="42.14"/>
    <n v="0"/>
    <n v="385.91"/>
    <n v="294.98"/>
    <n v="90.93"/>
    <x v="211"/>
    <x v="1"/>
    <x v="5"/>
    <s v="tienda_fisica"/>
  </r>
  <r>
    <s v="V00342"/>
    <d v="2024-10-02T00:00:00"/>
    <x v="1"/>
    <n v="10"/>
    <s v="octubre"/>
    <s v="T4"/>
    <s v="P007"/>
    <x v="15"/>
    <x v="1"/>
    <x v="0"/>
    <n v="9"/>
    <n v="20.43"/>
    <n v="12.87"/>
    <n v="0.09"/>
    <n v="167.32170000000002"/>
    <n v="115.83"/>
    <n v="51.491700000000023"/>
    <x v="212"/>
    <x v="1"/>
    <x v="4"/>
    <s v="tienda_fisica"/>
  </r>
  <r>
    <s v="V00591"/>
    <d v="2025-01-09T00:00:00"/>
    <x v="0"/>
    <n v="1"/>
    <s v="enero"/>
    <s v="T1"/>
    <s v="P003"/>
    <x v="7"/>
    <x v="2"/>
    <x v="3"/>
    <n v="1"/>
    <n v="177.72"/>
    <n v="95.58"/>
    <n v="0.06"/>
    <n v="167.05679999999998"/>
    <n v="95.58"/>
    <n v="71.476799999999983"/>
    <x v="213"/>
    <x v="0"/>
    <x v="0"/>
    <s v="tienda_fisica"/>
  </r>
  <r>
    <s v="V00603"/>
    <d v="2024-12-22T00:00:00"/>
    <x v="1"/>
    <n v="12"/>
    <s v="diciembre"/>
    <s v="T4"/>
    <s v="P010"/>
    <x v="1"/>
    <x v="1"/>
    <x v="1"/>
    <n v="1"/>
    <n v="17.59"/>
    <n v="11.58"/>
    <n v="0"/>
    <n v="17.59"/>
    <n v="11.58"/>
    <n v="6.01"/>
    <x v="214"/>
    <x v="1"/>
    <x v="0"/>
    <s v="tienda_fisica"/>
  </r>
  <r>
    <s v="V00514"/>
    <d v="2024-11-21T00:00:00"/>
    <x v="1"/>
    <n v="11"/>
    <s v="noviembre"/>
    <s v="T4"/>
    <s v="P006"/>
    <x v="0"/>
    <x v="0"/>
    <x v="0"/>
    <n v="5"/>
    <n v="49.26"/>
    <n v="25.69"/>
    <n v="0.13"/>
    <n v="214.28099999999998"/>
    <n v="128.45000000000002"/>
    <n v="85.83099999999996"/>
    <x v="215"/>
    <x v="0"/>
    <x v="3"/>
    <s v="tienda_fisica"/>
  </r>
  <r>
    <s v="V01587"/>
    <d v="2025-10-25T00:00:00"/>
    <x v="0"/>
    <n v="10"/>
    <s v="octubre"/>
    <s v="T4"/>
    <s v="P017"/>
    <x v="17"/>
    <x v="0"/>
    <x v="4"/>
    <n v="1"/>
    <n v="50.88"/>
    <n v="22.96"/>
    <n v="0"/>
    <n v="50.88"/>
    <n v="22.96"/>
    <n v="27.92"/>
    <x v="216"/>
    <x v="0"/>
    <x v="3"/>
    <s v="online"/>
  </r>
  <r>
    <s v="V02267"/>
    <d v="2024-10-30T00:00:00"/>
    <x v="1"/>
    <n v="10"/>
    <s v="octubre"/>
    <s v="T4"/>
    <s v="P005"/>
    <x v="18"/>
    <x v="0"/>
    <x v="0"/>
    <n v="1"/>
    <n v="58.11"/>
    <n v="40.07"/>
    <n v="0"/>
    <n v="58.11"/>
    <n v="40.07"/>
    <n v="18.04"/>
    <x v="217"/>
    <x v="1"/>
    <x v="5"/>
    <s v="online"/>
  </r>
  <r>
    <s v="V01833"/>
    <d v="2024-12-08T00:00:00"/>
    <x v="1"/>
    <n v="12"/>
    <s v="diciembre"/>
    <s v="T4"/>
    <s v="P011"/>
    <x v="10"/>
    <x v="1"/>
    <x v="1"/>
    <n v="2"/>
    <n v="20.94"/>
    <n v="10.92"/>
    <n v="0"/>
    <n v="41.88"/>
    <n v="21.84"/>
    <n v="20.040000000000003"/>
    <x v="218"/>
    <x v="0"/>
    <x v="3"/>
    <s v="tienda_fisica"/>
  </r>
  <r>
    <s v="V01481"/>
    <d v="2024-08-08T00:00:00"/>
    <x v="1"/>
    <n v="8"/>
    <s v="agosto"/>
    <s v="T3"/>
    <s v="P001"/>
    <x v="9"/>
    <x v="2"/>
    <x v="3"/>
    <n v="1"/>
    <n v="127.87"/>
    <n v="86.41"/>
    <n v="0"/>
    <n v="127.87"/>
    <n v="86.41"/>
    <n v="41.460000000000008"/>
    <x v="219"/>
    <x v="1"/>
    <x v="0"/>
    <s v="tienda_fisica"/>
  </r>
  <r>
    <s v="V00098"/>
    <d v="2025-07-24T00:00:00"/>
    <x v="0"/>
    <n v="7"/>
    <s v="julio"/>
    <s v="T3"/>
    <s v="P013"/>
    <x v="8"/>
    <x v="2"/>
    <x v="2"/>
    <n v="1"/>
    <n v="76.25"/>
    <n v="48.44"/>
    <n v="0"/>
    <n v="76.25"/>
    <n v="48.44"/>
    <n v="27.810000000000002"/>
    <x v="220"/>
    <x v="1"/>
    <x v="3"/>
    <s v="tienda_fisica"/>
  </r>
  <r>
    <s v="V02127"/>
    <d v="2024-09-10T00:00:00"/>
    <x v="1"/>
    <n v="9"/>
    <s v="septiembre"/>
    <s v="T3"/>
    <s v="P006"/>
    <x v="0"/>
    <x v="0"/>
    <x v="0"/>
    <n v="2"/>
    <n v="48.54"/>
    <n v="26.7"/>
    <n v="0.28999999999999998"/>
    <n v="68.9268"/>
    <n v="53.4"/>
    <n v="15.526800000000001"/>
    <x v="221"/>
    <x v="1"/>
    <x v="5"/>
    <s v="online"/>
  </r>
  <r>
    <s v="V00279"/>
    <d v="2025-11-05T00:00:00"/>
    <x v="0"/>
    <n v="11"/>
    <s v="noviembre"/>
    <s v="T4"/>
    <s v="P001"/>
    <x v="9"/>
    <x v="2"/>
    <x v="3"/>
    <n v="4"/>
    <n v="120.07"/>
    <n v="85.54"/>
    <n v="0"/>
    <n v="480.28"/>
    <n v="342.16"/>
    <n v="138.11999999999995"/>
    <x v="222"/>
    <x v="1"/>
    <x v="5"/>
    <s v="online"/>
  </r>
  <r>
    <s v="V00475"/>
    <d v="2024-07-22T00:00:00"/>
    <x v="1"/>
    <n v="7"/>
    <s v="julio"/>
    <s v="T3"/>
    <s v="P002"/>
    <x v="3"/>
    <x v="2"/>
    <x v="3"/>
    <n v="3"/>
    <n v="73.48"/>
    <n v="48.09"/>
    <n v="0"/>
    <n v="220.44"/>
    <n v="144.27000000000001"/>
    <n v="76.169999999999987"/>
    <x v="223"/>
    <x v="1"/>
    <x v="0"/>
    <s v="tienda_fisica"/>
  </r>
  <r>
    <s v="V00921"/>
    <d v="2025-12-24T00:00:00"/>
    <x v="0"/>
    <n v="12"/>
    <s v="diciembre"/>
    <s v="T4"/>
    <s v="P016"/>
    <x v="11"/>
    <x v="2"/>
    <x v="2"/>
    <n v="5"/>
    <n v="74.94"/>
    <n v="42.47"/>
    <n v="0"/>
    <n v="374.7"/>
    <n v="212.35"/>
    <n v="162.35"/>
    <x v="224"/>
    <x v="0"/>
    <x v="1"/>
    <s v="online"/>
  </r>
  <r>
    <s v="V00661"/>
    <d v="2024-10-12T00:00:00"/>
    <x v="1"/>
    <n v="10"/>
    <s v="octubre"/>
    <s v="T4"/>
    <s v="P016"/>
    <x v="11"/>
    <x v="2"/>
    <x v="2"/>
    <n v="3"/>
    <n v="82.67"/>
    <n v="42.83"/>
    <n v="0"/>
    <n v="248.01"/>
    <n v="128.49"/>
    <n v="119.51999999999998"/>
    <x v="225"/>
    <x v="0"/>
    <x v="2"/>
    <s v="tienda_fisica"/>
  </r>
  <r>
    <s v="V02113"/>
    <d v="2024-11-15T00:00:00"/>
    <x v="1"/>
    <n v="11"/>
    <s v="noviembre"/>
    <s v="T4"/>
    <s v="P009"/>
    <x v="12"/>
    <x v="1"/>
    <x v="1"/>
    <n v="10"/>
    <n v="7.75"/>
    <n v="4.2"/>
    <n v="0"/>
    <n v="77.5"/>
    <n v="42"/>
    <n v="35.5"/>
    <x v="226"/>
    <x v="0"/>
    <x v="0"/>
    <s v="online"/>
  </r>
  <r>
    <s v="V01147"/>
    <d v="2024-06-23T00:00:00"/>
    <x v="1"/>
    <n v="6"/>
    <s v="junio"/>
    <s v="T2"/>
    <s v="P016"/>
    <x v="11"/>
    <x v="2"/>
    <x v="2"/>
    <n v="1"/>
    <n v="77.84"/>
    <n v="39"/>
    <n v="0.3"/>
    <n v="54.488"/>
    <n v="39"/>
    <n v="15.488"/>
    <x v="227"/>
    <x v="1"/>
    <x v="4"/>
    <s v="tienda_fisica"/>
  </r>
  <r>
    <s v="V00706"/>
    <d v="2025-05-26T00:00:00"/>
    <x v="0"/>
    <n v="5"/>
    <s v="mayo"/>
    <s v="T2"/>
    <s v="P005"/>
    <x v="18"/>
    <x v="0"/>
    <x v="0"/>
    <n v="5"/>
    <n v="57.6"/>
    <n v="42.72"/>
    <n v="0"/>
    <n v="288"/>
    <n v="213.6"/>
    <n v="74.400000000000006"/>
    <x v="228"/>
    <x v="1"/>
    <x v="5"/>
    <s v="tienda_fisica"/>
  </r>
  <r>
    <s v="V00604"/>
    <d v="2025-06-03T00:00:00"/>
    <x v="0"/>
    <n v="6"/>
    <s v="junio"/>
    <s v="T2"/>
    <s v="P018"/>
    <x v="5"/>
    <x v="1"/>
    <x v="4"/>
    <n v="4"/>
    <n v="29.4"/>
    <n v="17.82"/>
    <n v="0"/>
    <n v="117.6"/>
    <n v="71.28"/>
    <n v="46.319999999999993"/>
    <x v="229"/>
    <x v="0"/>
    <x v="3"/>
    <s v="tienda_fisica"/>
  </r>
  <r>
    <s v="V01173"/>
    <d v="2024-10-29T00:00:00"/>
    <x v="1"/>
    <n v="10"/>
    <s v="octubre"/>
    <s v="T4"/>
    <s v="P006"/>
    <x v="0"/>
    <x v="0"/>
    <x v="0"/>
    <n v="1"/>
    <n v="45.7"/>
    <n v="27.36"/>
    <n v="0"/>
    <n v="45.7"/>
    <n v="27.36"/>
    <n v="18.340000000000003"/>
    <x v="230"/>
    <x v="0"/>
    <x v="3"/>
    <s v="tienda_fisica"/>
  </r>
  <r>
    <s v="V02254"/>
    <d v="2025-03-26T00:00:00"/>
    <x v="0"/>
    <n v="3"/>
    <s v="marzo"/>
    <s v="T1"/>
    <s v="P018"/>
    <x v="5"/>
    <x v="0"/>
    <x v="4"/>
    <n v="1"/>
    <n v="31.91"/>
    <n v="17.899999999999999"/>
    <n v="0"/>
    <n v="31.91"/>
    <n v="17.899999999999999"/>
    <n v="14.010000000000002"/>
    <x v="231"/>
    <x v="0"/>
    <x v="2"/>
    <s v="tienda_fisica"/>
  </r>
  <r>
    <s v="V01615"/>
    <d v="2024-09-18T00:00:00"/>
    <x v="1"/>
    <n v="9"/>
    <s v="septiembre"/>
    <s v="T3"/>
    <s v="P015"/>
    <x v="2"/>
    <x v="2"/>
    <x v="2"/>
    <n v="6"/>
    <n v="79.34"/>
    <n v="43.33"/>
    <n v="0"/>
    <n v="476.04"/>
    <n v="259.98"/>
    <n v="216.06"/>
    <x v="232"/>
    <x v="0"/>
    <x v="4"/>
    <s v="online"/>
  </r>
  <r>
    <s v="V01166"/>
    <d v="2024-12-06T00:00:00"/>
    <x v="1"/>
    <n v="12"/>
    <s v="diciembre"/>
    <s v="T4"/>
    <s v="P001"/>
    <x v="9"/>
    <x v="2"/>
    <x v="3"/>
    <n v="2"/>
    <n v="130.12"/>
    <n v="85.04"/>
    <n v="0"/>
    <n v="260.24"/>
    <n v="170.08"/>
    <n v="90.16"/>
    <x v="233"/>
    <x v="1"/>
    <x v="5"/>
    <s v="tienda_fisica"/>
  </r>
  <r>
    <s v="V00893"/>
    <d v="2024-10-27T00:00:00"/>
    <x v="1"/>
    <n v="10"/>
    <s v="octubre"/>
    <s v="T4"/>
    <s v="P017"/>
    <x v="17"/>
    <x v="0"/>
    <x v="4"/>
    <n v="3"/>
    <n v="49.51"/>
    <n v="23.79"/>
    <n v="0"/>
    <n v="148.53"/>
    <n v="71.37"/>
    <n v="77.16"/>
    <x v="234"/>
    <x v="0"/>
    <x v="4"/>
    <s v="tienda_fisica"/>
  </r>
  <r>
    <s v="V01088"/>
    <d v="2025-06-29T00:00:00"/>
    <x v="0"/>
    <n v="6"/>
    <s v="junio"/>
    <s v="T2"/>
    <s v="P014"/>
    <x v="16"/>
    <x v="1"/>
    <x v="2"/>
    <n v="3"/>
    <n v="13.02"/>
    <n v="9.68"/>
    <n v="0"/>
    <n v="39.06"/>
    <n v="29.04"/>
    <n v="10.020000000000003"/>
    <x v="235"/>
    <x v="1"/>
    <x v="3"/>
    <s v="online"/>
  </r>
  <r>
    <s v="V01538"/>
    <d v="2024-04-05T00:00:00"/>
    <x v="1"/>
    <n v="4"/>
    <s v="abril"/>
    <s v="T2"/>
    <s v="P014"/>
    <x v="16"/>
    <x v="1"/>
    <x v="2"/>
    <n v="1"/>
    <n v="14.02"/>
    <n v="9.4499999999999993"/>
    <n v="0"/>
    <n v="14.02"/>
    <n v="9.4499999999999993"/>
    <n v="4.57"/>
    <x v="236"/>
    <x v="1"/>
    <x v="4"/>
    <s v="online"/>
  </r>
  <r>
    <s v="V00044"/>
    <d v="2025-12-31T00:00:00"/>
    <x v="0"/>
    <n v="12"/>
    <s v="diciembre"/>
    <s v="T4"/>
    <s v="P003"/>
    <x v="7"/>
    <x v="2"/>
    <x v="3"/>
    <n v="2"/>
    <n v="167.44"/>
    <n v="94.19"/>
    <n v="0"/>
    <n v="334.88"/>
    <n v="188.38"/>
    <n v="146.5"/>
    <x v="237"/>
    <x v="0"/>
    <x v="3"/>
    <s v="online"/>
  </r>
  <r>
    <s v="V02139"/>
    <d v="2025-09-08T00:00:00"/>
    <x v="0"/>
    <n v="9"/>
    <s v="septiembre"/>
    <s v="T3"/>
    <s v="P013"/>
    <x v="8"/>
    <x v="2"/>
    <x v="2"/>
    <n v="2"/>
    <n v="75.56"/>
    <n v="47.49"/>
    <n v="0"/>
    <n v="151.12"/>
    <n v="94.98"/>
    <n v="56.14"/>
    <x v="238"/>
    <x v="1"/>
    <x v="4"/>
    <s v="online"/>
  </r>
  <r>
    <s v="V01542"/>
    <d v="2024-07-16T00:00:00"/>
    <x v="1"/>
    <n v="7"/>
    <s v="julio"/>
    <s v="T3"/>
    <s v="P013"/>
    <x v="8"/>
    <x v="2"/>
    <x v="2"/>
    <n v="1"/>
    <n v="75.72"/>
    <n v="47.99"/>
    <n v="0"/>
    <n v="75.72"/>
    <n v="47.99"/>
    <n v="27.729999999999997"/>
    <x v="239"/>
    <x v="1"/>
    <x v="2"/>
    <s v="online"/>
  </r>
  <r>
    <s v="V02245"/>
    <d v="2025-11-07T00:00:00"/>
    <x v="0"/>
    <n v="11"/>
    <s v="noviembre"/>
    <s v="T4"/>
    <s v="P001"/>
    <x v="9"/>
    <x v="2"/>
    <x v="3"/>
    <n v="3"/>
    <n v="131.30000000000001"/>
    <n v="88.12"/>
    <n v="0"/>
    <n v="393.90000000000003"/>
    <n v="264.36"/>
    <n v="129.54000000000002"/>
    <x v="240"/>
    <x v="1"/>
    <x v="5"/>
    <s v="tienda_fisica"/>
  </r>
  <r>
    <s v="V00180"/>
    <d v="2025-06-15T00:00:00"/>
    <x v="0"/>
    <n v="6"/>
    <s v="junio"/>
    <s v="T2"/>
    <s v="P016"/>
    <x v="11"/>
    <x v="2"/>
    <x v="2"/>
    <n v="3"/>
    <n v="80.3"/>
    <n v="39.630000000000003"/>
    <n v="0"/>
    <n v="240.89999999999998"/>
    <n v="118.89000000000001"/>
    <n v="122.00999999999996"/>
    <x v="241"/>
    <x v="0"/>
    <x v="0"/>
    <s v="tienda_fisica"/>
  </r>
  <r>
    <s v="V00504"/>
    <d v="2024-10-21T00:00:00"/>
    <x v="1"/>
    <n v="10"/>
    <s v="octubre"/>
    <s v="T4"/>
    <s v="P005"/>
    <x v="18"/>
    <x v="0"/>
    <x v="0"/>
    <n v="1"/>
    <n v="55.11"/>
    <n v="39.97"/>
    <n v="0"/>
    <n v="55.11"/>
    <n v="39.97"/>
    <n v="15.14"/>
    <x v="242"/>
    <x v="1"/>
    <x v="3"/>
    <s v="tienda_fisica"/>
  </r>
  <r>
    <s v="V01882"/>
    <d v="2024-09-26T00:00:00"/>
    <x v="1"/>
    <n v="9"/>
    <s v="septiembre"/>
    <s v="T3"/>
    <s v="P013"/>
    <x v="8"/>
    <x v="2"/>
    <x v="2"/>
    <n v="7"/>
    <n v="79.52"/>
    <n v="49.82"/>
    <n v="0"/>
    <n v="556.64"/>
    <n v="348.74"/>
    <n v="207.89999999999998"/>
    <x v="243"/>
    <x v="1"/>
    <x v="3"/>
    <s v="tienda_fisica"/>
  </r>
  <r>
    <s v="V01781"/>
    <d v="2025-01-12T00:00:00"/>
    <x v="0"/>
    <n v="1"/>
    <s v="enero"/>
    <s v="T1"/>
    <s v="P006"/>
    <x v="0"/>
    <x v="0"/>
    <x v="0"/>
    <n v="1"/>
    <n v="48"/>
    <n v="27.15"/>
    <n v="0"/>
    <n v="48"/>
    <n v="27.15"/>
    <n v="20.85"/>
    <x v="244"/>
    <x v="0"/>
    <x v="6"/>
    <s v="tienda_fisica"/>
  </r>
  <r>
    <s v="V00946"/>
    <d v="2025-07-11T00:00:00"/>
    <x v="0"/>
    <n v="7"/>
    <s v="julio"/>
    <s v="T3"/>
    <s v="P004"/>
    <x v="6"/>
    <x v="2"/>
    <x v="3"/>
    <n v="2"/>
    <n v="165.83"/>
    <n v="107.01"/>
    <n v="0"/>
    <n v="331.66"/>
    <n v="214.02"/>
    <n v="117.64000000000001"/>
    <x v="245"/>
    <x v="1"/>
    <x v="3"/>
    <s v="tienda_fisica"/>
  </r>
  <r>
    <s v="V02268"/>
    <d v="2025-03-12T00:00:00"/>
    <x v="0"/>
    <n v="3"/>
    <s v="marzo"/>
    <s v="T1"/>
    <s v="P016"/>
    <x v="11"/>
    <x v="2"/>
    <x v="2"/>
    <n v="1"/>
    <n v="79.61"/>
    <n v="41.5"/>
    <n v="0"/>
    <n v="79.61"/>
    <n v="41.5"/>
    <n v="38.11"/>
    <x v="246"/>
    <x v="0"/>
    <x v="0"/>
    <s v="tienda_fisica"/>
  </r>
  <r>
    <s v="V00463"/>
    <d v="2024-02-05T00:00:00"/>
    <x v="1"/>
    <n v="2"/>
    <s v="febrero"/>
    <s v="T1"/>
    <s v="P001"/>
    <x v="9"/>
    <x v="2"/>
    <x v="3"/>
    <n v="2"/>
    <n v="131.47999999999999"/>
    <n v="84.65"/>
    <n v="0"/>
    <n v="262.95999999999998"/>
    <n v="169.3"/>
    <n v="93.659999999999968"/>
    <x v="247"/>
    <x v="1"/>
    <x v="4"/>
    <s v="tienda_fisica"/>
  </r>
  <r>
    <s v="V01821"/>
    <d v="2024-07-06T00:00:00"/>
    <x v="1"/>
    <n v="7"/>
    <s v="julio"/>
    <s v="T3"/>
    <s v="P017"/>
    <x v="17"/>
    <x v="0"/>
    <x v="4"/>
    <n v="2"/>
    <n v="53.23"/>
    <n v="21.72"/>
    <n v="0"/>
    <n v="106.46"/>
    <n v="43.44"/>
    <n v="63.019999999999996"/>
    <x v="248"/>
    <x v="0"/>
    <x v="3"/>
    <s v="online"/>
  </r>
  <r>
    <s v="V02093"/>
    <d v="2024-01-10T00:00:00"/>
    <x v="1"/>
    <n v="1"/>
    <s v="enero"/>
    <s v="T1"/>
    <s v="P005"/>
    <x v="18"/>
    <x v="2"/>
    <x v="0"/>
    <n v="1"/>
    <n v="61.45"/>
    <n v="42.17"/>
    <n v="0"/>
    <n v="61.45"/>
    <n v="42.17"/>
    <n v="19.28"/>
    <x v="249"/>
    <x v="1"/>
    <x v="3"/>
    <s v="tienda_fisica"/>
  </r>
  <r>
    <s v="V00095"/>
    <d v="2024-11-12T00:00:00"/>
    <x v="1"/>
    <n v="11"/>
    <s v="noviembre"/>
    <s v="T4"/>
    <s v="P002"/>
    <x v="3"/>
    <x v="2"/>
    <x v="3"/>
    <n v="2"/>
    <n v="78.64"/>
    <n v="46.41"/>
    <n v="0"/>
    <n v="157.28"/>
    <n v="92.82"/>
    <n v="64.460000000000008"/>
    <x v="250"/>
    <x v="0"/>
    <x v="2"/>
    <s v="online"/>
  </r>
  <r>
    <s v="V01120"/>
    <d v="2025-12-24T00:00:00"/>
    <x v="0"/>
    <n v="12"/>
    <s v="diciembre"/>
    <s v="T4"/>
    <s v="P004"/>
    <x v="6"/>
    <x v="2"/>
    <x v="3"/>
    <n v="1"/>
    <n v="156.07"/>
    <n v="111.89"/>
    <n v="0"/>
    <n v="156.07"/>
    <n v="111.89"/>
    <n v="44.179999999999993"/>
    <x v="251"/>
    <x v="1"/>
    <x v="5"/>
    <s v="online"/>
  </r>
  <r>
    <s v="V01855"/>
    <d v="2025-08-02T00:00:00"/>
    <x v="0"/>
    <n v="8"/>
    <s v="agosto"/>
    <s v="T3"/>
    <s v="P011"/>
    <x v="10"/>
    <x v="1"/>
    <x v="1"/>
    <n v="3"/>
    <n v="21.25"/>
    <n v="11.02"/>
    <n v="0.28999999999999998"/>
    <n v="45.262499999999996"/>
    <n v="33.06"/>
    <n v="12.202499999999993"/>
    <x v="252"/>
    <x v="1"/>
    <x v="5"/>
    <s v="online"/>
  </r>
  <r>
    <s v="V01946"/>
    <d v="2024-09-28T00:00:00"/>
    <x v="1"/>
    <n v="9"/>
    <s v="septiembre"/>
    <s v="T3"/>
    <s v="P006"/>
    <x v="0"/>
    <x v="0"/>
    <x v="0"/>
    <n v="1"/>
    <n v="46.35"/>
    <n v="26.84"/>
    <n v="0"/>
    <n v="46.35"/>
    <n v="26.84"/>
    <n v="19.510000000000002"/>
    <x v="253"/>
    <x v="0"/>
    <x v="0"/>
    <s v="tienda_fisica"/>
  </r>
  <r>
    <s v="V01540"/>
    <d v="2025-04-26T00:00:00"/>
    <x v="0"/>
    <n v="4"/>
    <s v="abril"/>
    <s v="T2"/>
    <s v="P001"/>
    <x v="9"/>
    <x v="2"/>
    <x v="3"/>
    <n v="1"/>
    <n v="129.30000000000001"/>
    <n v="84.39"/>
    <n v="0"/>
    <n v="129.30000000000001"/>
    <n v="84.39"/>
    <n v="44.910000000000011"/>
    <x v="254"/>
    <x v="1"/>
    <x v="3"/>
    <s v="tienda_fisica"/>
  </r>
  <r>
    <s v="V02180"/>
    <d v="2024-08-19T00:00:00"/>
    <x v="1"/>
    <n v="8"/>
    <s v="agosto"/>
    <s v="T3"/>
    <s v="P002"/>
    <x v="3"/>
    <x v="2"/>
    <x v="3"/>
    <n v="7"/>
    <n v="71.260000000000005"/>
    <n v="48.57"/>
    <n v="0"/>
    <n v="498.82000000000005"/>
    <n v="339.99"/>
    <n v="158.83000000000004"/>
    <x v="255"/>
    <x v="1"/>
    <x v="5"/>
    <s v="tienda_fisica"/>
  </r>
  <r>
    <s v="V00037"/>
    <d v="2025-07-15T00:00:00"/>
    <x v="0"/>
    <n v="7"/>
    <s v="julio"/>
    <s v="T3"/>
    <s v="P013"/>
    <x v="8"/>
    <x v="2"/>
    <x v="2"/>
    <n v="1"/>
    <n v="78.12"/>
    <n v="46.77"/>
    <n v="0"/>
    <n v="78.12"/>
    <n v="46.77"/>
    <n v="31.35"/>
    <x v="256"/>
    <x v="0"/>
    <x v="5"/>
    <s v="online"/>
  </r>
  <r>
    <s v="V01922"/>
    <d v="2024-08-24T00:00:00"/>
    <x v="1"/>
    <n v="8"/>
    <s v="agosto"/>
    <s v="T3"/>
    <s v="P016"/>
    <x v="11"/>
    <x v="2"/>
    <x v="2"/>
    <n v="4"/>
    <n v="72.92"/>
    <n v="42.89"/>
    <n v="0"/>
    <n v="291.68"/>
    <n v="171.56"/>
    <n v="120.12"/>
    <x v="257"/>
    <x v="0"/>
    <x v="3"/>
    <s v="tienda_fisica"/>
  </r>
  <r>
    <s v="V00059"/>
    <d v="2024-09-04T00:00:00"/>
    <x v="1"/>
    <n v="9"/>
    <s v="septiembre"/>
    <s v="T3"/>
    <s v="P003"/>
    <x v="7"/>
    <x v="2"/>
    <x v="3"/>
    <n v="6"/>
    <n v="177.72"/>
    <n v="94.1"/>
    <n v="0"/>
    <n v="1066.32"/>
    <n v="564.59999999999991"/>
    <n v="501.72"/>
    <x v="258"/>
    <x v="0"/>
    <x v="2"/>
    <s v="tienda_fisica"/>
  </r>
  <r>
    <s v="V00159"/>
    <d v="2024-02-03T00:00:00"/>
    <x v="1"/>
    <n v="2"/>
    <s v="febrero"/>
    <s v="T1"/>
    <s v="P019"/>
    <x v="14"/>
    <x v="2"/>
    <x v="4"/>
    <n v="6"/>
    <n v="59.7"/>
    <n v="32.35"/>
    <n v="0"/>
    <n v="358.20000000000005"/>
    <n v="194.10000000000002"/>
    <n v="164.10000000000002"/>
    <x v="259"/>
    <x v="0"/>
    <x v="4"/>
    <s v="tienda_fisica"/>
  </r>
  <r>
    <s v="V00420"/>
    <d v="2024-06-18T00:00:00"/>
    <x v="1"/>
    <n v="6"/>
    <s v="junio"/>
    <s v="T2"/>
    <s v="P015"/>
    <x v="2"/>
    <x v="2"/>
    <x v="2"/>
    <n v="1"/>
    <n v="73.53"/>
    <n v="43.23"/>
    <n v="0"/>
    <n v="73.53"/>
    <n v="43.23"/>
    <n v="30.300000000000004"/>
    <x v="260"/>
    <x v="0"/>
    <x v="3"/>
    <s v="tienda_fisica"/>
  </r>
  <r>
    <s v="V01535"/>
    <d v="2024-04-26T00:00:00"/>
    <x v="1"/>
    <n v="4"/>
    <s v="abril"/>
    <s v="T2"/>
    <s v="P012"/>
    <x v="13"/>
    <x v="1"/>
    <x v="1"/>
    <n v="2"/>
    <n v="8.3000000000000007"/>
    <n v="5.6"/>
    <n v="0"/>
    <n v="16.600000000000001"/>
    <n v="11.2"/>
    <n v="5.4000000000000021"/>
    <x v="261"/>
    <x v="1"/>
    <x v="3"/>
    <s v="online"/>
  </r>
  <r>
    <s v="V01559"/>
    <d v="2025-02-22T00:00:00"/>
    <x v="0"/>
    <n v="2"/>
    <s v="febrero"/>
    <s v="T1"/>
    <s v="P019"/>
    <x v="14"/>
    <x v="0"/>
    <x v="4"/>
    <n v="3"/>
    <n v="56.65"/>
    <n v="32.159999999999997"/>
    <n v="0"/>
    <n v="169.95"/>
    <n v="96.47999999999999"/>
    <n v="73.47"/>
    <x v="262"/>
    <x v="0"/>
    <x v="3"/>
    <s v="online"/>
  </r>
  <r>
    <s v="V00432"/>
    <d v="2024-07-27T00:00:00"/>
    <x v="1"/>
    <n v="7"/>
    <s v="julio"/>
    <s v="T3"/>
    <s v="P013"/>
    <x v="8"/>
    <x v="2"/>
    <x v="2"/>
    <n v="3"/>
    <n v="77.48"/>
    <n v="46.45"/>
    <n v="0"/>
    <n v="232.44"/>
    <n v="139.35000000000002"/>
    <n v="93.089999999999975"/>
    <x v="263"/>
    <x v="0"/>
    <x v="0"/>
    <s v="tienda_fisica"/>
  </r>
  <r>
    <s v="V00740"/>
    <d v="2024-06-06T00:00:00"/>
    <x v="1"/>
    <n v="6"/>
    <s v="junio"/>
    <s v="T2"/>
    <s v="P004"/>
    <x v="6"/>
    <x v="2"/>
    <x v="3"/>
    <n v="1"/>
    <n v="160.22999999999999"/>
    <n v="109.1"/>
    <n v="0"/>
    <n v="160.22999999999999"/>
    <n v="109.1"/>
    <n v="51.129999999999995"/>
    <x v="264"/>
    <x v="1"/>
    <x v="4"/>
    <s v="online"/>
  </r>
  <r>
    <s v="V00384"/>
    <d v="2025-12-29T00:00:00"/>
    <x v="0"/>
    <n v="12"/>
    <s v="diciembre"/>
    <s v="T4"/>
    <s v="P011"/>
    <x v="10"/>
    <x v="1"/>
    <x v="1"/>
    <n v="1"/>
    <n v="22.25"/>
    <n v="11.61"/>
    <n v="0"/>
    <n v="22.25"/>
    <n v="11.61"/>
    <n v="10.64"/>
    <x v="265"/>
    <x v="0"/>
    <x v="2"/>
    <s v="tienda_fisica"/>
  </r>
  <r>
    <s v="V01370"/>
    <d v="2024-07-09T00:00:00"/>
    <x v="1"/>
    <n v="7"/>
    <s v="julio"/>
    <s v="T3"/>
    <s v="P003"/>
    <x v="7"/>
    <x v="2"/>
    <x v="3"/>
    <n v="1"/>
    <n v="170.13"/>
    <n v="89.95"/>
    <n v="0.13"/>
    <n v="148.01310000000001"/>
    <n v="89.95"/>
    <n v="58.063100000000006"/>
    <x v="266"/>
    <x v="0"/>
    <x v="3"/>
    <s v="tienda_fisica"/>
  </r>
  <r>
    <s v="V01822"/>
    <d v="2025-01-17T00:00:00"/>
    <x v="0"/>
    <n v="1"/>
    <s v="enero"/>
    <s v="T1"/>
    <s v="P018"/>
    <x v="5"/>
    <x v="0"/>
    <x v="4"/>
    <n v="6"/>
    <n v="31.61"/>
    <n v="17.75"/>
    <n v="0.08"/>
    <n v="174.4872"/>
    <n v="106.5"/>
    <n v="67.987200000000001"/>
    <x v="267"/>
    <x v="0"/>
    <x v="3"/>
    <s v="online"/>
  </r>
  <r>
    <s v="V01816"/>
    <d v="2024-05-24T00:00:00"/>
    <x v="1"/>
    <n v="5"/>
    <s v="mayo"/>
    <s v="T2"/>
    <s v="P006"/>
    <x v="0"/>
    <x v="0"/>
    <x v="0"/>
    <n v="3"/>
    <n v="43.38"/>
    <n v="27.18"/>
    <n v="0"/>
    <n v="130.14000000000001"/>
    <n v="81.539999999999992"/>
    <n v="48.600000000000023"/>
    <x v="268"/>
    <x v="1"/>
    <x v="4"/>
    <s v="tienda_fisica"/>
  </r>
  <r>
    <s v="V01528"/>
    <d v="2025-12-15T00:00:00"/>
    <x v="0"/>
    <n v="12"/>
    <s v="diciembre"/>
    <s v="T4"/>
    <s v="P019"/>
    <x v="14"/>
    <x v="2"/>
    <x v="4"/>
    <n v="1"/>
    <n v="63.35"/>
    <n v="32.659999999999997"/>
    <n v="0"/>
    <n v="63.35"/>
    <n v="32.659999999999997"/>
    <n v="30.690000000000005"/>
    <x v="269"/>
    <x v="0"/>
    <x v="3"/>
    <s v="tienda_fisica"/>
  </r>
  <r>
    <s v="V00842"/>
    <d v="2024-08-31T00:00:00"/>
    <x v="1"/>
    <n v="8"/>
    <s v="agosto"/>
    <s v="T3"/>
    <s v="P002"/>
    <x v="3"/>
    <x v="2"/>
    <x v="3"/>
    <n v="2"/>
    <n v="75.5"/>
    <n v="48.46"/>
    <n v="0"/>
    <n v="151"/>
    <n v="96.92"/>
    <n v="54.08"/>
    <x v="270"/>
    <x v="1"/>
    <x v="6"/>
    <s v="tienda_fisica"/>
  </r>
  <r>
    <s v="V01624"/>
    <d v="2025-02-19T00:00:00"/>
    <x v="0"/>
    <n v="2"/>
    <s v="febrero"/>
    <s v="T1"/>
    <s v="P005"/>
    <x v="18"/>
    <x v="0"/>
    <x v="0"/>
    <n v="4"/>
    <n v="57.44"/>
    <n v="42.34"/>
    <n v="0"/>
    <n v="229.76"/>
    <n v="169.36"/>
    <n v="60.399999999999977"/>
    <x v="271"/>
    <x v="1"/>
    <x v="4"/>
    <s v="online"/>
  </r>
  <r>
    <s v="V00654"/>
    <d v="2024-10-15T00:00:00"/>
    <x v="1"/>
    <n v="10"/>
    <s v="octubre"/>
    <s v="T4"/>
    <s v="P007"/>
    <x v="15"/>
    <x v="1"/>
    <x v="0"/>
    <n v="1"/>
    <n v="21.2"/>
    <n v="13.44"/>
    <n v="0"/>
    <n v="21.2"/>
    <n v="13.44"/>
    <n v="7.76"/>
    <x v="272"/>
    <x v="1"/>
    <x v="3"/>
    <s v="tienda_fisica"/>
  </r>
  <r>
    <s v="V01566"/>
    <d v="2025-01-22T00:00:00"/>
    <x v="0"/>
    <n v="1"/>
    <s v="enero"/>
    <s v="T1"/>
    <s v="P016"/>
    <x v="11"/>
    <x v="2"/>
    <x v="2"/>
    <n v="3"/>
    <n v="83.83"/>
    <n v="39.4"/>
    <n v="0"/>
    <n v="251.49"/>
    <n v="118.19999999999999"/>
    <n v="133.29000000000002"/>
    <x v="273"/>
    <x v="0"/>
    <x v="3"/>
    <s v="online"/>
  </r>
  <r>
    <s v="V00653"/>
    <d v="2025-05-27T00:00:00"/>
    <x v="0"/>
    <n v="5"/>
    <s v="mayo"/>
    <s v="T2"/>
    <s v="P006"/>
    <x v="0"/>
    <x v="0"/>
    <x v="0"/>
    <n v="3"/>
    <n v="49.11"/>
    <n v="27.33"/>
    <n v="0"/>
    <n v="147.32999999999998"/>
    <n v="81.99"/>
    <n v="65.339999999999989"/>
    <x v="274"/>
    <x v="0"/>
    <x v="2"/>
    <s v="tienda_fisica"/>
  </r>
  <r>
    <s v="V00025"/>
    <d v="2024-12-17T00:00:00"/>
    <x v="1"/>
    <n v="12"/>
    <s v="diciembre"/>
    <s v="T4"/>
    <s v="P007"/>
    <x v="15"/>
    <x v="1"/>
    <x v="0"/>
    <n v="1"/>
    <n v="21.14"/>
    <n v="13.35"/>
    <n v="0"/>
    <n v="21.14"/>
    <n v="13.35"/>
    <n v="7.7900000000000009"/>
    <x v="275"/>
    <x v="1"/>
    <x v="3"/>
    <s v="tienda_fisica"/>
  </r>
  <r>
    <s v="V01223"/>
    <d v="2025-07-31T00:00:00"/>
    <x v="0"/>
    <n v="7"/>
    <s v="julio"/>
    <s v="T3"/>
    <s v="P012"/>
    <x v="13"/>
    <x v="1"/>
    <x v="1"/>
    <n v="4"/>
    <n v="8.66"/>
    <n v="5.65"/>
    <n v="0"/>
    <n v="34.64"/>
    <n v="22.6"/>
    <n v="12.04"/>
    <x v="276"/>
    <x v="1"/>
    <x v="3"/>
    <s v="online"/>
  </r>
  <r>
    <s v="V01124"/>
    <d v="2024-07-10T00:00:00"/>
    <x v="1"/>
    <n v="7"/>
    <s v="julio"/>
    <s v="T3"/>
    <s v="P016"/>
    <x v="11"/>
    <x v="2"/>
    <x v="2"/>
    <n v="1"/>
    <n v="84.56"/>
    <n v="42.47"/>
    <n v="0"/>
    <n v="84.56"/>
    <n v="42.47"/>
    <n v="42.09"/>
    <x v="277"/>
    <x v="0"/>
    <x v="2"/>
    <s v="online"/>
  </r>
  <r>
    <s v="V02110"/>
    <d v="2024-02-25T00:00:00"/>
    <x v="1"/>
    <n v="2"/>
    <s v="febrero"/>
    <s v="T1"/>
    <s v="P001"/>
    <x v="9"/>
    <x v="2"/>
    <x v="3"/>
    <n v="3"/>
    <n v="112.99"/>
    <n v="86.19"/>
    <n v="0"/>
    <n v="338.96999999999997"/>
    <n v="258.57"/>
    <n v="80.399999999999977"/>
    <x v="278"/>
    <x v="1"/>
    <x v="3"/>
    <s v="tienda_fisica"/>
  </r>
  <r>
    <s v="V00526"/>
    <d v="2024-03-28T00:00:00"/>
    <x v="1"/>
    <n v="3"/>
    <s v="marzo"/>
    <s v="T1"/>
    <s v="P012"/>
    <x v="13"/>
    <x v="1"/>
    <x v="1"/>
    <n v="6"/>
    <n v="9.3699999999999992"/>
    <n v="5.7"/>
    <n v="0"/>
    <n v="56.22"/>
    <n v="34.200000000000003"/>
    <n v="22.019999999999996"/>
    <x v="279"/>
    <x v="0"/>
    <x v="0"/>
    <s v="online"/>
  </r>
  <r>
    <s v="V00922"/>
    <d v="2024-08-22T00:00:00"/>
    <x v="1"/>
    <n v="8"/>
    <s v="agosto"/>
    <s v="T3"/>
    <s v="P005"/>
    <x v="18"/>
    <x v="0"/>
    <x v="0"/>
    <n v="1"/>
    <n v="56.29"/>
    <n v="39.18"/>
    <n v="0.27"/>
    <n v="41.091699999999996"/>
    <n v="39.18"/>
    <n v="1.9116999999999962"/>
    <x v="280"/>
    <x v="1"/>
    <x v="3"/>
    <s v="online"/>
  </r>
  <r>
    <s v="V01948"/>
    <d v="2024-10-14T00:00:00"/>
    <x v="1"/>
    <n v="10"/>
    <s v="octubre"/>
    <s v="T4"/>
    <s v="P019"/>
    <x v="14"/>
    <x v="2"/>
    <x v="4"/>
    <n v="1"/>
    <n v="60.88"/>
    <n v="33.159999999999997"/>
    <n v="0"/>
    <n v="60.88"/>
    <n v="33.159999999999997"/>
    <n v="27.720000000000006"/>
    <x v="281"/>
    <x v="0"/>
    <x v="0"/>
    <s v="tienda_fisica"/>
  </r>
  <r>
    <s v="V01138"/>
    <d v="2024-07-17T00:00:00"/>
    <x v="1"/>
    <n v="7"/>
    <s v="julio"/>
    <s v="T3"/>
    <s v="P013"/>
    <x v="8"/>
    <x v="2"/>
    <x v="2"/>
    <n v="6"/>
    <n v="79.8"/>
    <n v="46.68"/>
    <n v="0"/>
    <n v="478.79999999999995"/>
    <n v="280.08"/>
    <n v="198.71999999999997"/>
    <x v="282"/>
    <x v="0"/>
    <x v="5"/>
    <s v="tienda_fisica"/>
  </r>
  <r>
    <s v="V00457"/>
    <d v="2024-10-18T00:00:00"/>
    <x v="1"/>
    <n v="10"/>
    <s v="octubre"/>
    <s v="T4"/>
    <s v="P006"/>
    <x v="0"/>
    <x v="0"/>
    <x v="0"/>
    <n v="3"/>
    <n v="49.63"/>
    <n v="26.31"/>
    <n v="0"/>
    <n v="148.89000000000001"/>
    <n v="78.929999999999993"/>
    <n v="69.960000000000022"/>
    <x v="283"/>
    <x v="0"/>
    <x v="3"/>
    <s v="tienda_fisica"/>
  </r>
  <r>
    <s v="V02223"/>
    <d v="2025-05-01T00:00:00"/>
    <x v="0"/>
    <n v="5"/>
    <s v="mayo"/>
    <s v="T2"/>
    <s v="P015"/>
    <x v="2"/>
    <x v="2"/>
    <x v="2"/>
    <n v="3"/>
    <n v="80.260000000000005"/>
    <n v="43.43"/>
    <n v="0"/>
    <n v="240.78000000000003"/>
    <n v="130.29"/>
    <n v="110.49000000000004"/>
    <x v="284"/>
    <x v="0"/>
    <x v="6"/>
    <s v="online"/>
  </r>
  <r>
    <s v="V00072"/>
    <m/>
    <x v="2"/>
    <n v="1"/>
    <s v="enero"/>
    <s v="T1"/>
    <s v="P017"/>
    <x v="17"/>
    <x v="0"/>
    <x v="4"/>
    <n v="1"/>
    <n v="47.93"/>
    <n v="22.12"/>
    <n v="0.28999999999999998"/>
    <n v="34.030299999999997"/>
    <n v="22.12"/>
    <n v="11.910299999999996"/>
    <x v="285"/>
    <x v="1"/>
    <x v="0"/>
    <s v="online"/>
  </r>
  <r>
    <s v="V02145"/>
    <d v="2025-07-17T00:00:00"/>
    <x v="0"/>
    <n v="7"/>
    <s v="julio"/>
    <s v="T3"/>
    <s v="P012"/>
    <x v="13"/>
    <x v="1"/>
    <x v="1"/>
    <n v="2"/>
    <n v="8.36"/>
    <n v="5.98"/>
    <n v="0"/>
    <n v="16.72"/>
    <n v="11.96"/>
    <n v="4.759999999999998"/>
    <x v="286"/>
    <x v="1"/>
    <x v="1"/>
    <s v="tienda_fisica"/>
  </r>
  <r>
    <s v="V02261"/>
    <d v="2025-04-20T00:00:00"/>
    <x v="0"/>
    <n v="4"/>
    <s v="abril"/>
    <s v="T2"/>
    <s v="P017"/>
    <x v="17"/>
    <x v="0"/>
    <x v="4"/>
    <n v="1"/>
    <n v="48.81"/>
    <n v="22.24"/>
    <n v="0"/>
    <n v="48.81"/>
    <n v="22.24"/>
    <n v="26.570000000000004"/>
    <x v="287"/>
    <x v="0"/>
    <x v="2"/>
    <s v="tienda_fisica"/>
  </r>
  <r>
    <s v="V01673"/>
    <d v="2025-12-13T00:00:00"/>
    <x v="0"/>
    <n v="12"/>
    <s v="diciembre"/>
    <s v="T4"/>
    <s v="P004"/>
    <x v="6"/>
    <x v="2"/>
    <x v="3"/>
    <n v="1"/>
    <n v="152.27000000000001"/>
    <n v="109.79"/>
    <n v="0"/>
    <n v="152.27000000000001"/>
    <n v="109.79"/>
    <n v="42.480000000000004"/>
    <x v="288"/>
    <x v="1"/>
    <x v="4"/>
    <s v="tienda_fisica"/>
  </r>
  <r>
    <s v="V00280"/>
    <d v="2025-05-21T00:00:00"/>
    <x v="0"/>
    <n v="5"/>
    <s v="mayo"/>
    <s v="T2"/>
    <s v="P008"/>
    <x v="4"/>
    <x v="2"/>
    <x v="0"/>
    <n v="4"/>
    <n v="109"/>
    <n v="54.67"/>
    <n v="0"/>
    <n v="436"/>
    <n v="218.68"/>
    <n v="217.32"/>
    <x v="289"/>
    <x v="0"/>
    <x v="0"/>
    <s v="online"/>
  </r>
  <r>
    <s v="V00580"/>
    <d v="2025-01-26T00:00:00"/>
    <x v="0"/>
    <n v="1"/>
    <s v="enero"/>
    <s v="T1"/>
    <s v="P015"/>
    <x v="2"/>
    <x v="2"/>
    <x v="2"/>
    <n v="2"/>
    <n v="72.8"/>
    <n v="43.45"/>
    <n v="0"/>
    <n v="145.6"/>
    <n v="86.9"/>
    <n v="58.699999999999989"/>
    <x v="290"/>
    <x v="0"/>
    <x v="4"/>
    <s v="tienda_fisica"/>
  </r>
  <r>
    <s v="V02132"/>
    <d v="2025-10-25T00:00:00"/>
    <x v="0"/>
    <n v="10"/>
    <s v="octubre"/>
    <s v="T4"/>
    <s v="P019"/>
    <x v="14"/>
    <x v="2"/>
    <x v="4"/>
    <n v="2"/>
    <n v="62.91"/>
    <n v="34.06"/>
    <n v="0"/>
    <n v="125.82"/>
    <n v="68.12"/>
    <n v="57.699999999999989"/>
    <x v="291"/>
    <x v="0"/>
    <x v="3"/>
    <s v="tienda_fisica"/>
  </r>
  <r>
    <s v="V00173"/>
    <d v="2025-02-12T00:00:00"/>
    <x v="0"/>
    <n v="2"/>
    <s v="febrero"/>
    <s v="T1"/>
    <s v="P012"/>
    <x v="13"/>
    <x v="1"/>
    <x v="1"/>
    <n v="3"/>
    <n v="8.69"/>
    <n v="5.64"/>
    <n v="0"/>
    <n v="26.07"/>
    <n v="16.919999999999998"/>
    <n v="9.1500000000000021"/>
    <x v="292"/>
    <x v="1"/>
    <x v="3"/>
    <s v="online"/>
  </r>
  <r>
    <s v="V02099"/>
    <d v="2024-09-07T00:00:00"/>
    <x v="1"/>
    <n v="9"/>
    <s v="septiembre"/>
    <s v="T3"/>
    <s v="P013"/>
    <x v="8"/>
    <x v="2"/>
    <x v="2"/>
    <n v="4"/>
    <n v="77.91"/>
    <n v="46.56"/>
    <n v="0.16"/>
    <n v="261.77760000000001"/>
    <n v="186.24"/>
    <n v="75.537599999999998"/>
    <x v="293"/>
    <x v="1"/>
    <x v="3"/>
    <s v="online"/>
  </r>
  <r>
    <s v="V01314"/>
    <d v="2024-05-02T00:00:00"/>
    <x v="1"/>
    <n v="5"/>
    <s v="mayo"/>
    <s v="T2"/>
    <s v="P019"/>
    <x v="14"/>
    <x v="0"/>
    <x v="4"/>
    <n v="1"/>
    <n v="56.2"/>
    <n v="31.68"/>
    <n v="0"/>
    <n v="56.2"/>
    <n v="31.68"/>
    <n v="24.520000000000003"/>
    <x v="294"/>
    <x v="0"/>
    <x v="2"/>
    <s v="online"/>
  </r>
  <r>
    <s v="V01688"/>
    <d v="2025-01-26T00:00:00"/>
    <x v="0"/>
    <n v="1"/>
    <s v="enero"/>
    <s v="T1"/>
    <s v="P015"/>
    <x v="2"/>
    <x v="2"/>
    <x v="2"/>
    <n v="5"/>
    <n v="78.41"/>
    <n v="41.43"/>
    <n v="0"/>
    <n v="392.04999999999995"/>
    <n v="207.15"/>
    <n v="184.89999999999995"/>
    <x v="295"/>
    <x v="0"/>
    <x v="5"/>
    <s v="tienda_fisica"/>
  </r>
  <r>
    <s v="V00669"/>
    <d v="2024-12-23T00:00:00"/>
    <x v="1"/>
    <n v="12"/>
    <s v="diciembre"/>
    <s v="T4"/>
    <s v="P012"/>
    <x v="13"/>
    <x v="1"/>
    <x v="1"/>
    <n v="6"/>
    <n v="8.57"/>
    <n v="5.73"/>
    <n v="0"/>
    <n v="51.42"/>
    <n v="34.380000000000003"/>
    <n v="17.04"/>
    <x v="296"/>
    <x v="1"/>
    <x v="2"/>
    <s v="tienda_fisica"/>
  </r>
  <r>
    <s v="V01737"/>
    <d v="2025-08-19T00:00:00"/>
    <x v="0"/>
    <n v="8"/>
    <s v="agosto"/>
    <s v="T3"/>
    <s v="P010"/>
    <x v="1"/>
    <x v="1"/>
    <x v="1"/>
    <n v="4"/>
    <n v="15.21"/>
    <n v="11.81"/>
    <n v="0"/>
    <n v="60.84"/>
    <n v="47.24"/>
    <n v="13.600000000000001"/>
    <x v="297"/>
    <x v="1"/>
    <x v="4"/>
    <s v="online"/>
  </r>
  <r>
    <s v="V00836"/>
    <d v="2024-08-06T00:00:00"/>
    <x v="1"/>
    <n v="8"/>
    <s v="agosto"/>
    <s v="T3"/>
    <s v="P008"/>
    <x v="4"/>
    <x v="2"/>
    <x v="0"/>
    <n v="1"/>
    <n v="94.61"/>
    <n v="55.82"/>
    <n v="0"/>
    <n v="94.61"/>
    <n v="55.82"/>
    <n v="38.79"/>
    <x v="298"/>
    <x v="0"/>
    <x v="3"/>
    <s v="online"/>
  </r>
  <r>
    <s v="V02190"/>
    <d v="2024-08-02T00:00:00"/>
    <x v="1"/>
    <n v="8"/>
    <s v="agosto"/>
    <s v="T3"/>
    <s v="P009"/>
    <x v="12"/>
    <x v="1"/>
    <x v="1"/>
    <n v="3"/>
    <n v="7.52"/>
    <n v="4.47"/>
    <n v="0"/>
    <n v="22.56"/>
    <n v="13.41"/>
    <n v="9.1499999999999986"/>
    <x v="299"/>
    <x v="0"/>
    <x v="2"/>
    <s v="online"/>
  </r>
  <r>
    <s v="V00962"/>
    <d v="2025-09-11T00:00:00"/>
    <x v="0"/>
    <n v="9"/>
    <s v="septiembre"/>
    <s v="T3"/>
    <s v="P018"/>
    <x v="5"/>
    <x v="0"/>
    <x v="4"/>
    <n v="2"/>
    <n v="31.61"/>
    <n v="17.88"/>
    <n v="0"/>
    <n v="63.22"/>
    <n v="35.76"/>
    <n v="27.46"/>
    <x v="300"/>
    <x v="0"/>
    <x v="5"/>
    <s v="tienda_fisica"/>
  </r>
  <r>
    <s v="V00480"/>
    <d v="2025-03-25T00:00:00"/>
    <x v="0"/>
    <n v="3"/>
    <s v="marzo"/>
    <s v="T1"/>
    <s v="P012"/>
    <x v="13"/>
    <x v="1"/>
    <x v="1"/>
    <n v="2"/>
    <n v="8.39"/>
    <n v="5.5"/>
    <n v="0"/>
    <n v="16.78"/>
    <n v="11"/>
    <n v="5.7800000000000011"/>
    <x v="301"/>
    <x v="1"/>
    <x v="2"/>
    <s v="online"/>
  </r>
  <r>
    <s v="V00858"/>
    <d v="2024-01-07T00:00:00"/>
    <x v="1"/>
    <n v="1"/>
    <s v="enero"/>
    <s v="T1"/>
    <s v="P010"/>
    <x v="1"/>
    <x v="1"/>
    <x v="1"/>
    <n v="5"/>
    <n v="16.739999999999998"/>
    <n v="11.71"/>
    <n v="0.14000000000000001"/>
    <n v="71.981999999999985"/>
    <n v="58.550000000000004"/>
    <n v="13.431999999999981"/>
    <x v="302"/>
    <x v="1"/>
    <x v="6"/>
    <s v="tienda_fisica"/>
  </r>
  <r>
    <s v="V01126"/>
    <d v="2024-08-28T00:00:00"/>
    <x v="1"/>
    <n v="8"/>
    <s v="agosto"/>
    <s v="T3"/>
    <s v="P019"/>
    <x v="14"/>
    <x v="0"/>
    <x v="4"/>
    <n v="4"/>
    <n v="57.52"/>
    <n v="31.8"/>
    <n v="0"/>
    <n v="230.08"/>
    <n v="127.2"/>
    <n v="102.88000000000001"/>
    <x v="303"/>
    <x v="0"/>
    <x v="1"/>
    <s v="tienda_fisica"/>
  </r>
  <r>
    <s v="V01514"/>
    <d v="2025-09-19T00:00:00"/>
    <x v="0"/>
    <n v="9"/>
    <s v="septiembre"/>
    <s v="T3"/>
    <s v="P019"/>
    <x v="14"/>
    <x v="0"/>
    <x v="4"/>
    <n v="6"/>
    <n v="55.04"/>
    <n v="34.200000000000003"/>
    <n v="0"/>
    <n v="330.24"/>
    <n v="205.20000000000002"/>
    <n v="125.03999999999999"/>
    <x v="304"/>
    <x v="0"/>
    <x v="6"/>
    <s v="online"/>
  </r>
  <r>
    <s v="V01234"/>
    <d v="2025-08-26T00:00:00"/>
    <x v="0"/>
    <n v="8"/>
    <s v="agosto"/>
    <s v="T3"/>
    <s v="P007"/>
    <x v="15"/>
    <x v="1"/>
    <x v="0"/>
    <n v="6"/>
    <n v="19.829999999999998"/>
    <n v="12.48"/>
    <n v="0"/>
    <n v="118.97999999999999"/>
    <n v="74.88"/>
    <n v="44.099999999999994"/>
    <x v="305"/>
    <x v="1"/>
    <x v="2"/>
    <s v="tienda_fisica"/>
  </r>
  <r>
    <s v="V01576"/>
    <d v="2024-11-26T00:00:00"/>
    <x v="1"/>
    <n v="11"/>
    <s v="noviembre"/>
    <s v="T4"/>
    <s v="P003"/>
    <x v="7"/>
    <x v="2"/>
    <x v="3"/>
    <n v="4"/>
    <n v="177.72"/>
    <n v="94.01"/>
    <n v="0"/>
    <n v="710.88"/>
    <n v="376.04"/>
    <n v="334.84"/>
    <x v="306"/>
    <x v="0"/>
    <x v="3"/>
    <s v="tienda_fisica"/>
  </r>
  <r>
    <s v="V01814"/>
    <d v="2025-04-16T00:00:00"/>
    <x v="0"/>
    <n v="4"/>
    <s v="abril"/>
    <s v="T2"/>
    <s v="P004"/>
    <x v="6"/>
    <x v="2"/>
    <x v="3"/>
    <n v="1"/>
    <n v="161.51"/>
    <n v="108.77"/>
    <n v="7.0000000000000007E-2"/>
    <n v="150.20429999999999"/>
    <n v="108.77"/>
    <n v="41.434299999999993"/>
    <x v="307"/>
    <x v="1"/>
    <x v="0"/>
    <s v="online"/>
  </r>
  <r>
    <s v="V01230"/>
    <d v="2025-08-03T00:00:00"/>
    <x v="0"/>
    <n v="8"/>
    <s v="agosto"/>
    <s v="T3"/>
    <s v="P015"/>
    <x v="2"/>
    <x v="2"/>
    <x v="2"/>
    <n v="1"/>
    <n v="73.78"/>
    <n v="44.84"/>
    <n v="0"/>
    <n v="73.78"/>
    <n v="44.84"/>
    <n v="28.939999999999998"/>
    <x v="308"/>
    <x v="0"/>
    <x v="0"/>
    <s v="online"/>
  </r>
  <r>
    <s v="V01934"/>
    <d v="2024-09-07T00:00:00"/>
    <x v="1"/>
    <n v="9"/>
    <s v="septiembre"/>
    <s v="T3"/>
    <s v="P019"/>
    <x v="14"/>
    <x v="0"/>
    <x v="4"/>
    <n v="5"/>
    <n v="57.29"/>
    <n v="32.520000000000003"/>
    <n v="0"/>
    <n v="286.45"/>
    <n v="162.60000000000002"/>
    <n v="123.84999999999997"/>
    <x v="309"/>
    <x v="0"/>
    <x v="2"/>
    <s v="online"/>
  </r>
  <r>
    <s v="V01773"/>
    <d v="2024-12-21T00:00:00"/>
    <x v="1"/>
    <n v="12"/>
    <s v="diciembre"/>
    <s v="T4"/>
    <s v="P020"/>
    <x v="19"/>
    <x v="0"/>
    <x v="4"/>
    <n v="5"/>
    <n v="57.04"/>
    <n v="32.72"/>
    <n v="0.12"/>
    <n v="250.976"/>
    <n v="163.6"/>
    <n v="87.376000000000005"/>
    <x v="310"/>
    <x v="1"/>
    <x v="3"/>
    <s v="online"/>
  </r>
  <r>
    <s v="V00952"/>
    <d v="2025-12-11T00:00:00"/>
    <x v="0"/>
    <n v="12"/>
    <s v="diciembre"/>
    <s v="T4"/>
    <s v="P016"/>
    <x v="11"/>
    <x v="2"/>
    <x v="2"/>
    <n v="4"/>
    <n v="84.47"/>
    <n v="42.74"/>
    <n v="0"/>
    <n v="337.88"/>
    <n v="170.96"/>
    <n v="166.92"/>
    <x v="311"/>
    <x v="0"/>
    <x v="6"/>
    <s v="tienda_fisica"/>
  </r>
  <r>
    <s v="V00141"/>
    <d v="2024-08-27T00:00:00"/>
    <x v="1"/>
    <n v="8"/>
    <s v="agosto"/>
    <s v="T3"/>
    <s v="P015"/>
    <x v="2"/>
    <x v="2"/>
    <x v="2"/>
    <n v="7"/>
    <n v="81.97"/>
    <n v="42.22"/>
    <n v="0"/>
    <n v="573.79"/>
    <n v="295.53999999999996"/>
    <n v="278.25"/>
    <x v="312"/>
    <x v="0"/>
    <x v="0"/>
    <s v="online"/>
  </r>
  <r>
    <s v="V00376"/>
    <d v="2025-07-29T00:00:00"/>
    <x v="0"/>
    <n v="7"/>
    <s v="julio"/>
    <s v="T3"/>
    <s v="P017"/>
    <x v="17"/>
    <x v="0"/>
    <x v="4"/>
    <n v="1"/>
    <n v="48.97"/>
    <n v="22.83"/>
    <n v="0"/>
    <n v="48.97"/>
    <n v="22.83"/>
    <n v="26.14"/>
    <x v="313"/>
    <x v="0"/>
    <x v="3"/>
    <s v="tienda_fisica"/>
  </r>
  <r>
    <s v="V01129"/>
    <d v="2025-05-10T00:00:00"/>
    <x v="0"/>
    <n v="5"/>
    <s v="mayo"/>
    <s v="T2"/>
    <s v="P005"/>
    <x v="18"/>
    <x v="0"/>
    <x v="0"/>
    <n v="4"/>
    <n v="55.17"/>
    <n v="40.21"/>
    <n v="0.26"/>
    <n v="163.3032"/>
    <n v="160.84"/>
    <n v="2.4632000000000005"/>
    <x v="314"/>
    <x v="1"/>
    <x v="5"/>
    <s v="tienda_fisica"/>
  </r>
  <r>
    <s v="V00472"/>
    <d v="2024-08-26T00:00:00"/>
    <x v="1"/>
    <n v="8"/>
    <s v="agosto"/>
    <s v="T3"/>
    <s v="P001"/>
    <x v="9"/>
    <x v="2"/>
    <x v="3"/>
    <n v="1"/>
    <n v="127.78"/>
    <n v="84.3"/>
    <n v="0"/>
    <n v="127.78"/>
    <n v="84.3"/>
    <n v="43.480000000000004"/>
    <x v="315"/>
    <x v="1"/>
    <x v="3"/>
    <s v="online"/>
  </r>
  <r>
    <s v="V01134"/>
    <d v="2024-10-24T00:00:00"/>
    <x v="1"/>
    <n v="10"/>
    <s v="octubre"/>
    <s v="T4"/>
    <s v="P008"/>
    <x v="4"/>
    <x v="2"/>
    <x v="0"/>
    <n v="2"/>
    <n v="106.45"/>
    <n v="60"/>
    <n v="0.06"/>
    <n v="200.126"/>
    <n v="120"/>
    <n v="80.126000000000005"/>
    <x v="316"/>
    <x v="0"/>
    <x v="2"/>
    <s v="tienda_fisica"/>
  </r>
  <r>
    <s v="V01755"/>
    <d v="2024-04-01T00:00:00"/>
    <x v="1"/>
    <n v="4"/>
    <s v="abril"/>
    <s v="T2"/>
    <s v="P003"/>
    <x v="7"/>
    <x v="2"/>
    <x v="3"/>
    <n v="7"/>
    <n v="177.72"/>
    <n v="96.31"/>
    <n v="0"/>
    <n v="1244.04"/>
    <n v="674.17000000000007"/>
    <n v="569.86999999999989"/>
    <x v="317"/>
    <x v="0"/>
    <x v="3"/>
    <s v="online"/>
  </r>
  <r>
    <s v="V00703"/>
    <d v="2024-12-06T00:00:00"/>
    <x v="1"/>
    <n v="12"/>
    <s v="diciembre"/>
    <s v="T4"/>
    <s v="P002"/>
    <x v="3"/>
    <x v="2"/>
    <x v="3"/>
    <n v="2"/>
    <n v="75.819999999999993"/>
    <n v="48.66"/>
    <n v="0"/>
    <n v="151.63999999999999"/>
    <n v="97.32"/>
    <n v="54.319999999999993"/>
    <x v="318"/>
    <x v="1"/>
    <x v="6"/>
    <s v="tienda_fisica"/>
  </r>
  <r>
    <s v="V02211"/>
    <d v="2025-12-10T00:00:00"/>
    <x v="0"/>
    <n v="12"/>
    <s v="diciembre"/>
    <s v="T4"/>
    <s v="P014"/>
    <x v="16"/>
    <x v="1"/>
    <x v="2"/>
    <n v="1"/>
    <n v="13.06"/>
    <n v="9.3699999999999992"/>
    <n v="0"/>
    <n v="13.06"/>
    <n v="9.3699999999999992"/>
    <n v="3.6900000000000013"/>
    <x v="319"/>
    <x v="1"/>
    <x v="3"/>
    <s v="online"/>
  </r>
  <r>
    <s v="V02187"/>
    <d v="2025-10-06T00:00:00"/>
    <x v="0"/>
    <n v="10"/>
    <s v="octubre"/>
    <s v="T4"/>
    <s v="P017"/>
    <x v="17"/>
    <x v="0"/>
    <x v="4"/>
    <n v="1"/>
    <n v="50.92"/>
    <n v="23.58"/>
    <n v="0"/>
    <n v="50.92"/>
    <n v="23.58"/>
    <n v="27.340000000000003"/>
    <x v="320"/>
    <x v="0"/>
    <x v="5"/>
    <s v="online"/>
  </r>
  <r>
    <s v="V00597"/>
    <d v="2024-03-06T00:00:00"/>
    <x v="1"/>
    <n v="3"/>
    <s v="marzo"/>
    <s v="T1"/>
    <s v="P019"/>
    <x v="14"/>
    <x v="0"/>
    <x v="4"/>
    <n v="3"/>
    <n v="56.76"/>
    <n v="33.67"/>
    <n v="0"/>
    <n v="170.28"/>
    <n v="101.01"/>
    <n v="69.27"/>
    <x v="321"/>
    <x v="0"/>
    <x v="2"/>
    <s v="online"/>
  </r>
  <r>
    <s v="V00368"/>
    <d v="2024-04-16T00:00:00"/>
    <x v="1"/>
    <n v="4"/>
    <s v="abril"/>
    <s v="T2"/>
    <s v="P006"/>
    <x v="0"/>
    <x v="0"/>
    <x v="0"/>
    <n v="7"/>
    <n v="44.34"/>
    <n v="26.31"/>
    <n v="0"/>
    <n v="310.38"/>
    <n v="184.17"/>
    <n v="126.21000000000001"/>
    <x v="322"/>
    <x v="0"/>
    <x v="0"/>
    <s v="tienda_fisica"/>
  </r>
  <r>
    <s v="V00211"/>
    <d v="2025-11-19T00:00:00"/>
    <x v="0"/>
    <n v="11"/>
    <s v="noviembre"/>
    <s v="T4"/>
    <s v="P020"/>
    <x v="19"/>
    <x v="0"/>
    <x v="4"/>
    <n v="5"/>
    <n v="57.76"/>
    <n v="32.82"/>
    <n v="0"/>
    <n v="288.8"/>
    <n v="164.1"/>
    <n v="124.70000000000002"/>
    <x v="323"/>
    <x v="0"/>
    <x v="4"/>
    <s v="online"/>
  </r>
  <r>
    <s v="V01899"/>
    <d v="2025-01-11T00:00:00"/>
    <x v="0"/>
    <n v="1"/>
    <s v="enero"/>
    <s v="T1"/>
    <s v="P001"/>
    <x v="9"/>
    <x v="2"/>
    <x v="3"/>
    <n v="4"/>
    <n v="113.7"/>
    <n v="81.67"/>
    <n v="0"/>
    <n v="454.8"/>
    <n v="326.68"/>
    <n v="128.12"/>
    <x v="324"/>
    <x v="1"/>
    <x v="3"/>
    <s v="tienda_fisica"/>
  </r>
  <r>
    <s v="V01625"/>
    <d v="2024-12-18T00:00:00"/>
    <x v="1"/>
    <n v="12"/>
    <s v="diciembre"/>
    <s v="T4"/>
    <s v="P013"/>
    <x v="8"/>
    <x v="2"/>
    <x v="2"/>
    <n v="3"/>
    <n v="78.92"/>
    <n v="48.5"/>
    <n v="0.1"/>
    <n v="213.084"/>
    <n v="145.5"/>
    <n v="67.584000000000003"/>
    <x v="325"/>
    <x v="1"/>
    <x v="0"/>
    <s v="online"/>
  </r>
  <r>
    <s v="V01801"/>
    <d v="2025-07-20T00:00:00"/>
    <x v="0"/>
    <n v="7"/>
    <s v="julio"/>
    <s v="T3"/>
    <s v="P008"/>
    <x v="4"/>
    <x v="2"/>
    <x v="0"/>
    <n v="1"/>
    <n v="104.09"/>
    <n v="58.94"/>
    <n v="0"/>
    <n v="104.09"/>
    <n v="58.94"/>
    <n v="45.150000000000006"/>
    <x v="326"/>
    <x v="0"/>
    <x v="3"/>
    <s v="online"/>
  </r>
  <r>
    <s v="V02238"/>
    <d v="2025-06-27T00:00:00"/>
    <x v="0"/>
    <n v="6"/>
    <s v="junio"/>
    <s v="T2"/>
    <s v="P020"/>
    <x v="19"/>
    <x v="2"/>
    <x v="4"/>
    <n v="1"/>
    <n v="62.66"/>
    <n v="33.03"/>
    <n v="0"/>
    <n v="62.66"/>
    <n v="33.03"/>
    <n v="29.629999999999995"/>
    <x v="327"/>
    <x v="0"/>
    <x v="3"/>
    <s v="tienda_fisica"/>
  </r>
  <r>
    <s v="V02220"/>
    <d v="2025-06-19T00:00:00"/>
    <x v="0"/>
    <n v="6"/>
    <s v="junio"/>
    <s v="T2"/>
    <s v="P017"/>
    <x v="17"/>
    <x v="0"/>
    <x v="4"/>
    <n v="1"/>
    <n v="46.03"/>
    <n v="23.26"/>
    <n v="0"/>
    <n v="46.03"/>
    <n v="23.26"/>
    <n v="22.77"/>
    <x v="328"/>
    <x v="0"/>
    <x v="3"/>
    <s v="online"/>
  </r>
  <r>
    <s v="V00301"/>
    <d v="2025-07-23T00:00:00"/>
    <x v="0"/>
    <n v="7"/>
    <s v="julio"/>
    <s v="T3"/>
    <s v="P015"/>
    <x v="2"/>
    <x v="2"/>
    <x v="2"/>
    <n v="2"/>
    <n v="73.319999999999993"/>
    <n v="40.700000000000003"/>
    <n v="0"/>
    <n v="146.63999999999999"/>
    <n v="81.400000000000006"/>
    <n v="65.239999999999981"/>
    <x v="329"/>
    <x v="0"/>
    <x v="2"/>
    <s v="online"/>
  </r>
  <r>
    <s v="V02120"/>
    <d v="2024-05-29T00:00:00"/>
    <x v="1"/>
    <n v="5"/>
    <s v="mayo"/>
    <s v="T2"/>
    <s v="P010"/>
    <x v="1"/>
    <x v="1"/>
    <x v="1"/>
    <n v="1"/>
    <n v="15.17"/>
    <n v="11.7"/>
    <n v="0"/>
    <n v="15.17"/>
    <n v="11.7"/>
    <n v="3.4700000000000006"/>
    <x v="330"/>
    <x v="1"/>
    <x v="3"/>
    <s v="online"/>
  </r>
  <r>
    <s v="V00944"/>
    <d v="2025-07-09T00:00:00"/>
    <x v="0"/>
    <n v="7"/>
    <s v="julio"/>
    <s v="T3"/>
    <s v="P004"/>
    <x v="6"/>
    <x v="2"/>
    <x v="3"/>
    <n v="5"/>
    <n v="161.30000000000001"/>
    <n v="110.72"/>
    <n v="0"/>
    <n v="806.5"/>
    <n v="553.6"/>
    <n v="252.89999999999998"/>
    <x v="331"/>
    <x v="1"/>
    <x v="2"/>
    <s v="online"/>
  </r>
  <r>
    <s v="V00971"/>
    <d v="2024-11-12T00:00:00"/>
    <x v="1"/>
    <n v="11"/>
    <s v="noviembre"/>
    <s v="T4"/>
    <s v="P005"/>
    <x v="18"/>
    <x v="2"/>
    <x v="0"/>
    <n v="1"/>
    <n v="63.81"/>
    <n v="39.78"/>
    <n v="0"/>
    <n v="63.81"/>
    <n v="39.78"/>
    <n v="24.03"/>
    <x v="332"/>
    <x v="0"/>
    <x v="0"/>
    <s v="tienda_fisica"/>
  </r>
  <r>
    <s v="V01394"/>
    <d v="2025-01-12T00:00:00"/>
    <x v="0"/>
    <n v="1"/>
    <s v="enero"/>
    <s v="T1"/>
    <s v="P003"/>
    <x v="7"/>
    <x v="2"/>
    <x v="3"/>
    <n v="1"/>
    <n v="179.29"/>
    <n v="95.07"/>
    <n v="0"/>
    <n v="179.29"/>
    <n v="95.07"/>
    <n v="84.22"/>
    <x v="333"/>
    <x v="0"/>
    <x v="0"/>
    <s v="tienda_fisica"/>
  </r>
  <r>
    <s v="V02102"/>
    <d v="2024-03-11T00:00:00"/>
    <x v="1"/>
    <n v="3"/>
    <s v="marzo"/>
    <s v="T1"/>
    <s v="P001"/>
    <x v="9"/>
    <x v="2"/>
    <x v="3"/>
    <n v="1"/>
    <n v="113"/>
    <n v="82.81"/>
    <n v="0"/>
    <n v="113"/>
    <n v="82.81"/>
    <n v="30.189999999999998"/>
    <x v="334"/>
    <x v="1"/>
    <x v="3"/>
    <s v="online"/>
  </r>
  <r>
    <s v="V00947"/>
    <d v="2025-12-04T00:00:00"/>
    <x v="0"/>
    <n v="12"/>
    <s v="diciembre"/>
    <s v="T4"/>
    <s v="P013"/>
    <x v="8"/>
    <x v="2"/>
    <x v="2"/>
    <n v="1"/>
    <n v="72.02"/>
    <n v="45.72"/>
    <n v="0"/>
    <n v="72.02"/>
    <n v="45.72"/>
    <n v="26.299999999999997"/>
    <x v="335"/>
    <x v="1"/>
    <x v="5"/>
    <s v="tienda_fisica"/>
  </r>
  <r>
    <s v="V00621"/>
    <d v="2025-06-23T00:00:00"/>
    <x v="0"/>
    <n v="6"/>
    <s v="junio"/>
    <s v="T2"/>
    <s v="P017"/>
    <x v="17"/>
    <x v="0"/>
    <x v="4"/>
    <n v="3"/>
    <n v="52.48"/>
    <n v="22.69"/>
    <n v="0"/>
    <n v="157.44"/>
    <n v="68.070000000000007"/>
    <n v="89.36999999999999"/>
    <x v="336"/>
    <x v="0"/>
    <x v="2"/>
    <s v="tienda_fisica"/>
  </r>
  <r>
    <s v="V01496"/>
    <d v="2025-05-07T00:00:00"/>
    <x v="0"/>
    <n v="5"/>
    <s v="mayo"/>
    <s v="T2"/>
    <s v="P020"/>
    <x v="19"/>
    <x v="0"/>
    <x v="4"/>
    <n v="6"/>
    <n v="56.04"/>
    <n v="33.46"/>
    <n v="0"/>
    <n v="336.24"/>
    <n v="200.76"/>
    <n v="135.48000000000002"/>
    <x v="337"/>
    <x v="0"/>
    <x v="6"/>
    <s v="tienda_fisica"/>
  </r>
  <r>
    <s v="V01824"/>
    <d v="2024-02-24T00:00:00"/>
    <x v="1"/>
    <n v="2"/>
    <s v="febrero"/>
    <s v="T1"/>
    <s v="P015"/>
    <x v="2"/>
    <x v="2"/>
    <x v="2"/>
    <n v="1"/>
    <n v="81.650000000000006"/>
    <n v="43.19"/>
    <n v="0"/>
    <n v="81.650000000000006"/>
    <n v="43.19"/>
    <n v="38.460000000000008"/>
    <x v="338"/>
    <x v="0"/>
    <x v="2"/>
    <s v="online"/>
  </r>
  <r>
    <s v="V00524"/>
    <d v="2024-05-18T00:00:00"/>
    <x v="1"/>
    <n v="5"/>
    <s v="mayo"/>
    <s v="T2"/>
    <s v="P018"/>
    <x v="5"/>
    <x v="0"/>
    <x v="4"/>
    <n v="1"/>
    <n v="32.869999999999997"/>
    <n v="18"/>
    <n v="0"/>
    <n v="32.869999999999997"/>
    <n v="18"/>
    <n v="14.869999999999997"/>
    <x v="339"/>
    <x v="0"/>
    <x v="0"/>
    <s v="online"/>
  </r>
  <r>
    <s v="V02277"/>
    <d v="2024-01-06T00:00:00"/>
    <x v="1"/>
    <n v="1"/>
    <s v="enero"/>
    <s v="T1"/>
    <s v="P003"/>
    <x v="7"/>
    <x v="2"/>
    <x v="3"/>
    <n v="2"/>
    <n v="177.72"/>
    <n v="96.89"/>
    <n v="0"/>
    <n v="355.44"/>
    <n v="193.78"/>
    <n v="161.66"/>
    <x v="340"/>
    <x v="0"/>
    <x v="4"/>
    <s v="tienda_fisica"/>
  </r>
  <r>
    <s v="V01674"/>
    <d v="2024-08-28T00:00:00"/>
    <x v="1"/>
    <n v="8"/>
    <s v="agosto"/>
    <s v="T3"/>
    <s v="P005"/>
    <x v="18"/>
    <x v="0"/>
    <x v="0"/>
    <n v="1"/>
    <n v="58.06"/>
    <n v="42.44"/>
    <n v="0"/>
    <n v="58.06"/>
    <n v="42.44"/>
    <n v="15.620000000000005"/>
    <x v="341"/>
    <x v="1"/>
    <x v="5"/>
    <s v="tienda_fisica"/>
  </r>
  <r>
    <s v="V02213"/>
    <d v="2025-08-01T00:00:00"/>
    <x v="0"/>
    <n v="8"/>
    <s v="agosto"/>
    <s v="T3"/>
    <s v="P020"/>
    <x v="19"/>
    <x v="0"/>
    <x v="4"/>
    <n v="1"/>
    <n v="58.26"/>
    <n v="32.83"/>
    <n v="0"/>
    <n v="58.26"/>
    <n v="32.83"/>
    <n v="25.43"/>
    <x v="342"/>
    <x v="0"/>
    <x v="3"/>
    <s v="online"/>
  </r>
  <r>
    <s v="V02138"/>
    <d v="2024-01-16T00:00:00"/>
    <x v="1"/>
    <n v="1"/>
    <s v="enero"/>
    <s v="T1"/>
    <s v="P002"/>
    <x v="3"/>
    <x v="2"/>
    <x v="3"/>
    <n v="2"/>
    <n v="79.349999999999994"/>
    <n v="45.44"/>
    <n v="0"/>
    <n v="158.69999999999999"/>
    <n v="90.88"/>
    <n v="67.819999999999993"/>
    <x v="343"/>
    <x v="0"/>
    <x v="3"/>
    <s v="online"/>
  </r>
  <r>
    <s v="V01003"/>
    <d v="2024-07-16T00:00:00"/>
    <x v="1"/>
    <n v="7"/>
    <s v="julio"/>
    <s v="T3"/>
    <s v="P004"/>
    <x v="6"/>
    <x v="2"/>
    <x v="3"/>
    <n v="3"/>
    <n v="161.81"/>
    <n v="108.54"/>
    <n v="0"/>
    <n v="485.43"/>
    <n v="325.62"/>
    <n v="159.81"/>
    <x v="344"/>
    <x v="1"/>
    <x v="4"/>
    <s v="tienda_fisica"/>
  </r>
  <r>
    <s v="V01172"/>
    <d v="2024-11-13T00:00:00"/>
    <x v="1"/>
    <n v="11"/>
    <s v="noviembre"/>
    <s v="T4"/>
    <s v="P005"/>
    <x v="18"/>
    <x v="0"/>
    <x v="0"/>
    <n v="1"/>
    <n v="57.91"/>
    <n v="40.04"/>
    <n v="0.27"/>
    <n v="42.274299999999997"/>
    <n v="40.04"/>
    <n v="2.2342999999999975"/>
    <x v="345"/>
    <x v="1"/>
    <x v="3"/>
    <s v="tienda_fisica"/>
  </r>
  <r>
    <s v="V02196"/>
    <d v="2025-01-02T00:00:00"/>
    <x v="0"/>
    <n v="1"/>
    <s v="enero"/>
    <s v="T1"/>
    <s v="P017"/>
    <x v="17"/>
    <x v="0"/>
    <x v="4"/>
    <n v="7"/>
    <n v="53.06"/>
    <n v="22.28"/>
    <n v="0"/>
    <n v="371.42"/>
    <n v="155.96"/>
    <n v="215.46"/>
    <x v="346"/>
    <x v="0"/>
    <x v="2"/>
    <s v="tienda_fisica"/>
  </r>
  <r>
    <s v="V01264"/>
    <d v="2025-06-15T00:00:00"/>
    <x v="0"/>
    <n v="6"/>
    <s v="junio"/>
    <s v="T2"/>
    <s v="P005"/>
    <x v="18"/>
    <x v="2"/>
    <x v="0"/>
    <n v="7"/>
    <n v="61.21"/>
    <n v="40.64"/>
    <n v="0"/>
    <n v="428.47"/>
    <n v="284.48"/>
    <n v="143.99"/>
    <x v="347"/>
    <x v="1"/>
    <x v="3"/>
    <s v="tienda_fisica"/>
  </r>
  <r>
    <s v="V00174"/>
    <d v="2024-02-21T00:00:00"/>
    <x v="1"/>
    <n v="2"/>
    <s v="febrero"/>
    <s v="T1"/>
    <s v="P004"/>
    <x v="6"/>
    <x v="2"/>
    <x v="3"/>
    <n v="4"/>
    <n v="171.27"/>
    <n v="106.29"/>
    <n v="0"/>
    <n v="685.08"/>
    <n v="425.16"/>
    <n v="259.92"/>
    <x v="348"/>
    <x v="0"/>
    <x v="3"/>
    <s v="online"/>
  </r>
  <r>
    <s v="V00254"/>
    <d v="2025-02-09T00:00:00"/>
    <x v="0"/>
    <n v="2"/>
    <s v="febrero"/>
    <s v="T1"/>
    <s v="P014"/>
    <x v="16"/>
    <x v="1"/>
    <x v="2"/>
    <n v="1"/>
    <n v="13.84"/>
    <n v="9.7799999999999994"/>
    <n v="0"/>
    <n v="13.84"/>
    <n v="9.7799999999999994"/>
    <n v="4.0600000000000005"/>
    <x v="349"/>
    <x v="1"/>
    <x v="3"/>
    <s v="tienda_fisica"/>
  </r>
  <r>
    <s v="V01779"/>
    <d v="2024-03-18T00:00:00"/>
    <x v="1"/>
    <n v="3"/>
    <s v="marzo"/>
    <s v="T1"/>
    <s v="P014"/>
    <x v="16"/>
    <x v="1"/>
    <x v="2"/>
    <n v="1"/>
    <n v="13.53"/>
    <n v="9.81"/>
    <n v="0"/>
    <n v="13.53"/>
    <n v="9.81"/>
    <n v="3.7199999999999989"/>
    <x v="350"/>
    <x v="1"/>
    <x v="3"/>
    <s v="online"/>
  </r>
  <r>
    <s v="V01241"/>
    <d v="2024-01-06T00:00:00"/>
    <x v="1"/>
    <n v="1"/>
    <s v="enero"/>
    <s v="T1"/>
    <s v="P014"/>
    <x v="16"/>
    <x v="1"/>
    <x v="2"/>
    <n v="7"/>
    <n v="14.69"/>
    <n v="9.1199999999999992"/>
    <n v="0"/>
    <n v="102.83"/>
    <n v="63.839999999999996"/>
    <n v="38.99"/>
    <x v="351"/>
    <x v="0"/>
    <x v="2"/>
    <s v="online"/>
  </r>
  <r>
    <s v="V00972"/>
    <d v="2024-12-27T00:00:00"/>
    <x v="1"/>
    <n v="12"/>
    <s v="diciembre"/>
    <s v="T4"/>
    <s v="P012"/>
    <x v="13"/>
    <x v="1"/>
    <x v="1"/>
    <n v="6"/>
    <n v="8.6999999999999993"/>
    <n v="5.63"/>
    <n v="0"/>
    <n v="52.199999999999996"/>
    <n v="33.78"/>
    <n v="18.419999999999995"/>
    <x v="352"/>
    <x v="1"/>
    <x v="3"/>
    <s v="online"/>
  </r>
  <r>
    <s v="V01431"/>
    <d v="2025-04-10T00:00:00"/>
    <x v="0"/>
    <n v="4"/>
    <s v="abril"/>
    <s v="T2"/>
    <s v="P004"/>
    <x v="6"/>
    <x v="2"/>
    <x v="3"/>
    <n v="4"/>
    <n v="157.22"/>
    <n v="110.61"/>
    <n v="0"/>
    <n v="628.88"/>
    <n v="442.44"/>
    <n v="186.44"/>
    <x v="353"/>
    <x v="1"/>
    <x v="3"/>
    <s v="online"/>
  </r>
  <r>
    <s v="V01770"/>
    <d v="2024-11-18T00:00:00"/>
    <x v="1"/>
    <n v="11"/>
    <s v="noviembre"/>
    <s v="T4"/>
    <s v="P010"/>
    <x v="1"/>
    <x v="1"/>
    <x v="1"/>
    <n v="6"/>
    <n v="17.37"/>
    <n v="11.52"/>
    <n v="0"/>
    <n v="104.22"/>
    <n v="69.12"/>
    <n v="35.099999999999994"/>
    <x v="354"/>
    <x v="1"/>
    <x v="0"/>
    <s v="online"/>
  </r>
  <r>
    <s v="V00758"/>
    <d v="2024-05-26T00:00:00"/>
    <x v="1"/>
    <n v="5"/>
    <s v="mayo"/>
    <s v="T2"/>
    <s v="P001"/>
    <x v="9"/>
    <x v="2"/>
    <x v="3"/>
    <n v="1"/>
    <n v="129.80000000000001"/>
    <n v="81.91"/>
    <n v="0"/>
    <n v="129.80000000000001"/>
    <n v="81.91"/>
    <n v="47.890000000000015"/>
    <x v="355"/>
    <x v="1"/>
    <x v="3"/>
    <s v="tienda_fisica"/>
  </r>
  <r>
    <s v="V01451"/>
    <d v="2025-09-23T00:00:00"/>
    <x v="0"/>
    <n v="9"/>
    <s v="septiembre"/>
    <s v="T3"/>
    <s v="P017"/>
    <x v="17"/>
    <x v="0"/>
    <x v="4"/>
    <n v="1"/>
    <n v="47.66"/>
    <n v="22.72"/>
    <n v="0"/>
    <n v="47.66"/>
    <n v="22.72"/>
    <n v="24.939999999999998"/>
    <x v="356"/>
    <x v="0"/>
    <x v="4"/>
    <s v="online"/>
  </r>
  <r>
    <s v="V00883"/>
    <d v="2025-10-28T00:00:00"/>
    <x v="0"/>
    <n v="10"/>
    <s v="octubre"/>
    <s v="T4"/>
    <s v="P007"/>
    <x v="15"/>
    <x v="1"/>
    <x v="0"/>
    <n v="3"/>
    <n v="21.4"/>
    <n v="12.45"/>
    <n v="0"/>
    <n v="64.199999999999989"/>
    <n v="37.349999999999994"/>
    <n v="26.849999999999994"/>
    <x v="357"/>
    <x v="0"/>
    <x v="3"/>
    <s v="tienda_fisica"/>
  </r>
  <r>
    <s v="V01588"/>
    <d v="2025-06-18T00:00:00"/>
    <x v="0"/>
    <n v="6"/>
    <s v="junio"/>
    <s v="T2"/>
    <s v="P006"/>
    <x v="0"/>
    <x v="0"/>
    <x v="0"/>
    <n v="5"/>
    <n v="44.17"/>
    <n v="25.94"/>
    <n v="0"/>
    <n v="220.85000000000002"/>
    <n v="129.70000000000002"/>
    <n v="91.15"/>
    <x v="358"/>
    <x v="0"/>
    <x v="4"/>
    <s v="tienda_fisica"/>
  </r>
  <r>
    <s v="V00708"/>
    <d v="2024-02-24T00:00:00"/>
    <x v="1"/>
    <n v="2"/>
    <s v="febrero"/>
    <s v="T1"/>
    <s v="P015"/>
    <x v="2"/>
    <x v="2"/>
    <x v="2"/>
    <n v="1"/>
    <n v="73.61"/>
    <n v="42.79"/>
    <n v="0.27"/>
    <n v="53.735299999999995"/>
    <n v="42.79"/>
    <n v="10.945299999999996"/>
    <x v="359"/>
    <x v="1"/>
    <x v="3"/>
    <s v="online"/>
  </r>
  <r>
    <s v="V01837"/>
    <d v="2024-08-27T00:00:00"/>
    <x v="1"/>
    <n v="8"/>
    <s v="agosto"/>
    <s v="T3"/>
    <s v="P012"/>
    <x v="13"/>
    <x v="1"/>
    <x v="1"/>
    <n v="1"/>
    <n v="9"/>
    <n v="6.06"/>
    <n v="0"/>
    <n v="9"/>
    <n v="6.06"/>
    <n v="2.9400000000000004"/>
    <x v="360"/>
    <x v="1"/>
    <x v="3"/>
    <s v="tienda_fisica"/>
  </r>
  <r>
    <s v="V01823"/>
    <d v="2024-01-02T00:00:00"/>
    <x v="1"/>
    <n v="1"/>
    <s v="enero"/>
    <s v="T1"/>
    <s v="P012"/>
    <x v="13"/>
    <x v="1"/>
    <x v="1"/>
    <n v="1"/>
    <n v="9.27"/>
    <n v="5.91"/>
    <n v="0"/>
    <n v="9.27"/>
    <n v="5.91"/>
    <n v="3.3599999999999994"/>
    <x v="361"/>
    <x v="1"/>
    <x v="4"/>
    <s v="tienda_fisica"/>
  </r>
  <r>
    <s v="V00841"/>
    <d v="2024-11-12T00:00:00"/>
    <x v="1"/>
    <n v="11"/>
    <s v="noviembre"/>
    <s v="T4"/>
    <s v="P004"/>
    <x v="6"/>
    <x v="2"/>
    <x v="3"/>
    <n v="1"/>
    <n v="152.43"/>
    <n v="110.02"/>
    <n v="0.14000000000000001"/>
    <n v="131.0898"/>
    <n v="110.02"/>
    <n v="21.069800000000001"/>
    <x v="362"/>
    <x v="1"/>
    <x v="3"/>
    <s v="tienda_fisica"/>
  </r>
  <r>
    <s v="V01117"/>
    <d v="2024-08-17T00:00:00"/>
    <x v="1"/>
    <n v="8"/>
    <s v="agosto"/>
    <s v="T3"/>
    <s v="P015"/>
    <x v="2"/>
    <x v="2"/>
    <x v="2"/>
    <n v="12"/>
    <n v="80.959999999999994"/>
    <n v="44.61"/>
    <n v="0"/>
    <n v="971.52"/>
    <n v="535.31999999999994"/>
    <n v="436.20000000000005"/>
    <x v="363"/>
    <x v="0"/>
    <x v="5"/>
    <s v="online"/>
  </r>
  <r>
    <s v="V02176"/>
    <d v="2024-02-15T00:00:00"/>
    <x v="1"/>
    <n v="2"/>
    <s v="febrero"/>
    <s v="T1"/>
    <s v="P006"/>
    <x v="0"/>
    <x v="0"/>
    <x v="0"/>
    <n v="1"/>
    <n v="43.56"/>
    <n v="26.29"/>
    <n v="0"/>
    <n v="43.56"/>
    <n v="26.29"/>
    <n v="17.270000000000003"/>
    <x v="364"/>
    <x v="0"/>
    <x v="0"/>
    <s v="tienda_fisica"/>
  </r>
  <r>
    <s v="V00665"/>
    <d v="2025-05-31T00:00:00"/>
    <x v="0"/>
    <n v="5"/>
    <s v="mayo"/>
    <s v="T2"/>
    <s v="P016"/>
    <x v="11"/>
    <x v="2"/>
    <x v="2"/>
    <n v="2"/>
    <n v="77.400000000000006"/>
    <n v="40.25"/>
    <n v="0"/>
    <n v="154.80000000000001"/>
    <n v="80.5"/>
    <n v="74.300000000000011"/>
    <x v="365"/>
    <x v="0"/>
    <x v="3"/>
    <s v="online"/>
  </r>
  <r>
    <s v="V00230"/>
    <d v="2025-05-02T00:00:00"/>
    <x v="0"/>
    <n v="5"/>
    <s v="mayo"/>
    <s v="T2"/>
    <s v="P018"/>
    <x v="5"/>
    <x v="0"/>
    <x v="4"/>
    <n v="1"/>
    <n v="30.58"/>
    <n v="17.8"/>
    <n v="0"/>
    <n v="30.58"/>
    <n v="17.8"/>
    <n v="12.779999999999998"/>
    <x v="366"/>
    <x v="0"/>
    <x v="3"/>
    <s v="online"/>
  </r>
  <r>
    <s v="V01227"/>
    <d v="2025-11-15T00:00:00"/>
    <x v="0"/>
    <n v="11"/>
    <s v="noviembre"/>
    <s v="T4"/>
    <s v="P001"/>
    <x v="9"/>
    <x v="2"/>
    <x v="3"/>
    <n v="2"/>
    <n v="117.86"/>
    <n v="86.65"/>
    <n v="0"/>
    <n v="235.72"/>
    <n v="173.3"/>
    <n v="62.419999999999987"/>
    <x v="367"/>
    <x v="1"/>
    <x v="6"/>
    <s v="online"/>
  </r>
  <r>
    <s v="V01531"/>
    <d v="2025-08-30T00:00:00"/>
    <x v="0"/>
    <n v="8"/>
    <s v="agosto"/>
    <s v="T3"/>
    <s v="P004"/>
    <x v="6"/>
    <x v="2"/>
    <x v="3"/>
    <n v="2"/>
    <n v="149.71"/>
    <n v="113.72"/>
    <n v="0"/>
    <n v="299.42"/>
    <n v="227.44"/>
    <n v="71.980000000000018"/>
    <x v="368"/>
    <x v="1"/>
    <x v="3"/>
    <s v="tienda_fisica"/>
  </r>
  <r>
    <s v="V01065"/>
    <d v="2025-01-28T00:00:00"/>
    <x v="0"/>
    <n v="1"/>
    <s v="enero"/>
    <s v="T1"/>
    <s v="P006"/>
    <x v="0"/>
    <x v="0"/>
    <x v="0"/>
    <n v="1"/>
    <n v="43.84"/>
    <n v="27.55"/>
    <n v="0.24"/>
    <n v="33.318400000000004"/>
    <n v="27.55"/>
    <n v="5.7684000000000033"/>
    <x v="369"/>
    <x v="1"/>
    <x v="2"/>
    <s v="tienda_fisica"/>
  </r>
  <r>
    <s v="V02289"/>
    <d v="2024-04-04T00:00:00"/>
    <x v="1"/>
    <n v="4"/>
    <s v="abril"/>
    <s v="T2"/>
    <s v="P003"/>
    <x v="7"/>
    <x v="2"/>
    <x v="3"/>
    <n v="1"/>
    <n v="166.35"/>
    <n v="92.64"/>
    <n v="0"/>
    <n v="166.35"/>
    <n v="92.64"/>
    <n v="73.709999999999994"/>
    <x v="370"/>
    <x v="0"/>
    <x v="3"/>
    <s v="tienda_fisica"/>
  </r>
  <r>
    <s v="V01391"/>
    <d v="2024-12-30T00:00:00"/>
    <x v="1"/>
    <n v="12"/>
    <s v="diciembre"/>
    <s v="T4"/>
    <s v="P011"/>
    <x v="10"/>
    <x v="1"/>
    <x v="1"/>
    <n v="1"/>
    <n v="20.89"/>
    <n v="11.95"/>
    <n v="0"/>
    <n v="20.89"/>
    <n v="11.95"/>
    <n v="8.9400000000000013"/>
    <x v="371"/>
    <x v="0"/>
    <x v="2"/>
    <s v="tienda_fisica"/>
  </r>
  <r>
    <s v="V01524"/>
    <d v="2024-05-04T00:00:00"/>
    <x v="1"/>
    <n v="5"/>
    <s v="mayo"/>
    <s v="T2"/>
    <s v="P011"/>
    <x v="10"/>
    <x v="1"/>
    <x v="1"/>
    <n v="3"/>
    <n v="21.45"/>
    <n v="11.53"/>
    <n v="0"/>
    <n v="64.349999999999994"/>
    <n v="34.589999999999996"/>
    <n v="29.759999999999998"/>
    <x v="372"/>
    <x v="0"/>
    <x v="0"/>
    <s v="tienda_fisica"/>
  </r>
  <r>
    <s v="V00934"/>
    <d v="2024-08-17T00:00:00"/>
    <x v="1"/>
    <n v="8"/>
    <s v="agosto"/>
    <s v="T3"/>
    <s v="P006"/>
    <x v="0"/>
    <x v="0"/>
    <x v="0"/>
    <n v="1"/>
    <n v="49.59"/>
    <n v="27.77"/>
    <n v="0"/>
    <n v="49.59"/>
    <n v="27.77"/>
    <n v="21.820000000000004"/>
    <x v="373"/>
    <x v="0"/>
    <x v="3"/>
    <s v="online"/>
  </r>
  <r>
    <s v="V00118"/>
    <d v="2024-12-13T00:00:00"/>
    <x v="1"/>
    <n v="12"/>
    <s v="diciembre"/>
    <s v="T4"/>
    <s v="P010"/>
    <x v="1"/>
    <x v="1"/>
    <x v="1"/>
    <n v="1"/>
    <n v="15.21"/>
    <n v="11.72"/>
    <n v="0"/>
    <n v="15.21"/>
    <n v="11.72"/>
    <n v="3.49"/>
    <x v="374"/>
    <x v="1"/>
    <x v="3"/>
    <s v="online"/>
  </r>
  <r>
    <s v="V01433"/>
    <d v="2025-05-29T00:00:00"/>
    <x v="0"/>
    <n v="5"/>
    <s v="mayo"/>
    <s v="T2"/>
    <s v="P003"/>
    <x v="7"/>
    <x v="2"/>
    <x v="3"/>
    <n v="3"/>
    <n v="178.73"/>
    <n v="96.3"/>
    <n v="0"/>
    <n v="536.18999999999994"/>
    <n v="288.89999999999998"/>
    <n v="247.28999999999996"/>
    <x v="375"/>
    <x v="0"/>
    <x v="3"/>
    <s v="online"/>
  </r>
  <r>
    <s v="V00585"/>
    <d v="2025-03-13T00:00:00"/>
    <x v="0"/>
    <n v="3"/>
    <s v="marzo"/>
    <s v="T1"/>
    <s v="P009"/>
    <x v="12"/>
    <x v="1"/>
    <x v="1"/>
    <n v="6"/>
    <n v="8.1999999999999993"/>
    <n v="4.22"/>
    <n v="0.15"/>
    <n v="41.819999999999993"/>
    <n v="25.32"/>
    <n v="16.499999999999993"/>
    <x v="376"/>
    <x v="0"/>
    <x v="4"/>
    <s v="tienda_fisica"/>
  </r>
  <r>
    <s v="V02100"/>
    <d v="2024-09-07T00:00:00"/>
    <x v="1"/>
    <n v="9"/>
    <s v="septiembre"/>
    <s v="T3"/>
    <s v="P004"/>
    <x v="6"/>
    <x v="2"/>
    <x v="3"/>
    <n v="1"/>
    <n v="157.11000000000001"/>
    <n v="111.81"/>
    <n v="0"/>
    <n v="157.11000000000001"/>
    <n v="111.81"/>
    <n v="45.300000000000011"/>
    <x v="377"/>
    <x v="1"/>
    <x v="6"/>
    <s v="online"/>
  </r>
  <r>
    <s v="V02041"/>
    <d v="2025-04-07T00:00:00"/>
    <x v="0"/>
    <n v="4"/>
    <s v="abril"/>
    <s v="T2"/>
    <s v="P020"/>
    <x v="19"/>
    <x v="0"/>
    <x v="4"/>
    <n v="3"/>
    <n v="58.03"/>
    <n v="33.200000000000003"/>
    <n v="0.12"/>
    <n v="153.19919999999999"/>
    <n v="99.600000000000009"/>
    <n v="53.599199999999982"/>
    <x v="378"/>
    <x v="1"/>
    <x v="5"/>
    <s v="tienda_fisica"/>
  </r>
  <r>
    <s v="V01916"/>
    <d v="2025-11-03T00:00:00"/>
    <x v="0"/>
    <n v="11"/>
    <s v="noviembre"/>
    <s v="T4"/>
    <s v="P016"/>
    <x v="11"/>
    <x v="2"/>
    <x v="2"/>
    <n v="5"/>
    <n v="73.13"/>
    <n v="40.270000000000003"/>
    <n v="0"/>
    <n v="365.65"/>
    <n v="201.35000000000002"/>
    <n v="164.29999999999995"/>
    <x v="379"/>
    <x v="0"/>
    <x v="3"/>
    <s v="online"/>
  </r>
  <r>
    <s v="V01330"/>
    <d v="2025-06-04T00:00:00"/>
    <x v="0"/>
    <n v="6"/>
    <s v="junio"/>
    <s v="T2"/>
    <s v="P014"/>
    <x v="16"/>
    <x v="1"/>
    <x v="2"/>
    <n v="2"/>
    <n v="15.02"/>
    <n v="9.1999999999999993"/>
    <n v="0"/>
    <n v="30.04"/>
    <n v="18.399999999999999"/>
    <n v="11.64"/>
    <x v="380"/>
    <x v="0"/>
    <x v="0"/>
    <s v="online"/>
  </r>
  <r>
    <s v="V02260"/>
    <d v="2025-09-07T00:00:00"/>
    <x v="0"/>
    <n v="9"/>
    <s v="septiembre"/>
    <s v="T3"/>
    <s v="P019"/>
    <x v="14"/>
    <x v="2"/>
    <x v="4"/>
    <n v="1"/>
    <n v="61.65"/>
    <n v="33.869999999999997"/>
    <n v="0"/>
    <n v="61.65"/>
    <n v="33.869999999999997"/>
    <n v="27.78"/>
    <x v="381"/>
    <x v="0"/>
    <x v="4"/>
    <s v="online"/>
  </r>
  <r>
    <s v="V00345"/>
    <d v="2025-07-28T00:00:00"/>
    <x v="0"/>
    <n v="7"/>
    <s v="julio"/>
    <s v="T3"/>
    <s v="P012"/>
    <x v="13"/>
    <x v="1"/>
    <x v="1"/>
    <n v="1"/>
    <n v="8.1300000000000008"/>
    <n v="6.05"/>
    <n v="0"/>
    <n v="8.1300000000000008"/>
    <n v="6.05"/>
    <n v="2.080000000000001"/>
    <x v="382"/>
    <x v="1"/>
    <x v="4"/>
    <s v="tienda_fisica"/>
  </r>
  <r>
    <s v="V01160"/>
    <d v="2025-03-10T00:00:00"/>
    <x v="0"/>
    <n v="3"/>
    <s v="marzo"/>
    <s v="T1"/>
    <s v="P012"/>
    <x v="13"/>
    <x v="1"/>
    <x v="1"/>
    <n v="2"/>
    <n v="9.09"/>
    <n v="5.49"/>
    <n v="0"/>
    <n v="18.18"/>
    <n v="10.98"/>
    <n v="7.1999999999999993"/>
    <x v="38"/>
    <x v="0"/>
    <x v="3"/>
    <s v="tienda_fisica"/>
  </r>
  <r>
    <s v="V01954"/>
    <d v="2024-06-26T00:00:00"/>
    <x v="1"/>
    <n v="6"/>
    <s v="junio"/>
    <s v="T2"/>
    <s v="P002"/>
    <x v="3"/>
    <x v="2"/>
    <x v="3"/>
    <n v="1"/>
    <n v="69.94"/>
    <n v="45.96"/>
    <n v="0"/>
    <n v="69.94"/>
    <n v="45.96"/>
    <n v="23.979999999999997"/>
    <x v="383"/>
    <x v="1"/>
    <x v="1"/>
    <s v="online"/>
  </r>
  <r>
    <s v="V00416"/>
    <d v="2025-01-02T00:00:00"/>
    <x v="0"/>
    <n v="1"/>
    <s v="enero"/>
    <s v="T1"/>
    <s v="P016"/>
    <x v="11"/>
    <x v="2"/>
    <x v="2"/>
    <n v="1"/>
    <n v="75.510000000000005"/>
    <n v="41.7"/>
    <n v="0"/>
    <n v="75.510000000000005"/>
    <n v="41.7"/>
    <n v="33.81"/>
    <x v="384"/>
    <x v="0"/>
    <x v="3"/>
    <s v=" tienda_fisica"/>
  </r>
  <r>
    <s v="V01893"/>
    <d v="2025-08-03T00:00:00"/>
    <x v="0"/>
    <n v="8"/>
    <s v="agosto"/>
    <s v="T3"/>
    <s v="P015"/>
    <x v="2"/>
    <x v="2"/>
    <x v="2"/>
    <n v="2"/>
    <n v="82.87"/>
    <n v="44.52"/>
    <n v="0.21"/>
    <n v="130.93460000000002"/>
    <n v="89.04"/>
    <n v="41.894600000000011"/>
    <x v="385"/>
    <x v="1"/>
    <x v="0"/>
    <s v="tienda_fisica"/>
  </r>
  <r>
    <s v="V01985"/>
    <d v="2024-04-25T00:00:00"/>
    <x v="1"/>
    <n v="4"/>
    <s v="abril"/>
    <s v="T2"/>
    <s v="P007"/>
    <x v="15"/>
    <x v="1"/>
    <x v="0"/>
    <n v="3"/>
    <n v="20.72"/>
    <n v="13.16"/>
    <n v="0.17"/>
    <n v="51.592799999999997"/>
    <n v="39.480000000000004"/>
    <n v="12.112799999999993"/>
    <x v="386"/>
    <x v="1"/>
    <x v="3"/>
    <s v="tienda_fisica"/>
  </r>
  <r>
    <s v="V00071"/>
    <d v="2025-09-01T00:00:00"/>
    <x v="0"/>
    <n v="9"/>
    <s v="septiembre"/>
    <s v="T3"/>
    <s v="P010"/>
    <x v="1"/>
    <x v="1"/>
    <x v="1"/>
    <n v="1"/>
    <n v="16.829999999999998"/>
    <n v="11.67"/>
    <n v="0"/>
    <n v="16.829999999999998"/>
    <n v="11.67"/>
    <n v="5.1599999999999984"/>
    <x v="387"/>
    <x v="1"/>
    <x v="2"/>
    <s v="tienda_fisica"/>
  </r>
  <r>
    <s v="V02106"/>
    <d v="2025-05-23T00:00:00"/>
    <x v="0"/>
    <n v="5"/>
    <s v="mayo"/>
    <s v="T2"/>
    <s v="P003"/>
    <x v="7"/>
    <x v="2"/>
    <x v="3"/>
    <n v="1"/>
    <n v="177.72"/>
    <n v="95.48"/>
    <n v="0.13"/>
    <n v="154.6164"/>
    <n v="95.48"/>
    <n v="59.136399999999995"/>
    <x v="388"/>
    <x v="0"/>
    <x v="3"/>
    <s v="online"/>
  </r>
  <r>
    <s v="V01308"/>
    <d v="2025-12-26T00:00:00"/>
    <x v="0"/>
    <n v="12"/>
    <s v="diciembre"/>
    <s v="T4"/>
    <s v="P017"/>
    <x v="17"/>
    <x v="0"/>
    <x v="4"/>
    <n v="7"/>
    <n v="51.07"/>
    <n v="23.18"/>
    <n v="0"/>
    <n v="357.49"/>
    <n v="162.26"/>
    <n v="195.23000000000002"/>
    <x v="389"/>
    <x v="0"/>
    <x v="0"/>
    <s v="online"/>
  </r>
  <r>
    <s v="V00839"/>
    <d v="2024-12-06T00:00:00"/>
    <x v="1"/>
    <n v="12"/>
    <s v="diciembre"/>
    <s v="T4"/>
    <s v="P005"/>
    <x v="18"/>
    <x v="2"/>
    <x v="0"/>
    <n v="5"/>
    <n v="61.26"/>
    <n v="39.39"/>
    <n v="0.28000000000000003"/>
    <n v="220.536"/>
    <n v="196.95"/>
    <n v="23.586000000000013"/>
    <x v="390"/>
    <x v="1"/>
    <x v="3"/>
    <s v="tienda_fisica"/>
  </r>
  <r>
    <s v="V00010"/>
    <d v="2025-08-03T00:00:00"/>
    <x v="0"/>
    <n v="8"/>
    <s v="agosto"/>
    <s v="T3"/>
    <s v="P008"/>
    <x v="4"/>
    <x v="2"/>
    <x v="0"/>
    <n v="3"/>
    <n v="102.62"/>
    <n v="59"/>
    <n v="0.17"/>
    <n v="255.52379999999999"/>
    <n v="177"/>
    <n v="78.523799999999994"/>
    <x v="391"/>
    <x v="1"/>
    <x v="6"/>
    <s v="online"/>
  </r>
  <r>
    <s v="V01222"/>
    <d v="2025-04-06T00:00:00"/>
    <x v="0"/>
    <n v="4"/>
    <s v="abril"/>
    <s v="T2"/>
    <s v="P011"/>
    <x v="10"/>
    <x v="1"/>
    <x v="1"/>
    <n v="3"/>
    <n v="20.3"/>
    <n v="11.16"/>
    <n v="0"/>
    <n v="60.900000000000006"/>
    <n v="33.480000000000004"/>
    <n v="27.42"/>
    <x v="392"/>
    <x v="0"/>
    <x v="4"/>
    <s v="tienda_fisica"/>
  </r>
  <r>
    <s v="V00562"/>
    <d v="2025-08-06T00:00:00"/>
    <x v="0"/>
    <n v="8"/>
    <s v="agosto"/>
    <s v="T3"/>
    <s v="P010"/>
    <x v="1"/>
    <x v="1"/>
    <x v="1"/>
    <n v="12"/>
    <n v="16.91"/>
    <n v="11.91"/>
    <n v="0"/>
    <n v="202.92000000000002"/>
    <n v="142.92000000000002"/>
    <n v="60"/>
    <x v="393"/>
    <x v="1"/>
    <x v="2"/>
    <s v="tienda_fisica"/>
  </r>
  <r>
    <s v="V01627"/>
    <d v="2025-08-24T00:00:00"/>
    <x v="0"/>
    <n v="8"/>
    <s v="agosto"/>
    <s v="T3"/>
    <s v="P008"/>
    <x v="4"/>
    <x v="2"/>
    <x v="0"/>
    <n v="3"/>
    <n v="95.08"/>
    <n v="54.77"/>
    <n v="0"/>
    <n v="285.24"/>
    <n v="164.31"/>
    <n v="120.93"/>
    <x v="394"/>
    <x v="0"/>
    <x v="2"/>
    <s v="online"/>
  </r>
  <r>
    <s v="V01902"/>
    <d v="2024-01-28T00:00:00"/>
    <x v="1"/>
    <n v="1"/>
    <s v="enero"/>
    <s v="T1"/>
    <s v="P006"/>
    <x v="0"/>
    <x v="0"/>
    <x v="0"/>
    <n v="5"/>
    <n v="48.84"/>
    <n v="26.21"/>
    <n v="0"/>
    <n v="244.20000000000002"/>
    <n v="131.05000000000001"/>
    <n v="113.15"/>
    <x v="395"/>
    <x v="0"/>
    <x v="4"/>
    <s v="online"/>
  </r>
  <r>
    <s v="V00128"/>
    <d v="2025-04-20T00:00:00"/>
    <x v="0"/>
    <n v="4"/>
    <s v="abril"/>
    <s v="T2"/>
    <s v="P016"/>
    <x v="11"/>
    <x v="2"/>
    <x v="2"/>
    <n v="2"/>
    <n v="79.680000000000007"/>
    <n v="41.56"/>
    <n v="0"/>
    <n v="159.36000000000001"/>
    <n v="83.12"/>
    <n v="76.240000000000009"/>
    <x v="396"/>
    <x v="0"/>
    <x v="2"/>
    <s v="tienda_fisica"/>
  </r>
  <r>
    <s v="V01641"/>
    <d v="2024-06-23T00:00:00"/>
    <x v="1"/>
    <n v="6"/>
    <s v="junio"/>
    <s v="T2"/>
    <s v="P017"/>
    <x v="17"/>
    <x v="0"/>
    <x v="4"/>
    <n v="8"/>
    <n v="52.31"/>
    <n v="23.58"/>
    <n v="0"/>
    <n v="418.48"/>
    <n v="188.64"/>
    <n v="229.84000000000003"/>
    <x v="397"/>
    <x v="0"/>
    <x v="5"/>
    <s v="online"/>
  </r>
  <r>
    <s v="V00285"/>
    <d v="2024-02-29T00:00:00"/>
    <x v="1"/>
    <n v="2"/>
    <s v="febrero"/>
    <s v="T1"/>
    <s v="P008"/>
    <x v="4"/>
    <x v="2"/>
    <x v="0"/>
    <n v="1"/>
    <n v="95.31"/>
    <n v="58.42"/>
    <n v="0"/>
    <n v="95.31"/>
    <n v="58.42"/>
    <n v="36.89"/>
    <x v="398"/>
    <x v="0"/>
    <x v="3"/>
    <s v="tienda_fisica"/>
  </r>
  <r>
    <s v="V00610"/>
    <d v="2024-10-14T00:00:00"/>
    <x v="1"/>
    <n v="10"/>
    <s v="octubre"/>
    <s v="T4"/>
    <s v="P002"/>
    <x v="3"/>
    <x v="2"/>
    <x v="3"/>
    <n v="2"/>
    <n v="71.95"/>
    <n v="49.06"/>
    <n v="0"/>
    <n v="143.9"/>
    <n v="98.12"/>
    <n v="45.78"/>
    <x v="399"/>
    <x v="1"/>
    <x v="3"/>
    <s v="tienda_fisica"/>
  </r>
  <r>
    <s v="V01891"/>
    <d v="2025-01-11T00:00:00"/>
    <x v="0"/>
    <n v="1"/>
    <s v="enero"/>
    <s v="T1"/>
    <s v="P008"/>
    <x v="4"/>
    <x v="2"/>
    <x v="0"/>
    <n v="1"/>
    <n v="96.42"/>
    <n v="59.27"/>
    <n v="0.22"/>
    <n v="75.207599999999999"/>
    <n v="59.27"/>
    <n v="15.937599999999996"/>
    <x v="400"/>
    <x v="1"/>
    <x v="2"/>
    <s v="tienda_fisica"/>
  </r>
  <r>
    <s v="V00378"/>
    <d v="2025-07-14T00:00:00"/>
    <x v="0"/>
    <n v="7"/>
    <s v="julio"/>
    <s v="T3"/>
    <s v="P010"/>
    <x v="1"/>
    <x v="1"/>
    <x v="1"/>
    <n v="1"/>
    <n v="15.4"/>
    <n v="11.69"/>
    <n v="0"/>
    <n v="15.4"/>
    <n v="11.69"/>
    <n v="3.7100000000000009"/>
    <x v="401"/>
    <x v="1"/>
    <x v="0"/>
    <s v="tienda_fisica"/>
  </r>
  <r>
    <s v="V02076"/>
    <d v="2025-02-04T00:00:00"/>
    <x v="0"/>
    <n v="2"/>
    <s v="febrero"/>
    <s v="T1"/>
    <s v="P008"/>
    <x v="4"/>
    <x v="2"/>
    <x v="0"/>
    <n v="1"/>
    <n v="97.64"/>
    <n v="60.1"/>
    <n v="0"/>
    <n v="97.64"/>
    <n v="60.1"/>
    <n v="37.54"/>
    <x v="402"/>
    <x v="0"/>
    <x v="5"/>
    <s v="online"/>
  </r>
  <r>
    <s v="V01853"/>
    <d v="2024-09-05T00:00:00"/>
    <x v="1"/>
    <n v="9"/>
    <s v="septiembre"/>
    <s v="T3"/>
    <s v="P009"/>
    <x v="12"/>
    <x v="1"/>
    <x v="1"/>
    <n v="1"/>
    <n v="7.78"/>
    <n v="4.45"/>
    <n v="0"/>
    <n v="7.78"/>
    <n v="4.45"/>
    <n v="3.33"/>
    <x v="403"/>
    <x v="0"/>
    <x v="3"/>
    <s v="tienda_fisica"/>
  </r>
  <r>
    <s v="V01042"/>
    <d v="2024-02-11T00:00:00"/>
    <x v="1"/>
    <n v="2"/>
    <s v="febrero"/>
    <s v="T1"/>
    <s v="P015"/>
    <x v="2"/>
    <x v="2"/>
    <x v="2"/>
    <n v="1"/>
    <n v="71.64"/>
    <n v="42.16"/>
    <n v="0"/>
    <n v="71.64"/>
    <n v="42.16"/>
    <n v="29.480000000000004"/>
    <x v="404"/>
    <x v="0"/>
    <x v="3"/>
    <s v="tienda_fisica"/>
  </r>
  <r>
    <s v="V01316"/>
    <d v="2025-02-21T00:00:00"/>
    <x v="0"/>
    <n v="2"/>
    <s v="febrero"/>
    <s v="T1"/>
    <s v="P013"/>
    <x v="8"/>
    <x v="2"/>
    <x v="2"/>
    <n v="2"/>
    <n v="75.95"/>
    <n v="46.44"/>
    <n v="0"/>
    <n v="151.9"/>
    <n v="92.88"/>
    <n v="59.02000000000001"/>
    <x v="405"/>
    <x v="0"/>
    <x v="0"/>
    <s v="tienda_fisica"/>
  </r>
  <r>
    <s v="V00126"/>
    <d v="2024-11-13T00:00:00"/>
    <x v="1"/>
    <n v="11"/>
    <s v="noviembre"/>
    <s v="T4"/>
    <s v="P013"/>
    <x v="8"/>
    <x v="2"/>
    <x v="2"/>
    <n v="4"/>
    <n v="73.05"/>
    <n v="48.94"/>
    <n v="0"/>
    <n v="292.2"/>
    <n v="195.76"/>
    <n v="96.44"/>
    <x v="406"/>
    <x v="1"/>
    <x v="2"/>
    <s v="online"/>
  </r>
  <r>
    <s v="V00341"/>
    <d v="2024-10-18T00:00:00"/>
    <x v="1"/>
    <n v="10"/>
    <s v="octubre"/>
    <s v="T4"/>
    <s v="P003"/>
    <x v="7"/>
    <x v="2"/>
    <x v="3"/>
    <n v="8"/>
    <n v="169.6"/>
    <n v="91.57"/>
    <n v="0"/>
    <n v="1356.8"/>
    <n v="732.56"/>
    <n v="624.24"/>
    <x v="407"/>
    <x v="0"/>
    <x v="3"/>
    <s v="online"/>
  </r>
  <r>
    <s v="V00714"/>
    <d v="2024-05-12T00:00:00"/>
    <x v="1"/>
    <n v="5"/>
    <s v="mayo"/>
    <s v="T2"/>
    <s v="P019"/>
    <x v="14"/>
    <x v="0"/>
    <x v="4"/>
    <n v="4"/>
    <n v="55.19"/>
    <n v="31.28"/>
    <n v="0"/>
    <n v="220.76"/>
    <n v="125.12"/>
    <n v="95.639999999999986"/>
    <x v="408"/>
    <x v="0"/>
    <x v="1"/>
    <s v="online"/>
  </r>
  <r>
    <s v="V01133"/>
    <d v="2024-12-27T00:00:00"/>
    <x v="1"/>
    <n v="12"/>
    <s v="diciembre"/>
    <s v="T4"/>
    <s v="P011"/>
    <x v="10"/>
    <x v="1"/>
    <x v="1"/>
    <n v="4"/>
    <n v="21.04"/>
    <n v="11.06"/>
    <n v="0.18"/>
    <n v="69.011200000000002"/>
    <n v="44.24"/>
    <n v="24.7712"/>
    <x v="409"/>
    <x v="1"/>
    <x v="2"/>
    <s v="tienda_fisica"/>
  </r>
  <r>
    <s v="V01854"/>
    <d v="2024-10-15T00:00:00"/>
    <x v="1"/>
    <n v="10"/>
    <s v="octubre"/>
    <s v="T4"/>
    <s v="P001"/>
    <x v="9"/>
    <x v="2"/>
    <x v="3"/>
    <n v="2"/>
    <n v="123.41"/>
    <n v="86.75"/>
    <n v="0"/>
    <n v="246.82"/>
    <n v="173.5"/>
    <n v="73.319999999999993"/>
    <x v="410"/>
    <x v="1"/>
    <x v="5"/>
    <s v="online"/>
  </r>
  <r>
    <s v="V02051"/>
    <d v="2025-05-23T00:00:00"/>
    <x v="0"/>
    <n v="5"/>
    <s v="mayo"/>
    <s v="T2"/>
    <s v="P017"/>
    <x v="17"/>
    <x v="0"/>
    <x v="4"/>
    <n v="1"/>
    <n v="47.1"/>
    <n v="22.35"/>
    <n v="0"/>
    <n v="47.1"/>
    <n v="22.35"/>
    <n v="24.75"/>
    <x v="411"/>
    <x v="0"/>
    <x v="3"/>
    <s v="tienda_fisica"/>
  </r>
  <r>
    <s v="V01597"/>
    <d v="2024-09-03T00:00:00"/>
    <x v="1"/>
    <n v="9"/>
    <s v="septiembre"/>
    <s v="T3"/>
    <s v="P007"/>
    <x v="15"/>
    <x v="1"/>
    <x v="0"/>
    <n v="1"/>
    <n v="19.55"/>
    <n v="12.67"/>
    <n v="0"/>
    <n v="19.55"/>
    <n v="12.67"/>
    <n v="6.8800000000000008"/>
    <x v="412"/>
    <x v="1"/>
    <x v="4"/>
    <s v="tienda_fisica"/>
  </r>
  <r>
    <s v="V01888"/>
    <d v="2024-03-21T00:00:00"/>
    <x v="1"/>
    <n v="3"/>
    <s v="marzo"/>
    <s v="T1"/>
    <s v="P005"/>
    <x v="18"/>
    <x v="0"/>
    <x v="0"/>
    <n v="1"/>
    <n v="54.97"/>
    <n v="40.479999999999997"/>
    <n v="0"/>
    <n v="54.97"/>
    <n v="40.479999999999997"/>
    <n v="14.490000000000002"/>
    <x v="413"/>
    <x v="1"/>
    <x v="3"/>
    <s v="online"/>
  </r>
  <r>
    <s v="V00717"/>
    <d v="2025-01-11T00:00:00"/>
    <x v="0"/>
    <n v="1"/>
    <s v="enero"/>
    <s v="T1"/>
    <s v="P004"/>
    <x v="6"/>
    <x v="2"/>
    <x v="3"/>
    <n v="3"/>
    <n v="168.45"/>
    <n v="113.45"/>
    <n v="0"/>
    <n v="505.34999999999997"/>
    <n v="340.35"/>
    <n v="164.99999999999994"/>
    <x v="414"/>
    <x v="1"/>
    <x v="0"/>
    <s v="tienda_fisica"/>
  </r>
  <r>
    <s v="V00038"/>
    <d v="2025-06-07T00:00:00"/>
    <x v="0"/>
    <n v="6"/>
    <s v="junio"/>
    <s v="T2"/>
    <s v="P007"/>
    <x v="15"/>
    <x v="1"/>
    <x v="0"/>
    <n v="1"/>
    <n v="20.27"/>
    <n v="12.69"/>
    <n v="0"/>
    <n v="20.27"/>
    <n v="12.69"/>
    <n v="7.58"/>
    <x v="415"/>
    <x v="1"/>
    <x v="0"/>
    <s v="tienda_fisica"/>
  </r>
  <r>
    <s v="V01476"/>
    <d v="2025-02-07T00:00:00"/>
    <x v="0"/>
    <n v="2"/>
    <s v="febrero"/>
    <s v="T1"/>
    <s v="P002"/>
    <x v="3"/>
    <x v="2"/>
    <x v="3"/>
    <n v="1"/>
    <n v="78.069999999999993"/>
    <n v="48.81"/>
    <n v="0"/>
    <n v="78.069999999999993"/>
    <n v="48.81"/>
    <n v="29.259999999999991"/>
    <x v="416"/>
    <x v="1"/>
    <x v="3"/>
    <s v="online"/>
  </r>
  <r>
    <s v="V00309"/>
    <d v="2025-01-01T00:00:00"/>
    <x v="0"/>
    <n v="1"/>
    <s v="enero"/>
    <s v="T1"/>
    <s v="P017"/>
    <x v="17"/>
    <x v="0"/>
    <x v="4"/>
    <n v="4"/>
    <n v="51.83"/>
    <n v="23.64"/>
    <n v="0"/>
    <n v="207.32"/>
    <n v="94.56"/>
    <n v="112.75999999999999"/>
    <x v="417"/>
    <x v="0"/>
    <x v="2"/>
    <s v="tienda_fisica"/>
  </r>
  <r>
    <s v="V01572"/>
    <d v="2024-05-09T00:00:00"/>
    <x v="1"/>
    <n v="5"/>
    <s v="mayo"/>
    <s v="T2"/>
    <s v="P008"/>
    <x v="4"/>
    <x v="2"/>
    <x v="0"/>
    <n v="1"/>
    <n v="95.78"/>
    <n v="57.61"/>
    <n v="0.12"/>
    <n v="84.2864"/>
    <n v="57.61"/>
    <n v="26.676400000000001"/>
    <x v="418"/>
    <x v="1"/>
    <x v="3"/>
    <s v="online"/>
  </r>
  <r>
    <s v="V00364"/>
    <d v="2024-04-13T00:00:00"/>
    <x v="1"/>
    <n v="4"/>
    <s v="abril"/>
    <s v="T2"/>
    <s v="P003"/>
    <x v="7"/>
    <x v="2"/>
    <x v="3"/>
    <n v="2"/>
    <n v="171.01"/>
    <n v="89.95"/>
    <n v="0"/>
    <n v="342.02"/>
    <n v="179.9"/>
    <n v="162.11999999999998"/>
    <x v="419"/>
    <x v="0"/>
    <x v="5"/>
    <s v="tienda_fisica"/>
  </r>
  <r>
    <s v="V00632"/>
    <d v="2024-01-26T00:00:00"/>
    <x v="1"/>
    <n v="1"/>
    <s v="enero"/>
    <s v="T1"/>
    <s v="P010"/>
    <x v="1"/>
    <x v="1"/>
    <x v="1"/>
    <n v="2"/>
    <n v="15.18"/>
    <n v="11.6"/>
    <n v="0"/>
    <n v="30.36"/>
    <n v="23.2"/>
    <n v="7.16"/>
    <x v="420"/>
    <x v="1"/>
    <x v="0"/>
    <s v="tienda_fisica"/>
  </r>
  <r>
    <s v="V01761"/>
    <d v="2025-02-14T00:00:00"/>
    <x v="0"/>
    <n v="2"/>
    <s v="febrero"/>
    <s v="T1"/>
    <s v="P001"/>
    <x v="9"/>
    <x v="2"/>
    <x v="3"/>
    <n v="1"/>
    <n v="117.71"/>
    <n v="84.45"/>
    <n v="0"/>
    <n v="117.71"/>
    <n v="84.45"/>
    <n v="33.259999999999991"/>
    <x v="421"/>
    <x v="1"/>
    <x v="0"/>
    <s v="tienda_fisica"/>
  </r>
  <r>
    <s v="V02212"/>
    <d v="2025-04-29T00:00:00"/>
    <x v="0"/>
    <n v="4"/>
    <s v="abril"/>
    <s v="T2"/>
    <s v="P003"/>
    <x v="7"/>
    <x v="2"/>
    <x v="3"/>
    <n v="3"/>
    <n v="177.72"/>
    <n v="97.35"/>
    <n v="0"/>
    <n v="533.16"/>
    <n v="292.04999999999995"/>
    <n v="241.11"/>
    <x v="422"/>
    <x v="0"/>
    <x v="3"/>
    <s v=" online"/>
  </r>
  <r>
    <s v="V00109"/>
    <d v="2025-11-05T00:00:00"/>
    <x v="0"/>
    <n v="11"/>
    <s v="noviembre"/>
    <s v="T4"/>
    <s v="P002"/>
    <x v="3"/>
    <x v="2"/>
    <x v="3"/>
    <n v="3"/>
    <n v="76"/>
    <n v="47.18"/>
    <n v="0"/>
    <n v="228"/>
    <n v="141.54"/>
    <n v="86.460000000000008"/>
    <x v="423"/>
    <x v="0"/>
    <x v="0"/>
    <s v="tienda_fisica"/>
  </r>
  <r>
    <s v="V02168"/>
    <d v="2024-08-09T00:00:00"/>
    <x v="1"/>
    <n v="8"/>
    <s v="agosto"/>
    <s v="T3"/>
    <s v="P001"/>
    <x v="9"/>
    <x v="2"/>
    <x v="3"/>
    <n v="6"/>
    <n v="125.81"/>
    <n v="88.03"/>
    <n v="0"/>
    <n v="754.86"/>
    <n v="528.18000000000006"/>
    <n v="226.67999999999995"/>
    <x v="424"/>
    <x v="1"/>
    <x v="2"/>
    <s v="online"/>
  </r>
  <r>
    <s v="V01900"/>
    <d v="2024-05-02T00:00:00"/>
    <x v="1"/>
    <n v="5"/>
    <s v="mayo"/>
    <s v="T2"/>
    <s v="P007"/>
    <x v="15"/>
    <x v="1"/>
    <x v="0"/>
    <n v="1"/>
    <n v="20.78"/>
    <n v="13.25"/>
    <n v="0.15"/>
    <n v="17.663"/>
    <n v="13.25"/>
    <n v="4.4130000000000003"/>
    <x v="425"/>
    <x v="1"/>
    <x v="0"/>
    <s v="tienda_fisica"/>
  </r>
  <r>
    <s v="V01525"/>
    <d v="2024-04-04T00:00:00"/>
    <x v="1"/>
    <n v="4"/>
    <s v="abril"/>
    <s v="T2"/>
    <s v="P012"/>
    <x v="13"/>
    <x v="1"/>
    <x v="1"/>
    <n v="1"/>
    <n v="9.06"/>
    <n v="6.01"/>
    <n v="0"/>
    <n v="9.06"/>
    <n v="6.01"/>
    <n v="3.0500000000000007"/>
    <x v="426"/>
    <x v="1"/>
    <x v="3"/>
    <s v="online"/>
  </r>
  <r>
    <s v="V01689"/>
    <d v="2025-10-22T00:00:00"/>
    <x v="0"/>
    <n v="10"/>
    <s v="octubre"/>
    <s v="T4"/>
    <s v="P004"/>
    <x v="6"/>
    <x v="2"/>
    <x v="3"/>
    <n v="5"/>
    <n v="169.25"/>
    <n v="112.54"/>
    <n v="0"/>
    <n v="846.25"/>
    <n v="562.70000000000005"/>
    <n v="283.54999999999995"/>
    <x v="427"/>
    <x v="1"/>
    <x v="0"/>
    <s v="online"/>
  </r>
  <r>
    <s v="V01182"/>
    <d v="2024-12-20T00:00:00"/>
    <x v="1"/>
    <n v="12"/>
    <s v="diciembre"/>
    <s v="T4"/>
    <s v="P005"/>
    <x v="18"/>
    <x v="0"/>
    <x v="0"/>
    <n v="1"/>
    <n v="56.84"/>
    <n v="39.479999999999997"/>
    <n v="0"/>
    <n v="56.84"/>
    <n v="39.479999999999997"/>
    <n v="17.360000000000007"/>
    <x v="428"/>
    <x v="1"/>
    <x v="0"/>
    <s v="online"/>
  </r>
  <r>
    <s v="V00611"/>
    <d v="2024-06-23T00:00:00"/>
    <x v="1"/>
    <n v="6"/>
    <s v="junio"/>
    <s v="T2"/>
    <s v="P020"/>
    <x v="19"/>
    <x v="2"/>
    <x v="4"/>
    <n v="1"/>
    <n v="60.53"/>
    <n v="35"/>
    <n v="0.17"/>
    <n v="50.239899999999999"/>
    <n v="35"/>
    <n v="15.239899999999999"/>
    <x v="429"/>
    <x v="1"/>
    <x v="4"/>
    <s v="tienda_fisica"/>
  </r>
  <r>
    <s v="V02286"/>
    <d v="2024-02-26T00:00:00"/>
    <x v="1"/>
    <n v="2"/>
    <s v="febrero"/>
    <s v="T1"/>
    <s v="P007"/>
    <x v="15"/>
    <x v="1"/>
    <x v="0"/>
    <n v="2"/>
    <n v="18.329999999999998"/>
    <n v="13.43"/>
    <n v="0"/>
    <n v="36.659999999999997"/>
    <n v="26.86"/>
    <n v="9.7999999999999972"/>
    <x v="430"/>
    <x v="1"/>
    <x v="6"/>
    <s v="tienda_fisica"/>
  </r>
  <r>
    <s v="V01168"/>
    <d v="2024-03-26T00:00:00"/>
    <x v="1"/>
    <n v="3"/>
    <s v="marzo"/>
    <s v="T1"/>
    <s v="P009"/>
    <x v="12"/>
    <x v="1"/>
    <x v="1"/>
    <n v="4"/>
    <n v="7.74"/>
    <n v="4.38"/>
    <n v="0"/>
    <n v="30.96"/>
    <n v="17.52"/>
    <n v="13.440000000000001"/>
    <x v="431"/>
    <x v="0"/>
    <x v="1"/>
    <s v="online"/>
  </r>
  <r>
    <s v="V01037"/>
    <d v="2025-05-10T00:00:00"/>
    <x v="0"/>
    <n v="5"/>
    <s v="mayo"/>
    <s v="T2"/>
    <s v="P020"/>
    <x v="19"/>
    <x v="2"/>
    <x v="4"/>
    <n v="4"/>
    <n v="60.3"/>
    <n v="32.92"/>
    <n v="0"/>
    <n v="241.2"/>
    <n v="131.68"/>
    <n v="109.51999999999998"/>
    <x v="432"/>
    <x v="0"/>
    <x v="3"/>
    <s v="tienda_fisica"/>
  </r>
  <r>
    <s v="V00749"/>
    <d v="2024-01-29T00:00:00"/>
    <x v="1"/>
    <n v="1"/>
    <s v="enero"/>
    <s v="T1"/>
    <s v="P001"/>
    <x v="9"/>
    <x v="2"/>
    <x v="3"/>
    <n v="1"/>
    <n v="118.36"/>
    <n v="83.66"/>
    <n v="0"/>
    <n v="118.36"/>
    <n v="83.66"/>
    <n v="34.700000000000003"/>
    <x v="433"/>
    <x v="1"/>
    <x v="5"/>
    <s v="tienda_fisica"/>
  </r>
  <r>
    <s v="V00300"/>
    <d v="2024-04-03T00:00:00"/>
    <x v="1"/>
    <n v="4"/>
    <s v="abril"/>
    <s v="T2"/>
    <s v="P005"/>
    <x v="18"/>
    <x v="0"/>
    <x v="0"/>
    <n v="2"/>
    <n v="57.75"/>
    <n v="42.49"/>
    <n v="0.28999999999999998"/>
    <n v="82.004999999999995"/>
    <n v="84.98"/>
    <n v="-2.9750000000000085"/>
    <x v="434"/>
    <x v="1"/>
    <x v="2"/>
    <s v="tienda_fisica"/>
  </r>
  <r>
    <s v="V00189"/>
    <d v="2025-02-08T00:00:00"/>
    <x v="0"/>
    <n v="2"/>
    <s v="febrero"/>
    <s v="T1"/>
    <s v="P013"/>
    <x v="8"/>
    <x v="2"/>
    <x v="2"/>
    <n v="1"/>
    <n v="74.92"/>
    <n v="47.35"/>
    <n v="0"/>
    <n v="74.92"/>
    <n v="47.35"/>
    <n v="27.57"/>
    <x v="435"/>
    <x v="1"/>
    <x v="2"/>
    <s v="tienda_fisica"/>
  </r>
  <r>
    <s v="V00523"/>
    <d v="2025-12-07T00:00:00"/>
    <x v="0"/>
    <n v="12"/>
    <s v="diciembre"/>
    <s v="T4"/>
    <s v="P002"/>
    <x v="3"/>
    <x v="2"/>
    <x v="3"/>
    <n v="7"/>
    <n v="76.430000000000007"/>
    <n v="45.4"/>
    <n v="0"/>
    <n v="535.01"/>
    <n v="317.8"/>
    <n v="217.20999999999998"/>
    <x v="436"/>
    <x v="0"/>
    <x v="0"/>
    <s v="online"/>
  </r>
  <r>
    <s v="V02232"/>
    <d v="2024-03-03T00:00:00"/>
    <x v="1"/>
    <n v="3"/>
    <s v="marzo"/>
    <s v="T1"/>
    <s v="P006"/>
    <x v="0"/>
    <x v="0"/>
    <x v="0"/>
    <n v="1"/>
    <n v="48.04"/>
    <n v="27.64"/>
    <n v="0"/>
    <n v="48.04"/>
    <n v="27.64"/>
    <n v="20.399999999999999"/>
    <x v="437"/>
    <x v="0"/>
    <x v="2"/>
    <s v="online"/>
  </r>
  <r>
    <s v="V00359"/>
    <d v="2025-11-08T00:00:00"/>
    <x v="0"/>
    <n v="11"/>
    <s v="noviembre"/>
    <s v="T4"/>
    <s v="P002"/>
    <x v="3"/>
    <x v="2"/>
    <x v="3"/>
    <n v="1"/>
    <n v="73.14"/>
    <n v="45.45"/>
    <n v="0"/>
    <n v="73.14"/>
    <n v="45.45"/>
    <n v="27.689999999999998"/>
    <x v="438"/>
    <x v="0"/>
    <x v="3"/>
    <s v="tienda_fisica"/>
  </r>
  <r>
    <s v="V00021"/>
    <d v="2024-09-24T00:00:00"/>
    <x v="1"/>
    <n v="9"/>
    <s v="septiembre"/>
    <s v="T3"/>
    <s v="P011"/>
    <x v="10"/>
    <x v="1"/>
    <x v="1"/>
    <n v="1"/>
    <n v="22.1"/>
    <n v="11.17"/>
    <n v="0"/>
    <n v="22.1"/>
    <n v="11.17"/>
    <n v="10.930000000000001"/>
    <x v="439"/>
    <x v="0"/>
    <x v="3"/>
    <s v="tienda_fisica"/>
  </r>
  <r>
    <s v="V01517"/>
    <d v="2024-09-17T00:00:00"/>
    <x v="1"/>
    <n v="9"/>
    <s v="septiembre"/>
    <s v="T3"/>
    <s v="P019"/>
    <x v="14"/>
    <x v="2"/>
    <x v="4"/>
    <n v="1"/>
    <n v="62.48"/>
    <n v="31.83"/>
    <n v="0.06"/>
    <n v="58.731199999999994"/>
    <n v="31.83"/>
    <n v="26.901199999999996"/>
    <x v="440"/>
    <x v="0"/>
    <x v="0"/>
    <s v="online"/>
  </r>
  <r>
    <s v="V01696"/>
    <d v="2024-02-26T00:00:00"/>
    <x v="1"/>
    <n v="2"/>
    <s v="febrero"/>
    <s v="T1"/>
    <s v="P006"/>
    <x v="0"/>
    <x v="0"/>
    <x v="0"/>
    <n v="4"/>
    <n v="49.79"/>
    <n v="27.21"/>
    <n v="0.23"/>
    <n v="153.35319999999999"/>
    <n v="108.84"/>
    <n v="44.513199999999983"/>
    <x v="441"/>
    <x v="1"/>
    <x v="3"/>
    <s v="tienda_fisica"/>
  </r>
  <r>
    <s v="V00789"/>
    <d v="2024-03-28T00:00:00"/>
    <x v="1"/>
    <n v="3"/>
    <s v="marzo"/>
    <s v="T1"/>
    <s v="P004"/>
    <x v="6"/>
    <x v="2"/>
    <x v="3"/>
    <n v="2"/>
    <n v="166.82"/>
    <n v="113.14"/>
    <n v="0.25"/>
    <n v="250.23"/>
    <n v="226.28"/>
    <n v="23.949999999999989"/>
    <x v="442"/>
    <x v="1"/>
    <x v="6"/>
    <s v="tienda_fisica"/>
  </r>
  <r>
    <s v="V01339"/>
    <d v="2024-09-04T00:00:00"/>
    <x v="1"/>
    <n v="9"/>
    <s v="septiembre"/>
    <s v="T3"/>
    <s v="P003"/>
    <x v="7"/>
    <x v="2"/>
    <x v="3"/>
    <n v="5"/>
    <n v="177.72"/>
    <n v="95.72"/>
    <n v="0"/>
    <n v="888.6"/>
    <n v="478.6"/>
    <n v="410"/>
    <x v="443"/>
    <x v="0"/>
    <x v="0"/>
    <s v="online"/>
  </r>
  <r>
    <s v="V00550"/>
    <d v="2024-06-24T00:00:00"/>
    <x v="1"/>
    <n v="6"/>
    <s v="junio"/>
    <s v="T2"/>
    <s v="P008"/>
    <x v="4"/>
    <x v="2"/>
    <x v="0"/>
    <n v="2"/>
    <n v="96.55"/>
    <n v="57.3"/>
    <n v="0"/>
    <n v="193.1"/>
    <n v="114.6"/>
    <n v="78.5"/>
    <x v="444"/>
    <x v="0"/>
    <x v="3"/>
    <s v="tienda_fisica"/>
  </r>
  <r>
    <s v="V01450"/>
    <d v="2025-11-29T00:00:00"/>
    <x v="0"/>
    <n v="11"/>
    <s v="noviembre"/>
    <s v="T4"/>
    <s v="P018"/>
    <x v="5"/>
    <x v="1"/>
    <x v="4"/>
    <n v="3"/>
    <n v="28.89"/>
    <n v="17.29"/>
    <n v="0"/>
    <n v="86.67"/>
    <n v="51.87"/>
    <n v="34.800000000000004"/>
    <x v="445"/>
    <x v="0"/>
    <x v="4"/>
    <s v="tienda_fisica"/>
  </r>
  <r>
    <s v="V00408"/>
    <d v="2024-12-04T00:00:00"/>
    <x v="1"/>
    <n v="12"/>
    <s v="diciembre"/>
    <s v="T4"/>
    <s v="P016"/>
    <x v="11"/>
    <x v="2"/>
    <x v="2"/>
    <n v="1"/>
    <n v="73.44"/>
    <n v="39.75"/>
    <n v="0"/>
    <n v="73.44"/>
    <n v="39.75"/>
    <n v="33.69"/>
    <x v="446"/>
    <x v="0"/>
    <x v="3"/>
    <s v="tienda_fisica"/>
  </r>
  <r>
    <s v="V01555"/>
    <d v="2025-03-11T00:00:00"/>
    <x v="0"/>
    <n v="3"/>
    <s v="marzo"/>
    <s v="T1"/>
    <s v="P010"/>
    <x v="1"/>
    <x v="1"/>
    <x v="1"/>
    <n v="3"/>
    <n v="16.78"/>
    <n v="11.97"/>
    <n v="0"/>
    <n v="50.34"/>
    <n v="35.910000000000004"/>
    <n v="14.43"/>
    <x v="447"/>
    <x v="1"/>
    <x v="3"/>
    <s v="tienda_fisica"/>
  </r>
  <r>
    <s v="V01842"/>
    <d v="2024-02-19T00:00:00"/>
    <x v="1"/>
    <n v="2"/>
    <s v="febrero"/>
    <s v="T1"/>
    <s v="P003"/>
    <x v="7"/>
    <x v="2"/>
    <x v="3"/>
    <n v="1"/>
    <n v="179.97"/>
    <n v="89.51"/>
    <n v="0"/>
    <n v="179.97"/>
    <n v="89.51"/>
    <n v="90.46"/>
    <x v="448"/>
    <x v="0"/>
    <x v="3"/>
    <s v="online"/>
  </r>
  <r>
    <s v="V00984"/>
    <d v="2025-05-26T00:00:00"/>
    <x v="0"/>
    <n v="5"/>
    <s v="mayo"/>
    <s v="T2"/>
    <s v="P005"/>
    <x v="18"/>
    <x v="2"/>
    <x v="0"/>
    <n v="3"/>
    <n v="59.2"/>
    <n v="42.54"/>
    <n v="0"/>
    <n v="177.60000000000002"/>
    <n v="127.62"/>
    <n v="49.980000000000018"/>
    <x v="449"/>
    <x v="1"/>
    <x v="5"/>
    <s v="online"/>
  </r>
  <r>
    <s v="V01035"/>
    <d v="2024-08-21T00:00:00"/>
    <x v="1"/>
    <n v="8"/>
    <s v="agosto"/>
    <s v="T3"/>
    <s v="P010"/>
    <x v="1"/>
    <x v="1"/>
    <x v="1"/>
    <n v="1"/>
    <n v="15.83"/>
    <n v="11.71"/>
    <n v="0"/>
    <n v="15.83"/>
    <n v="11.71"/>
    <n v="4.1199999999999992"/>
    <x v="450"/>
    <x v="1"/>
    <x v="0"/>
    <s v="online"/>
  </r>
  <r>
    <s v="V00351"/>
    <d v="2025-01-15T00:00:00"/>
    <x v="0"/>
    <n v="1"/>
    <s v="enero"/>
    <s v="T1"/>
    <s v="P011"/>
    <x v="10"/>
    <x v="1"/>
    <x v="1"/>
    <n v="1"/>
    <n v="22.73"/>
    <n v="11.4"/>
    <n v="0.15"/>
    <n v="19.320499999999999"/>
    <n v="11.4"/>
    <n v="7.9204999999999988"/>
    <x v="451"/>
    <x v="0"/>
    <x v="3"/>
    <s v="online"/>
  </r>
  <r>
    <s v="V01304"/>
    <d v="2024-09-08T00:00:00"/>
    <x v="1"/>
    <n v="9"/>
    <s v="septiembre"/>
    <s v="T3"/>
    <s v="P008"/>
    <x v="4"/>
    <x v="2"/>
    <x v="0"/>
    <n v="1"/>
    <n v="108.49"/>
    <n v="57.37"/>
    <n v="0"/>
    <n v="108.49"/>
    <n v="57.37"/>
    <n v="51.12"/>
    <x v="452"/>
    <x v="0"/>
    <x v="5"/>
    <s v="tienda_fisica"/>
  </r>
  <r>
    <s v="V02000"/>
    <d v="2025-12-13T00:00:00"/>
    <x v="0"/>
    <n v="12"/>
    <s v="diciembre"/>
    <s v="T4"/>
    <s v="P012"/>
    <x v="13"/>
    <x v="1"/>
    <x v="1"/>
    <n v="2"/>
    <n v="9.26"/>
    <n v="5.81"/>
    <n v="0.13"/>
    <n v="16.112400000000001"/>
    <n v="11.62"/>
    <n v="4.4924000000000017"/>
    <x v="453"/>
    <x v="1"/>
    <x v="6"/>
    <s v="online"/>
  </r>
  <r>
    <s v="V01319"/>
    <d v="2025-08-04T00:00:00"/>
    <x v="0"/>
    <n v="8"/>
    <s v="agosto"/>
    <s v="T3"/>
    <s v="P001"/>
    <x v="9"/>
    <x v="2"/>
    <x v="3"/>
    <n v="4"/>
    <n v="116.68"/>
    <n v="84.31"/>
    <n v="0"/>
    <n v="466.72"/>
    <n v="337.24"/>
    <n v="129.48000000000002"/>
    <x v="454"/>
    <x v="1"/>
    <x v="4"/>
    <s v="tienda_fisica"/>
  </r>
  <r>
    <s v="V00440"/>
    <d v="2024-12-21T00:00:00"/>
    <x v="1"/>
    <n v="12"/>
    <s v="diciembre"/>
    <s v="T4"/>
    <s v="P012"/>
    <x v="13"/>
    <x v="1"/>
    <x v="1"/>
    <n v="4"/>
    <n v="9.34"/>
    <n v="5.81"/>
    <n v="0"/>
    <n v="37.36"/>
    <n v="23.24"/>
    <n v="14.120000000000001"/>
    <x v="455"/>
    <x v="0"/>
    <x v="6"/>
    <s v="online"/>
  </r>
  <r>
    <s v="V00691"/>
    <d v="2024-08-29T00:00:00"/>
    <x v="1"/>
    <n v="8"/>
    <s v="agosto"/>
    <s v="T3"/>
    <s v="P003"/>
    <x v="7"/>
    <x v="2"/>
    <x v="3"/>
    <n v="1"/>
    <n v="172.52"/>
    <n v="97.13"/>
    <n v="0"/>
    <n v="172.52"/>
    <n v="97.13"/>
    <n v="75.390000000000015"/>
    <x v="456"/>
    <x v="0"/>
    <x v="3"/>
    <s v="tienda_fisica"/>
  </r>
  <r>
    <s v="V01214"/>
    <d v="2025-07-19T00:00:00"/>
    <x v="0"/>
    <n v="7"/>
    <s v="julio"/>
    <s v="T3"/>
    <s v="P013"/>
    <x v="8"/>
    <x v="2"/>
    <x v="2"/>
    <n v="5"/>
    <n v="76.47"/>
    <n v="48.63"/>
    <n v="0"/>
    <n v="382.35"/>
    <n v="243.15"/>
    <n v="139.20000000000002"/>
    <x v="457"/>
    <x v="1"/>
    <x v="0"/>
    <s v="online"/>
  </r>
  <r>
    <s v="V02243"/>
    <d v="2025-10-07T00:00:00"/>
    <x v="0"/>
    <n v="10"/>
    <s v="octubre"/>
    <s v="T4"/>
    <s v="P014"/>
    <x v="16"/>
    <x v="1"/>
    <x v="2"/>
    <n v="4"/>
    <n v="14.9"/>
    <n v="9.5399999999999991"/>
    <n v="0"/>
    <n v="59.6"/>
    <n v="38.159999999999997"/>
    <n v="21.440000000000005"/>
    <x v="458"/>
    <x v="1"/>
    <x v="3"/>
    <s v="tienda_fisica"/>
  </r>
  <r>
    <s v="V01616"/>
    <d v="2025-01-19T00:00:00"/>
    <x v="0"/>
    <n v="1"/>
    <s v="enero"/>
    <s v="T1"/>
    <s v="P019"/>
    <x v="14"/>
    <x v="2"/>
    <x v="4"/>
    <n v="8"/>
    <n v="61.89"/>
    <n v="33.479999999999997"/>
    <n v="0"/>
    <n v="495.12"/>
    <n v="267.83999999999997"/>
    <n v="227.28000000000003"/>
    <x v="459"/>
    <x v="0"/>
    <x v="5"/>
    <s v="tienda_fisica"/>
  </r>
  <r>
    <s v="V01927"/>
    <d v="2025-04-20T00:00:00"/>
    <x v="0"/>
    <n v="4"/>
    <s v="abril"/>
    <s v="T2"/>
    <s v="P018"/>
    <x v="5"/>
    <x v="0"/>
    <x v="4"/>
    <n v="4"/>
    <n v="30.42"/>
    <n v="17.440000000000001"/>
    <n v="0"/>
    <n v="121.68"/>
    <n v="69.760000000000005"/>
    <n v="51.92"/>
    <x v="460"/>
    <x v="0"/>
    <x v="0"/>
    <s v="online"/>
  </r>
  <r>
    <s v="V02206"/>
    <d v="2024-11-24T00:00:00"/>
    <x v="1"/>
    <n v="11"/>
    <s v="noviembre"/>
    <s v="T4"/>
    <s v="P002"/>
    <x v="3"/>
    <x v="2"/>
    <x v="3"/>
    <n v="2"/>
    <n v="74.099999999999994"/>
    <n v="49.31"/>
    <n v="0.19"/>
    <n v="120.042"/>
    <n v="98.62"/>
    <n v="21.421999999999997"/>
    <x v="461"/>
    <x v="1"/>
    <x v="0"/>
    <s v="online"/>
  </r>
  <r>
    <s v="V00354"/>
    <d v="2025-09-21T00:00:00"/>
    <x v="0"/>
    <n v="9"/>
    <s v="septiembre"/>
    <s v="T3"/>
    <s v="P005"/>
    <x v="18"/>
    <x v="0"/>
    <x v="0"/>
    <n v="2"/>
    <n v="54.94"/>
    <n v="41.31"/>
    <n v="0"/>
    <n v="109.88"/>
    <n v="82.62"/>
    <n v="27.259999999999991"/>
    <x v="462"/>
    <x v="1"/>
    <x v="0"/>
    <s v="tienda_fisica"/>
  </r>
  <r>
    <s v="V00471"/>
    <d v="2024-11-24T00:00:00"/>
    <x v="1"/>
    <n v="11"/>
    <s v="noviembre"/>
    <s v="T4"/>
    <s v="P007"/>
    <x v="15"/>
    <x v="1"/>
    <x v="0"/>
    <n v="3"/>
    <n v="18.59"/>
    <n v="12.6"/>
    <n v="0"/>
    <n v="55.769999999999996"/>
    <n v="37.799999999999997"/>
    <n v="17.97"/>
    <x v="463"/>
    <x v="1"/>
    <x v="3"/>
    <s v="online"/>
  </r>
  <r>
    <s v="V00375"/>
    <d v="2024-04-15T00:00:00"/>
    <x v="1"/>
    <n v="4"/>
    <s v="abril"/>
    <s v="T2"/>
    <s v="P001"/>
    <x v="9"/>
    <x v="2"/>
    <x v="3"/>
    <n v="3"/>
    <n v="127.89"/>
    <n v="88.21"/>
    <n v="0"/>
    <n v="383.67"/>
    <n v="264.63"/>
    <n v="119.04000000000002"/>
    <x v="464"/>
    <x v="1"/>
    <x v="0"/>
    <s v="online"/>
  </r>
  <r>
    <s v="V00869"/>
    <d v="2024-04-28T00:00:00"/>
    <x v="1"/>
    <n v="4"/>
    <s v="abril"/>
    <s v="T2"/>
    <s v="P015"/>
    <x v="2"/>
    <x v="2"/>
    <x v="2"/>
    <n v="1"/>
    <n v="83.33"/>
    <n v="43.65"/>
    <n v="0.3"/>
    <n v="58.330999999999996"/>
    <n v="43.65"/>
    <n v="14.680999999999997"/>
    <x v="465"/>
    <x v="1"/>
    <x v="0"/>
    <s v="tienda_fisica"/>
  </r>
  <r>
    <s v="V00422"/>
    <d v="2024-09-06T00:00:00"/>
    <x v="1"/>
    <n v="9"/>
    <s v="septiembre"/>
    <s v="T3"/>
    <s v="P001"/>
    <x v="9"/>
    <x v="2"/>
    <x v="3"/>
    <n v="1"/>
    <n v="113.18"/>
    <n v="84.92"/>
    <n v="0.11"/>
    <n v="100.73020000000001"/>
    <n v="84.92"/>
    <n v="15.810200000000009"/>
    <x v="466"/>
    <x v="1"/>
    <x v="3"/>
    <s v="tienda_fisica"/>
  </r>
  <r>
    <s v="V00191"/>
    <d v="2024-08-19T00:00:00"/>
    <x v="1"/>
    <n v="8"/>
    <s v="agosto"/>
    <s v="T3"/>
    <s v="P017"/>
    <x v="17"/>
    <x v="0"/>
    <x v="4"/>
    <n v="2"/>
    <n v="46.18"/>
    <n v="23.3"/>
    <n v="0.19"/>
    <n v="74.811599999999999"/>
    <n v="46.6"/>
    <n v="28.211599999999997"/>
    <x v="467"/>
    <x v="0"/>
    <x v="1"/>
    <s v="online"/>
  </r>
  <r>
    <s v="V01295"/>
    <d v="2025-08-03T00:00:00"/>
    <x v="0"/>
    <n v="8"/>
    <s v="agosto"/>
    <s v="T3"/>
    <s v="P007"/>
    <x v="15"/>
    <x v="1"/>
    <x v="0"/>
    <n v="2"/>
    <n v="19.57"/>
    <n v="12.29"/>
    <n v="0"/>
    <n v="39.14"/>
    <n v="24.58"/>
    <n v="14.560000000000002"/>
    <x v="468"/>
    <x v="1"/>
    <x v="3"/>
    <s v="tienda_fisica"/>
  </r>
  <r>
    <s v="V01602"/>
    <d v="2025-09-27T00:00:00"/>
    <x v="0"/>
    <n v="9"/>
    <s v="septiembre"/>
    <s v="T3"/>
    <s v="P001"/>
    <x v="9"/>
    <x v="2"/>
    <x v="3"/>
    <n v="4"/>
    <n v="129.72999999999999"/>
    <n v="80.739999999999995"/>
    <n v="0"/>
    <n v="518.91999999999996"/>
    <n v="322.95999999999998"/>
    <n v="195.95999999999998"/>
    <x v="469"/>
    <x v="0"/>
    <x v="4"/>
    <s v="online"/>
  </r>
  <r>
    <s v="V02064"/>
    <d v="2024-05-02T00:00:00"/>
    <x v="1"/>
    <n v="5"/>
    <s v="mayo"/>
    <s v="T2"/>
    <s v="P018"/>
    <x v="5"/>
    <x v="0"/>
    <x v="4"/>
    <n v="8"/>
    <n v="32.270000000000003"/>
    <n v="17.77"/>
    <n v="0.13"/>
    <n v="224.59920000000002"/>
    <n v="142.16"/>
    <n v="82.439200000000028"/>
    <x v="470"/>
    <x v="1"/>
    <x v="2"/>
    <s v="tienda_fisica"/>
  </r>
  <r>
    <s v="V01193"/>
    <d v="2024-09-21T00:00:00"/>
    <x v="1"/>
    <n v="9"/>
    <s v="septiembre"/>
    <s v="T3"/>
    <s v="P019"/>
    <x v="14"/>
    <x v="0"/>
    <x v="4"/>
    <n v="5"/>
    <n v="55.13"/>
    <n v="31.97"/>
    <n v="0.17"/>
    <n v="228.7895"/>
    <n v="159.85"/>
    <n v="68.93950000000001"/>
    <x v="471"/>
    <x v="1"/>
    <x v="3"/>
    <s v="tienda_fisica"/>
  </r>
  <r>
    <s v="V01471"/>
    <d v="2024-07-19T00:00:00"/>
    <x v="1"/>
    <n v="7"/>
    <s v="julio"/>
    <s v="T3"/>
    <s v="P017"/>
    <x v="17"/>
    <x v="0"/>
    <x v="4"/>
    <n v="2"/>
    <n v="46.09"/>
    <n v="23.63"/>
    <n v="0.22"/>
    <n v="71.900400000000005"/>
    <n v="47.26"/>
    <n v="24.640400000000007"/>
    <x v="472"/>
    <x v="1"/>
    <x v="5"/>
    <s v=" tienda_fisica"/>
  </r>
  <r>
    <s v="V00821"/>
    <d v="2024-06-24T00:00:00"/>
    <x v="1"/>
    <n v="6"/>
    <s v="junio"/>
    <s v="T2"/>
    <s v="P001"/>
    <x v="9"/>
    <x v="2"/>
    <x v="3"/>
    <n v="2"/>
    <n v="114.94"/>
    <n v="83.62"/>
    <n v="0"/>
    <n v="229.88"/>
    <n v="167.24"/>
    <n v="62.639999999999986"/>
    <x v="473"/>
    <x v="1"/>
    <x v="3"/>
    <s v="tienda_fisica"/>
  </r>
  <r>
    <s v="V01276"/>
    <d v="2024-09-26T00:00:00"/>
    <x v="1"/>
    <n v="9"/>
    <s v="septiembre"/>
    <s v="T3"/>
    <s v="P017"/>
    <x v="17"/>
    <x v="0"/>
    <x v="4"/>
    <n v="4"/>
    <n v="46.38"/>
    <n v="22.07"/>
    <n v="0"/>
    <n v="185.52"/>
    <n v="88.28"/>
    <n v="97.240000000000009"/>
    <x v="474"/>
    <x v="0"/>
    <x v="3"/>
    <s v="online"/>
  </r>
  <r>
    <s v="V00143"/>
    <d v="2024-02-23T00:00:00"/>
    <x v="1"/>
    <n v="2"/>
    <s v="febrero"/>
    <s v="T1"/>
    <s v="P009"/>
    <x v="12"/>
    <x v="1"/>
    <x v="1"/>
    <n v="3"/>
    <n v="8.2799999999999994"/>
    <n v="4.47"/>
    <n v="0"/>
    <n v="24.839999999999996"/>
    <n v="13.41"/>
    <n v="11.429999999999996"/>
    <x v="475"/>
    <x v="0"/>
    <x v="4"/>
    <s v="tienda_fisica"/>
  </r>
  <r>
    <s v="V00588"/>
    <d v="2025-04-01T00:00:00"/>
    <x v="0"/>
    <n v="4"/>
    <s v="abril"/>
    <s v="T2"/>
    <s v="P009"/>
    <x v="12"/>
    <x v="1"/>
    <x v="1"/>
    <n v="1"/>
    <n v="7.41"/>
    <n v="4.25"/>
    <n v="0"/>
    <n v="7.41"/>
    <n v="4.25"/>
    <n v="3.16"/>
    <x v="476"/>
    <x v="0"/>
    <x v="3"/>
    <s v="tienda_fisica"/>
  </r>
  <r>
    <s v="V00362"/>
    <d v="2024-07-25T00:00:00"/>
    <x v="1"/>
    <n v="7"/>
    <s v="julio"/>
    <s v="T3"/>
    <s v="P017"/>
    <x v="17"/>
    <x v="0"/>
    <x v="4"/>
    <n v="1"/>
    <n v="52.57"/>
    <n v="23.12"/>
    <n v="0"/>
    <n v="52.57"/>
    <n v="23.12"/>
    <n v="29.45"/>
    <x v="477"/>
    <x v="0"/>
    <x v="3"/>
    <s v="online"/>
  </r>
  <r>
    <s v="V01543"/>
    <d v="2024-05-07T00:00:00"/>
    <x v="1"/>
    <n v="5"/>
    <s v="mayo"/>
    <s v="T2"/>
    <s v="P020"/>
    <x v="19"/>
    <x v="2"/>
    <x v="4"/>
    <n v="1"/>
    <n v="62.7"/>
    <n v="34.43"/>
    <n v="0"/>
    <n v="62.7"/>
    <n v="34.43"/>
    <n v="28.270000000000003"/>
    <x v="478"/>
    <x v="0"/>
    <x v="4"/>
    <s v="online"/>
  </r>
  <r>
    <s v="V01412"/>
    <d v="2024-10-31T00:00:00"/>
    <x v="1"/>
    <n v="10"/>
    <s v="octubre"/>
    <s v="T4"/>
    <s v="P001"/>
    <x v="9"/>
    <x v="2"/>
    <x v="3"/>
    <n v="1"/>
    <n v="130.6"/>
    <n v="87.58"/>
    <n v="0"/>
    <n v="130.6"/>
    <n v="87.58"/>
    <n v="43.019999999999996"/>
    <x v="479"/>
    <x v="1"/>
    <x v="2"/>
    <s v="tienda_fisica"/>
  </r>
  <r>
    <s v="V00752"/>
    <d v="2024-08-27T00:00:00"/>
    <x v="1"/>
    <n v="8"/>
    <s v="agosto"/>
    <s v="T3"/>
    <s v="P020"/>
    <x v="19"/>
    <x v="2"/>
    <x v="4"/>
    <n v="6"/>
    <n v="61.98"/>
    <n v="34.5"/>
    <n v="0"/>
    <n v="371.88"/>
    <n v="207"/>
    <n v="164.88"/>
    <x v="480"/>
    <x v="0"/>
    <x v="3"/>
    <s v="online"/>
  </r>
  <r>
    <s v="V01345"/>
    <d v="2024-10-16T00:00:00"/>
    <x v="1"/>
    <n v="10"/>
    <s v="octubre"/>
    <s v="T4"/>
    <s v="P013"/>
    <x v="8"/>
    <x v="2"/>
    <x v="2"/>
    <n v="3"/>
    <n v="82.71"/>
    <n v="48.27"/>
    <n v="0"/>
    <n v="248.13"/>
    <n v="144.81"/>
    <n v="103.32"/>
    <x v="481"/>
    <x v="0"/>
    <x v="4"/>
    <s v="online"/>
  </r>
  <r>
    <s v="V01776"/>
    <d v="2025-10-16T00:00:00"/>
    <x v="0"/>
    <n v="10"/>
    <s v="octubre"/>
    <s v="T4"/>
    <s v="P017"/>
    <x v="17"/>
    <x v="0"/>
    <x v="4"/>
    <n v="6"/>
    <n v="45.5"/>
    <n v="22.63"/>
    <n v="0"/>
    <n v="273"/>
    <n v="135.78"/>
    <n v="137.22"/>
    <x v="482"/>
    <x v="0"/>
    <x v="0"/>
    <s v="online"/>
  </r>
  <r>
    <s v="V00718"/>
    <d v="2025-10-07T00:00:00"/>
    <x v="0"/>
    <n v="10"/>
    <s v="octubre"/>
    <s v="T4"/>
    <s v="P014"/>
    <x v="16"/>
    <x v="1"/>
    <x v="2"/>
    <n v="2"/>
    <n v="13.47"/>
    <n v="9.76"/>
    <n v="0"/>
    <n v="26.94"/>
    <n v="19.52"/>
    <n v="7.4200000000000017"/>
    <x v="483"/>
    <x v="1"/>
    <x v="0"/>
    <s v="online"/>
  </r>
  <r>
    <s v="V01442"/>
    <d v="2024-04-25T00:00:00"/>
    <x v="1"/>
    <n v="4"/>
    <s v="abril"/>
    <s v="T2"/>
    <s v="P001"/>
    <x v="9"/>
    <x v="2"/>
    <x v="3"/>
    <n v="3"/>
    <n v="128.28"/>
    <n v="82.79"/>
    <n v="0"/>
    <n v="384.84000000000003"/>
    <n v="248.37"/>
    <n v="136.47000000000003"/>
    <x v="484"/>
    <x v="1"/>
    <x v="0"/>
    <s v="online"/>
  </r>
  <r>
    <s v="V00956"/>
    <d v="2024-02-27T00:00:00"/>
    <x v="1"/>
    <n v="2"/>
    <s v="febrero"/>
    <s v="T1"/>
    <s v="P008"/>
    <x v="4"/>
    <x v="2"/>
    <x v="0"/>
    <n v="5"/>
    <n v="106.45"/>
    <n v="58.6"/>
    <n v="0"/>
    <n v="532.25"/>
    <n v="293"/>
    <n v="239.25"/>
    <x v="485"/>
    <x v="0"/>
    <x v="2"/>
    <s v="online"/>
  </r>
  <r>
    <s v="V00186"/>
    <d v="2025-01-20T00:00:00"/>
    <x v="0"/>
    <n v="1"/>
    <s v="enero"/>
    <s v="T1"/>
    <s v="P017"/>
    <x v="17"/>
    <x v="0"/>
    <x v="4"/>
    <n v="2"/>
    <n v="51.07"/>
    <n v="23.02"/>
    <n v="0"/>
    <n v="102.14"/>
    <n v="46.04"/>
    <n v="56.1"/>
    <x v="486"/>
    <x v="0"/>
    <x v="3"/>
    <s v="online"/>
  </r>
  <r>
    <s v="V01236"/>
    <d v="2025-05-14T00:00:00"/>
    <x v="0"/>
    <n v="5"/>
    <s v="mayo"/>
    <s v="T2"/>
    <s v="P006"/>
    <x v="0"/>
    <x v="0"/>
    <x v="0"/>
    <n v="3"/>
    <n v="44.32"/>
    <n v="27.32"/>
    <n v="0"/>
    <n v="132.96"/>
    <n v="81.960000000000008"/>
    <n v="51"/>
    <x v="487"/>
    <x v="0"/>
    <x v="3"/>
    <s v="tienda_fisica"/>
  </r>
  <r>
    <s v="V01038"/>
    <d v="2025-01-03T00:00:00"/>
    <x v="0"/>
    <n v="1"/>
    <s v="enero"/>
    <s v="T1"/>
    <s v="P014"/>
    <x v="16"/>
    <x v="1"/>
    <x v="2"/>
    <n v="1"/>
    <n v="14.38"/>
    <n v="9.6199999999999992"/>
    <n v="0"/>
    <n v="14.38"/>
    <n v="9.6199999999999992"/>
    <n v="4.7600000000000016"/>
    <x v="488"/>
    <x v="1"/>
    <x v="3"/>
    <s v="online"/>
  </r>
  <r>
    <s v="V02049"/>
    <d v="2024-12-23T00:00:00"/>
    <x v="1"/>
    <n v="12"/>
    <s v="diciembre"/>
    <s v="T4"/>
    <s v="P011"/>
    <x v="10"/>
    <x v="1"/>
    <x v="1"/>
    <n v="3"/>
    <n v="22.53"/>
    <n v="11.81"/>
    <n v="0"/>
    <n v="67.59"/>
    <n v="35.43"/>
    <n v="32.160000000000004"/>
    <x v="489"/>
    <x v="0"/>
    <x v="3"/>
    <s v="tienda_fisica"/>
  </r>
  <r>
    <s v="V00161"/>
    <d v="2025-09-18T00:00:00"/>
    <x v="0"/>
    <n v="9"/>
    <s v="septiembre"/>
    <s v="T3"/>
    <s v="P007"/>
    <x v="15"/>
    <x v="1"/>
    <x v="0"/>
    <n v="3"/>
    <n v="20.97"/>
    <n v="12.84"/>
    <n v="0"/>
    <n v="62.91"/>
    <n v="38.519999999999996"/>
    <n v="24.39"/>
    <x v="490"/>
    <x v="0"/>
    <x v="3"/>
    <s v="tienda_fisica"/>
  </r>
  <r>
    <s v="V00738"/>
    <d v="2025-04-13T00:00:00"/>
    <x v="0"/>
    <n v="4"/>
    <s v="abril"/>
    <s v="T2"/>
    <s v="P015"/>
    <x v="2"/>
    <x v="2"/>
    <x v="2"/>
    <n v="4"/>
    <n v="72.84"/>
    <n v="43.06"/>
    <n v="0"/>
    <n v="291.36"/>
    <n v="172.24"/>
    <n v="119.12"/>
    <x v="491"/>
    <x v="0"/>
    <x v="6"/>
    <s v="tienda_fisica"/>
  </r>
  <r>
    <s v="V00670"/>
    <d v="2024-12-25T00:00:00"/>
    <x v="1"/>
    <n v="12"/>
    <s v="diciembre"/>
    <s v="T4"/>
    <s v="P014"/>
    <x v="16"/>
    <x v="1"/>
    <x v="2"/>
    <n v="1"/>
    <n v="13.15"/>
    <n v="9.76"/>
    <n v="0"/>
    <n v="13.15"/>
    <n v="9.76"/>
    <n v="3.3900000000000006"/>
    <x v="492"/>
    <x v="1"/>
    <x v="3"/>
    <s v="online"/>
  </r>
  <r>
    <s v="V01059"/>
    <d v="2025-03-31T00:00:00"/>
    <x v="0"/>
    <n v="3"/>
    <s v="marzo"/>
    <s v="T1"/>
    <s v="P020"/>
    <x v="19"/>
    <x v="2"/>
    <x v="4"/>
    <n v="5"/>
    <n v="64.97"/>
    <n v="33.299999999999997"/>
    <n v="0"/>
    <n v="324.85000000000002"/>
    <n v="166.5"/>
    <n v="158.35000000000002"/>
    <x v="493"/>
    <x v="0"/>
    <x v="3"/>
    <s v="tienda_fisica"/>
  </r>
  <r>
    <s v="V00638"/>
    <d v="2024-07-23T00:00:00"/>
    <x v="1"/>
    <n v="7"/>
    <s v="julio"/>
    <s v="T3"/>
    <s v="P005"/>
    <x v="18"/>
    <x v="2"/>
    <x v="0"/>
    <n v="3"/>
    <n v="62.78"/>
    <n v="42.55"/>
    <n v="0"/>
    <n v="188.34"/>
    <n v="127.64999999999999"/>
    <n v="60.690000000000012"/>
    <x v="494"/>
    <x v="1"/>
    <x v="3"/>
    <s v="online"/>
  </r>
  <r>
    <s v="V00862"/>
    <d v="2025-11-12T00:00:00"/>
    <x v="0"/>
    <n v="11"/>
    <s v="noviembre"/>
    <s v="T4"/>
    <s v="P001"/>
    <x v="9"/>
    <x v="2"/>
    <x v="3"/>
    <n v="1"/>
    <n v="112.56"/>
    <n v="85.18"/>
    <n v="0"/>
    <n v="112.56"/>
    <n v="85.18"/>
    <n v="27.379999999999995"/>
    <x v="495"/>
    <x v="1"/>
    <x v="4"/>
    <s v="tienda_fisica"/>
  </r>
  <r>
    <s v="V00264"/>
    <d v="2025-03-25T00:00:00"/>
    <x v="0"/>
    <n v="3"/>
    <s v="marzo"/>
    <s v="T1"/>
    <s v="P003"/>
    <x v="7"/>
    <x v="2"/>
    <x v="3"/>
    <n v="5"/>
    <n v="177.72"/>
    <n v="95.23"/>
    <n v="0"/>
    <n v="888.6"/>
    <n v="476.15000000000003"/>
    <n v="412.45"/>
    <x v="496"/>
    <x v="0"/>
    <x v="5"/>
    <s v="online"/>
  </r>
  <r>
    <s v="V00369"/>
    <d v="2025-12-01T00:00:00"/>
    <x v="0"/>
    <n v="12"/>
    <s v="diciembre"/>
    <s v="T4"/>
    <s v="P001"/>
    <x v="9"/>
    <x v="2"/>
    <x v="3"/>
    <n v="3"/>
    <n v="121.03"/>
    <n v="80.63"/>
    <n v="0"/>
    <n v="363.09000000000003"/>
    <n v="241.89"/>
    <n v="121.20000000000005"/>
    <x v="497"/>
    <x v="1"/>
    <x v="5"/>
    <s v="tienda_fisica"/>
  </r>
  <r>
    <s v="V02265"/>
    <d v="2024-03-13T00:00:00"/>
    <x v="1"/>
    <n v="3"/>
    <s v="marzo"/>
    <s v="T1"/>
    <s v="P019"/>
    <x v="14"/>
    <x v="2"/>
    <x v="4"/>
    <n v="1"/>
    <n v="59.38"/>
    <n v="31.54"/>
    <n v="0"/>
    <n v="59.38"/>
    <n v="31.54"/>
    <n v="27.840000000000003"/>
    <x v="498"/>
    <x v="0"/>
    <x v="3"/>
    <s v="online"/>
  </r>
  <r>
    <s v="V01115"/>
    <d v="2024-10-19T00:00:00"/>
    <x v="1"/>
    <n v="10"/>
    <s v="octubre"/>
    <s v="T4"/>
    <s v="P014"/>
    <x v="16"/>
    <x v="1"/>
    <x v="2"/>
    <n v="1"/>
    <n v="14.8"/>
    <n v="9.8000000000000007"/>
    <n v="0"/>
    <n v="14.8"/>
    <n v="9.8000000000000007"/>
    <n v="5"/>
    <x v="499"/>
    <x v="1"/>
    <x v="3"/>
    <s v="online"/>
  </r>
  <r>
    <s v="V00518"/>
    <d v="2024-01-16T00:00:00"/>
    <x v="1"/>
    <n v="1"/>
    <s v="enero"/>
    <s v="T1"/>
    <s v="P014"/>
    <x v="16"/>
    <x v="1"/>
    <x v="2"/>
    <n v="1"/>
    <n v="13.42"/>
    <n v="9.3000000000000007"/>
    <n v="0.28999999999999998"/>
    <n v="9.5282"/>
    <n v="9.3000000000000007"/>
    <n v="0.22819999999999929"/>
    <x v="500"/>
    <x v="1"/>
    <x v="6"/>
    <s v="tienda_fisica"/>
  </r>
  <r>
    <s v="V00682"/>
    <d v="2024-07-25T00:00:00"/>
    <x v="1"/>
    <n v="7"/>
    <s v="julio"/>
    <s v="T3"/>
    <s v="P002"/>
    <x v="3"/>
    <x v="2"/>
    <x v="3"/>
    <n v="1"/>
    <n v="75.67"/>
    <n v="45.7"/>
    <n v="0"/>
    <n v="75.67"/>
    <n v="45.7"/>
    <n v="29.97"/>
    <x v="501"/>
    <x v="0"/>
    <x v="3"/>
    <s v="online"/>
  </r>
  <r>
    <s v="V01294"/>
    <d v="2025-08-10T00:00:00"/>
    <x v="0"/>
    <n v="8"/>
    <s v="agosto"/>
    <s v="T3"/>
    <s v="P015"/>
    <x v="2"/>
    <x v="2"/>
    <x v="2"/>
    <n v="2"/>
    <n v="80.84"/>
    <n v="42.5"/>
    <n v="0"/>
    <n v="161.68"/>
    <n v="85"/>
    <n v="76.680000000000007"/>
    <x v="502"/>
    <x v="0"/>
    <x v="5"/>
    <s v="online"/>
  </r>
  <r>
    <s v="V00428"/>
    <d v="2025-12-15T00:00:00"/>
    <x v="0"/>
    <n v="12"/>
    <s v="diciembre"/>
    <s v="T4"/>
    <s v="P002"/>
    <x v="3"/>
    <x v="2"/>
    <x v="3"/>
    <n v="7"/>
    <n v="72.400000000000006"/>
    <n v="47.65"/>
    <n v="0"/>
    <n v="506.80000000000007"/>
    <n v="333.55"/>
    <n v="173.25000000000006"/>
    <x v="503"/>
    <x v="1"/>
    <x v="0"/>
    <s v="online"/>
  </r>
  <r>
    <s v="V01261"/>
    <d v="2025-01-03T00:00:00"/>
    <x v="0"/>
    <n v="1"/>
    <s v="enero"/>
    <s v="T1"/>
    <s v="P017"/>
    <x v="17"/>
    <x v="0"/>
    <x v="4"/>
    <n v="2"/>
    <n v="52.97"/>
    <n v="21.78"/>
    <n v="0"/>
    <n v="105.94"/>
    <n v="43.56"/>
    <n v="62.379999999999995"/>
    <x v="504"/>
    <x v="0"/>
    <x v="0"/>
    <s v="tienda_fisica"/>
  </r>
  <r>
    <s v="V00148"/>
    <d v="2025-07-02T00:00:00"/>
    <x v="0"/>
    <n v="7"/>
    <s v="julio"/>
    <s v="T3"/>
    <s v="P020"/>
    <x v="19"/>
    <x v="2"/>
    <x v="4"/>
    <n v="1"/>
    <n v="59.64"/>
    <n v="34.17"/>
    <n v="0"/>
    <n v="59.64"/>
    <n v="34.17"/>
    <n v="25.47"/>
    <x v="505"/>
    <x v="0"/>
    <x v="3"/>
    <s v="tienda_fisica"/>
  </r>
  <r>
    <s v="V00399"/>
    <d v="2025-10-03T00:00:00"/>
    <x v="0"/>
    <n v="10"/>
    <s v="octubre"/>
    <s v="T4"/>
    <s v="P001"/>
    <x v="9"/>
    <x v="2"/>
    <x v="3"/>
    <n v="6"/>
    <n v="120.71"/>
    <n v="80.97"/>
    <n v="0"/>
    <n v="724.26"/>
    <n v="485.82"/>
    <n v="238.44"/>
    <x v="506"/>
    <x v="1"/>
    <x v="3"/>
    <s v="tienda_fisica"/>
  </r>
  <r>
    <s v="V01664"/>
    <d v="2024-07-01T00:00:00"/>
    <x v="1"/>
    <n v="7"/>
    <s v="julio"/>
    <s v="T3"/>
    <s v="P016"/>
    <x v="11"/>
    <x v="2"/>
    <x v="2"/>
    <n v="1"/>
    <n v="77.650000000000006"/>
    <n v="41.38"/>
    <n v="0"/>
    <n v="77.650000000000006"/>
    <n v="41.38"/>
    <n v="36.270000000000003"/>
    <x v="507"/>
    <x v="0"/>
    <x v="5"/>
    <s v="online"/>
  </r>
  <r>
    <s v="V02194"/>
    <d v="2024-08-01T00:00:00"/>
    <x v="1"/>
    <n v="8"/>
    <s v="agosto"/>
    <s v="T3"/>
    <s v="P007"/>
    <x v="15"/>
    <x v="1"/>
    <x v="0"/>
    <n v="3"/>
    <n v="19.63"/>
    <n v="12.38"/>
    <n v="0"/>
    <n v="58.89"/>
    <n v="37.14"/>
    <n v="21.75"/>
    <x v="508"/>
    <x v="1"/>
    <x v="5"/>
    <s v="tienda_fisica"/>
  </r>
  <r>
    <s v="V02202"/>
    <d v="2025-02-07T00:00:00"/>
    <x v="0"/>
    <n v="2"/>
    <s v="febrero"/>
    <s v="T1"/>
    <s v="P014"/>
    <x v="16"/>
    <x v="1"/>
    <x v="2"/>
    <n v="1"/>
    <n v="12.96"/>
    <n v="9.98"/>
    <n v="0"/>
    <n v="12.96"/>
    <n v="9.98"/>
    <n v="2.9800000000000004"/>
    <x v="509"/>
    <x v="1"/>
    <x v="3"/>
    <s v="tienda_fisica"/>
  </r>
  <r>
    <s v="V01771"/>
    <d v="2024-11-22T00:00:00"/>
    <x v="1"/>
    <n v="11"/>
    <s v="noviembre"/>
    <s v="T4"/>
    <s v="P010"/>
    <x v="1"/>
    <x v="1"/>
    <x v="1"/>
    <n v="3"/>
    <n v="16.14"/>
    <n v="11.15"/>
    <n v="0"/>
    <n v="48.42"/>
    <n v="33.450000000000003"/>
    <n v="14.969999999999999"/>
    <x v="510"/>
    <x v="1"/>
    <x v="1"/>
    <s v="online"/>
  </r>
  <r>
    <s v="V01152"/>
    <d v="2024-12-19T00:00:00"/>
    <x v="1"/>
    <n v="12"/>
    <s v="diciembre"/>
    <s v="T4"/>
    <s v="P008"/>
    <x v="4"/>
    <x v="2"/>
    <x v="0"/>
    <n v="1"/>
    <n v="108.66"/>
    <n v="141.26"/>
    <n v="0"/>
    <n v="108.66"/>
    <n v="141.26"/>
    <n v="-32.599999999999994"/>
    <x v="511"/>
    <x v="1"/>
    <x v="4"/>
    <s v="tienda_fisica"/>
  </r>
  <r>
    <s v="V00859"/>
    <d v="2024-07-21T00:00:00"/>
    <x v="1"/>
    <n v="7"/>
    <s v="julio"/>
    <s v="T3"/>
    <s v="P005"/>
    <x v="18"/>
    <x v="0"/>
    <x v="0"/>
    <n v="1"/>
    <n v="56.93"/>
    <n v="39.94"/>
    <n v="0"/>
    <n v="56.93"/>
    <n v="39.94"/>
    <n v="16.990000000000002"/>
    <x v="512"/>
    <x v="1"/>
    <x v="0"/>
    <s v="tienda_fisica"/>
  </r>
  <r>
    <s v="V00381"/>
    <d v="2025-07-20T00:00:00"/>
    <x v="0"/>
    <n v="7"/>
    <s v="julio"/>
    <s v="T3"/>
    <s v="P002"/>
    <x v="3"/>
    <x v="2"/>
    <x v="3"/>
    <n v="3"/>
    <n v="78.77"/>
    <n v="45.71"/>
    <n v="0"/>
    <n v="236.31"/>
    <n v="137.13"/>
    <n v="99.18"/>
    <x v="513"/>
    <x v="0"/>
    <x v="6"/>
    <s v="tienda_fisica"/>
  </r>
  <r>
    <s v="V01068"/>
    <d v="2024-03-29T00:00:00"/>
    <x v="1"/>
    <n v="3"/>
    <s v="marzo"/>
    <s v="T1"/>
    <s v="P007"/>
    <x v="15"/>
    <x v="1"/>
    <x v="0"/>
    <n v="4"/>
    <n v="20.83"/>
    <n v="13.41"/>
    <n v="0"/>
    <n v="83.32"/>
    <n v="53.64"/>
    <n v="29.679999999999993"/>
    <x v="514"/>
    <x v="1"/>
    <x v="4"/>
    <s v="tienda_fisica"/>
  </r>
  <r>
    <s v="V00548"/>
    <d v="2024-11-24T00:00:00"/>
    <x v="1"/>
    <n v="11"/>
    <s v="noviembre"/>
    <s v="T4"/>
    <s v="P007"/>
    <x v="15"/>
    <x v="1"/>
    <x v="0"/>
    <n v="3"/>
    <n v="20.39"/>
    <n v="12.61"/>
    <n v="0"/>
    <n v="61.17"/>
    <n v="37.83"/>
    <n v="23.340000000000003"/>
    <x v="515"/>
    <x v="0"/>
    <x v="3"/>
    <s v="online"/>
  </r>
  <r>
    <s v="V01140"/>
    <d v="2025-12-20T00:00:00"/>
    <x v="0"/>
    <n v="12"/>
    <s v="diciembre"/>
    <s v="T4"/>
    <s v="P010"/>
    <x v="1"/>
    <x v="1"/>
    <x v="1"/>
    <n v="1"/>
    <n v="16.059999999999999"/>
    <n v="11.29"/>
    <n v="0"/>
    <n v="16.059999999999999"/>
    <n v="11.29"/>
    <n v="4.7699999999999996"/>
    <x v="516"/>
    <x v="1"/>
    <x v="0"/>
    <s v="online"/>
  </r>
  <r>
    <s v="V00639"/>
    <d v="2025-04-19T00:00:00"/>
    <x v="0"/>
    <n v="4"/>
    <s v="abril"/>
    <s v="T2"/>
    <s v="P018"/>
    <x v="5"/>
    <x v="0"/>
    <x v="4"/>
    <n v="1"/>
    <n v="31.61"/>
    <n v="17.55"/>
    <n v="0.22"/>
    <n v="24.655799999999999"/>
    <n v="17.55"/>
    <n v="7.1057999999999986"/>
    <x v="517"/>
    <x v="1"/>
    <x v="3"/>
    <s v="tienda_fisica"/>
  </r>
  <r>
    <s v="V01418"/>
    <d v="2025-07-07T00:00:00"/>
    <x v="0"/>
    <n v="7"/>
    <s v="julio"/>
    <s v="T3"/>
    <s v="P018"/>
    <x v="5"/>
    <x v="0"/>
    <x v="4"/>
    <n v="2"/>
    <n v="30.91"/>
    <n v="17.25"/>
    <n v="0"/>
    <n v="61.82"/>
    <n v="34.5"/>
    <n v="27.32"/>
    <x v="518"/>
    <x v="0"/>
    <x v="3"/>
    <s v="tienda_fisica"/>
  </r>
  <r>
    <s v="V01445"/>
    <d v="2025-10-02T00:00:00"/>
    <x v="0"/>
    <n v="10"/>
    <s v="octubre"/>
    <s v="T4"/>
    <s v="P014"/>
    <x v="16"/>
    <x v="1"/>
    <x v="2"/>
    <n v="1"/>
    <n v="13.94"/>
    <n v="9.94"/>
    <n v="0"/>
    <n v="13.94"/>
    <n v="9.94"/>
    <n v="4"/>
    <x v="519"/>
    <x v="1"/>
    <x v="3"/>
    <s v="online"/>
  </r>
  <r>
    <s v="V01976"/>
    <d v="2024-02-13T00:00:00"/>
    <x v="1"/>
    <n v="2"/>
    <s v="febrero"/>
    <s v="T1"/>
    <s v="P006"/>
    <x v="0"/>
    <x v="0"/>
    <x v="0"/>
    <n v="4"/>
    <n v="43.18"/>
    <n v="27.08"/>
    <n v="0"/>
    <n v="172.72"/>
    <n v="108.32"/>
    <n v="64.400000000000006"/>
    <x v="520"/>
    <x v="1"/>
    <x v="0"/>
    <s v="online"/>
  </r>
  <r>
    <s v="V02279"/>
    <d v="2025-09-11T00:00:00"/>
    <x v="0"/>
    <n v="9"/>
    <s v="septiembre"/>
    <s v="T3"/>
    <s v="P002"/>
    <x v="3"/>
    <x v="2"/>
    <x v="3"/>
    <n v="2"/>
    <n v="76.5"/>
    <n v="48.68"/>
    <n v="0"/>
    <n v="153"/>
    <n v="97.36"/>
    <n v="55.64"/>
    <x v="521"/>
    <x v="1"/>
    <x v="2"/>
    <s v="tienda_fisica"/>
  </r>
  <r>
    <s v="V00688"/>
    <d v="2025-01-06T00:00:00"/>
    <x v="0"/>
    <n v="1"/>
    <s v="enero"/>
    <s v="T1"/>
    <s v="P005"/>
    <x v="18"/>
    <x v="2"/>
    <x v="0"/>
    <n v="2"/>
    <n v="63.54"/>
    <n v="39.25"/>
    <n v="0"/>
    <n v="127.08"/>
    <n v="78.5"/>
    <n v="48.58"/>
    <x v="522"/>
    <x v="0"/>
    <x v="0"/>
    <s v="online"/>
  </r>
  <r>
    <s v="V00931"/>
    <d v="2024-01-23T00:00:00"/>
    <x v="1"/>
    <n v="1"/>
    <s v="enero"/>
    <s v="T1"/>
    <s v="P017"/>
    <x v="17"/>
    <x v="0"/>
    <x v="4"/>
    <n v="7"/>
    <n v="49.59"/>
    <n v="22.72"/>
    <n v="0.16"/>
    <n v="291.58920000000001"/>
    <n v="159.04"/>
    <n v="132.54920000000001"/>
    <x v="523"/>
    <x v="0"/>
    <x v="3"/>
    <s v="online"/>
  </r>
  <r>
    <s v="V00640"/>
    <d v="2025-03-03T00:00:00"/>
    <x v="0"/>
    <n v="3"/>
    <s v="marzo"/>
    <s v="T1"/>
    <s v="P010"/>
    <x v="1"/>
    <x v="1"/>
    <x v="1"/>
    <n v="6"/>
    <n v="17.57"/>
    <n v="11.55"/>
    <n v="0"/>
    <n v="105.42"/>
    <n v="69.300000000000011"/>
    <n v="36.11999999999999"/>
    <x v="524"/>
    <x v="1"/>
    <x v="3"/>
    <s v="tienda_fisica"/>
  </r>
  <r>
    <s v="V01710"/>
    <d v="2025-07-25T00:00:00"/>
    <x v="0"/>
    <n v="7"/>
    <s v="julio"/>
    <s v="T3"/>
    <s v="P001"/>
    <x v="9"/>
    <x v="2"/>
    <x v="3"/>
    <n v="1"/>
    <n v="112.59"/>
    <n v="85.7"/>
    <n v="0"/>
    <n v="112.59"/>
    <n v="85.7"/>
    <n v="26.89"/>
    <x v="525"/>
    <x v="1"/>
    <x v="4"/>
    <s v="tienda_fisica"/>
  </r>
  <r>
    <s v="V02236"/>
    <d v="2024-11-30T00:00:00"/>
    <x v="1"/>
    <n v="11"/>
    <s v="noviembre"/>
    <s v="T4"/>
    <s v="P008"/>
    <x v="4"/>
    <x v="2"/>
    <x v="0"/>
    <n v="4"/>
    <n v="99.05"/>
    <n v="59.05"/>
    <n v="0"/>
    <n v="396.2"/>
    <n v="236.2"/>
    <n v="160"/>
    <x v="526"/>
    <x v="0"/>
    <x v="3"/>
    <s v="tienda_fisica"/>
  </r>
  <r>
    <s v="V01795"/>
    <d v="2024-09-16T00:00:00"/>
    <x v="1"/>
    <n v="9"/>
    <s v="septiembre"/>
    <s v="T3"/>
    <s v="P005"/>
    <x v="18"/>
    <x v="2"/>
    <x v="0"/>
    <n v="1"/>
    <n v="60.61"/>
    <n v="42.19"/>
    <n v="0"/>
    <n v="60.61"/>
    <n v="42.19"/>
    <n v="18.420000000000002"/>
    <x v="527"/>
    <x v="1"/>
    <x v="3"/>
    <s v="online"/>
  </r>
  <r>
    <s v="V00144"/>
    <d v="2024-10-06T00:00:00"/>
    <x v="1"/>
    <n v="10"/>
    <s v="octubre"/>
    <s v="T4"/>
    <s v="P006"/>
    <x v="0"/>
    <x v="0"/>
    <x v="0"/>
    <n v="10"/>
    <n v="46.08"/>
    <n v="26.63"/>
    <n v="0"/>
    <n v="460.79999999999995"/>
    <n v="266.3"/>
    <n v="194.49999999999994"/>
    <x v="528"/>
    <x v="0"/>
    <x v="0"/>
    <s v="tienda_fisica"/>
  </r>
  <r>
    <s v="V00805"/>
    <d v="2025-05-15T00:00:00"/>
    <x v="0"/>
    <n v="5"/>
    <s v="mayo"/>
    <s v="T2"/>
    <s v="P019"/>
    <x v="14"/>
    <x v="0"/>
    <x v="4"/>
    <n v="2"/>
    <n v="55.28"/>
    <n v="32.71"/>
    <n v="0"/>
    <n v="110.56"/>
    <n v="65.42"/>
    <n v="45.14"/>
    <x v="529"/>
    <x v="0"/>
    <x v="3"/>
    <s v="online"/>
  </r>
  <r>
    <s v="V00719"/>
    <d v="2024-03-26T00:00:00"/>
    <x v="1"/>
    <n v="3"/>
    <s v="marzo"/>
    <s v="T1"/>
    <s v="P017"/>
    <x v="17"/>
    <x v="0"/>
    <x v="4"/>
    <n v="1"/>
    <n v="52.51"/>
    <n v="23.46"/>
    <n v="0"/>
    <n v="52.51"/>
    <n v="23.46"/>
    <n v="29.049999999999997"/>
    <x v="530"/>
    <x v="0"/>
    <x v="3"/>
    <s v="tienda_fisica"/>
  </r>
  <r>
    <s v="V02272"/>
    <d v="2025-05-08T00:00:00"/>
    <x v="0"/>
    <n v="5"/>
    <s v="mayo"/>
    <s v="T2"/>
    <s v="P007"/>
    <x v="15"/>
    <x v="1"/>
    <x v="0"/>
    <n v="2"/>
    <n v="19.84"/>
    <n v="12.9"/>
    <n v="0"/>
    <n v="39.68"/>
    <n v="25.8"/>
    <n v="13.879999999999999"/>
    <x v="531"/>
    <x v="1"/>
    <x v="4"/>
    <s v="online"/>
  </r>
  <r>
    <s v="V00431"/>
    <d v="2025-01-05T00:00:00"/>
    <x v="0"/>
    <n v="1"/>
    <s v="enero"/>
    <s v="T1"/>
    <s v="P014"/>
    <x v="16"/>
    <x v="1"/>
    <x v="2"/>
    <n v="3"/>
    <n v="14.17"/>
    <n v="9.64"/>
    <n v="0"/>
    <n v="42.51"/>
    <n v="28.92"/>
    <n v="13.589999999999996"/>
    <x v="532"/>
    <x v="1"/>
    <x v="3"/>
    <s v="tienda_fisica"/>
  </r>
  <r>
    <s v="V01051"/>
    <d v="2024-12-07T00:00:00"/>
    <x v="1"/>
    <n v="12"/>
    <s v="diciembre"/>
    <s v="T4"/>
    <s v="P004"/>
    <x v="6"/>
    <x v="2"/>
    <x v="3"/>
    <n v="3"/>
    <n v="171.24"/>
    <n v="105.86"/>
    <n v="0"/>
    <n v="513.72"/>
    <n v="317.58"/>
    <n v="196.14000000000004"/>
    <x v="533"/>
    <x v="0"/>
    <x v="4"/>
    <s v="tienda_fisica"/>
  </r>
  <r>
    <s v="V01123"/>
    <d v="2025-10-11T00:00:00"/>
    <x v="0"/>
    <n v="10"/>
    <s v="octubre"/>
    <s v="T4"/>
    <s v="P002"/>
    <x v="3"/>
    <x v="2"/>
    <x v="3"/>
    <n v="3"/>
    <n v="70.5"/>
    <n v="45.79"/>
    <n v="0"/>
    <n v="211.5"/>
    <n v="137.37"/>
    <n v="74.13"/>
    <x v="534"/>
    <x v="1"/>
    <x v="4"/>
    <s v="online"/>
  </r>
  <r>
    <s v="V01210"/>
    <d v="2025-05-29T00:00:00"/>
    <x v="0"/>
    <n v="5"/>
    <s v="mayo"/>
    <s v="T2"/>
    <s v="P011"/>
    <x v="10"/>
    <x v="1"/>
    <x v="1"/>
    <n v="2"/>
    <n v="21.34"/>
    <n v="11.88"/>
    <n v="0"/>
    <n v="42.68"/>
    <n v="23.76"/>
    <n v="18.919999999999998"/>
    <x v="535"/>
    <x v="0"/>
    <x v="0"/>
    <s v="online"/>
  </r>
  <r>
    <s v="V01034"/>
    <d v="2025-08-31T00:00:00"/>
    <x v="0"/>
    <n v="8"/>
    <s v="agosto"/>
    <s v="T3"/>
    <s v="P001"/>
    <x v="9"/>
    <x v="2"/>
    <x v="3"/>
    <n v="1"/>
    <n v="121.65"/>
    <n v="80.48"/>
    <n v="0.22"/>
    <n v="94.887000000000015"/>
    <n v="80.48"/>
    <n v="14.407000000000011"/>
    <x v="536"/>
    <x v="1"/>
    <x v="3"/>
    <s v="tienda_fisica"/>
  </r>
  <r>
    <s v="V02087"/>
    <d v="2024-06-23T00:00:00"/>
    <x v="1"/>
    <n v="6"/>
    <s v="junio"/>
    <s v="T2"/>
    <s v="P003"/>
    <x v="7"/>
    <x v="2"/>
    <x v="3"/>
    <n v="2"/>
    <n v="171.62"/>
    <n v="95.19"/>
    <n v="0"/>
    <n v="343.24"/>
    <n v="190.38"/>
    <n v="152.86000000000001"/>
    <x v="537"/>
    <x v="0"/>
    <x v="2"/>
    <s v="tienda_fisica"/>
  </r>
  <r>
    <s v="V02080"/>
    <d v="2025-02-21T00:00:00"/>
    <x v="0"/>
    <n v="2"/>
    <s v="febrero"/>
    <s v="T1"/>
    <s v="P009"/>
    <x v="12"/>
    <x v="1"/>
    <x v="1"/>
    <n v="1"/>
    <n v="8.24"/>
    <n v="4.5199999999999996"/>
    <n v="0"/>
    <n v="8.24"/>
    <n v="4.5199999999999996"/>
    <n v="3.7200000000000006"/>
    <x v="538"/>
    <x v="0"/>
    <x v="2"/>
    <s v="tienda_fisica"/>
  </r>
  <r>
    <s v="V02060"/>
    <d v="2025-08-12T00:00:00"/>
    <x v="0"/>
    <n v="8"/>
    <s v="agosto"/>
    <s v="T3"/>
    <s v="P001"/>
    <x v="9"/>
    <x v="2"/>
    <x v="3"/>
    <n v="2"/>
    <n v="126.01"/>
    <n v="87.35"/>
    <n v="0"/>
    <n v="252.02"/>
    <n v="174.7"/>
    <n v="77.320000000000022"/>
    <x v="539"/>
    <x v="1"/>
    <x v="0"/>
    <s v="tienda_fisica"/>
  </r>
  <r>
    <s v="V02125"/>
    <d v="2024-03-07T00:00:00"/>
    <x v="1"/>
    <n v="3"/>
    <s v="marzo"/>
    <s v="T1"/>
    <s v="P006"/>
    <x v="0"/>
    <x v="0"/>
    <x v="0"/>
    <n v="7"/>
    <n v="50.41"/>
    <n v="26.38"/>
    <n v="0"/>
    <n v="352.87"/>
    <n v="184.66"/>
    <n v="168.21"/>
    <x v="540"/>
    <x v="0"/>
    <x v="0"/>
    <s v="online"/>
  </r>
  <r>
    <s v="V01493"/>
    <d v="2025-08-31T00:00:00"/>
    <x v="0"/>
    <n v="8"/>
    <s v="agosto"/>
    <s v="T3"/>
    <s v="P009"/>
    <x v="12"/>
    <x v="1"/>
    <x v="1"/>
    <n v="7"/>
    <n v="7.56"/>
    <n v="4.51"/>
    <n v="0"/>
    <n v="52.919999999999995"/>
    <n v="31.57"/>
    <n v="21.349999999999994"/>
    <x v="541"/>
    <x v="0"/>
    <x v="2"/>
    <s v="online"/>
  </r>
  <r>
    <s v="V01494"/>
    <d v="2024-02-22T00:00:00"/>
    <x v="1"/>
    <n v="2"/>
    <s v="febrero"/>
    <s v="T1"/>
    <s v="P013"/>
    <x v="8"/>
    <x v="2"/>
    <x v="2"/>
    <n v="1"/>
    <n v="80.290000000000006"/>
    <n v="49.43"/>
    <n v="0"/>
    <n v="80.290000000000006"/>
    <n v="49.43"/>
    <n v="30.860000000000007"/>
    <x v="542"/>
    <x v="0"/>
    <x v="6"/>
    <s v="online"/>
  </r>
  <r>
    <s v="V01197"/>
    <d v="2024-09-06T00:00:00"/>
    <x v="1"/>
    <n v="9"/>
    <s v="septiembre"/>
    <s v="T3"/>
    <s v="P020"/>
    <x v="19"/>
    <x v="2"/>
    <x v="4"/>
    <n v="3"/>
    <n v="58.65"/>
    <n v="32.22"/>
    <n v="0"/>
    <n v="175.95"/>
    <n v="96.66"/>
    <n v="79.289999999999992"/>
    <x v="543"/>
    <x v="0"/>
    <x v="5"/>
    <s v="tienda_fisica"/>
  </r>
  <r>
    <s v="V01684"/>
    <d v="2024-05-09T00:00:00"/>
    <x v="1"/>
    <n v="5"/>
    <s v="mayo"/>
    <s v="T2"/>
    <s v="P003"/>
    <x v="7"/>
    <x v="2"/>
    <x v="3"/>
    <n v="1"/>
    <n v="174.23"/>
    <n v="89.56"/>
    <n v="0.11"/>
    <n v="155.06469999999999"/>
    <n v="89.56"/>
    <n v="65.504699999999985"/>
    <x v="544"/>
    <x v="0"/>
    <x v="3"/>
    <s v="online"/>
  </r>
  <r>
    <s v="V00147"/>
    <d v="2024-08-31T00:00:00"/>
    <x v="1"/>
    <n v="8"/>
    <s v="agosto"/>
    <s v="T3"/>
    <s v="P010"/>
    <x v="1"/>
    <x v="1"/>
    <x v="1"/>
    <n v="2"/>
    <n v="16.23"/>
    <n v="10.99"/>
    <n v="0"/>
    <n v="32.46"/>
    <n v="21.98"/>
    <n v="10.48"/>
    <x v="545"/>
    <x v="1"/>
    <x v="3"/>
    <s v="online"/>
  </r>
  <r>
    <s v="V01439"/>
    <d v="2025-05-01T00:00:00"/>
    <x v="0"/>
    <n v="5"/>
    <s v="mayo"/>
    <s v="T2"/>
    <s v="P012"/>
    <x v="13"/>
    <x v="1"/>
    <x v="1"/>
    <n v="11"/>
    <n v="8.2100000000000009"/>
    <n v="5.57"/>
    <n v="0"/>
    <n v="90.31"/>
    <n v="61.27"/>
    <n v="29.04"/>
    <x v="546"/>
    <x v="1"/>
    <x v="0"/>
    <s v="tienda_fisica"/>
  </r>
  <r>
    <s v="V01179"/>
    <d v="2025-12-12T00:00:00"/>
    <x v="0"/>
    <n v="12"/>
    <s v="diciembre"/>
    <s v="T4"/>
    <s v="P019"/>
    <x v="14"/>
    <x v="2"/>
    <x v="4"/>
    <n v="2"/>
    <n v="61.12"/>
    <n v="32.03"/>
    <n v="0"/>
    <n v="122.24"/>
    <n v="64.06"/>
    <n v="58.179999999999993"/>
    <x v="547"/>
    <x v="0"/>
    <x v="0"/>
    <s v="online"/>
  </r>
  <r>
    <s v="V01852"/>
    <d v="2024-02-10T00:00:00"/>
    <x v="1"/>
    <n v="2"/>
    <s v="febrero"/>
    <s v="T1"/>
    <s v="P019"/>
    <x v="14"/>
    <x v="2"/>
    <x v="4"/>
    <n v="1"/>
    <n v="63.78"/>
    <n v="32.68"/>
    <n v="0"/>
    <n v="63.78"/>
    <n v="32.68"/>
    <n v="31.1"/>
    <x v="548"/>
    <x v="0"/>
    <x v="4"/>
    <s v="tienda_fisica"/>
  </r>
  <r>
    <s v="V01302"/>
    <d v="2024-05-29T00:00:00"/>
    <x v="1"/>
    <n v="5"/>
    <s v="mayo"/>
    <s v="T2"/>
    <s v="P009"/>
    <x v="12"/>
    <x v="1"/>
    <x v="1"/>
    <n v="2"/>
    <n v="7.35"/>
    <n v="4.32"/>
    <n v="0"/>
    <n v="14.7"/>
    <n v="8.64"/>
    <n v="6.0599999999999987"/>
    <x v="549"/>
    <x v="0"/>
    <x v="2"/>
    <s v="tienda_fisica"/>
  </r>
  <r>
    <s v="V02170"/>
    <d v="2025-07-30T00:00:00"/>
    <x v="0"/>
    <n v="7"/>
    <s v="julio"/>
    <s v="T3"/>
    <s v="P006"/>
    <x v="0"/>
    <x v="0"/>
    <x v="0"/>
    <n v="3"/>
    <n v="48.64"/>
    <n v="26.16"/>
    <n v="0"/>
    <n v="145.92000000000002"/>
    <n v="78.48"/>
    <n v="67.440000000000012"/>
    <x v="550"/>
    <x v="0"/>
    <x v="3"/>
    <s v="tienda_fisica"/>
  </r>
  <r>
    <s v="V02215"/>
    <d v="2024-09-18T00:00:00"/>
    <x v="1"/>
    <n v="9"/>
    <s v="septiembre"/>
    <s v="T3"/>
    <s v="P019"/>
    <x v="14"/>
    <x v="0"/>
    <x v="4"/>
    <n v="1"/>
    <n v="57.46"/>
    <n v="32.799999999999997"/>
    <n v="0"/>
    <n v="57.46"/>
    <n v="32.799999999999997"/>
    <n v="24.660000000000004"/>
    <x v="551"/>
    <x v="0"/>
    <x v="0"/>
    <s v="tienda_fisica"/>
  </r>
  <r>
    <s v="V00636"/>
    <d v="2025-03-29T00:00:00"/>
    <x v="0"/>
    <n v="3"/>
    <s v="marzo"/>
    <s v="T1"/>
    <s v="P014"/>
    <x v="16"/>
    <x v="1"/>
    <x v="2"/>
    <n v="3"/>
    <n v="13.43"/>
    <n v="9.56"/>
    <n v="0"/>
    <n v="40.29"/>
    <n v="28.68"/>
    <n v="11.61"/>
    <x v="552"/>
    <x v="1"/>
    <x v="3"/>
    <s v="tienda_fisica"/>
  </r>
  <r>
    <s v="V00563"/>
    <d v="2024-01-09T00:00:00"/>
    <x v="1"/>
    <n v="1"/>
    <s v="enero"/>
    <s v="T1"/>
    <s v="P019"/>
    <x v="14"/>
    <x v="0"/>
    <x v="4"/>
    <n v="8"/>
    <n v="55.26"/>
    <n v="33.99"/>
    <n v="0"/>
    <n v="442.08"/>
    <n v="271.92"/>
    <n v="170.15999999999997"/>
    <x v="553"/>
    <x v="0"/>
    <x v="4"/>
    <s v="tienda_fisica"/>
  </r>
  <r>
    <s v="V00265"/>
    <d v="2024-05-22T00:00:00"/>
    <x v="1"/>
    <n v="5"/>
    <s v="mayo"/>
    <s v="T2"/>
    <s v="P020"/>
    <x v="19"/>
    <x v="2"/>
    <x v="4"/>
    <n v="7"/>
    <n v="60.63"/>
    <n v="34.11"/>
    <n v="0.28999999999999998"/>
    <n v="301.33109999999999"/>
    <n v="238.76999999999998"/>
    <n v="62.56110000000001"/>
    <x v="554"/>
    <x v="1"/>
    <x v="2"/>
    <s v="tienda_fisica"/>
  </r>
  <r>
    <s v="V02031"/>
    <d v="2024-01-10T00:00:00"/>
    <x v="1"/>
    <n v="1"/>
    <s v="enero"/>
    <s v="T1"/>
    <s v="P007"/>
    <x v="15"/>
    <x v="1"/>
    <x v="0"/>
    <n v="1"/>
    <n v="19.260000000000002"/>
    <n v="12.41"/>
    <n v="0"/>
    <n v="19.260000000000002"/>
    <n v="12.41"/>
    <n v="6.8500000000000014"/>
    <x v="555"/>
    <x v="1"/>
    <x v="3"/>
    <s v="tienda_fisica"/>
  </r>
  <r>
    <s v="V00112"/>
    <d v="2024-08-08T00:00:00"/>
    <x v="1"/>
    <n v="8"/>
    <s v="agosto"/>
    <s v="T3"/>
    <s v="P018"/>
    <x v="5"/>
    <x v="0"/>
    <x v="4"/>
    <n v="2"/>
    <n v="30.41"/>
    <n v="17.71"/>
    <n v="0"/>
    <n v="60.82"/>
    <n v="35.42"/>
    <n v="25.4"/>
    <x v="556"/>
    <x v="0"/>
    <x v="0"/>
    <s v="tienda_fisica"/>
  </r>
  <r>
    <s v="V01437"/>
    <d v="2024-04-13T00:00:00"/>
    <x v="1"/>
    <n v="4"/>
    <s v="abril"/>
    <s v="T2"/>
    <s v="P004"/>
    <x v="6"/>
    <x v="2"/>
    <x v="3"/>
    <n v="1"/>
    <n v="169.43"/>
    <n v="109.26"/>
    <n v="0.13500000000000001"/>
    <n v="146.55695"/>
    <n v="109.26"/>
    <n v="37.296949999999995"/>
    <x v="557"/>
    <x v="1"/>
    <x v="3"/>
    <s v="online"/>
  </r>
  <r>
    <s v="V02107"/>
    <d v="2024-12-18T00:00:00"/>
    <x v="1"/>
    <n v="12"/>
    <s v="diciembre"/>
    <s v="T4"/>
    <s v="P008"/>
    <x v="4"/>
    <x v="2"/>
    <x v="0"/>
    <n v="1"/>
    <n v="95.97"/>
    <n v="59.03"/>
    <n v="0"/>
    <n v="95.97"/>
    <n v="59.03"/>
    <n v="36.94"/>
    <x v="558"/>
    <x v="0"/>
    <x v="6"/>
    <s v="online"/>
  </r>
  <r>
    <s v="V02146"/>
    <d v="2024-08-26T00:00:00"/>
    <x v="1"/>
    <n v="8"/>
    <s v="agosto"/>
    <s v="T3"/>
    <s v="P011"/>
    <x v="10"/>
    <x v="1"/>
    <x v="1"/>
    <n v="1"/>
    <n v="22.93"/>
    <n v="11.31"/>
    <n v="0"/>
    <n v="22.93"/>
    <n v="11.31"/>
    <n v="11.62"/>
    <x v="559"/>
    <x v="0"/>
    <x v="3"/>
    <s v="online"/>
  </r>
  <r>
    <s v="V00455"/>
    <d v="2024-02-18T00:00:00"/>
    <x v="1"/>
    <n v="2"/>
    <s v="febrero"/>
    <s v="T1"/>
    <s v="P019"/>
    <x v="14"/>
    <x v="2"/>
    <x v="4"/>
    <n v="1"/>
    <n v="59.2"/>
    <n v="33.1"/>
    <n v="0"/>
    <n v="59.2"/>
    <n v="33.1"/>
    <n v="26.1"/>
    <x v="560"/>
    <x v="0"/>
    <x v="0"/>
    <s v="tienda_fisica"/>
  </r>
  <r>
    <s v="V02028"/>
    <d v="2024-10-23T00:00:00"/>
    <x v="1"/>
    <n v="10"/>
    <s v="octubre"/>
    <s v="T4"/>
    <s v="P009"/>
    <x v="12"/>
    <x v="1"/>
    <x v="1"/>
    <n v="1"/>
    <n v="7.86"/>
    <n v="4.12"/>
    <n v="0"/>
    <n v="7.86"/>
    <n v="4.12"/>
    <n v="3.74"/>
    <x v="561"/>
    <x v="0"/>
    <x v="5"/>
    <s v="tienda_fisica"/>
  </r>
  <r>
    <s v="V00675"/>
    <d v="2024-04-07T00:00:00"/>
    <x v="1"/>
    <n v="4"/>
    <s v="abril"/>
    <s v="T2"/>
    <s v="P019"/>
    <x v="14"/>
    <x v="2"/>
    <x v="4"/>
    <n v="3"/>
    <n v="58.73"/>
    <n v="32.18"/>
    <n v="0"/>
    <n v="176.19"/>
    <n v="96.539999999999992"/>
    <n v="79.650000000000006"/>
    <x v="562"/>
    <x v="0"/>
    <x v="4"/>
    <s v="online"/>
  </r>
  <r>
    <s v="V00339"/>
    <d v="2024-10-07T00:00:00"/>
    <x v="1"/>
    <n v="10"/>
    <s v="octubre"/>
    <s v="T4"/>
    <s v="P007"/>
    <x v="15"/>
    <x v="1"/>
    <x v="0"/>
    <n v="2"/>
    <n v="20.43"/>
    <n v="12.57"/>
    <n v="0"/>
    <n v="40.86"/>
    <n v="25.14"/>
    <n v="15.719999999999999"/>
    <x v="563"/>
    <x v="0"/>
    <x v="3"/>
    <s v="tienda_fisica"/>
  </r>
  <r>
    <s v="V01096"/>
    <d v="2024-08-26T00:00:00"/>
    <x v="1"/>
    <n v="8"/>
    <s v="agosto"/>
    <s v="T3"/>
    <s v="P002"/>
    <x v="3"/>
    <x v="2"/>
    <x v="3"/>
    <n v="5"/>
    <n v="74.739999999999995"/>
    <n v="45.07"/>
    <n v="0"/>
    <n v="373.7"/>
    <n v="225.35"/>
    <n v="148.35"/>
    <x v="564"/>
    <x v="0"/>
    <x v="3"/>
    <s v="online"/>
  </r>
  <r>
    <s v="V00804"/>
    <d v="2024-02-17T00:00:00"/>
    <x v="1"/>
    <n v="2"/>
    <s v="febrero"/>
    <s v="T1"/>
    <s v="P008"/>
    <x v="4"/>
    <x v="2"/>
    <x v="0"/>
    <n v="1"/>
    <n v="104.75"/>
    <n v="56.21"/>
    <n v="0.18"/>
    <n v="85.89500000000001"/>
    <n v="56.21"/>
    <n v="29.685000000000009"/>
    <x v="565"/>
    <x v="1"/>
    <x v="2"/>
    <s v="tienda_fisica"/>
  </r>
  <r>
    <s v="V01188"/>
    <d v="2025-01-31T00:00:00"/>
    <x v="0"/>
    <n v="1"/>
    <s v="enero"/>
    <s v="T1"/>
    <s v="P010"/>
    <x v="1"/>
    <x v="1"/>
    <x v="1"/>
    <n v="1"/>
    <n v="15.5"/>
    <n v="11.32"/>
    <n v="0"/>
    <n v="15.5"/>
    <n v="11.32"/>
    <n v="4.18"/>
    <x v="566"/>
    <x v="1"/>
    <x v="4"/>
    <s v="tienda_fisica"/>
  </r>
  <r>
    <s v="V01980"/>
    <d v="2024-11-01T00:00:00"/>
    <x v="1"/>
    <n v="11"/>
    <s v="noviembre"/>
    <s v="T4"/>
    <s v="P013"/>
    <x v="8"/>
    <x v="2"/>
    <x v="2"/>
    <n v="3"/>
    <n v="73.89"/>
    <n v="47.8"/>
    <n v="0"/>
    <n v="221.67000000000002"/>
    <n v="143.39999999999998"/>
    <n v="78.270000000000039"/>
    <x v="567"/>
    <x v="1"/>
    <x v="5"/>
    <s v="online"/>
  </r>
  <r>
    <s v="V01079"/>
    <d v="2025-01-21T00:00:00"/>
    <x v="0"/>
    <n v="1"/>
    <s v="enero"/>
    <s v="T1"/>
    <s v="P013"/>
    <x v="8"/>
    <x v="2"/>
    <x v="2"/>
    <n v="2"/>
    <n v="76.05"/>
    <n v="49.51"/>
    <n v="0"/>
    <n v="152.1"/>
    <n v="99.02"/>
    <n v="53.08"/>
    <x v="568"/>
    <x v="1"/>
    <x v="4"/>
    <s v="tienda_fisica"/>
  </r>
  <r>
    <s v="V01303"/>
    <d v="2025-09-20T00:00:00"/>
    <x v="0"/>
    <n v="9"/>
    <s v="septiembre"/>
    <s v="T3"/>
    <s v="P010"/>
    <x v="1"/>
    <x v="1"/>
    <x v="1"/>
    <n v="1"/>
    <n v="16.78"/>
    <n v="11.44"/>
    <n v="0"/>
    <n v="16.78"/>
    <n v="11.44"/>
    <n v="5.3400000000000016"/>
    <x v="569"/>
    <x v="1"/>
    <x v="4"/>
    <s v="online"/>
  </r>
  <r>
    <s v="V00542"/>
    <d v="2024-12-28T00:00:00"/>
    <x v="1"/>
    <n v="12"/>
    <s v="diciembre"/>
    <s v="T4"/>
    <s v="P011"/>
    <x v="10"/>
    <x v="1"/>
    <x v="1"/>
    <n v="2"/>
    <n v="20.36"/>
    <n v="11.52"/>
    <n v="0.08"/>
    <n v="37.462400000000002"/>
    <n v="23.04"/>
    <n v="14.422400000000003"/>
    <x v="570"/>
    <x v="0"/>
    <x v="3"/>
    <s v="online"/>
  </r>
  <r>
    <s v="V00507"/>
    <d v="2025-02-01T00:00:00"/>
    <x v="0"/>
    <n v="2"/>
    <s v="febrero"/>
    <s v="T1"/>
    <s v="P003"/>
    <x v="7"/>
    <x v="2"/>
    <x v="3"/>
    <n v="1"/>
    <n v="177.72"/>
    <n v="93.12"/>
    <n v="0"/>
    <n v="177.72"/>
    <n v="93.12"/>
    <n v="84.6"/>
    <x v="571"/>
    <x v="0"/>
    <x v="4"/>
    <s v="tienda_fisica"/>
  </r>
  <r>
    <s v="V00441"/>
    <d v="2025-06-02T00:00:00"/>
    <x v="0"/>
    <n v="6"/>
    <s v="junio"/>
    <s v="T2"/>
    <s v="P014"/>
    <x v="16"/>
    <x v="1"/>
    <x v="2"/>
    <n v="1"/>
    <n v="14.77"/>
    <n v="10.02"/>
    <n v="0"/>
    <n v="14.77"/>
    <n v="10.02"/>
    <n v="4.75"/>
    <x v="572"/>
    <x v="1"/>
    <x v="3"/>
    <s v="online"/>
  </r>
  <r>
    <s v="V00221"/>
    <d v="2024-07-27T00:00:00"/>
    <x v="1"/>
    <n v="7"/>
    <s v="julio"/>
    <s v="T3"/>
    <s v="P011"/>
    <x v="10"/>
    <x v="1"/>
    <x v="1"/>
    <n v="3"/>
    <n v="20.29"/>
    <n v="11.13"/>
    <n v="0"/>
    <n v="60.87"/>
    <n v="33.39"/>
    <n v="27.479999999999997"/>
    <x v="573"/>
    <x v="0"/>
    <x v="3"/>
    <s v="online"/>
  </r>
  <r>
    <s v="V02163"/>
    <d v="2024-07-30T00:00:00"/>
    <x v="1"/>
    <n v="7"/>
    <s v="julio"/>
    <s v="T3"/>
    <s v="P015"/>
    <x v="2"/>
    <x v="2"/>
    <x v="2"/>
    <n v="1"/>
    <n v="77.58"/>
    <n v="41.11"/>
    <n v="0"/>
    <n v="77.58"/>
    <n v="41.11"/>
    <n v="36.47"/>
    <x v="574"/>
    <x v="0"/>
    <x v="3"/>
    <s v="tienda_fisica"/>
  </r>
  <r>
    <s v="V01048"/>
    <d v="2025-03-13T00:00:00"/>
    <x v="0"/>
    <n v="3"/>
    <s v="marzo"/>
    <s v="T1"/>
    <s v="P012"/>
    <x v="13"/>
    <x v="1"/>
    <x v="1"/>
    <n v="2"/>
    <n v="8.08"/>
    <n v="5.92"/>
    <n v="0"/>
    <n v="16.16"/>
    <n v="11.84"/>
    <n v="4.32"/>
    <x v="575"/>
    <x v="1"/>
    <x v="0"/>
    <s v="tienda_fisica"/>
  </r>
  <r>
    <s v="V01973"/>
    <d v="2025-07-09T00:00:00"/>
    <x v="0"/>
    <n v="7"/>
    <s v="julio"/>
    <s v="T3"/>
    <s v="P012"/>
    <x v="13"/>
    <x v="1"/>
    <x v="1"/>
    <n v="1"/>
    <n v="8.84"/>
    <n v="6.02"/>
    <n v="0.12"/>
    <n v="7.7792000000000003"/>
    <n v="6.02"/>
    <n v="1.7592000000000008"/>
    <x v="576"/>
    <x v="1"/>
    <x v="3"/>
    <s v="tienda_fisica"/>
  </r>
  <r>
    <s v="V01435"/>
    <d v="2024-03-19T00:00:00"/>
    <x v="1"/>
    <n v="3"/>
    <s v="marzo"/>
    <s v="T1"/>
    <s v="P005"/>
    <x v="18"/>
    <x v="2"/>
    <x v="0"/>
    <n v="1"/>
    <n v="62.6"/>
    <n v="42.84"/>
    <n v="0"/>
    <n v="62.6"/>
    <n v="42.84"/>
    <n v="19.759999999999998"/>
    <x v="577"/>
    <x v="1"/>
    <x v="3"/>
    <s v="tienda_fisica"/>
  </r>
  <r>
    <s v="V01512"/>
    <d v="2024-07-03T00:00:00"/>
    <x v="1"/>
    <n v="7"/>
    <s v="julio"/>
    <s v="T3"/>
    <s v="P007"/>
    <x v="15"/>
    <x v="1"/>
    <x v="0"/>
    <n v="4"/>
    <n v="20.8"/>
    <n v="12.74"/>
    <n v="0.17"/>
    <n v="69.055999999999997"/>
    <n v="50.96"/>
    <n v="18.095999999999997"/>
    <x v="578"/>
    <x v="1"/>
    <x v="0"/>
    <s v="tienda_fisica"/>
  </r>
  <r>
    <s v="V01309"/>
    <d v="2024-08-17T00:00:00"/>
    <x v="1"/>
    <n v="8"/>
    <s v="agosto"/>
    <s v="T3"/>
    <s v="P018"/>
    <x v="5"/>
    <x v="0"/>
    <x v="4"/>
    <n v="1"/>
    <n v="30.9"/>
    <n v="17.2"/>
    <n v="0"/>
    <n v="30.9"/>
    <n v="17.2"/>
    <n v="13.7"/>
    <x v="579"/>
    <x v="0"/>
    <x v="0"/>
    <s v="tienda_fisica"/>
  </r>
  <r>
    <s v="V01958"/>
    <d v="2025-11-07T00:00:00"/>
    <x v="0"/>
    <n v="11"/>
    <s v="noviembre"/>
    <s v="T4"/>
    <s v="P009"/>
    <x v="12"/>
    <x v="1"/>
    <x v="1"/>
    <n v="5"/>
    <n v="7.55"/>
    <n v="4.1500000000000004"/>
    <n v="0"/>
    <n v="37.75"/>
    <n v="20.75"/>
    <n v="17"/>
    <x v="580"/>
    <x v="0"/>
    <x v="5"/>
    <s v="tienda_fisica"/>
  </r>
  <r>
    <s v="V01272"/>
    <d v="2025-03-08T00:00:00"/>
    <x v="0"/>
    <n v="3"/>
    <s v="marzo"/>
    <s v="T1"/>
    <s v="P011"/>
    <x v="10"/>
    <x v="1"/>
    <x v="1"/>
    <n v="5"/>
    <n v="22.36"/>
    <n v="11.4"/>
    <n v="0"/>
    <n v="111.8"/>
    <n v="57"/>
    <n v="54.8"/>
    <x v="581"/>
    <x v="0"/>
    <x v="3"/>
    <s v="online"/>
  </r>
  <r>
    <s v="V02271"/>
    <d v="2024-01-07T00:00:00"/>
    <x v="1"/>
    <n v="1"/>
    <s v="enero"/>
    <s v="T1"/>
    <s v="P010"/>
    <x v="1"/>
    <x v="1"/>
    <x v="1"/>
    <n v="2"/>
    <n v="16.89"/>
    <n v="11.23"/>
    <n v="0"/>
    <n v="33.78"/>
    <n v="22.46"/>
    <n v="11.32"/>
    <x v="582"/>
    <x v="1"/>
    <x v="3"/>
    <s v="tienda_fisica"/>
  </r>
  <r>
    <s v="V00299"/>
    <d v="2024-05-02T00:00:00"/>
    <x v="1"/>
    <n v="5"/>
    <s v="mayo"/>
    <s v="T2"/>
    <s v="P009"/>
    <x v="12"/>
    <x v="1"/>
    <x v="1"/>
    <n v="1"/>
    <n v="7.98"/>
    <n v="4.2"/>
    <n v="0"/>
    <n v="7.98"/>
    <n v="4.2"/>
    <n v="3.7800000000000002"/>
    <x v="583"/>
    <x v="0"/>
    <x v="3"/>
    <s v="tienda_fisica"/>
  </r>
  <r>
    <s v="V01706"/>
    <d v="2024-02-24T00:00:00"/>
    <x v="1"/>
    <n v="2"/>
    <s v="febrero"/>
    <s v="T1"/>
    <s v="P005"/>
    <x v="18"/>
    <x v="2"/>
    <x v="0"/>
    <n v="4"/>
    <n v="58.55"/>
    <n v="39.54"/>
    <n v="0"/>
    <n v="234.2"/>
    <n v="158.16"/>
    <n v="76.039999999999992"/>
    <x v="584"/>
    <x v="1"/>
    <x v="3"/>
    <s v="tienda_fisica"/>
  </r>
  <r>
    <s v="V00803"/>
    <d v="2025-12-29T00:00:00"/>
    <x v="0"/>
    <n v="12"/>
    <s v="diciembre"/>
    <s v="T4"/>
    <s v="P014"/>
    <x v="16"/>
    <x v="1"/>
    <x v="2"/>
    <n v="1"/>
    <n v="13.81"/>
    <n v="9.68"/>
    <n v="0"/>
    <n v="13.81"/>
    <n v="9.68"/>
    <n v="4.1300000000000008"/>
    <x v="585"/>
    <x v="1"/>
    <x v="3"/>
    <s v="online"/>
  </r>
  <r>
    <s v="V00114"/>
    <d v="2024-05-13T00:00:00"/>
    <x v="1"/>
    <n v="5"/>
    <s v="mayo"/>
    <s v="T2"/>
    <s v="P012"/>
    <x v="13"/>
    <x v="1"/>
    <x v="1"/>
    <n v="3"/>
    <n v="8.2100000000000009"/>
    <n v="5.69"/>
    <n v="0"/>
    <n v="24.630000000000003"/>
    <n v="17.07"/>
    <n v="7.5600000000000023"/>
    <x v="586"/>
    <x v="1"/>
    <x v="4"/>
    <s v="tienda_fisica"/>
  </r>
  <r>
    <s v="V02086"/>
    <d v="2025-08-21T00:00:00"/>
    <x v="0"/>
    <n v="8"/>
    <s v="agosto"/>
    <s v="T3"/>
    <s v="P012"/>
    <x v="13"/>
    <x v="1"/>
    <x v="1"/>
    <n v="3"/>
    <n v="9.3800000000000008"/>
    <n v="5.79"/>
    <n v="0"/>
    <n v="28.14"/>
    <n v="17.37"/>
    <n v="10.77"/>
    <x v="587"/>
    <x v="0"/>
    <x v="0"/>
    <s v="online"/>
  </r>
  <r>
    <s v="V01915"/>
    <d v="2024-01-14T00:00:00"/>
    <x v="1"/>
    <n v="1"/>
    <s v="enero"/>
    <s v="T1"/>
    <s v="P005"/>
    <x v="18"/>
    <x v="0"/>
    <x v="0"/>
    <n v="4"/>
    <n v="57.63"/>
    <n v="40.76"/>
    <n v="0"/>
    <n v="230.52"/>
    <n v="163.04"/>
    <n v="67.480000000000018"/>
    <x v="588"/>
    <x v="1"/>
    <x v="5"/>
    <s v="online"/>
  </r>
  <r>
    <s v="V00519"/>
    <d v="2025-09-23T00:00:00"/>
    <x v="0"/>
    <n v="9"/>
    <s v="septiembre"/>
    <s v="T3"/>
    <s v="P015"/>
    <x v="2"/>
    <x v="2"/>
    <x v="2"/>
    <n v="2"/>
    <n v="76.62"/>
    <n v="40.83"/>
    <n v="0"/>
    <n v="153.24"/>
    <n v="81.66"/>
    <n v="71.580000000000013"/>
    <x v="589"/>
    <x v="0"/>
    <x v="0"/>
    <s v="online"/>
  </r>
  <r>
    <s v="V02038"/>
    <d v="2025-04-13T00:00:00"/>
    <x v="0"/>
    <n v="4"/>
    <s v="abril"/>
    <s v="T2"/>
    <s v="P020"/>
    <x v="19"/>
    <x v="2"/>
    <x v="4"/>
    <n v="3"/>
    <n v="63.45"/>
    <n v="35.1"/>
    <n v="0"/>
    <n v="190.35000000000002"/>
    <n v="105.30000000000001"/>
    <n v="85.050000000000011"/>
    <x v="590"/>
    <x v="0"/>
    <x v="4"/>
    <s v="tienda_fisica"/>
  </r>
  <r>
    <s v="V02224"/>
    <d v="2024-01-21T00:00:00"/>
    <x v="1"/>
    <n v="1"/>
    <s v="enero"/>
    <s v="T1"/>
    <s v="P013"/>
    <x v="8"/>
    <x v="2"/>
    <x v="2"/>
    <n v="2"/>
    <n v="71.069999999999993"/>
    <n v="49.52"/>
    <n v="0"/>
    <n v="142.13999999999999"/>
    <n v="99.04"/>
    <n v="43.09999999999998"/>
    <x v="591"/>
    <x v="1"/>
    <x v="3"/>
    <s v="online"/>
  </r>
  <r>
    <s v="V01137"/>
    <d v="2024-03-16T00:00:00"/>
    <x v="1"/>
    <n v="3"/>
    <s v="marzo"/>
    <s v="T1"/>
    <s v="P003"/>
    <x v="7"/>
    <x v="2"/>
    <x v="3"/>
    <n v="5"/>
    <n v="177.72"/>
    <n v="90.38"/>
    <n v="0"/>
    <n v="888.6"/>
    <n v="451.9"/>
    <n v="436.70000000000005"/>
    <x v="592"/>
    <x v="0"/>
    <x v="0"/>
    <s v="tienda_fisica"/>
  </r>
  <r>
    <s v="V00096"/>
    <d v="2024-05-15T00:00:00"/>
    <x v="1"/>
    <n v="5"/>
    <s v="mayo"/>
    <s v="T2"/>
    <s v="P007"/>
    <x v="15"/>
    <x v="1"/>
    <x v="0"/>
    <n v="2"/>
    <n v="19.13"/>
    <n v="12.47"/>
    <n v="0"/>
    <n v="38.26"/>
    <n v="24.94"/>
    <n v="13.319999999999997"/>
    <x v="593"/>
    <x v="1"/>
    <x v="2"/>
    <s v="tienda_fisica"/>
  </r>
  <r>
    <s v="V01434"/>
    <d v="2025-12-15T00:00:00"/>
    <x v="0"/>
    <n v="12"/>
    <s v="diciembre"/>
    <s v="T4"/>
    <s v="P004"/>
    <x v="6"/>
    <x v="2"/>
    <x v="3"/>
    <n v="2"/>
    <n v="149.9"/>
    <n v="111.14"/>
    <n v="0"/>
    <n v="299.8"/>
    <n v="222.28"/>
    <n v="77.52000000000001"/>
    <x v="594"/>
    <x v="1"/>
    <x v="0"/>
    <s v="online"/>
  </r>
  <r>
    <s v="V00705"/>
    <d v="2024-07-02T00:00:00"/>
    <x v="1"/>
    <n v="7"/>
    <s v="julio"/>
    <s v="T3"/>
    <s v="P019"/>
    <x v="14"/>
    <x v="2"/>
    <x v="4"/>
    <n v="1"/>
    <n v="59.71"/>
    <n v="31.51"/>
    <n v="0.06"/>
    <n v="56.127399999999994"/>
    <n v="31.51"/>
    <n v="24.617399999999993"/>
    <x v="595"/>
    <x v="0"/>
    <x v="3"/>
    <s v="tienda_fisica"/>
  </r>
  <r>
    <s v="V00348"/>
    <d v="2024-02-06T00:00:00"/>
    <x v="1"/>
    <n v="2"/>
    <s v="febrero"/>
    <s v="T1"/>
    <s v="P013"/>
    <x v="8"/>
    <x v="2"/>
    <x v="2"/>
    <n v="5"/>
    <n v="78.510000000000005"/>
    <n v="47.5"/>
    <n v="0"/>
    <n v="392.55"/>
    <n v="237.5"/>
    <n v="155.05000000000001"/>
    <x v="596"/>
    <x v="0"/>
    <x v="4"/>
    <s v="tienda_fisica"/>
  </r>
  <r>
    <s v="V00741"/>
    <d v="2025-04-30T00:00:00"/>
    <x v="0"/>
    <n v="4"/>
    <s v="abril"/>
    <s v="T2"/>
    <s v="P008"/>
    <x v="4"/>
    <x v="2"/>
    <x v="0"/>
    <n v="1"/>
    <n v="106.8"/>
    <n v="56.67"/>
    <n v="0"/>
    <n v="106.8"/>
    <n v="56.67"/>
    <n v="50.129999999999995"/>
    <x v="597"/>
    <x v="0"/>
    <x v="3"/>
    <s v="tienda_fisica"/>
  </r>
  <r>
    <s v="V01139"/>
    <d v="2024-09-27T00:00:00"/>
    <x v="1"/>
    <n v="9"/>
    <s v="septiembre"/>
    <s v="T3"/>
    <s v="P004"/>
    <x v="6"/>
    <x v="2"/>
    <x v="3"/>
    <n v="2"/>
    <n v="154.62"/>
    <n v="109"/>
    <n v="0"/>
    <n v="309.24"/>
    <n v="218"/>
    <n v="91.240000000000009"/>
    <x v="598"/>
    <x v="1"/>
    <x v="6"/>
    <s v="tienda_fisica"/>
  </r>
  <r>
    <s v="V00117"/>
    <d v="2025-09-20T00:00:00"/>
    <x v="0"/>
    <n v="9"/>
    <s v="septiembre"/>
    <s v="T3"/>
    <s v="P020"/>
    <x v="19"/>
    <x v="2"/>
    <x v="4"/>
    <n v="4"/>
    <n v="62.19"/>
    <n v="32.19"/>
    <n v="0"/>
    <n v="248.76"/>
    <n v="128.76"/>
    <n v="120"/>
    <x v="599"/>
    <x v="0"/>
    <x v="4"/>
    <s v="tienda_fisica"/>
  </r>
  <r>
    <s v="V01355"/>
    <d v="2024-12-05T00:00:00"/>
    <x v="1"/>
    <n v="12"/>
    <s v="diciembre"/>
    <s v="T4"/>
    <s v="P002"/>
    <x v="3"/>
    <x v="2"/>
    <x v="3"/>
    <n v="1"/>
    <n v="77.819999999999993"/>
    <n v="46.58"/>
    <n v="0"/>
    <n v="77.819999999999993"/>
    <n v="46.58"/>
    <n v="31.239999999999995"/>
    <x v="600"/>
    <x v="0"/>
    <x v="5"/>
    <s v="online"/>
  </r>
  <r>
    <s v="V00531"/>
    <d v="2024-02-07T00:00:00"/>
    <x v="1"/>
    <n v="2"/>
    <s v="febrero"/>
    <s v="T1"/>
    <s v="P012"/>
    <x v="13"/>
    <x v="1"/>
    <x v="1"/>
    <n v="3"/>
    <n v="8.5"/>
    <n v="5.53"/>
    <n v="0.3"/>
    <n v="17.849999999999998"/>
    <n v="16.59"/>
    <n v="1.259999999999998"/>
    <x v="601"/>
    <x v="1"/>
    <x v="3"/>
    <s v="online"/>
  </r>
  <r>
    <s v="V02095"/>
    <d v="2025-02-16T00:00:00"/>
    <x v="0"/>
    <n v="2"/>
    <s v="febrero"/>
    <s v="T1"/>
    <s v="P010"/>
    <x v="1"/>
    <x v="1"/>
    <x v="1"/>
    <n v="3"/>
    <n v="16.52"/>
    <n v="10.97"/>
    <n v="0"/>
    <n v="49.56"/>
    <n v="32.910000000000004"/>
    <n v="16.649999999999999"/>
    <x v="602"/>
    <x v="1"/>
    <x v="0"/>
    <s v="tienda_fisica"/>
  </r>
  <r>
    <s v="V00736"/>
    <d v="2024-12-11T00:00:00"/>
    <x v="1"/>
    <n v="12"/>
    <s v="diciembre"/>
    <s v="T4"/>
    <s v="P003"/>
    <x v="7"/>
    <x v="2"/>
    <x v="3"/>
    <n v="1"/>
    <n v="170.83"/>
    <n v="92.69"/>
    <n v="0"/>
    <n v="170.83"/>
    <n v="92.69"/>
    <n v="78.140000000000015"/>
    <x v="603"/>
    <x v="0"/>
    <x v="0"/>
    <s v="tienda_fisica"/>
  </r>
  <r>
    <s v="V01546"/>
    <d v="2024-05-30T00:00:00"/>
    <x v="1"/>
    <n v="5"/>
    <s v="mayo"/>
    <s v="T2"/>
    <s v="P005"/>
    <x v="18"/>
    <x v="2"/>
    <x v="0"/>
    <n v="2"/>
    <n v="61.39"/>
    <n v="40.94"/>
    <n v="0.21"/>
    <n v="96.996200000000002"/>
    <n v="81.88"/>
    <n v="15.116200000000006"/>
    <x v="604"/>
    <x v="1"/>
    <x v="2"/>
    <s v="tienda_fisica"/>
  </r>
  <r>
    <s v="V00005"/>
    <d v="2025-08-20T00:00:00"/>
    <x v="0"/>
    <n v="8"/>
    <s v="agosto"/>
    <s v="T3"/>
    <s v="P014"/>
    <x v="16"/>
    <x v="1"/>
    <x v="2"/>
    <n v="1"/>
    <n v="14.75"/>
    <n v="9.51"/>
    <n v="0"/>
    <n v="14.75"/>
    <n v="9.51"/>
    <n v="5.24"/>
    <x v="605"/>
    <x v="1"/>
    <x v="0"/>
    <s v="online"/>
  </r>
  <r>
    <s v="V02227"/>
    <d v="2025-10-19T00:00:00"/>
    <x v="0"/>
    <n v="10"/>
    <s v="octubre"/>
    <s v="T4"/>
    <s v="P019"/>
    <x v="14"/>
    <x v="2"/>
    <x v="4"/>
    <n v="1"/>
    <n v="59.5"/>
    <n v="32.700000000000003"/>
    <n v="0"/>
    <n v="59.5"/>
    <n v="32.700000000000003"/>
    <n v="26.799999999999997"/>
    <x v="606"/>
    <x v="0"/>
    <x v="3"/>
    <s v="online"/>
  </r>
  <r>
    <s v="V01063"/>
    <d v="2025-08-25T00:00:00"/>
    <x v="0"/>
    <n v="8"/>
    <s v="agosto"/>
    <s v="T3"/>
    <s v="P011"/>
    <x v="10"/>
    <x v="1"/>
    <x v="1"/>
    <n v="4"/>
    <n v="19.940000000000001"/>
    <n v="11.8"/>
    <n v="7.0000000000000007E-2"/>
    <n v="74.1768"/>
    <n v="47.2"/>
    <n v="26.976799999999997"/>
    <x v="607"/>
    <x v="1"/>
    <x v="6"/>
    <s v="online"/>
  </r>
  <r>
    <s v="V00987"/>
    <d v="2025-07-09T00:00:00"/>
    <x v="0"/>
    <n v="7"/>
    <s v="julio"/>
    <s v="T3"/>
    <s v="P012"/>
    <x v="13"/>
    <x v="1"/>
    <x v="1"/>
    <n v="2"/>
    <n v="8.68"/>
    <n v="5.7"/>
    <n v="0"/>
    <n v="17.36"/>
    <n v="11.4"/>
    <n v="5.9599999999999991"/>
    <x v="608"/>
    <x v="1"/>
    <x v="0"/>
    <s v="tienda_fisica"/>
  </r>
  <r>
    <s v="V01884"/>
    <d v="2025-12-07T00:00:00"/>
    <x v="0"/>
    <n v="12"/>
    <s v="diciembre"/>
    <s v="T4"/>
    <s v="P002"/>
    <x v="3"/>
    <x v="2"/>
    <x v="3"/>
    <n v="8"/>
    <n v="74.14"/>
    <n v="46.78"/>
    <n v="0"/>
    <n v="593.12"/>
    <n v="374.24"/>
    <n v="218.88"/>
    <x v="609"/>
    <x v="1"/>
    <x v="3"/>
    <s v="online"/>
  </r>
  <r>
    <s v="V01058"/>
    <d v="2024-05-31T00:00:00"/>
    <x v="1"/>
    <n v="5"/>
    <s v="mayo"/>
    <s v="T2"/>
    <s v="P014"/>
    <x v="16"/>
    <x v="1"/>
    <x v="2"/>
    <n v="3"/>
    <n v="13.65"/>
    <n v="9.7200000000000006"/>
    <n v="0"/>
    <n v="40.950000000000003"/>
    <n v="29.160000000000004"/>
    <n v="11.79"/>
    <x v="610"/>
    <x v="1"/>
    <x v="3"/>
    <s v="tienda_fisica"/>
  </r>
  <r>
    <s v="V01769"/>
    <d v="2025-09-20T00:00:00"/>
    <x v="0"/>
    <n v="9"/>
    <s v="septiembre"/>
    <s v="T3"/>
    <s v="P018"/>
    <x v="5"/>
    <x v="1"/>
    <x v="4"/>
    <n v="1"/>
    <n v="29.73"/>
    <n v="16.47"/>
    <n v="0"/>
    <n v="29.73"/>
    <n v="16.47"/>
    <n v="13.260000000000002"/>
    <x v="611"/>
    <x v="0"/>
    <x v="0"/>
    <s v="tienda_fisica"/>
  </r>
  <r>
    <s v="V02101"/>
    <d v="2025-12-11T00:00:00"/>
    <x v="0"/>
    <n v="12"/>
    <s v="diciembre"/>
    <s v="T4"/>
    <s v="P012"/>
    <x v="13"/>
    <x v="1"/>
    <x v="1"/>
    <n v="6"/>
    <n v="8.4700000000000006"/>
    <n v="6.04"/>
    <n v="0.11"/>
    <n v="45.229800000000004"/>
    <n v="36.24"/>
    <n v="8.9898000000000025"/>
    <x v="612"/>
    <x v="1"/>
    <x v="3"/>
    <s v="tienda_fisica"/>
  </r>
  <r>
    <s v="V00228"/>
    <d v="2024-09-03T00:00:00"/>
    <x v="1"/>
    <n v="9"/>
    <s v="septiembre"/>
    <s v="T3"/>
    <s v="P005"/>
    <x v="18"/>
    <x v="2"/>
    <x v="0"/>
    <n v="2"/>
    <n v="58.77"/>
    <n v="41.44"/>
    <n v="0"/>
    <n v="117.54"/>
    <n v="82.88"/>
    <n v="34.660000000000011"/>
    <x v="613"/>
    <x v="1"/>
    <x v="3"/>
    <s v="tienda_fisica"/>
  </r>
  <r>
    <s v="V01536"/>
    <d v="2024-02-20T00:00:00"/>
    <x v="1"/>
    <n v="2"/>
    <s v="febrero"/>
    <s v="T1"/>
    <s v="P008"/>
    <x v="4"/>
    <x v="2"/>
    <x v="0"/>
    <n v="3"/>
    <n v="108.52"/>
    <n v="59.26"/>
    <n v="0"/>
    <n v="325.56"/>
    <n v="177.78"/>
    <n v="147.78"/>
    <x v="614"/>
    <x v="0"/>
    <x v="3"/>
    <s v="tienda_fisica"/>
  </r>
  <r>
    <s v="V02184"/>
    <d v="2024-03-18T00:00:00"/>
    <x v="1"/>
    <n v="3"/>
    <s v="marzo"/>
    <s v="T1"/>
    <s v="P007"/>
    <x v="15"/>
    <x v="1"/>
    <x v="0"/>
    <n v="2"/>
    <n v="21.14"/>
    <n v="12.75"/>
    <n v="0"/>
    <n v="42.28"/>
    <n v="25.5"/>
    <n v="16.78"/>
    <x v="615"/>
    <x v="0"/>
    <x v="0"/>
    <s v="online"/>
  </r>
  <r>
    <s v="V01458"/>
    <d v="2025-09-01T00:00:00"/>
    <x v="0"/>
    <n v="9"/>
    <s v="septiembre"/>
    <s v="T3"/>
    <s v="P016"/>
    <x v="11"/>
    <x v="2"/>
    <x v="2"/>
    <n v="2"/>
    <n v="74.11"/>
    <n v="42.08"/>
    <n v="0"/>
    <n v="148.22"/>
    <n v="84.16"/>
    <n v="64.06"/>
    <x v="616"/>
    <x v="0"/>
    <x v="3"/>
    <s v="tienda_fisica"/>
  </r>
  <r>
    <s v="V01369"/>
    <d v="2025-10-08T00:00:00"/>
    <x v="0"/>
    <n v="10"/>
    <s v="octubre"/>
    <s v="T4"/>
    <s v="P015"/>
    <x v="2"/>
    <x v="2"/>
    <x v="2"/>
    <n v="1"/>
    <n v="80.34"/>
    <n v="41.5"/>
    <n v="0"/>
    <n v="80.34"/>
    <n v="41.5"/>
    <n v="38.840000000000003"/>
    <x v="617"/>
    <x v="0"/>
    <x v="5"/>
    <s v="tienda_fisica"/>
  </r>
  <r>
    <s v="V01713"/>
    <d v="2025-05-23T00:00:00"/>
    <x v="0"/>
    <n v="5"/>
    <s v="mayo"/>
    <s v="T2"/>
    <s v="P019"/>
    <x v="14"/>
    <x v="0"/>
    <x v="4"/>
    <n v="1"/>
    <n v="56.02"/>
    <n v="31.67"/>
    <n v="0"/>
    <n v="56.02"/>
    <n v="31.67"/>
    <n v="24.35"/>
    <x v="618"/>
    <x v="0"/>
    <x v="2"/>
    <s v="tienda_fisica"/>
  </r>
  <r>
    <s v="V00082"/>
    <d v="2025-07-05T00:00:00"/>
    <x v="0"/>
    <n v="7"/>
    <s v="julio"/>
    <s v="T3"/>
    <s v="P015"/>
    <x v="2"/>
    <x v="2"/>
    <x v="2"/>
    <n v="6"/>
    <n v="83.19"/>
    <n v="44.37"/>
    <n v="0"/>
    <n v="499.14"/>
    <n v="266.21999999999997"/>
    <n v="232.92000000000002"/>
    <x v="619"/>
    <x v="0"/>
    <x v="0"/>
    <s v="online"/>
  </r>
  <r>
    <s v="V01470"/>
    <d v="2024-08-22T00:00:00"/>
    <x v="1"/>
    <n v="8"/>
    <s v="agosto"/>
    <s v="T3"/>
    <s v="P012"/>
    <x v="13"/>
    <x v="1"/>
    <x v="1"/>
    <n v="1"/>
    <n v="8.35"/>
    <n v="5.77"/>
    <n v="0"/>
    <n v="8.35"/>
    <n v="5.77"/>
    <n v="2.58"/>
    <x v="620"/>
    <x v="1"/>
    <x v="3"/>
    <s v="tienda_fisica"/>
  </r>
  <r>
    <s v="V00722"/>
    <d v="2024-11-17T00:00:00"/>
    <x v="1"/>
    <n v="11"/>
    <s v="noviembre"/>
    <s v="T4"/>
    <s v="P010"/>
    <x v="1"/>
    <x v="1"/>
    <x v="1"/>
    <n v="4"/>
    <n v="15.73"/>
    <n v="11.97"/>
    <n v="0"/>
    <n v="62.92"/>
    <n v="47.88"/>
    <n v="15.04"/>
    <x v="621"/>
    <x v="1"/>
    <x v="4"/>
    <s v="tienda_fisica"/>
  </r>
  <r>
    <s v="V00453"/>
    <d v="2024-04-12T00:00:00"/>
    <x v="1"/>
    <n v="4"/>
    <s v="abril"/>
    <s v="T2"/>
    <s v="P008"/>
    <x v="4"/>
    <x v="2"/>
    <x v="0"/>
    <n v="3"/>
    <n v="97.63"/>
    <n v="59.19"/>
    <n v="0"/>
    <n v="292.89"/>
    <n v="177.57"/>
    <n v="115.32"/>
    <x v="622"/>
    <x v="0"/>
    <x v="2"/>
    <s v="tienda_fisica"/>
  </r>
  <r>
    <s v="V02258"/>
    <d v="2024-05-18T00:00:00"/>
    <x v="1"/>
    <n v="5"/>
    <s v="mayo"/>
    <s v="T2"/>
    <s v="P006"/>
    <x v="0"/>
    <x v="0"/>
    <x v="0"/>
    <n v="1"/>
    <n v="44.36"/>
    <n v="27.86"/>
    <n v="0"/>
    <n v="44.36"/>
    <n v="27.86"/>
    <n v="16.5"/>
    <x v="623"/>
    <x v="1"/>
    <x v="2"/>
    <s v="tienda_fisica"/>
  </r>
  <r>
    <s v="V01730"/>
    <d v="2024-02-21T00:00:00"/>
    <x v="1"/>
    <n v="2"/>
    <s v="febrero"/>
    <s v="T1"/>
    <s v="P004"/>
    <x v="6"/>
    <x v="2"/>
    <x v="3"/>
    <n v="2"/>
    <n v="149.83000000000001"/>
    <n v="112.77"/>
    <n v="0"/>
    <n v="299.66000000000003"/>
    <n v="225.54"/>
    <n v="74.120000000000033"/>
    <x v="624"/>
    <x v="1"/>
    <x v="0"/>
    <s v="tienda_fisica"/>
  </r>
  <r>
    <s v="V00454"/>
    <d v="2024-01-10T00:00:00"/>
    <x v="1"/>
    <n v="1"/>
    <s v="enero"/>
    <s v="T1"/>
    <s v="P016"/>
    <x v="11"/>
    <x v="2"/>
    <x v="2"/>
    <n v="3"/>
    <n v="82.47"/>
    <n v="40.19"/>
    <n v="0"/>
    <n v="247.41"/>
    <n v="120.57"/>
    <n v="126.84"/>
    <x v="625"/>
    <x v="0"/>
    <x v="3"/>
    <s v="tienda_fisica"/>
  </r>
  <r>
    <s v="V00702"/>
    <d v="2025-12-10T00:00:00"/>
    <x v="0"/>
    <n v="12"/>
    <s v="diciembre"/>
    <s v="T4"/>
    <s v="P011"/>
    <x v="10"/>
    <x v="1"/>
    <x v="1"/>
    <n v="2"/>
    <n v="21.84"/>
    <n v="10.91"/>
    <n v="0"/>
    <n v="43.68"/>
    <n v="21.82"/>
    <n v="21.86"/>
    <x v="626"/>
    <x v="0"/>
    <x v="0"/>
    <s v="online"/>
  </r>
  <r>
    <s v="V01993"/>
    <d v="2024-06-30T00:00:00"/>
    <x v="1"/>
    <n v="6"/>
    <s v="junio"/>
    <s v="T2"/>
    <s v="P013"/>
    <x v="8"/>
    <x v="2"/>
    <x v="2"/>
    <n v="2"/>
    <n v="80.209999999999994"/>
    <n v="45.24"/>
    <n v="0.09"/>
    <n v="145.98220000000001"/>
    <n v="90.48"/>
    <n v="55.502200000000002"/>
    <x v="627"/>
    <x v="0"/>
    <x v="0"/>
    <s v="online"/>
  </r>
  <r>
    <s v="V01577"/>
    <d v="2025-07-05T00:00:00"/>
    <x v="0"/>
    <n v="7"/>
    <s v="julio"/>
    <s v="T3"/>
    <s v="P015"/>
    <x v="2"/>
    <x v="2"/>
    <x v="2"/>
    <n v="4"/>
    <n v="71.900000000000006"/>
    <n v="41.29"/>
    <n v="0"/>
    <n v="287.60000000000002"/>
    <n v="165.16"/>
    <n v="122.44000000000003"/>
    <x v="628"/>
    <x v="0"/>
    <x v="4"/>
    <s v="online"/>
  </r>
  <r>
    <s v="V01274"/>
    <d v="2025-02-19T00:00:00"/>
    <x v="0"/>
    <n v="2"/>
    <s v="febrero"/>
    <s v="T1"/>
    <s v="P019"/>
    <x v="14"/>
    <x v="0"/>
    <x v="4"/>
    <n v="4"/>
    <n v="55.79"/>
    <n v="31.96"/>
    <n v="0"/>
    <n v="223.16"/>
    <n v="127.84"/>
    <n v="95.32"/>
    <x v="629"/>
    <x v="0"/>
    <x v="0"/>
    <s v="online"/>
  </r>
  <r>
    <s v="V01767"/>
    <d v="2024-12-01T00:00:00"/>
    <x v="1"/>
    <n v="12"/>
    <s v="diciembre"/>
    <s v="T4"/>
    <s v="P009"/>
    <x v="12"/>
    <x v="1"/>
    <x v="1"/>
    <n v="3"/>
    <n v="7.97"/>
    <n v="4.3899999999999997"/>
    <n v="0"/>
    <n v="23.91"/>
    <n v="13.169999999999998"/>
    <n v="10.740000000000002"/>
    <x v="630"/>
    <x v="0"/>
    <x v="3"/>
    <s v="online"/>
  </r>
  <r>
    <s v="V00331"/>
    <d v="2025-10-04T00:00:00"/>
    <x v="0"/>
    <n v="10"/>
    <s v="octubre"/>
    <s v="T4"/>
    <s v="P007"/>
    <x v="15"/>
    <x v="1"/>
    <x v="0"/>
    <n v="2"/>
    <n v="20.83"/>
    <n v="12.37"/>
    <n v="0"/>
    <n v="41.66"/>
    <n v="24.74"/>
    <n v="16.919999999999998"/>
    <x v="631"/>
    <x v="0"/>
    <x v="3"/>
    <s v="tienda_fisica"/>
  </r>
  <r>
    <s v="V00110"/>
    <d v="2024-03-23T00:00:00"/>
    <x v="1"/>
    <n v="3"/>
    <s v="marzo"/>
    <s v="T1"/>
    <s v="P003"/>
    <x v="7"/>
    <x v="2"/>
    <x v="3"/>
    <n v="1"/>
    <n v="177.72"/>
    <n v="96.19"/>
    <n v="0"/>
    <n v="177.72"/>
    <n v="96.19"/>
    <n v="81.53"/>
    <x v="632"/>
    <x v="0"/>
    <x v="3"/>
    <s v="online"/>
  </r>
  <r>
    <s v="V01939"/>
    <d v="2024-10-20T00:00:00"/>
    <x v="1"/>
    <n v="10"/>
    <s v="octubre"/>
    <s v="T4"/>
    <s v="P007"/>
    <x v="15"/>
    <x v="1"/>
    <x v="0"/>
    <n v="2"/>
    <n v="20.12"/>
    <n v="13.36"/>
    <n v="0.11"/>
    <n v="35.813600000000001"/>
    <n v="26.72"/>
    <n v="9.0936000000000021"/>
    <x v="633"/>
    <x v="1"/>
    <x v="4"/>
    <s v="tienda_fisica"/>
  </r>
  <r>
    <s v="V02056"/>
    <d v="2024-09-12T00:00:00"/>
    <x v="1"/>
    <n v="9"/>
    <s v="septiembre"/>
    <s v="T3"/>
    <s v="P011"/>
    <x v="10"/>
    <x v="1"/>
    <x v="1"/>
    <n v="2"/>
    <n v="20.03"/>
    <n v="11.63"/>
    <n v="0"/>
    <n v="40.06"/>
    <n v="23.26"/>
    <n v="16.8"/>
    <x v="634"/>
    <x v="0"/>
    <x v="3"/>
    <s v="tienda_fisica"/>
  </r>
  <r>
    <s v="V01157"/>
    <d v="2024-09-03T00:00:00"/>
    <x v="1"/>
    <n v="9"/>
    <s v="septiembre"/>
    <s v="T3"/>
    <s v="P004"/>
    <x v="6"/>
    <x v="2"/>
    <x v="3"/>
    <n v="2"/>
    <n v="156.94"/>
    <n v="110.27"/>
    <n v="0"/>
    <n v="313.88"/>
    <n v="220.54"/>
    <n v="93.34"/>
    <x v="635"/>
    <x v="1"/>
    <x v="4"/>
    <s v="online"/>
  </r>
  <r>
    <s v="V00929"/>
    <d v="2025-06-30T00:00:00"/>
    <x v="0"/>
    <n v="6"/>
    <s v="junio"/>
    <s v="T2"/>
    <s v="P007"/>
    <x v="15"/>
    <x v="1"/>
    <x v="0"/>
    <n v="1"/>
    <n v="19.059999999999999"/>
    <n v="13.39"/>
    <n v="0"/>
    <n v="19.059999999999999"/>
    <n v="13.39"/>
    <n v="5.6699999999999982"/>
    <x v="636"/>
    <x v="1"/>
    <x v="2"/>
    <s v="online"/>
  </r>
  <r>
    <s v="V01804"/>
    <d v="2024-01-04T00:00:00"/>
    <x v="1"/>
    <n v="1"/>
    <s v="enero"/>
    <s v="T1"/>
    <s v="P006"/>
    <x v="0"/>
    <x v="0"/>
    <x v="0"/>
    <n v="3"/>
    <n v="43.54"/>
    <n v="25.35"/>
    <n v="0"/>
    <n v="130.62"/>
    <n v="76.050000000000011"/>
    <n v="54.569999999999993"/>
    <x v="637"/>
    <x v="0"/>
    <x v="3"/>
    <s v="tienda_fisica"/>
  </r>
  <r>
    <s v="V00528"/>
    <d v="2025-04-01T00:00:00"/>
    <x v="0"/>
    <n v="4"/>
    <s v="abril"/>
    <s v="T2"/>
    <s v="P010"/>
    <x v="1"/>
    <x v="1"/>
    <x v="1"/>
    <n v="11"/>
    <n v="15.04"/>
    <n v="11.74"/>
    <n v="0"/>
    <n v="165.44"/>
    <n v="129.14000000000001"/>
    <n v="36.299999999999983"/>
    <x v="638"/>
    <x v="1"/>
    <x v="3"/>
    <s v="online"/>
  </r>
  <r>
    <s v="V00689"/>
    <d v="2025-12-08T00:00:00"/>
    <x v="0"/>
    <n v="12"/>
    <s v="diciembre"/>
    <s v="T4"/>
    <s v="P002"/>
    <x v="3"/>
    <x v="2"/>
    <x v="3"/>
    <n v="1"/>
    <n v="75.44"/>
    <n v="48.18"/>
    <n v="0"/>
    <n v="75.44"/>
    <n v="48.18"/>
    <n v="27.259999999999998"/>
    <x v="639"/>
    <x v="1"/>
    <x v="5"/>
    <s v="tienda_fisica"/>
  </r>
  <r>
    <s v="V01603"/>
    <d v="2025-06-22T00:00:00"/>
    <x v="0"/>
    <n v="6"/>
    <s v="junio"/>
    <s v="T2"/>
    <s v="P004"/>
    <x v="6"/>
    <x v="2"/>
    <x v="3"/>
    <n v="1"/>
    <n v="154.85"/>
    <n v="110.36"/>
    <n v="0"/>
    <n v="154.85"/>
    <n v="110.36"/>
    <n v="44.489999999999995"/>
    <x v="640"/>
    <x v="1"/>
    <x v="4"/>
    <s v="tienda_fisica"/>
  </r>
  <r>
    <s v="V00312"/>
    <d v="2024-06-28T00:00:00"/>
    <x v="1"/>
    <n v="6"/>
    <s v="junio"/>
    <s v="T2"/>
    <s v="P010"/>
    <x v="1"/>
    <x v="1"/>
    <x v="1"/>
    <n v="1"/>
    <n v="16.41"/>
    <n v="10.87"/>
    <n v="0"/>
    <n v="16.41"/>
    <n v="10.87"/>
    <n v="5.5400000000000009"/>
    <x v="641"/>
    <x v="1"/>
    <x v="0"/>
    <s v="online"/>
  </r>
  <r>
    <s v="V01974"/>
    <d v="2024-11-26T00:00:00"/>
    <x v="1"/>
    <n v="11"/>
    <s v="noviembre"/>
    <s v="T4"/>
    <s v="P003"/>
    <x v="7"/>
    <x v="2"/>
    <x v="3"/>
    <n v="1"/>
    <n v="177.72"/>
    <n v="96.08"/>
    <n v="0"/>
    <n v="177.72"/>
    <n v="96.08"/>
    <n v="81.64"/>
    <x v="642"/>
    <x v="0"/>
    <x v="6"/>
    <s v="tienda_fisica"/>
  </r>
  <r>
    <s v="V01318"/>
    <d v="2025-07-24T00:00:00"/>
    <x v="0"/>
    <n v="7"/>
    <s v="julio"/>
    <s v="T3"/>
    <s v="P002"/>
    <x v="3"/>
    <x v="2"/>
    <x v="3"/>
    <n v="1"/>
    <n v="74.14"/>
    <n v="44.89"/>
    <n v="0"/>
    <n v="74.14"/>
    <n v="44.89"/>
    <n v="29.25"/>
    <x v="643"/>
    <x v="0"/>
    <x v="3"/>
    <s v="online"/>
  </r>
  <r>
    <s v="V00748"/>
    <d v="2024-05-09T00:00:00"/>
    <x v="1"/>
    <n v="5"/>
    <s v="mayo"/>
    <s v="T2"/>
    <s v="P013"/>
    <x v="8"/>
    <x v="2"/>
    <x v="2"/>
    <n v="1"/>
    <n v="74.5"/>
    <n v="47.62"/>
    <n v="0"/>
    <n v="74.5"/>
    <n v="47.62"/>
    <n v="26.880000000000003"/>
    <x v="644"/>
    <x v="1"/>
    <x v="0"/>
    <s v="tienda_fisica"/>
  </r>
  <r>
    <s v="V00020"/>
    <d v="2024-07-09T00:00:00"/>
    <x v="1"/>
    <n v="7"/>
    <s v="julio"/>
    <s v="T3"/>
    <s v="P003"/>
    <x v="7"/>
    <x v="2"/>
    <x v="3"/>
    <n v="3"/>
    <n v="165.83"/>
    <n v="95.67"/>
    <n v="0"/>
    <n v="497.49"/>
    <n v="287.01"/>
    <n v="210.48000000000002"/>
    <x v="645"/>
    <x v="0"/>
    <x v="3"/>
    <s v="online"/>
  </r>
  <r>
    <s v="V01780"/>
    <d v="2024-08-21T00:00:00"/>
    <x v="1"/>
    <n v="8"/>
    <s v="agosto"/>
    <s v="T3"/>
    <s v="P011"/>
    <x v="10"/>
    <x v="1"/>
    <x v="1"/>
    <n v="5"/>
    <n v="21.62"/>
    <n v="11.36"/>
    <n v="0"/>
    <n v="108.10000000000001"/>
    <n v="56.8"/>
    <n v="51.300000000000011"/>
    <x v="646"/>
    <x v="0"/>
    <x v="0"/>
    <s v="tienda_fisica"/>
  </r>
  <r>
    <s v="V00358"/>
    <d v="2025-01-10T00:00:00"/>
    <x v="0"/>
    <n v="1"/>
    <s v="enero"/>
    <s v="T1"/>
    <s v="P004"/>
    <x v="6"/>
    <x v="2"/>
    <x v="3"/>
    <n v="2"/>
    <n v="168.83"/>
    <n v="111.38"/>
    <n v="0"/>
    <n v="337.66"/>
    <n v="222.76"/>
    <n v="114.90000000000003"/>
    <x v="647"/>
    <x v="1"/>
    <x v="2"/>
    <s v="tienda_fisica"/>
  </r>
  <r>
    <s v="V00361"/>
    <d v="2025-03-04T00:00:00"/>
    <x v="0"/>
    <n v="3"/>
    <s v="marzo"/>
    <s v="T1"/>
    <s v="P005"/>
    <x v="18"/>
    <x v="0"/>
    <x v="0"/>
    <n v="1"/>
    <n v="56.79"/>
    <n v="39.93"/>
    <n v="0"/>
    <n v="56.79"/>
    <n v="39.93"/>
    <n v="16.86"/>
    <x v="648"/>
    <x v="1"/>
    <x v="5"/>
    <s v="online"/>
  </r>
  <r>
    <s v="V01331"/>
    <d v="2025-12-30T00:00:00"/>
    <x v="0"/>
    <n v="12"/>
    <s v="diciembre"/>
    <s v="T4"/>
    <s v="P008"/>
    <x v="4"/>
    <x v="2"/>
    <x v="0"/>
    <n v="3"/>
    <n v="104.48"/>
    <n v="54.86"/>
    <n v="0"/>
    <n v="313.44"/>
    <n v="164.57999999999998"/>
    <n v="148.86000000000001"/>
    <x v="649"/>
    <x v="0"/>
    <x v="3"/>
    <s v="tienda_fisica"/>
  </r>
  <r>
    <s v="V00735"/>
    <d v="2024-11-06T00:00:00"/>
    <x v="1"/>
    <n v="11"/>
    <s v="noviembre"/>
    <s v="T4"/>
    <s v="P016"/>
    <x v="11"/>
    <x v="2"/>
    <x v="2"/>
    <n v="1"/>
    <n v="74.77"/>
    <n v="42.48"/>
    <n v="0"/>
    <n v="74.77"/>
    <n v="42.48"/>
    <n v="32.29"/>
    <x v="650"/>
    <x v="0"/>
    <x v="3"/>
    <s v="tienda_fisica"/>
  </r>
  <r>
    <s v="V01151"/>
    <d v="2025-12-11T00:00:00"/>
    <x v="0"/>
    <n v="12"/>
    <s v="diciembre"/>
    <s v="T4"/>
    <s v="P007"/>
    <x v="15"/>
    <x v="1"/>
    <x v="0"/>
    <n v="1"/>
    <n v="20.149999999999999"/>
    <n v="12.34"/>
    <n v="0"/>
    <n v="20.149999999999999"/>
    <n v="12.34"/>
    <n v="7.8099999999999987"/>
    <x v="651"/>
    <x v="0"/>
    <x v="3"/>
    <s v="tienda_fisica"/>
  </r>
  <r>
    <s v="V00393"/>
    <d v="2024-12-04T00:00:00"/>
    <x v="1"/>
    <n v="12"/>
    <s v="diciembre"/>
    <s v="T4"/>
    <s v="P001"/>
    <x v="9"/>
    <x v="2"/>
    <x v="3"/>
    <n v="1"/>
    <n v="124.08"/>
    <n v="86.62"/>
    <n v="0"/>
    <n v="124.08"/>
    <n v="86.62"/>
    <n v="37.459999999999994"/>
    <x v="652"/>
    <x v="1"/>
    <x v="0"/>
    <s v="tienda_fisica"/>
  </r>
  <r>
    <s v="V02157"/>
    <d v="2024-12-12T00:00:00"/>
    <x v="1"/>
    <n v="12"/>
    <s v="diciembre"/>
    <s v="T4"/>
    <s v="P007"/>
    <x v="15"/>
    <x v="1"/>
    <x v="0"/>
    <n v="5"/>
    <n v="18.66"/>
    <n v="13.41"/>
    <n v="0"/>
    <n v="93.3"/>
    <n v="67.05"/>
    <n v="26.25"/>
    <x v="653"/>
    <x v="1"/>
    <x v="3"/>
    <s v="tienda_fisica"/>
  </r>
  <r>
    <s v="V00857"/>
    <d v="2024-04-01T00:00:00"/>
    <x v="1"/>
    <n v="4"/>
    <s v="abril"/>
    <s v="T2"/>
    <s v="P014"/>
    <x v="16"/>
    <x v="1"/>
    <x v="2"/>
    <n v="7"/>
    <n v="13.57"/>
    <n v="9.3000000000000007"/>
    <n v="0"/>
    <n v="94.990000000000009"/>
    <n v="65.100000000000009"/>
    <n v="29.89"/>
    <x v="654"/>
    <x v="1"/>
    <x v="3"/>
    <s v="tienda_fisica"/>
  </r>
  <r>
    <s v="V00223"/>
    <d v="2024-09-20T00:00:00"/>
    <x v="1"/>
    <n v="9"/>
    <s v="septiembre"/>
    <s v="T3"/>
    <s v="P011"/>
    <x v="10"/>
    <x v="1"/>
    <x v="1"/>
    <n v="5"/>
    <n v="21.38"/>
    <n v="11.67"/>
    <n v="0"/>
    <n v="106.89999999999999"/>
    <n v="58.35"/>
    <n v="48.54999999999999"/>
    <x v="655"/>
    <x v="0"/>
    <x v="2"/>
    <s v="tienda_fisica"/>
  </r>
  <r>
    <s v="V01103"/>
    <d v="2025-08-01T00:00:00"/>
    <x v="0"/>
    <n v="8"/>
    <s v="agosto"/>
    <s v="T3"/>
    <s v="P008"/>
    <x v="4"/>
    <x v="2"/>
    <x v="0"/>
    <n v="3"/>
    <n v="106.45"/>
    <n v="59.47"/>
    <n v="0"/>
    <n v="319.35000000000002"/>
    <n v="178.41"/>
    <n v="140.94000000000003"/>
    <x v="656"/>
    <x v="0"/>
    <x v="0"/>
    <s v="tienda_fisica"/>
  </r>
  <r>
    <s v="V01083"/>
    <d v="2024-08-13T00:00:00"/>
    <x v="1"/>
    <n v="8"/>
    <s v="agosto"/>
    <s v="T3"/>
    <s v="P012"/>
    <x v="13"/>
    <x v="1"/>
    <x v="1"/>
    <n v="2"/>
    <n v="9.26"/>
    <n v="5.62"/>
    <n v="0"/>
    <n v="18.52"/>
    <n v="11.24"/>
    <n v="7.2799999999999994"/>
    <x v="657"/>
    <x v="0"/>
    <x v="0"/>
    <s v="online"/>
  </r>
  <r>
    <s v="V00624"/>
    <d v="2024-10-25T00:00:00"/>
    <x v="1"/>
    <n v="10"/>
    <s v="octubre"/>
    <s v="T4"/>
    <s v="P001"/>
    <x v="9"/>
    <x v="2"/>
    <x v="3"/>
    <n v="7"/>
    <n v="122.57"/>
    <n v="82.93"/>
    <n v="0"/>
    <n v="857.99"/>
    <n v="580.51"/>
    <n v="277.48"/>
    <x v="658"/>
    <x v="1"/>
    <x v="3"/>
    <s v="online"/>
  </r>
  <r>
    <s v="V00763"/>
    <d v="2025-08-13T00:00:00"/>
    <x v="0"/>
    <n v="8"/>
    <s v="agosto"/>
    <s v="T3"/>
    <s v="P018"/>
    <x v="5"/>
    <x v="0"/>
    <x v="4"/>
    <n v="3"/>
    <n v="30.92"/>
    <n v="16.48"/>
    <n v="0"/>
    <n v="92.76"/>
    <n v="49.44"/>
    <n v="43.320000000000007"/>
    <x v="659"/>
    <x v="0"/>
    <x v="2"/>
    <s v="tienda_fisica"/>
  </r>
  <r>
    <s v="V01668"/>
    <d v="2025-08-13T00:00:00"/>
    <x v="0"/>
    <n v="8"/>
    <s v="agosto"/>
    <s v="T3"/>
    <s v="P017"/>
    <x v="17"/>
    <x v="0"/>
    <x v="4"/>
    <n v="1"/>
    <n v="51.96"/>
    <n v="22.31"/>
    <n v="0"/>
    <n v="51.96"/>
    <n v="22.31"/>
    <n v="29.650000000000002"/>
    <x v="660"/>
    <x v="0"/>
    <x v="3"/>
    <s v="tienda_fisica"/>
  </r>
  <r>
    <s v="V00398"/>
    <d v="2025-06-04T00:00:00"/>
    <x v="0"/>
    <n v="6"/>
    <s v="junio"/>
    <s v="T2"/>
    <s v="P017"/>
    <x v="17"/>
    <x v="0"/>
    <x v="4"/>
    <n v="3"/>
    <n v="46.7"/>
    <n v="23.73"/>
    <n v="0"/>
    <n v="140.10000000000002"/>
    <n v="71.19"/>
    <n v="68.910000000000025"/>
    <x v="661"/>
    <x v="0"/>
    <x v="0"/>
    <s v="online"/>
  </r>
  <r>
    <s v="V01107"/>
    <d v="2025-11-21T00:00:00"/>
    <x v="0"/>
    <n v="11"/>
    <s v="noviembre"/>
    <s v="T4"/>
    <s v="P014"/>
    <x v="16"/>
    <x v="1"/>
    <x v="2"/>
    <n v="1"/>
    <n v="13.67"/>
    <n v="9.18"/>
    <n v="0"/>
    <n v="13.67"/>
    <n v="9.18"/>
    <n v="4.49"/>
    <x v="662"/>
    <x v="1"/>
    <x v="4"/>
    <s v="online"/>
  </r>
  <r>
    <s v="V00314"/>
    <d v="2024-04-23T00:00:00"/>
    <x v="1"/>
    <n v="4"/>
    <s v="abril"/>
    <s v="T2"/>
    <s v="P005"/>
    <x v="18"/>
    <x v="0"/>
    <x v="0"/>
    <n v="1"/>
    <n v="56.2"/>
    <n v="39.76"/>
    <n v="0"/>
    <n v="56.2"/>
    <n v="39.76"/>
    <n v="16.440000000000005"/>
    <x v="663"/>
    <x v="1"/>
    <x v="5"/>
    <s v="tienda_fisica"/>
  </r>
  <r>
    <s v="V00288"/>
    <d v="2024-10-05T00:00:00"/>
    <x v="1"/>
    <n v="10"/>
    <s v="octubre"/>
    <s v="T4"/>
    <s v="P014"/>
    <x v="16"/>
    <x v="1"/>
    <x v="2"/>
    <n v="3"/>
    <n v="13.09"/>
    <n v="9.92"/>
    <n v="0.09"/>
    <n v="35.735699999999994"/>
    <n v="29.759999999999998"/>
    <n v="5.9756999999999962"/>
    <x v="664"/>
    <x v="1"/>
    <x v="0"/>
    <s v="online"/>
  </r>
  <r>
    <s v="V00594"/>
    <d v="2024-02-07T00:00:00"/>
    <x v="1"/>
    <n v="2"/>
    <s v="febrero"/>
    <s v="T1"/>
    <s v="P001"/>
    <x v="9"/>
    <x v="2"/>
    <x v="3"/>
    <n v="5"/>
    <n v="116.55"/>
    <n v="85.61"/>
    <n v="0"/>
    <n v="582.75"/>
    <n v="428.05"/>
    <n v="154.69999999999999"/>
    <x v="665"/>
    <x v="1"/>
    <x v="3"/>
    <s v="online"/>
  </r>
  <r>
    <s v="V01071"/>
    <d v="2024-03-13T00:00:00"/>
    <x v="1"/>
    <n v="3"/>
    <s v="marzo"/>
    <s v="T1"/>
    <s v="P013"/>
    <x v="8"/>
    <x v="2"/>
    <x v="2"/>
    <n v="3"/>
    <n v="76.790000000000006"/>
    <n v="45.48"/>
    <n v="0"/>
    <n v="230.37"/>
    <n v="136.44"/>
    <n v="93.93"/>
    <x v="666"/>
    <x v="0"/>
    <x v="4"/>
    <s v="online"/>
  </r>
  <r>
    <s v="V01011"/>
    <d v="2024-03-08T00:00:00"/>
    <x v="1"/>
    <n v="3"/>
    <s v="marzo"/>
    <s v="T1"/>
    <s v="P018"/>
    <x v="5"/>
    <x v="1"/>
    <x v="4"/>
    <n v="3"/>
    <n v="29.81"/>
    <n v="17.5"/>
    <n v="0"/>
    <n v="89.429999999999993"/>
    <n v="52.5"/>
    <n v="36.929999999999993"/>
    <x v="667"/>
    <x v="0"/>
    <x v="0"/>
    <s v="tienda_fisica"/>
  </r>
  <r>
    <s v="V01990"/>
    <d v="2024-06-24T00:00:00"/>
    <x v="1"/>
    <n v="6"/>
    <s v="junio"/>
    <s v="T2"/>
    <s v="P020"/>
    <x v="19"/>
    <x v="2"/>
    <x v="4"/>
    <n v="4"/>
    <n v="59.34"/>
    <n v="34.450000000000003"/>
    <n v="0.16"/>
    <n v="199.38240000000002"/>
    <n v="137.80000000000001"/>
    <n v="61.582400000000007"/>
    <x v="668"/>
    <x v="1"/>
    <x v="4"/>
    <s v="tienda_fisica"/>
  </r>
  <r>
    <s v="V01052"/>
    <d v="2024-02-24T00:00:00"/>
    <x v="1"/>
    <n v="2"/>
    <s v="febrero"/>
    <s v="T1"/>
    <s v="P017"/>
    <x v="17"/>
    <x v="0"/>
    <x v="4"/>
    <n v="3"/>
    <n v="46.46"/>
    <n v="23.59"/>
    <n v="0"/>
    <n v="139.38"/>
    <n v="70.77"/>
    <n v="68.61"/>
    <x v="669"/>
    <x v="0"/>
    <x v="4"/>
    <s v="tienda_fisica"/>
  </r>
  <r>
    <s v="V01660"/>
    <d v="2024-06-29T00:00:00"/>
    <x v="1"/>
    <n v="6"/>
    <s v="junio"/>
    <s v="T2"/>
    <s v="P018"/>
    <x v="5"/>
    <x v="0"/>
    <x v="4"/>
    <n v="2"/>
    <n v="33.06"/>
    <n v="17.13"/>
    <n v="0"/>
    <n v="66.12"/>
    <n v="34.26"/>
    <n v="31.860000000000007"/>
    <x v="670"/>
    <x v="0"/>
    <x v="2"/>
    <s v="online"/>
  </r>
  <r>
    <s v="V00439"/>
    <d v="2024-07-24T00:00:00"/>
    <x v="1"/>
    <n v="7"/>
    <s v="julio"/>
    <s v="T3"/>
    <s v="P019"/>
    <x v="14"/>
    <x v="0"/>
    <x v="4"/>
    <n v="1"/>
    <n v="57.37"/>
    <n v="33.76"/>
    <n v="0"/>
    <n v="57.37"/>
    <n v="33.76"/>
    <n v="23.61"/>
    <x v="671"/>
    <x v="0"/>
    <x v="0"/>
    <s v="tienda_fisica"/>
  </r>
  <r>
    <s v="V00327"/>
    <d v="2025-04-21T00:00:00"/>
    <x v="0"/>
    <n v="4"/>
    <s v="abril"/>
    <s v="T2"/>
    <s v="P015"/>
    <x v="2"/>
    <x v="2"/>
    <x v="2"/>
    <n v="3"/>
    <n v="80.25"/>
    <n v="41.06"/>
    <n v="0"/>
    <n v="240.75"/>
    <n v="123.18"/>
    <n v="117.57"/>
    <x v="672"/>
    <x v="0"/>
    <x v="3"/>
    <s v="tienda_fisica"/>
  </r>
  <r>
    <s v="V00695"/>
    <d v="2025-08-31T00:00:00"/>
    <x v="0"/>
    <n v="8"/>
    <s v="agosto"/>
    <s v="T3"/>
    <s v="P005"/>
    <x v="18"/>
    <x v="2"/>
    <x v="0"/>
    <n v="2"/>
    <n v="61.92"/>
    <n v="40.18"/>
    <n v="0"/>
    <n v="123.84"/>
    <n v="80.36"/>
    <n v="43.480000000000004"/>
    <x v="673"/>
    <x v="1"/>
    <x v="4"/>
    <s v="tienda_fisica"/>
  </r>
  <r>
    <s v="V01504"/>
    <d v="2024-02-02T00:00:00"/>
    <x v="1"/>
    <n v="2"/>
    <s v="febrero"/>
    <s v="T1"/>
    <s v="P010"/>
    <x v="1"/>
    <x v="1"/>
    <x v="1"/>
    <n v="1"/>
    <n v="16.22"/>
    <n v="11.96"/>
    <n v="0"/>
    <n v="16.22"/>
    <n v="11.96"/>
    <n v="4.259999999999998"/>
    <x v="674"/>
    <x v="1"/>
    <x v="0"/>
    <s v="online"/>
  </r>
  <r>
    <s v="V01741"/>
    <d v="2024-04-24T00:00:00"/>
    <x v="1"/>
    <n v="4"/>
    <s v="abril"/>
    <s v="T2"/>
    <s v="P005"/>
    <x v="18"/>
    <x v="2"/>
    <x v="0"/>
    <n v="1"/>
    <n v="59.7"/>
    <n v="41.53"/>
    <n v="0"/>
    <n v="59.7"/>
    <n v="41.53"/>
    <n v="18.170000000000002"/>
    <x v="675"/>
    <x v="1"/>
    <x v="3"/>
    <s v="tienda_fisica"/>
  </r>
  <r>
    <s v="V00018"/>
    <d v="2024-10-19T00:00:00"/>
    <x v="1"/>
    <n v="10"/>
    <s v="octubre"/>
    <s v="T4"/>
    <s v="P015"/>
    <x v="2"/>
    <x v="2"/>
    <x v="2"/>
    <n v="5"/>
    <n v="75.27"/>
    <n v="44.8"/>
    <n v="0"/>
    <n v="376.34999999999997"/>
    <n v="224"/>
    <n v="152.34999999999997"/>
    <x v="676"/>
    <x v="0"/>
    <x v="0"/>
    <s v="tienda_fisica"/>
  </r>
  <r>
    <s v="V00994"/>
    <d v="2024-11-21T00:00:00"/>
    <x v="1"/>
    <n v="11"/>
    <s v="noviembre"/>
    <s v="T4"/>
    <s v="P020"/>
    <x v="19"/>
    <x v="2"/>
    <x v="4"/>
    <n v="4"/>
    <n v="63.23"/>
    <n v="34.04"/>
    <n v="0.21"/>
    <n v="199.80680000000001"/>
    <n v="136.16"/>
    <n v="63.646800000000013"/>
    <x v="677"/>
    <x v="1"/>
    <x v="3"/>
    <s v="tienda_fisica"/>
  </r>
  <r>
    <s v="V01409"/>
    <d v="2025-02-04T00:00:00"/>
    <x v="0"/>
    <n v="2"/>
    <s v="febrero"/>
    <s v="T1"/>
    <s v="P015"/>
    <x v="2"/>
    <x v="2"/>
    <x v="2"/>
    <n v="3"/>
    <n v="75.13"/>
    <n v="44.87"/>
    <n v="0"/>
    <n v="225.39"/>
    <n v="134.60999999999999"/>
    <n v="90.78"/>
    <x v="678"/>
    <x v="0"/>
    <x v="4"/>
    <s v="online"/>
  </r>
  <r>
    <s v="V00282"/>
    <d v="2024-01-18T00:00:00"/>
    <x v="1"/>
    <n v="1"/>
    <s v="enero"/>
    <s v="T1"/>
    <s v="P003"/>
    <x v="7"/>
    <x v="2"/>
    <x v="3"/>
    <n v="1"/>
    <n v="177.72"/>
    <n v="93.23"/>
    <n v="0"/>
    <n v="177.72"/>
    <n v="93.23"/>
    <n v="84.49"/>
    <x v="679"/>
    <x v="0"/>
    <x v="4"/>
    <s v="online"/>
  </r>
  <r>
    <s v="V00848"/>
    <d v="2025-05-08T00:00:00"/>
    <x v="0"/>
    <n v="5"/>
    <s v="mayo"/>
    <s v="T2"/>
    <s v="P005"/>
    <x v="18"/>
    <x v="2"/>
    <x v="0"/>
    <n v="8"/>
    <n v="63.69"/>
    <n v="41.56"/>
    <n v="0.23"/>
    <n v="392.3304"/>
    <n v="332.48"/>
    <n v="59.850399999999979"/>
    <x v="680"/>
    <x v="1"/>
    <x v="3"/>
    <s v="online"/>
  </r>
  <r>
    <s v="V00352"/>
    <d v="2025-04-13T00:00:00"/>
    <x v="0"/>
    <n v="4"/>
    <s v="abril"/>
    <s v="T2"/>
    <s v="P019"/>
    <x v="14"/>
    <x v="0"/>
    <x v="4"/>
    <n v="1"/>
    <n v="57.83"/>
    <n v="34.270000000000003"/>
    <n v="0"/>
    <n v="57.83"/>
    <n v="34.270000000000003"/>
    <n v="23.559999999999995"/>
    <x v="681"/>
    <x v="0"/>
    <x v="3"/>
    <s v="tienda_fisica"/>
  </r>
  <r>
    <s v="V01277"/>
    <d v="2024-05-03T00:00:00"/>
    <x v="1"/>
    <n v="5"/>
    <s v="mayo"/>
    <s v="T2"/>
    <s v="P004"/>
    <x v="6"/>
    <x v="2"/>
    <x v="3"/>
    <n v="2"/>
    <n v="151.01"/>
    <n v="114.07"/>
    <n v="0"/>
    <n v="302.02"/>
    <n v="228.14"/>
    <n v="73.88"/>
    <x v="682"/>
    <x v="1"/>
    <x v="4"/>
    <s v="online"/>
  </r>
  <r>
    <s v="V00872"/>
    <d v="2025-01-21T00:00:00"/>
    <x v="0"/>
    <n v="1"/>
    <s v="enero"/>
    <s v="T1"/>
    <s v="P011"/>
    <x v="10"/>
    <x v="1"/>
    <x v="1"/>
    <n v="5"/>
    <n v="22.49"/>
    <n v="11.93"/>
    <n v="0"/>
    <n v="112.44999999999999"/>
    <n v="59.65"/>
    <n v="52.79999999999999"/>
    <x v="683"/>
    <x v="0"/>
    <x v="5"/>
    <s v="tienda_fisica"/>
  </r>
  <r>
    <s v="V00985"/>
    <d v="2024-04-09T00:00:00"/>
    <x v="1"/>
    <n v="4"/>
    <s v="abril"/>
    <s v="T2"/>
    <s v="P019"/>
    <x v="14"/>
    <x v="2"/>
    <x v="4"/>
    <n v="1"/>
    <n v="62.03"/>
    <n v="33.01"/>
    <n v="0.1"/>
    <n v="55.827000000000005"/>
    <n v="33.01"/>
    <n v="22.817000000000007"/>
    <x v="684"/>
    <x v="0"/>
    <x v="3"/>
    <s v="tienda_fisica"/>
  </r>
  <r>
    <s v="V00043"/>
    <d v="2025-04-05T00:00:00"/>
    <x v="0"/>
    <n v="4"/>
    <s v="abril"/>
    <s v="T2"/>
    <s v="P016"/>
    <x v="11"/>
    <x v="2"/>
    <x v="2"/>
    <n v="4"/>
    <n v="79.14"/>
    <n v="41.53"/>
    <n v="0"/>
    <n v="316.56"/>
    <n v="166.12"/>
    <n v="150.44"/>
    <x v="685"/>
    <x v="0"/>
    <x v="3"/>
    <s v="online"/>
  </r>
  <r>
    <s v="V01651"/>
    <d v="2024-12-04T00:00:00"/>
    <x v="1"/>
    <n v="12"/>
    <s v="diciembre"/>
    <s v="T4"/>
    <s v="P002"/>
    <x v="3"/>
    <x v="2"/>
    <x v="3"/>
    <n v="5"/>
    <n v="77.84"/>
    <n v="46.91"/>
    <n v="0"/>
    <n v="389.20000000000005"/>
    <n v="234.54999999999998"/>
    <n v="154.65000000000006"/>
    <x v="686"/>
    <x v="0"/>
    <x v="2"/>
    <s v="tienda_fisica"/>
  </r>
  <r>
    <s v="V00102"/>
    <d v="2025-08-24T00:00:00"/>
    <x v="0"/>
    <n v="8"/>
    <s v="agosto"/>
    <s v="T3"/>
    <s v="P014"/>
    <x v="16"/>
    <x v="1"/>
    <x v="2"/>
    <n v="2"/>
    <n v="14.07"/>
    <n v="9.49"/>
    <n v="0"/>
    <n v="28.14"/>
    <n v="18.98"/>
    <n v="9.16"/>
    <x v="687"/>
    <x v="1"/>
    <x v="2"/>
    <s v="online"/>
  </r>
  <r>
    <s v="V00276"/>
    <d v="2025-10-18T00:00:00"/>
    <x v="0"/>
    <n v="10"/>
    <s v="octubre"/>
    <s v="T4"/>
    <s v="P005"/>
    <x v="18"/>
    <x v="2"/>
    <x v="0"/>
    <n v="3"/>
    <n v="61.1"/>
    <n v="40.92"/>
    <n v="0"/>
    <n v="183.3"/>
    <n v="122.76"/>
    <n v="60.540000000000006"/>
    <x v="688"/>
    <x v="1"/>
    <x v="6"/>
    <s v="online"/>
  </r>
  <r>
    <s v="V00287"/>
    <d v="2024-06-19T00:00:00"/>
    <x v="1"/>
    <n v="6"/>
    <s v="junio"/>
    <s v="T2"/>
    <s v="P009"/>
    <x v="12"/>
    <x v="1"/>
    <x v="1"/>
    <n v="9"/>
    <n v="7.37"/>
    <n v="4.49"/>
    <n v="0"/>
    <n v="66.33"/>
    <n v="40.410000000000004"/>
    <n v="25.919999999999995"/>
    <x v="689"/>
    <x v="0"/>
    <x v="3"/>
    <s v="tienda_fisica"/>
  </r>
  <r>
    <s v="V00447"/>
    <d v="2024-06-08T00:00:00"/>
    <x v="1"/>
    <n v="6"/>
    <s v="junio"/>
    <s v="T2"/>
    <s v="P012"/>
    <x v="13"/>
    <x v="1"/>
    <x v="1"/>
    <n v="1"/>
    <n v="8.73"/>
    <n v="5.77"/>
    <n v="0"/>
    <n v="8.73"/>
    <n v="5.77"/>
    <n v="2.9600000000000009"/>
    <x v="690"/>
    <x v="1"/>
    <x v="2"/>
    <s v="online"/>
  </r>
  <r>
    <s v="V00846"/>
    <d v="2025-04-23T00:00:00"/>
    <x v="0"/>
    <n v="4"/>
    <s v="abril"/>
    <s v="T2"/>
    <s v="P014"/>
    <x v="16"/>
    <x v="1"/>
    <x v="2"/>
    <n v="1"/>
    <n v="13.52"/>
    <n v="9.3699999999999992"/>
    <n v="0"/>
    <n v="13.52"/>
    <n v="9.3699999999999992"/>
    <n v="4.1500000000000004"/>
    <x v="691"/>
    <x v="1"/>
    <x v="3"/>
    <s v="tienda_fisica"/>
  </r>
  <r>
    <s v="V00250"/>
    <d v="2024-12-19T00:00:00"/>
    <x v="1"/>
    <n v="12"/>
    <s v="diciembre"/>
    <s v="T4"/>
    <s v="P005"/>
    <x v="18"/>
    <x v="0"/>
    <x v="0"/>
    <n v="1"/>
    <n v="55.72"/>
    <n v="42.53"/>
    <n v="0"/>
    <n v="55.72"/>
    <n v="42.53"/>
    <n v="13.189999999999998"/>
    <x v="692"/>
    <x v="1"/>
    <x v="6"/>
    <s v="tienda_fisica"/>
  </r>
  <r>
    <s v="V00135"/>
    <d v="2024-06-02T00:00:00"/>
    <x v="1"/>
    <n v="6"/>
    <s v="junio"/>
    <s v="T2"/>
    <s v="P020"/>
    <x v="19"/>
    <x v="2"/>
    <x v="4"/>
    <n v="1"/>
    <n v="64.83"/>
    <n v="34.450000000000003"/>
    <n v="0"/>
    <n v="64.83"/>
    <n v="34.450000000000003"/>
    <n v="30.379999999999995"/>
    <x v="693"/>
    <x v="0"/>
    <x v="3"/>
    <s v="tienda_fisica"/>
  </r>
  <r>
    <s v="V00575"/>
    <d v="2024-09-15T00:00:00"/>
    <x v="1"/>
    <n v="9"/>
    <s v="septiembre"/>
    <s v="T3"/>
    <s v="P009"/>
    <x v="12"/>
    <x v="1"/>
    <x v="1"/>
    <n v="1"/>
    <n v="7.97"/>
    <n v="4.17"/>
    <n v="0"/>
    <n v="7.97"/>
    <n v="4.17"/>
    <n v="3.8"/>
    <x v="694"/>
    <x v="0"/>
    <x v="3"/>
    <s v="online"/>
  </r>
  <r>
    <s v="V01835"/>
    <d v="2024-08-27T00:00:00"/>
    <x v="1"/>
    <n v="8"/>
    <s v="agosto"/>
    <s v="T3"/>
    <s v="P004"/>
    <x v="6"/>
    <x v="2"/>
    <x v="3"/>
    <n v="1"/>
    <n v="173.24"/>
    <n v="105.57"/>
    <n v="0"/>
    <n v="173.24"/>
    <n v="105.57"/>
    <n v="67.670000000000016"/>
    <x v="695"/>
    <x v="0"/>
    <x v="3"/>
    <s v="online"/>
  </r>
  <r>
    <s v="V00595"/>
    <d v="2024-06-01T00:00:00"/>
    <x v="1"/>
    <n v="6"/>
    <s v="junio"/>
    <s v="T2"/>
    <s v="P018"/>
    <x v="5"/>
    <x v="0"/>
    <x v="4"/>
    <n v="1"/>
    <n v="30.86"/>
    <n v="16.48"/>
    <n v="0"/>
    <n v="30.86"/>
    <n v="16.48"/>
    <n v="14.379999999999999"/>
    <x v="696"/>
    <x v="0"/>
    <x v="2"/>
    <s v="online"/>
  </r>
  <r>
    <s v="V00129"/>
    <d v="2024-06-03T00:00:00"/>
    <x v="1"/>
    <n v="6"/>
    <s v="junio"/>
    <s v="T2"/>
    <s v="P011"/>
    <x v="10"/>
    <x v="1"/>
    <x v="1"/>
    <n v="4"/>
    <n v="21.82"/>
    <n v="11.23"/>
    <n v="0.17"/>
    <n v="72.442399999999992"/>
    <n v="44.92"/>
    <n v="27.52239999999999"/>
    <x v="697"/>
    <x v="0"/>
    <x v="0"/>
    <s v="tienda_fisica"/>
  </r>
  <r>
    <s v="V00573"/>
    <d v="2025-03-07T00:00:00"/>
    <x v="0"/>
    <n v="3"/>
    <s v="marzo"/>
    <s v="T1"/>
    <s v="P011"/>
    <x v="10"/>
    <x v="1"/>
    <x v="1"/>
    <n v="1"/>
    <n v="22.18"/>
    <n v="11.51"/>
    <n v="0"/>
    <n v="22.18"/>
    <n v="11.51"/>
    <n v="10.67"/>
    <x v="698"/>
    <x v="0"/>
    <x v="3"/>
    <s v="tienda_fisica "/>
  </r>
  <r>
    <s v="V00104"/>
    <d v="2024-10-09T00:00:00"/>
    <x v="1"/>
    <n v="10"/>
    <s v="octubre"/>
    <s v="T4"/>
    <s v="P013"/>
    <x v="8"/>
    <x v="2"/>
    <x v="2"/>
    <n v="4"/>
    <n v="78"/>
    <n v="45.34"/>
    <n v="0"/>
    <n v="312"/>
    <n v="181.36"/>
    <n v="130.63999999999999"/>
    <x v="699"/>
    <x v="0"/>
    <x v="3"/>
    <s v="online"/>
  </r>
  <r>
    <s v="V00411"/>
    <d v="2024-04-21T00:00:00"/>
    <x v="1"/>
    <n v="4"/>
    <s v="abril"/>
    <s v="T2"/>
    <s v="P018"/>
    <x v="5"/>
    <x v="1"/>
    <x v="4"/>
    <n v="8"/>
    <n v="29.13"/>
    <n v="17.38"/>
    <n v="0"/>
    <n v="233.04"/>
    <n v="139.04"/>
    <n v="94"/>
    <x v="700"/>
    <x v="0"/>
    <x v="3"/>
    <s v="tienda_fisica"/>
  </r>
  <r>
    <s v="V01825"/>
    <d v="2025-05-10T00:00:00"/>
    <x v="0"/>
    <n v="5"/>
    <s v="mayo"/>
    <s v="T2"/>
    <s v="P001"/>
    <x v="9"/>
    <x v="2"/>
    <x v="3"/>
    <n v="3"/>
    <n v="123.4"/>
    <n v="82.85"/>
    <n v="0"/>
    <n v="370.20000000000005"/>
    <n v="248.54999999999998"/>
    <n v="121.65000000000006"/>
    <x v="701"/>
    <x v="1"/>
    <x v="3"/>
    <s v="tienda_fisica"/>
  </r>
  <r>
    <s v="V02043"/>
    <d v="2024-08-02T00:00:00"/>
    <x v="1"/>
    <n v="8"/>
    <s v="agosto"/>
    <s v="T3"/>
    <s v="P001"/>
    <x v="9"/>
    <x v="2"/>
    <x v="3"/>
    <n v="2"/>
    <n v="127.57"/>
    <n v="84.97"/>
    <n v="0"/>
    <n v="255.14"/>
    <n v="169.94"/>
    <n v="85.199999999999989"/>
    <x v="702"/>
    <x v="1"/>
    <x v="0"/>
    <s v="online"/>
  </r>
  <r>
    <s v="V00605"/>
    <d v="2025-05-24T00:00:00"/>
    <x v="0"/>
    <n v="5"/>
    <s v="mayo"/>
    <s v="T2"/>
    <s v="P016"/>
    <x v="11"/>
    <x v="2"/>
    <x v="2"/>
    <n v="1"/>
    <n v="76.16"/>
    <n v="40.74"/>
    <n v="0"/>
    <n v="76.16"/>
    <n v="40.74"/>
    <n v="35.419999999999995"/>
    <x v="703"/>
    <x v="0"/>
    <x v="3"/>
    <s v="tienda_fisica"/>
  </r>
  <r>
    <s v="V01165"/>
    <d v="2024-02-27T00:00:00"/>
    <x v="1"/>
    <n v="2"/>
    <s v="febrero"/>
    <s v="T1"/>
    <s v="P004"/>
    <x v="6"/>
    <x v="2"/>
    <x v="3"/>
    <n v="2"/>
    <n v="156.05000000000001"/>
    <n v="113.91"/>
    <n v="0"/>
    <n v="312.10000000000002"/>
    <n v="227.82"/>
    <n v="84.28000000000003"/>
    <x v="704"/>
    <x v="1"/>
    <x v="0"/>
    <s v="tienda_fisica"/>
  </r>
  <r>
    <s v="V01589"/>
    <d v="2025-01-12T00:00:00"/>
    <x v="0"/>
    <n v="1"/>
    <s v="enero"/>
    <s v="T1"/>
    <s v="P005"/>
    <x v="18"/>
    <x v="2"/>
    <x v="0"/>
    <n v="2"/>
    <n v="64.069999999999993"/>
    <n v="40.15"/>
    <n v="0"/>
    <n v="128.13999999999999"/>
    <n v="80.3"/>
    <n v="47.839999999999989"/>
    <x v="705"/>
    <x v="1"/>
    <x v="2"/>
    <s v="tienda_fisica"/>
  </r>
  <r>
    <s v="V00834"/>
    <d v="2024-01-15T00:00:00"/>
    <x v="1"/>
    <n v="1"/>
    <s v="enero"/>
    <s v="T1"/>
    <s v="P001"/>
    <x v="9"/>
    <x v="2"/>
    <x v="3"/>
    <n v="4"/>
    <n v="129.66"/>
    <n v="86.81"/>
    <n v="0"/>
    <n v="518.64"/>
    <n v="347.24"/>
    <n v="171.39999999999998"/>
    <x v="706"/>
    <x v="1"/>
    <x v="3"/>
    <s v="online"/>
  </r>
  <r>
    <s v="V01153"/>
    <d v="2025-02-16T00:00:00"/>
    <x v="0"/>
    <n v="2"/>
    <s v="febrero"/>
    <s v="T1"/>
    <s v="P020"/>
    <x v="19"/>
    <x v="2"/>
    <x v="4"/>
    <n v="4"/>
    <n v="61.21"/>
    <n v="32.44"/>
    <n v="0.09"/>
    <n v="222.80440000000002"/>
    <n v="129.76"/>
    <n v="93.044400000000024"/>
    <x v="707"/>
    <x v="0"/>
    <x v="6"/>
    <s v="tienda_fisica"/>
  </r>
  <r>
    <s v="V01375"/>
    <d v="2024-03-04T00:00:00"/>
    <x v="1"/>
    <n v="3"/>
    <s v="marzo"/>
    <s v="T1"/>
    <s v="P003"/>
    <x v="7"/>
    <x v="2"/>
    <x v="3"/>
    <n v="5"/>
    <n v="177.72"/>
    <n v="90.23"/>
    <n v="0"/>
    <n v="888.6"/>
    <n v="451.15000000000003"/>
    <n v="437.45"/>
    <x v="708"/>
    <x v="0"/>
    <x v="3"/>
    <s v="online"/>
  </r>
  <r>
    <s v="V00325"/>
    <d v="2025-11-08T00:00:00"/>
    <x v="0"/>
    <n v="11"/>
    <s v="noviembre"/>
    <s v="T4"/>
    <s v="P010"/>
    <x v="1"/>
    <x v="1"/>
    <x v="1"/>
    <n v="1"/>
    <n v="16.7"/>
    <n v="11.99"/>
    <n v="0"/>
    <n v="16.7"/>
    <n v="11.99"/>
    <n v="4.7099999999999991"/>
    <x v="709"/>
    <x v="1"/>
    <x v="4"/>
    <s v="tienda_fisica"/>
  </r>
  <r>
    <s v="V00079"/>
    <d v="2025-07-19T00:00:00"/>
    <x v="0"/>
    <n v="7"/>
    <s v="julio"/>
    <s v="T3"/>
    <s v="P001"/>
    <x v="9"/>
    <x v="2"/>
    <x v="3"/>
    <n v="1"/>
    <n v="118.12"/>
    <n v="86.04"/>
    <n v="0"/>
    <n v="118.12"/>
    <n v="86.04"/>
    <n v="32.08"/>
    <x v="710"/>
    <x v="1"/>
    <x v="0"/>
    <s v="online"/>
  </r>
  <r>
    <s v="V00541"/>
    <d v="2024-12-09T00:00:00"/>
    <x v="1"/>
    <n v="12"/>
    <s v="diciembre"/>
    <s v="T4"/>
    <s v="P018"/>
    <x v="5"/>
    <x v="0"/>
    <x v="4"/>
    <n v="3"/>
    <n v="31.79"/>
    <n v="17.41"/>
    <n v="0.19"/>
    <n v="77.249700000000004"/>
    <n v="52.230000000000004"/>
    <n v="25.0197"/>
    <x v="711"/>
    <x v="1"/>
    <x v="0"/>
    <s v="tienda_fisica"/>
  </r>
  <r>
    <s v="V00356"/>
    <d v="2024-06-20T00:00:00"/>
    <x v="1"/>
    <n v="6"/>
    <s v="junio"/>
    <s v="T2"/>
    <s v="P010"/>
    <x v="1"/>
    <x v="1"/>
    <x v="1"/>
    <n v="3"/>
    <n v="16.170000000000002"/>
    <n v="11.65"/>
    <n v="0.3"/>
    <n v="33.957000000000001"/>
    <n v="34.950000000000003"/>
    <n v="-0.9930000000000021"/>
    <x v="712"/>
    <x v="1"/>
    <x v="3"/>
    <s v="online"/>
  </r>
  <r>
    <s v="V00494"/>
    <d v="2024-06-07T00:00:00"/>
    <x v="1"/>
    <n v="6"/>
    <s v="junio"/>
    <s v="T2"/>
    <s v="P019"/>
    <x v="14"/>
    <x v="2"/>
    <x v="4"/>
    <n v="1"/>
    <n v="63.12"/>
    <n v="32.68"/>
    <n v="0"/>
    <n v="63.12"/>
    <n v="32.68"/>
    <n v="30.439999999999998"/>
    <x v="713"/>
    <x v="0"/>
    <x v="3"/>
    <s v="tienda_fisica"/>
  </r>
  <r>
    <s v="V00360"/>
    <d v="2024-07-29T00:00:00"/>
    <x v="1"/>
    <n v="7"/>
    <s v="julio"/>
    <s v="T3"/>
    <s v="P005"/>
    <x v="18"/>
    <x v="2"/>
    <x v="0"/>
    <n v="1"/>
    <n v="61.22"/>
    <n v="40.22"/>
    <n v="0"/>
    <n v="61.22"/>
    <n v="40.22"/>
    <n v="21"/>
    <x v="714"/>
    <x v="1"/>
    <x v="4"/>
    <s v="tienda_fisica"/>
  </r>
  <r>
    <s v="V02164"/>
    <d v="2025-10-28T00:00:00"/>
    <x v="0"/>
    <n v="10"/>
    <s v="octubre"/>
    <s v="T4"/>
    <s v="P012"/>
    <x v="13"/>
    <x v="1"/>
    <x v="1"/>
    <n v="1"/>
    <n v="8.6300000000000008"/>
    <n v="5.51"/>
    <n v="0"/>
    <n v="8.6300000000000008"/>
    <n v="5.51"/>
    <n v="3.120000000000001"/>
    <x v="715"/>
    <x v="1"/>
    <x v="5"/>
    <s v="tienda_fisica"/>
  </r>
  <r>
    <s v="V00225"/>
    <d v="2024-01-07T00:00:00"/>
    <x v="1"/>
    <n v="1"/>
    <s v="enero"/>
    <s v="T1"/>
    <s v="P002"/>
    <x v="3"/>
    <x v="2"/>
    <x v="3"/>
    <n v="1"/>
    <n v="68"/>
    <n v="47.26"/>
    <n v="0"/>
    <n v="68"/>
    <n v="47.26"/>
    <n v="20.740000000000002"/>
    <x v="716"/>
    <x v="1"/>
    <x v="0"/>
    <s v="tienda_fisica"/>
  </r>
  <r>
    <s v="V01372"/>
    <d v="2024-03-22T00:00:00"/>
    <x v="1"/>
    <n v="3"/>
    <s v="marzo"/>
    <s v="T1"/>
    <s v="P001"/>
    <x v="9"/>
    <x v="2"/>
    <x v="3"/>
    <n v="1"/>
    <n v="131.43"/>
    <n v="86"/>
    <n v="0"/>
    <n v="131.43"/>
    <n v="86"/>
    <n v="45.430000000000007"/>
    <x v="717"/>
    <x v="1"/>
    <x v="3"/>
    <s v="online"/>
  </r>
  <r>
    <s v="V00958"/>
    <d v="2025-08-05T00:00:00"/>
    <x v="0"/>
    <n v="8"/>
    <s v="agosto"/>
    <s v="T3"/>
    <s v="P001"/>
    <x v="9"/>
    <x v="2"/>
    <x v="3"/>
    <n v="6"/>
    <n v="115.15"/>
    <n v="84.54"/>
    <n v="0"/>
    <n v="690.90000000000009"/>
    <n v="507.24"/>
    <n v="183.66000000000008"/>
    <x v="718"/>
    <x v="1"/>
    <x v="5"/>
    <s v="online"/>
  </r>
  <r>
    <s v="V01184"/>
    <d v="2025-04-19T00:00:00"/>
    <x v="0"/>
    <n v="4"/>
    <s v="abril"/>
    <s v="T2"/>
    <s v="P013"/>
    <x v="8"/>
    <x v="2"/>
    <x v="2"/>
    <n v="1"/>
    <n v="80.040000000000006"/>
    <n v="45.87"/>
    <n v="0"/>
    <n v="80.040000000000006"/>
    <n v="45.87"/>
    <n v="34.170000000000009"/>
    <x v="719"/>
    <x v="0"/>
    <x v="4"/>
    <s v="tienda_fisica"/>
  </r>
  <r>
    <s v="V01232"/>
    <d v="2025-05-03T00:00:00"/>
    <x v="0"/>
    <n v="5"/>
    <s v="mayo"/>
    <s v="T2"/>
    <s v="P019"/>
    <x v="14"/>
    <x v="2"/>
    <x v="4"/>
    <n v="6"/>
    <n v="60.69"/>
    <n v="31.69"/>
    <n v="7.0000000000000007E-2"/>
    <n v="338.65019999999998"/>
    <n v="190.14000000000001"/>
    <n v="148.51019999999997"/>
    <x v="720"/>
    <x v="0"/>
    <x v="0"/>
    <s v="tienda_fisica"/>
  </r>
  <r>
    <s v="V01802"/>
    <d v="2025-03-07T00:00:00"/>
    <x v="0"/>
    <n v="3"/>
    <s v="marzo"/>
    <s v="T1"/>
    <s v="P009"/>
    <x v="12"/>
    <x v="1"/>
    <x v="1"/>
    <n v="1"/>
    <n v="7.62"/>
    <n v="4.28"/>
    <n v="0"/>
    <n v="7.62"/>
    <n v="4.28"/>
    <n v="3.34"/>
    <x v="721"/>
    <x v="0"/>
    <x v="2"/>
    <s v="tienda_fisica"/>
  </r>
  <r>
    <s v="V02126"/>
    <d v="2024-12-21T00:00:00"/>
    <x v="1"/>
    <n v="12"/>
    <s v="diciembre"/>
    <s v="T4"/>
    <s v="P001"/>
    <x v="9"/>
    <x v="2"/>
    <x v="3"/>
    <n v="1"/>
    <n v="118.5"/>
    <n v="85.63"/>
    <n v="0"/>
    <n v="118.5"/>
    <n v="85.63"/>
    <n v="32.870000000000005"/>
    <x v="722"/>
    <x v="1"/>
    <x v="5"/>
    <s v="tienda_fisica"/>
  </r>
  <r>
    <s v="V00658"/>
    <d v="2024-08-19T00:00:00"/>
    <x v="1"/>
    <n v="8"/>
    <s v="agosto"/>
    <s v="T3"/>
    <s v="P015"/>
    <x v="2"/>
    <x v="2"/>
    <x v="2"/>
    <n v="1"/>
    <n v="77.5"/>
    <n v="43.56"/>
    <n v="0.3"/>
    <n v="54.25"/>
    <n v="43.56"/>
    <n v="10.689999999999998"/>
    <x v="723"/>
    <x v="1"/>
    <x v="4"/>
    <s v="online"/>
  </r>
  <r>
    <s v="V01043"/>
    <d v="2024-09-14T00:00:00"/>
    <x v="1"/>
    <n v="9"/>
    <s v="septiembre"/>
    <s v="T3"/>
    <s v="P002"/>
    <x v="3"/>
    <x v="2"/>
    <x v="3"/>
    <n v="6"/>
    <n v="79.209999999999994"/>
    <n v="47.52"/>
    <n v="0"/>
    <n v="475.26"/>
    <n v="285.12"/>
    <n v="190.14"/>
    <x v="724"/>
    <x v="0"/>
    <x v="3"/>
    <s v="tienda_fisica"/>
  </r>
  <r>
    <s v="V01039"/>
    <d v="2024-06-28T00:00:00"/>
    <x v="1"/>
    <n v="6"/>
    <s v="junio"/>
    <s v="T2"/>
    <s v="P017"/>
    <x v="17"/>
    <x v="0"/>
    <x v="4"/>
    <n v="2"/>
    <n v="47.83"/>
    <n v="21.65"/>
    <n v="0"/>
    <n v="95.66"/>
    <n v="43.3"/>
    <n v="52.36"/>
    <x v="725"/>
    <x v="0"/>
    <x v="3"/>
    <s v="tienda_fisica"/>
  </r>
  <r>
    <s v="V00004"/>
    <d v="2024-11-18T00:00:00"/>
    <x v="1"/>
    <n v="11"/>
    <s v="noviembre"/>
    <s v="T4"/>
    <s v="P019"/>
    <x v="14"/>
    <x v="2"/>
    <x v="4"/>
    <n v="1"/>
    <n v="61.75"/>
    <n v="32.81"/>
    <n v="0"/>
    <n v="61.75"/>
    <n v="32.81"/>
    <n v="28.939999999999998"/>
    <x v="726"/>
    <x v="0"/>
    <x v="3"/>
    <s v="tienda_fisica"/>
  </r>
  <r>
    <s v="V01807"/>
    <d v="2024-04-12T00:00:00"/>
    <x v="1"/>
    <n v="4"/>
    <s v="abril"/>
    <s v="T2"/>
    <s v="P011"/>
    <x v="10"/>
    <x v="1"/>
    <x v="1"/>
    <n v="4"/>
    <n v="21.91"/>
    <n v="11.25"/>
    <n v="0"/>
    <n v="87.64"/>
    <n v="45"/>
    <n v="42.64"/>
    <x v="727"/>
    <x v="0"/>
    <x v="0"/>
    <s v="tienda_fisica"/>
  </r>
  <r>
    <s v="V00216"/>
    <d v="2024-02-29T00:00:00"/>
    <x v="1"/>
    <n v="2"/>
    <s v="febrero"/>
    <s v="T1"/>
    <s v="P015"/>
    <x v="2"/>
    <x v="2"/>
    <x v="2"/>
    <n v="3"/>
    <n v="74.599999999999994"/>
    <n v="41.52"/>
    <n v="0"/>
    <n v="223.79999999999998"/>
    <n v="124.56"/>
    <n v="99.239999999999981"/>
    <x v="728"/>
    <x v="0"/>
    <x v="4"/>
    <s v="tienda_fisica"/>
  </r>
  <r>
    <s v="V00099"/>
    <d v="2025-01-25T00:00:00"/>
    <x v="0"/>
    <n v="1"/>
    <s v="enero"/>
    <s v="T1"/>
    <s v="P019"/>
    <x v="14"/>
    <x v="0"/>
    <x v="4"/>
    <n v="1"/>
    <n v="54.9"/>
    <n v="33.94"/>
    <n v="0"/>
    <n v="54.9"/>
    <n v="33.94"/>
    <n v="20.96"/>
    <x v="729"/>
    <x v="0"/>
    <x v="2"/>
    <s v="tienda_fisica"/>
  </r>
  <r>
    <s v="V01636"/>
    <d v="2025-01-01T00:00:00"/>
    <x v="0"/>
    <n v="1"/>
    <s v="enero"/>
    <s v="T1"/>
    <s v="P011"/>
    <x v="10"/>
    <x v="1"/>
    <x v="1"/>
    <n v="2"/>
    <n v="20.16"/>
    <n v="11.45"/>
    <n v="0.05"/>
    <n v="38.303999999999995"/>
    <n v="22.9"/>
    <n v="15.403999999999996"/>
    <x v="730"/>
    <x v="0"/>
    <x v="2"/>
    <s v="online"/>
  </r>
  <r>
    <s v="V00796"/>
    <d v="2025-10-17T00:00:00"/>
    <x v="0"/>
    <n v="10"/>
    <s v="octubre"/>
    <s v="T4"/>
    <s v="P007"/>
    <x v="15"/>
    <x v="1"/>
    <x v="0"/>
    <n v="2"/>
    <n v="20.47"/>
    <n v="13.52"/>
    <n v="0"/>
    <n v="40.94"/>
    <n v="27.04"/>
    <n v="13.899999999999999"/>
    <x v="731"/>
    <x v="1"/>
    <x v="5"/>
    <s v="tienda_fisica"/>
  </r>
  <r>
    <s v="V01630"/>
    <d v="2024-03-08T00:00:00"/>
    <x v="1"/>
    <n v="3"/>
    <s v="marzo"/>
    <s v="T1"/>
    <s v="P002"/>
    <x v="3"/>
    <x v="2"/>
    <x v="3"/>
    <n v="4"/>
    <n v="75.33"/>
    <n v="45.21"/>
    <n v="0"/>
    <n v="301.32"/>
    <n v="180.84"/>
    <n v="120.47999999999999"/>
    <x v="732"/>
    <x v="0"/>
    <x v="3"/>
    <s v="online"/>
  </r>
  <r>
    <s v="V01150"/>
    <d v="2025-06-20T00:00:00"/>
    <x v="0"/>
    <n v="6"/>
    <s v="junio"/>
    <s v="T2"/>
    <s v="P006"/>
    <x v="0"/>
    <x v="0"/>
    <x v="0"/>
    <n v="2"/>
    <n v="46.5"/>
    <n v="26.63"/>
    <n v="0.23"/>
    <n v="71.61"/>
    <n v="53.26"/>
    <n v="18.350000000000001"/>
    <x v="733"/>
    <x v="1"/>
    <x v="2"/>
    <s v="tienda_fisica"/>
  </r>
  <r>
    <s v="V01792"/>
    <d v="2024-09-03T00:00:00"/>
    <x v="1"/>
    <n v="9"/>
    <s v="septiembre"/>
    <s v="T3"/>
    <s v="P011"/>
    <x v="10"/>
    <x v="1"/>
    <x v="1"/>
    <n v="3"/>
    <n v="21.55"/>
    <n v="11.12"/>
    <n v="0"/>
    <n v="64.650000000000006"/>
    <n v="33.36"/>
    <n v="31.290000000000006"/>
    <x v="734"/>
    <x v="0"/>
    <x v="4"/>
    <s v="online"/>
  </r>
  <r>
    <s v="V01896"/>
    <d v="2025-10-25T00:00:00"/>
    <x v="0"/>
    <n v="10"/>
    <s v="octubre"/>
    <s v="T4"/>
    <s v="P006"/>
    <x v="0"/>
    <x v="0"/>
    <x v="0"/>
    <n v="5"/>
    <n v="45.53"/>
    <n v="27.27"/>
    <n v="0"/>
    <n v="227.65"/>
    <n v="136.35"/>
    <n v="91.300000000000011"/>
    <x v="735"/>
    <x v="0"/>
    <x v="6"/>
    <s v="tienda_fisica"/>
  </r>
  <r>
    <s v="V01189"/>
    <d v="2025-04-21T00:00:00"/>
    <x v="0"/>
    <n v="4"/>
    <s v="abril"/>
    <s v="T2"/>
    <s v="P004"/>
    <x v="6"/>
    <x v="2"/>
    <x v="3"/>
    <n v="5"/>
    <n v="159.34"/>
    <n v="113.41"/>
    <n v="0.08"/>
    <n v="732.96400000000006"/>
    <n v="567.04999999999995"/>
    <n v="165.9140000000001"/>
    <x v="736"/>
    <x v="1"/>
    <x v="2"/>
    <s v="online"/>
  </r>
  <r>
    <s v="V00700"/>
    <d v="2024-05-13T00:00:00"/>
    <x v="1"/>
    <n v="5"/>
    <s v="mayo"/>
    <s v="T2"/>
    <s v="P013"/>
    <x v="8"/>
    <x v="2"/>
    <x v="2"/>
    <n v="1"/>
    <n v="79.599999999999994"/>
    <n v="46.14"/>
    <n v="0.25"/>
    <n v="59.699999999999996"/>
    <n v="46.14"/>
    <n v="13.559999999999995"/>
    <x v="737"/>
    <x v="1"/>
    <x v="0"/>
    <s v=" online"/>
  </r>
  <r>
    <s v="V01901"/>
    <d v="2025-05-21T00:00:00"/>
    <x v="0"/>
    <n v="5"/>
    <s v="mayo"/>
    <s v="T2"/>
    <s v="P003"/>
    <x v="7"/>
    <x v="2"/>
    <x v="3"/>
    <n v="1"/>
    <n v="177.72"/>
    <n v="92.79"/>
    <n v="0.24"/>
    <n v="135.06720000000001"/>
    <n v="92.79"/>
    <n v="42.277200000000008"/>
    <x v="738"/>
    <x v="1"/>
    <x v="6"/>
    <s v="tienda_fisica"/>
  </r>
  <r>
    <s v="V00168"/>
    <d v="2024-03-21T00:00:00"/>
    <x v="1"/>
    <n v="3"/>
    <s v="marzo"/>
    <s v="T1"/>
    <s v="P010"/>
    <x v="1"/>
    <x v="1"/>
    <x v="1"/>
    <n v="3"/>
    <n v="15.82"/>
    <n v="11.44"/>
    <n v="0"/>
    <n v="47.46"/>
    <n v="34.32"/>
    <n v="13.14"/>
    <x v="739"/>
    <x v="1"/>
    <x v="3"/>
    <s v="tienda_fisica"/>
  </r>
  <r>
    <s v="V01016"/>
    <d v="2024-03-22T00:00:00"/>
    <x v="1"/>
    <n v="3"/>
    <s v="marzo"/>
    <s v="T1"/>
    <s v="P013"/>
    <x v="8"/>
    <x v="2"/>
    <x v="2"/>
    <n v="4"/>
    <n v="79.22"/>
    <n v="47.4"/>
    <n v="0"/>
    <n v="316.88"/>
    <n v="189.6"/>
    <n v="127.28"/>
    <x v="740"/>
    <x v="0"/>
    <x v="4"/>
    <s v="online"/>
  </r>
  <r>
    <s v="V01911"/>
    <d v="2024-06-06T00:00:00"/>
    <x v="1"/>
    <n v="6"/>
    <s v="junio"/>
    <s v="T2"/>
    <s v="P009"/>
    <x v="12"/>
    <x v="1"/>
    <x v="1"/>
    <n v="5"/>
    <n v="8.08"/>
    <n v="4.4800000000000004"/>
    <n v="0.28999999999999998"/>
    <n v="28.683999999999997"/>
    <n v="22.400000000000002"/>
    <n v="6.2839999999999954"/>
    <x v="741"/>
    <x v="1"/>
    <x v="3"/>
    <s v="tienda_fisica"/>
  </r>
  <r>
    <s v="V00493"/>
    <d v="2024-01-07T00:00:00"/>
    <x v="1"/>
    <n v="1"/>
    <s v="enero"/>
    <s v="T1"/>
    <s v="P010"/>
    <x v="1"/>
    <x v="1"/>
    <x v="1"/>
    <n v="7"/>
    <n v="15.75"/>
    <n v="11.5"/>
    <n v="0"/>
    <n v="110.25"/>
    <n v="80.5"/>
    <n v="29.75"/>
    <x v="742"/>
    <x v="1"/>
    <x v="3"/>
    <s v="online"/>
  </r>
  <r>
    <s v="V00701"/>
    <d v="2024-10-24T00:00:00"/>
    <x v="1"/>
    <n v="10"/>
    <s v="octubre"/>
    <s v="T4"/>
    <s v="P001"/>
    <x v="9"/>
    <x v="2"/>
    <x v="3"/>
    <n v="2"/>
    <n v="123.81"/>
    <n v="85.55"/>
    <n v="0.17"/>
    <n v="205.52459999999999"/>
    <n v="171.1"/>
    <n v="34.424599999999998"/>
    <x v="743"/>
    <x v="1"/>
    <x v="6"/>
    <s v="online"/>
  </r>
  <r>
    <s v="V00456"/>
    <d v="2024-09-23T00:00:00"/>
    <x v="1"/>
    <n v="9"/>
    <s v="septiembre"/>
    <s v="T3"/>
    <s v="P011"/>
    <x v="10"/>
    <x v="1"/>
    <x v="1"/>
    <n v="9"/>
    <n v="20.47"/>
    <n v="11.49"/>
    <n v="0"/>
    <n v="184.23"/>
    <n v="103.41"/>
    <n v="80.819999999999993"/>
    <x v="744"/>
    <x v="0"/>
    <x v="3"/>
    <s v="tienda_fisica"/>
  </r>
  <r>
    <s v="V00743"/>
    <d v="2024-01-31T00:00:00"/>
    <x v="1"/>
    <n v="1"/>
    <s v="enero"/>
    <s v="T1"/>
    <s v="P012"/>
    <x v="13"/>
    <x v="1"/>
    <x v="1"/>
    <n v="5"/>
    <n v="8.14"/>
    <n v="5.77"/>
    <n v="0"/>
    <n v="40.700000000000003"/>
    <n v="28.849999999999998"/>
    <n v="11.850000000000005"/>
    <x v="745"/>
    <x v="1"/>
    <x v="0"/>
    <s v="tienda_fisica"/>
  </r>
  <r>
    <s v="V01871"/>
    <d v="2025-08-21T00:00:00"/>
    <x v="0"/>
    <n v="8"/>
    <s v="agosto"/>
    <s v="T3"/>
    <s v="P013"/>
    <x v="8"/>
    <x v="2"/>
    <x v="2"/>
    <n v="1"/>
    <n v="70.95"/>
    <n v="46.01"/>
    <n v="0"/>
    <n v="70.95"/>
    <n v="46.01"/>
    <n v="24.940000000000005"/>
    <x v="746"/>
    <x v="1"/>
    <x v="3"/>
    <s v="tienda_fisica"/>
  </r>
  <r>
    <s v="V02297"/>
    <d v="2025-02-09T00:00:00"/>
    <x v="0"/>
    <n v="2"/>
    <s v="febrero"/>
    <s v="T1"/>
    <s v="P013"/>
    <x v="8"/>
    <x v="2"/>
    <x v="2"/>
    <n v="2"/>
    <n v="77.19"/>
    <n v="47.62"/>
    <n v="0"/>
    <n v="154.38"/>
    <n v="95.24"/>
    <n v="59.14"/>
    <x v="747"/>
    <x v="0"/>
    <x v="3"/>
    <s v="tienda_fisica"/>
  </r>
  <r>
    <s v="V00522"/>
    <d v="2024-07-13T00:00:00"/>
    <x v="1"/>
    <n v="7"/>
    <s v="julio"/>
    <s v="T3"/>
    <s v="P002"/>
    <x v="3"/>
    <x v="2"/>
    <x v="3"/>
    <n v="1"/>
    <n v="73.34"/>
    <n v="46.86"/>
    <n v="0"/>
    <n v="73.34"/>
    <n v="46.86"/>
    <n v="26.480000000000004"/>
    <x v="748"/>
    <x v="1"/>
    <x v="3"/>
    <s v="online"/>
  </r>
  <r>
    <s v="V01725"/>
    <d v="2025-01-04T00:00:00"/>
    <x v="0"/>
    <n v="1"/>
    <s v="enero"/>
    <s v="T1"/>
    <s v="P010"/>
    <x v="1"/>
    <x v="1"/>
    <x v="1"/>
    <n v="3"/>
    <n v="16.079999999999998"/>
    <n v="11"/>
    <n v="0"/>
    <n v="48.239999999999995"/>
    <n v="33"/>
    <n v="15.239999999999995"/>
    <x v="749"/>
    <x v="1"/>
    <x v="6"/>
    <s v="tienda_fisica"/>
  </r>
  <r>
    <s v="V01262"/>
    <d v="2024-03-07T00:00:00"/>
    <x v="1"/>
    <n v="3"/>
    <s v="marzo"/>
    <s v="T1"/>
    <s v="P010"/>
    <x v="1"/>
    <x v="1"/>
    <x v="1"/>
    <n v="1"/>
    <n v="15.25"/>
    <n v="11.6"/>
    <n v="0"/>
    <n v="15.25"/>
    <n v="11.6"/>
    <n v="3.6500000000000004"/>
    <x v="750"/>
    <x v="1"/>
    <x v="0"/>
    <s v="tienda_fisica"/>
  </r>
  <r>
    <s v="V01337"/>
    <d v="2025-07-03T00:00:00"/>
    <x v="0"/>
    <n v="7"/>
    <s v="julio"/>
    <s v="T3"/>
    <s v="P010"/>
    <x v="1"/>
    <x v="1"/>
    <x v="1"/>
    <n v="1"/>
    <n v="16.07"/>
    <n v="11.88"/>
    <n v="0"/>
    <n v="16.07"/>
    <n v="11.88"/>
    <n v="4.1899999999999995"/>
    <x v="751"/>
    <x v="1"/>
    <x v="3"/>
    <s v="tienda_fisica"/>
  </r>
  <r>
    <s v="V00014"/>
    <d v="2025-08-13T00:00:00"/>
    <x v="0"/>
    <n v="8"/>
    <s v="agosto"/>
    <s v="T3"/>
    <s v="P019"/>
    <x v="14"/>
    <x v="2"/>
    <x v="4"/>
    <n v="1"/>
    <n v="58.69"/>
    <n v="32.57"/>
    <n v="0"/>
    <n v="58.69"/>
    <n v="32.57"/>
    <n v="26.119999999999997"/>
    <x v="752"/>
    <x v="0"/>
    <x v="0"/>
    <s v="tienda_fisica"/>
  </r>
  <r>
    <s v="V00390"/>
    <d v="2025-07-19T00:00:00"/>
    <x v="0"/>
    <n v="7"/>
    <s v="julio"/>
    <s v="T3"/>
    <s v="P011"/>
    <x v="10"/>
    <x v="1"/>
    <x v="1"/>
    <n v="1"/>
    <n v="22.75"/>
    <n v="11.34"/>
    <n v="0"/>
    <n v="22.75"/>
    <n v="11.34"/>
    <n v="11.41"/>
    <x v="753"/>
    <x v="0"/>
    <x v="3"/>
    <s v="tienda_fisica"/>
  </r>
  <r>
    <s v="V01019"/>
    <d v="2024-04-23T00:00:00"/>
    <x v="1"/>
    <n v="4"/>
    <s v="abril"/>
    <s v="T2"/>
    <s v="P002"/>
    <x v="3"/>
    <x v="2"/>
    <x v="3"/>
    <n v="1"/>
    <n v="77.239999999999995"/>
    <n v="46.66"/>
    <n v="0"/>
    <n v="77.239999999999995"/>
    <n v="46.66"/>
    <n v="30.58"/>
    <x v="754"/>
    <x v="0"/>
    <x v="3"/>
    <s v="online"/>
  </r>
  <r>
    <s v="V01649"/>
    <d v="2025-10-28T00:00:00"/>
    <x v="0"/>
    <n v="10"/>
    <s v="octubre"/>
    <s v="T4"/>
    <s v="P017"/>
    <x v="17"/>
    <x v="0"/>
    <x v="4"/>
    <n v="3"/>
    <n v="51.34"/>
    <n v="23.72"/>
    <n v="0"/>
    <n v="154.02000000000001"/>
    <n v="71.16"/>
    <n v="82.860000000000014"/>
    <x v="755"/>
    <x v="0"/>
    <x v="2"/>
    <s v="online"/>
  </r>
  <r>
    <s v="V01012"/>
    <d v="2025-08-10T00:00:00"/>
    <x v="0"/>
    <n v="8"/>
    <s v="agosto"/>
    <s v="T3"/>
    <s v="P003"/>
    <x v="7"/>
    <x v="2"/>
    <x v="3"/>
    <n v="6"/>
    <n v="172.61"/>
    <n v="91.34"/>
    <n v="0"/>
    <n v="1035.6600000000001"/>
    <n v="548.04"/>
    <n v="487.62000000000012"/>
    <x v="756"/>
    <x v="0"/>
    <x v="5"/>
    <s v="tienda_fisica"/>
  </r>
  <r>
    <s v="V00863"/>
    <d v="2025-05-12T00:00:00"/>
    <x v="0"/>
    <n v="5"/>
    <s v="mayo"/>
    <s v="T2"/>
    <s v="P009"/>
    <x v="12"/>
    <x v="1"/>
    <x v="1"/>
    <n v="2"/>
    <n v="8.34"/>
    <n v="4.54"/>
    <n v="0"/>
    <n v="16.68"/>
    <n v="9.08"/>
    <n v="7.6"/>
    <x v="757"/>
    <x v="0"/>
    <x v="0"/>
    <s v="online"/>
  </r>
  <r>
    <s v="V00607"/>
    <d v="2025-08-29T00:00:00"/>
    <x v="0"/>
    <n v="8"/>
    <s v="agosto"/>
    <s v="T3"/>
    <s v="P015"/>
    <x v="2"/>
    <x v="2"/>
    <x v="2"/>
    <n v="5"/>
    <n v="74.44"/>
    <n v="41.12"/>
    <n v="0"/>
    <n v="372.2"/>
    <n v="205.6"/>
    <n v="166.6"/>
    <x v="758"/>
    <x v="0"/>
    <x v="4"/>
    <s v="online"/>
  </r>
  <r>
    <s v="V01545"/>
    <d v="2024-10-10T00:00:00"/>
    <x v="1"/>
    <n v="10"/>
    <s v="octubre"/>
    <s v="T4"/>
    <s v="P007"/>
    <x v="15"/>
    <x v="1"/>
    <x v="0"/>
    <n v="4"/>
    <n v="20.9"/>
    <n v="12.27"/>
    <n v="0.1"/>
    <n v="75.239999999999995"/>
    <n v="49.08"/>
    <n v="26.159999999999997"/>
    <x v="759"/>
    <x v="1"/>
    <x v="6"/>
    <s v="tienda_fisica"/>
  </r>
  <r>
    <s v="V01356"/>
    <d v="2025-04-02T00:00:00"/>
    <x v="0"/>
    <n v="4"/>
    <s v="abril"/>
    <s v="T2"/>
    <s v="P019"/>
    <x v="14"/>
    <x v="2"/>
    <x v="4"/>
    <n v="1"/>
    <n v="60.01"/>
    <n v="33.99"/>
    <n v="0"/>
    <n v="60.01"/>
    <n v="33.99"/>
    <n v="26.019999999999996"/>
    <x v="760"/>
    <x v="0"/>
    <x v="0"/>
    <s v="tienda_fisica"/>
  </r>
  <r>
    <s v="V01764"/>
    <d v="2024-12-01T00:00:00"/>
    <x v="1"/>
    <n v="12"/>
    <s v="diciembre"/>
    <s v="T4"/>
    <s v="P003"/>
    <x v="7"/>
    <x v="2"/>
    <x v="3"/>
    <n v="2"/>
    <n v="166.65"/>
    <n v="95.26"/>
    <n v="0"/>
    <n v="333.3"/>
    <n v="190.52"/>
    <n v="142.78"/>
    <x v="761"/>
    <x v="0"/>
    <x v="3"/>
    <s v="online"/>
  </r>
  <r>
    <s v="V00884"/>
    <d v="2025-11-26T00:00:00"/>
    <x v="0"/>
    <n v="11"/>
    <s v="noviembre"/>
    <s v="T4"/>
    <s v="P014"/>
    <x v="16"/>
    <x v="1"/>
    <x v="2"/>
    <n v="1"/>
    <n v="13.37"/>
    <n v="9.15"/>
    <n v="0"/>
    <n v="13.37"/>
    <n v="9.15"/>
    <n v="4.2199999999999989"/>
    <x v="762"/>
    <x v="1"/>
    <x v="5"/>
    <s v="tienda_fisica"/>
  </r>
  <r>
    <s v="V02148"/>
    <d v="2024-04-23T00:00:00"/>
    <x v="1"/>
    <n v="4"/>
    <s v="abril"/>
    <s v="T2"/>
    <s v="P011"/>
    <x v="10"/>
    <x v="1"/>
    <x v="1"/>
    <n v="11"/>
    <n v="20.92"/>
    <n v="10.94"/>
    <n v="0"/>
    <n v="230.12"/>
    <n v="120.33999999999999"/>
    <n v="109.78000000000002"/>
    <x v="763"/>
    <x v="0"/>
    <x v="3"/>
    <s v="tienda_fisica"/>
  </r>
  <r>
    <s v="V01354"/>
    <d v="2025-09-17T00:00:00"/>
    <x v="0"/>
    <n v="9"/>
    <s v="septiembre"/>
    <s v="T3"/>
    <s v="P011"/>
    <x v="10"/>
    <x v="1"/>
    <x v="1"/>
    <n v="5"/>
    <n v="22.12"/>
    <n v="11.73"/>
    <n v="0.05"/>
    <n v="105.07000000000001"/>
    <n v="58.650000000000006"/>
    <n v="46.42"/>
    <x v="764"/>
    <x v="0"/>
    <x v="6"/>
    <s v="tienda_fisica"/>
  </r>
  <r>
    <s v="V00502"/>
    <d v="2025-03-16T00:00:00"/>
    <x v="0"/>
    <n v="3"/>
    <s v="marzo"/>
    <s v="T1"/>
    <s v="P009"/>
    <x v="12"/>
    <x v="1"/>
    <x v="1"/>
    <n v="1"/>
    <n v="7.75"/>
    <n v="4.25"/>
    <n v="0"/>
    <n v="7.75"/>
    <n v="4.25"/>
    <n v="3.5"/>
    <x v="765"/>
    <x v="0"/>
    <x v="3"/>
    <s v="tienda_fisica"/>
  </r>
  <r>
    <s v="V02174"/>
    <d v="2024-06-19T00:00:00"/>
    <x v="1"/>
    <n v="6"/>
    <s v="junio"/>
    <s v="T2"/>
    <s v="P015"/>
    <x v="2"/>
    <x v="2"/>
    <x v="2"/>
    <n v="1"/>
    <n v="78.88"/>
    <n v="40.75"/>
    <n v="0"/>
    <n v="78.88"/>
    <n v="40.75"/>
    <n v="38.129999999999995"/>
    <x v="766"/>
    <x v="0"/>
    <x v="4"/>
    <s v="online"/>
  </r>
  <r>
    <s v="V00759"/>
    <d v="2024-01-03T00:00:00"/>
    <x v="1"/>
    <n v="1"/>
    <s v="enero"/>
    <s v="T1"/>
    <s v="P016"/>
    <x v="11"/>
    <x v="2"/>
    <x v="2"/>
    <n v="3"/>
    <n v="83.92"/>
    <n v="42.16"/>
    <n v="0"/>
    <n v="251.76"/>
    <n v="126.47999999999999"/>
    <n v="125.28"/>
    <x v="767"/>
    <x v="0"/>
    <x v="3"/>
    <s v="online"/>
  </r>
  <r>
    <s v="V01551"/>
    <d v="2024-05-16T00:00:00"/>
    <x v="1"/>
    <n v="5"/>
    <s v="mayo"/>
    <s v="T2"/>
    <s v="P015"/>
    <x v="2"/>
    <x v="2"/>
    <x v="2"/>
    <n v="3"/>
    <n v="83.38"/>
    <n v="42.83"/>
    <n v="0"/>
    <n v="250.14"/>
    <n v="128.49"/>
    <n v="121.64999999999998"/>
    <x v="768"/>
    <x v="0"/>
    <x v="3"/>
    <s v="online"/>
  </r>
  <r>
    <s v="V00429"/>
    <d v="2024-04-10T00:00:00"/>
    <x v="1"/>
    <n v="4"/>
    <s v="abril"/>
    <s v="T2"/>
    <s v="P019"/>
    <x v="14"/>
    <x v="0"/>
    <x v="4"/>
    <n v="6"/>
    <n v="55.46"/>
    <n v="33"/>
    <n v="0"/>
    <n v="332.76"/>
    <n v="198"/>
    <n v="134.76"/>
    <x v="769"/>
    <x v="0"/>
    <x v="0"/>
    <s v="online"/>
  </r>
  <r>
    <s v="V01082"/>
    <d v="2024-05-12T00:00:00"/>
    <x v="1"/>
    <n v="5"/>
    <s v="mayo"/>
    <s v="T2"/>
    <s v="P010"/>
    <x v="1"/>
    <x v="1"/>
    <x v="1"/>
    <n v="1"/>
    <n v="15.69"/>
    <n v="11.49"/>
    <n v="0"/>
    <n v="15.69"/>
    <n v="11.49"/>
    <n v="4.1999999999999993"/>
    <x v="770"/>
    <x v="1"/>
    <x v="4"/>
    <s v="tienda_fisica"/>
  </r>
  <r>
    <s v="V01492"/>
    <d v="2025-08-13T00:00:00"/>
    <x v="0"/>
    <n v="8"/>
    <s v="agosto"/>
    <s v="T3"/>
    <s v="P009"/>
    <x v="12"/>
    <x v="1"/>
    <x v="1"/>
    <n v="4"/>
    <n v="8.06"/>
    <n v="4.46"/>
    <n v="0"/>
    <n v="32.24"/>
    <n v="17.84"/>
    <n v="14.400000000000002"/>
    <x v="771"/>
    <x v="0"/>
    <x v="4"/>
    <s v="tienda_fisica"/>
  </r>
  <r>
    <s v="V00900"/>
    <d v="2025-01-22T00:00:00"/>
    <x v="0"/>
    <n v="1"/>
    <s v="enero"/>
    <s v="T1"/>
    <s v="P008"/>
    <x v="4"/>
    <x v="2"/>
    <x v="0"/>
    <n v="1"/>
    <n v="108.79"/>
    <n v="57.98"/>
    <n v="0"/>
    <n v="108.79"/>
    <n v="57.98"/>
    <n v="50.810000000000009"/>
    <x v="772"/>
    <x v="0"/>
    <x v="6"/>
    <s v="tienda_fisica"/>
  </r>
  <r>
    <s v="V00026"/>
    <d v="2024-02-15T00:00:00"/>
    <x v="1"/>
    <n v="2"/>
    <s v="febrero"/>
    <s v="T1"/>
    <s v="P009"/>
    <x v="12"/>
    <x v="1"/>
    <x v="1"/>
    <n v="4"/>
    <n v="8.15"/>
    <n v="4.34"/>
    <n v="0"/>
    <n v="32.6"/>
    <n v="17.36"/>
    <n v="15.240000000000002"/>
    <x v="773"/>
    <x v="0"/>
    <x v="3"/>
    <s v="tienda_fisica"/>
  </r>
  <r>
    <s v="V02155"/>
    <d v="2025-02-16T00:00:00"/>
    <x v="0"/>
    <n v="2"/>
    <s v="febrero"/>
    <s v="T1"/>
    <s v="P017"/>
    <x v="17"/>
    <x v="0"/>
    <x v="4"/>
    <n v="1"/>
    <n v="47.75"/>
    <n v="21.66"/>
    <n v="0"/>
    <n v="47.75"/>
    <n v="21.66"/>
    <n v="26.09"/>
    <x v="774"/>
    <x v="0"/>
    <x v="6"/>
    <s v="tienda_fisica"/>
  </r>
  <r>
    <s v="V01874"/>
    <d v="2024-03-09T00:00:00"/>
    <x v="1"/>
    <n v="3"/>
    <s v="marzo"/>
    <s v="T1"/>
    <s v="P009"/>
    <x v="12"/>
    <x v="1"/>
    <x v="1"/>
    <n v="1"/>
    <n v="8.31"/>
    <n v="4.51"/>
    <n v="0"/>
    <n v="8.31"/>
    <n v="4.51"/>
    <n v="3.8000000000000007"/>
    <x v="775"/>
    <x v="0"/>
    <x v="4"/>
    <s v="online"/>
  </r>
  <r>
    <s v="V02058"/>
    <d v="2025-07-13T00:00:00"/>
    <x v="0"/>
    <n v="7"/>
    <s v="julio"/>
    <s v="T3"/>
    <s v="P018"/>
    <x v="5"/>
    <x v="0"/>
    <x v="4"/>
    <n v="1"/>
    <n v="30.84"/>
    <n v="16.809999999999999"/>
    <n v="0"/>
    <n v="30.84"/>
    <n v="16.809999999999999"/>
    <n v="14.030000000000001"/>
    <x v="776"/>
    <x v="0"/>
    <x v="3"/>
    <s v="tienda_fisica"/>
  </r>
  <r>
    <s v="V01190"/>
    <d v="2025-01-28T00:00:00"/>
    <x v="0"/>
    <n v="1"/>
    <s v="enero"/>
    <s v="T1"/>
    <s v="P017"/>
    <x v="17"/>
    <x v="0"/>
    <x v="4"/>
    <n v="4"/>
    <n v="48.72"/>
    <n v="21.68"/>
    <n v="0"/>
    <n v="194.88"/>
    <n v="86.72"/>
    <n v="108.16"/>
    <x v="777"/>
    <x v="0"/>
    <x v="4"/>
    <s v="online"/>
  </r>
  <r>
    <s v="V01195"/>
    <d v="2024-10-27T00:00:00"/>
    <x v="1"/>
    <n v="10"/>
    <s v="octubre"/>
    <s v="T4"/>
    <s v="P006"/>
    <x v="0"/>
    <x v="0"/>
    <x v="0"/>
    <n v="2"/>
    <n v="47.44"/>
    <n v="26.25"/>
    <n v="0.23"/>
    <n v="73.057599999999994"/>
    <n v="52.5"/>
    <n v="20.557599999999994"/>
    <x v="778"/>
    <x v="1"/>
    <x v="3"/>
    <s v="online"/>
  </r>
  <r>
    <s v="V00116"/>
    <d v="2024-12-24T00:00:00"/>
    <x v="1"/>
    <n v="12"/>
    <s v="diciembre"/>
    <s v="T4"/>
    <s v="P004"/>
    <x v="6"/>
    <x v="2"/>
    <x v="3"/>
    <n v="6"/>
    <n v="169.76"/>
    <n v="113.83"/>
    <n v="0"/>
    <n v="1018.56"/>
    <n v="682.98"/>
    <n v="335.57999999999993"/>
    <x v="779"/>
    <x v="1"/>
    <x v="5"/>
    <s v="online"/>
  </r>
  <r>
    <s v="V00807"/>
    <d v="2025-08-18T00:00:00"/>
    <x v="0"/>
    <n v="8"/>
    <s v="agosto"/>
    <s v="T3"/>
    <s v="P009"/>
    <x v="12"/>
    <x v="1"/>
    <x v="1"/>
    <n v="3"/>
    <n v="7.5"/>
    <n v="4.32"/>
    <n v="0"/>
    <n v="22.5"/>
    <n v="12.96"/>
    <n v="9.5399999999999991"/>
    <x v="780"/>
    <x v="0"/>
    <x v="0"/>
    <s v="tienda_fisica"/>
  </r>
  <r>
    <s v="V00948"/>
    <d v="2024-03-19T00:00:00"/>
    <x v="1"/>
    <n v="3"/>
    <s v="marzo"/>
    <s v="T1"/>
    <s v="P012"/>
    <x v="13"/>
    <x v="1"/>
    <x v="1"/>
    <n v="13"/>
    <n v="9.2899999999999991"/>
    <n v="5.77"/>
    <n v="0.18"/>
    <n v="99.031399999999991"/>
    <n v="75.009999999999991"/>
    <n v="24.0214"/>
    <x v="781"/>
    <x v="1"/>
    <x v="4"/>
    <s v="online"/>
  </r>
  <r>
    <s v="V00371"/>
    <d v="2025-06-19T00:00:00"/>
    <x v="0"/>
    <n v="6"/>
    <s v="junio"/>
    <s v="T2"/>
    <s v="P017"/>
    <x v="17"/>
    <x v="0"/>
    <x v="4"/>
    <n v="2"/>
    <n v="49.19"/>
    <n v="23.06"/>
    <n v="0"/>
    <n v="98.38"/>
    <n v="46.12"/>
    <n v="52.26"/>
    <x v="782"/>
    <x v="0"/>
    <x v="4"/>
    <s v="tienda_fisica"/>
  </r>
  <r>
    <s v="V01746"/>
    <d v="2024-10-03T00:00:00"/>
    <x v="1"/>
    <n v="10"/>
    <s v="octubre"/>
    <s v="T4"/>
    <s v="P019"/>
    <x v="14"/>
    <x v="0"/>
    <x v="4"/>
    <n v="2"/>
    <n v="56.1"/>
    <n v="33.42"/>
    <n v="0"/>
    <n v="112.2"/>
    <n v="66.84"/>
    <n v="45.36"/>
    <x v="783"/>
    <x v="0"/>
    <x v="2"/>
    <s v="tienda_fisica"/>
  </r>
  <r>
    <s v="V01432"/>
    <d v="2024-08-09T00:00:00"/>
    <x v="1"/>
    <n v="8"/>
    <s v="agosto"/>
    <s v="T3"/>
    <s v="P015"/>
    <x v="2"/>
    <x v="2"/>
    <x v="2"/>
    <n v="4"/>
    <n v="79.98"/>
    <n v="40.770000000000003"/>
    <n v="0"/>
    <n v="319.92"/>
    <n v="163.08000000000001"/>
    <n v="156.84"/>
    <x v="784"/>
    <x v="0"/>
    <x v="4"/>
    <s v="online"/>
  </r>
  <r>
    <s v="V02036"/>
    <d v="2024-12-14T00:00:00"/>
    <x v="1"/>
    <n v="12"/>
    <s v="diciembre"/>
    <s v="T4"/>
    <s v="P018"/>
    <x v="5"/>
    <x v="0"/>
    <x v="4"/>
    <n v="3"/>
    <n v="33.04"/>
    <n v="17.670000000000002"/>
    <n v="0"/>
    <n v="99.12"/>
    <n v="53.010000000000005"/>
    <n v="46.11"/>
    <x v="785"/>
    <x v="0"/>
    <x v="0"/>
    <s v="tienda_fisica"/>
  </r>
  <r>
    <s v="V00369"/>
    <d v="2025-12-01T00:00:00"/>
    <x v="0"/>
    <n v="12"/>
    <s v="diciembre"/>
    <s v="T4"/>
    <s v="P001"/>
    <x v="9"/>
    <x v="2"/>
    <x v="3"/>
    <n v="3"/>
    <n v="121.03"/>
    <n v="80.63"/>
    <n v="0"/>
    <n v="363.09000000000003"/>
    <n v="241.89"/>
    <n v="121.20000000000005"/>
    <x v="497"/>
    <x v="1"/>
    <x v="5"/>
    <s v="tienda_fisica"/>
  </r>
  <r>
    <s v="V00097"/>
    <d v="2024-10-29T00:00:00"/>
    <x v="1"/>
    <n v="10"/>
    <s v="octubre"/>
    <s v="T4"/>
    <s v="P016"/>
    <x v="11"/>
    <x v="2"/>
    <x v="2"/>
    <n v="1"/>
    <n v="74.34"/>
    <n v="42.92"/>
    <n v="0"/>
    <n v="74.34"/>
    <n v="42.92"/>
    <n v="31.42"/>
    <x v="786"/>
    <x v="0"/>
    <x v="2"/>
    <s v="online"/>
  </r>
  <r>
    <s v="V00936"/>
    <d v="2024-03-26T00:00:00"/>
    <x v="1"/>
    <n v="3"/>
    <s v="marzo"/>
    <s v="T1"/>
    <s v="P011"/>
    <x v="10"/>
    <x v="1"/>
    <x v="1"/>
    <n v="1"/>
    <n v="22.88"/>
    <n v="11.17"/>
    <n v="0"/>
    <n v="22.88"/>
    <n v="11.17"/>
    <n v="11.709999999999999"/>
    <x v="787"/>
    <x v="0"/>
    <x v="1"/>
    <s v="tienda_fisica"/>
  </r>
  <r>
    <s v="V00587"/>
    <d v="2025-07-07T00:00:00"/>
    <x v="0"/>
    <n v="7"/>
    <s v="julio"/>
    <s v="T3"/>
    <s v="P005"/>
    <x v="18"/>
    <x v="2"/>
    <x v="0"/>
    <n v="4"/>
    <n v="61.73"/>
    <n v="39.54"/>
    <n v="0.19"/>
    <n v="200.0052"/>
    <n v="158.16"/>
    <n v="41.845200000000006"/>
    <x v="788"/>
    <x v="1"/>
    <x v="2"/>
    <s v="online"/>
  </r>
  <r>
    <s v="V01594"/>
    <d v="2024-05-17T00:00:00"/>
    <x v="1"/>
    <n v="5"/>
    <s v="mayo"/>
    <s v="T2"/>
    <s v="P011"/>
    <x v="10"/>
    <x v="1"/>
    <x v="1"/>
    <n v="1"/>
    <n v="19.920000000000002"/>
    <n v="11.61"/>
    <n v="0"/>
    <n v="19.920000000000002"/>
    <n v="11.61"/>
    <n v="8.3100000000000023"/>
    <x v="789"/>
    <x v="0"/>
    <x v="0"/>
    <s v="tienda_fisica"/>
  </r>
  <r>
    <s v="V00612"/>
    <d v="2024-10-12T00:00:00"/>
    <x v="1"/>
    <n v="10"/>
    <s v="octubre"/>
    <s v="T4"/>
    <s v="P015"/>
    <x v="2"/>
    <x v="2"/>
    <x v="2"/>
    <n v="2"/>
    <n v="83.12"/>
    <n v="44.7"/>
    <n v="0"/>
    <n v="166.24"/>
    <n v="89.4"/>
    <n v="76.84"/>
    <x v="790"/>
    <x v="0"/>
    <x v="3"/>
    <s v="tienda_fisica"/>
  </r>
  <r>
    <s v="V01938"/>
    <d v="2024-03-03T00:00:00"/>
    <x v="1"/>
    <n v="3"/>
    <s v="marzo"/>
    <s v="T1"/>
    <s v="P005"/>
    <x v="18"/>
    <x v="0"/>
    <x v="0"/>
    <n v="3"/>
    <n v="58.02"/>
    <n v="42.81"/>
    <n v="0"/>
    <n v="174.06"/>
    <n v="128.43"/>
    <n v="45.629999999999995"/>
    <x v="791"/>
    <x v="1"/>
    <x v="4"/>
    <s v="online"/>
  </r>
  <r>
    <s v="V01923"/>
    <d v="2025-07-01T00:00:00"/>
    <x v="0"/>
    <n v="7"/>
    <s v="julio"/>
    <s v="T3"/>
    <s v="P017"/>
    <x v="17"/>
    <x v="0"/>
    <x v="4"/>
    <n v="2"/>
    <n v="50.41"/>
    <n v="22.03"/>
    <n v="0"/>
    <n v="100.82"/>
    <n v="44.06"/>
    <n v="56.759999999999991"/>
    <x v="792"/>
    <x v="0"/>
    <x v="4"/>
    <s v="tienda_fisica"/>
  </r>
  <r>
    <s v="V00649"/>
    <d v="2024-01-30T00:00:00"/>
    <x v="1"/>
    <n v="1"/>
    <s v="enero"/>
    <s v="T1"/>
    <s v="P010"/>
    <x v="1"/>
    <x v="1"/>
    <x v="1"/>
    <n v="1"/>
    <n v="16.829999999999998"/>
    <n v="11.22"/>
    <n v="0.3"/>
    <n v="11.780999999999999"/>
    <n v="11.22"/>
    <n v="0.56099999999999817"/>
    <x v="793"/>
    <x v="1"/>
    <x v="2"/>
    <s v="online"/>
  </r>
  <r>
    <s v="V01612"/>
    <d v="2025-04-03T00:00:00"/>
    <x v="0"/>
    <n v="4"/>
    <s v="abril"/>
    <s v="T2"/>
    <s v="P017"/>
    <x v="17"/>
    <x v="0"/>
    <x v="4"/>
    <n v="1"/>
    <n v="52.59"/>
    <n v="23.23"/>
    <n v="0"/>
    <n v="52.59"/>
    <n v="23.23"/>
    <n v="29.360000000000003"/>
    <x v="794"/>
    <x v="0"/>
    <x v="2"/>
    <s v="online"/>
  </r>
  <r>
    <s v="V01820"/>
    <d v="2024-06-15T00:00:00"/>
    <x v="1"/>
    <n v="6"/>
    <s v="junio"/>
    <s v="T2"/>
    <s v="P017"/>
    <x v="17"/>
    <x v="0"/>
    <x v="4"/>
    <n v="10"/>
    <n v="47.59"/>
    <n v="21.69"/>
    <n v="0"/>
    <n v="475.90000000000003"/>
    <n v="216.9"/>
    <n v="259"/>
    <x v="795"/>
    <x v="0"/>
    <x v="5"/>
    <s v="tienda_fisica"/>
  </r>
  <r>
    <s v="V00512"/>
    <d v="2025-03-03T00:00:00"/>
    <x v="0"/>
    <n v="3"/>
    <s v="marzo"/>
    <s v="T1"/>
    <s v="P008"/>
    <x v="4"/>
    <x v="2"/>
    <x v="0"/>
    <n v="2"/>
    <n v="97.81"/>
    <n v="55.39"/>
    <n v="0"/>
    <n v="195.62"/>
    <n v="110.78"/>
    <n v="84.84"/>
    <x v="796"/>
    <x v="0"/>
    <x v="3"/>
    <s v="online"/>
  </r>
  <r>
    <s v="V00780"/>
    <d v="2025-01-06T00:00:00"/>
    <x v="0"/>
    <n v="1"/>
    <s v="enero"/>
    <s v="T1"/>
    <s v="P016"/>
    <x v="11"/>
    <x v="2"/>
    <x v="2"/>
    <n v="5"/>
    <n v="72.650000000000006"/>
    <n v="43"/>
    <n v="0"/>
    <n v="363.25"/>
    <n v="215"/>
    <n v="148.25"/>
    <x v="797"/>
    <x v="0"/>
    <x v="3"/>
    <s v="tienda_fisica"/>
  </r>
  <r>
    <s v="V01554"/>
    <d v="2025-09-20T00:00:00"/>
    <x v="0"/>
    <n v="9"/>
    <s v="septiembre"/>
    <s v="T3"/>
    <s v="P018"/>
    <x v="5"/>
    <x v="0"/>
    <x v="4"/>
    <n v="5"/>
    <n v="31.25"/>
    <n v="16.45"/>
    <n v="0"/>
    <n v="156.25"/>
    <n v="82.25"/>
    <n v="74"/>
    <x v="798"/>
    <x v="0"/>
    <x v="4"/>
    <s v="tienda_fisica"/>
  </r>
  <r>
    <s v="V00566"/>
    <d v="2025-03-03T00:00:00"/>
    <x v="0"/>
    <n v="3"/>
    <s v="marzo"/>
    <s v="T1"/>
    <s v="P012"/>
    <x v="13"/>
    <x v="1"/>
    <x v="1"/>
    <n v="4"/>
    <n v="8.14"/>
    <n v="5.49"/>
    <n v="0"/>
    <n v="32.56"/>
    <n v="21.96"/>
    <n v="10.600000000000001"/>
    <x v="799"/>
    <x v="1"/>
    <x v="3"/>
    <s v="tienda_fisica"/>
  </r>
  <r>
    <s v="V01154"/>
    <d v="2024-04-14T00:00:00"/>
    <x v="1"/>
    <n v="4"/>
    <s v="abril"/>
    <s v="T2"/>
    <s v="P019"/>
    <x v="14"/>
    <x v="2"/>
    <x v="4"/>
    <n v="4"/>
    <n v="60.14"/>
    <n v="33.83"/>
    <n v="0"/>
    <n v="240.56"/>
    <n v="135.32"/>
    <n v="105.24000000000001"/>
    <x v="800"/>
    <x v="0"/>
    <x v="3"/>
    <s v="tienda_fisica"/>
  </r>
  <r>
    <s v="V01728"/>
    <d v="2025-03-23T00:00:00"/>
    <x v="0"/>
    <n v="3"/>
    <s v="marzo"/>
    <s v="T1"/>
    <s v="P009"/>
    <x v="12"/>
    <x v="1"/>
    <x v="1"/>
    <n v="1"/>
    <n v="7.3"/>
    <n v="4.21"/>
    <n v="0.26"/>
    <n v="5.4020000000000001"/>
    <n v="4.21"/>
    <n v="1.1920000000000002"/>
    <x v="801"/>
    <x v="1"/>
    <x v="5"/>
    <s v="tienda_fisica"/>
  </r>
  <r>
    <s v="V01731"/>
    <d v="2025-07-10T00:00:00"/>
    <x v="0"/>
    <n v="7"/>
    <s v="julio"/>
    <s v="T3"/>
    <s v="P008"/>
    <x v="4"/>
    <x v="2"/>
    <x v="0"/>
    <n v="7"/>
    <n v="105.9"/>
    <n v="58.66"/>
    <n v="0"/>
    <n v="741.30000000000007"/>
    <n v="410.62"/>
    <n v="330.68000000000006"/>
    <x v="802"/>
    <x v="0"/>
    <x v="2"/>
    <s v="tienda_fisica"/>
  </r>
  <r>
    <s v="V00119"/>
    <d v="2025-06-27T00:00:00"/>
    <x v="0"/>
    <n v="6"/>
    <s v="junio"/>
    <s v="T2"/>
    <s v="P003"/>
    <x v="7"/>
    <x v="2"/>
    <x v="3"/>
    <n v="2"/>
    <n v="177.72"/>
    <n v="96.8"/>
    <n v="0"/>
    <n v="355.44"/>
    <n v="193.6"/>
    <n v="161.84"/>
    <x v="803"/>
    <x v="0"/>
    <x v="3"/>
    <s v="online"/>
  </r>
  <r>
    <s v="V00506"/>
    <d v="2024-02-14T00:00:00"/>
    <x v="1"/>
    <n v="2"/>
    <s v="febrero"/>
    <s v="T1"/>
    <s v="P017"/>
    <x v="17"/>
    <x v="0"/>
    <x v="4"/>
    <n v="1"/>
    <n v="47.52"/>
    <n v="22.61"/>
    <n v="0"/>
    <n v="47.52"/>
    <n v="22.61"/>
    <n v="24.910000000000004"/>
    <x v="804"/>
    <x v="0"/>
    <x v="3"/>
    <s v="online"/>
  </r>
  <r>
    <s v="V01402"/>
    <d v="2024-01-20T00:00:00"/>
    <x v="1"/>
    <n v="1"/>
    <s v="enero"/>
    <s v="T1"/>
    <s v="P013"/>
    <x v="8"/>
    <x v="2"/>
    <x v="2"/>
    <n v="1"/>
    <n v="75.760000000000005"/>
    <n v="45.56"/>
    <n v="0"/>
    <n v="75.760000000000005"/>
    <n v="45.56"/>
    <n v="30.200000000000003"/>
    <x v="805"/>
    <x v="0"/>
    <x v="0"/>
    <s v="online"/>
  </r>
  <r>
    <s v="V01200"/>
    <d v="2025-01-18T00:00:00"/>
    <x v="0"/>
    <n v="1"/>
    <s v="enero"/>
    <s v="T1"/>
    <s v="P002"/>
    <x v="3"/>
    <x v="2"/>
    <x v="3"/>
    <n v="5"/>
    <n v="73.819999999999993"/>
    <n v="45.08"/>
    <n v="0"/>
    <n v="369.09999999999997"/>
    <n v="225.39999999999998"/>
    <n v="143.69999999999999"/>
    <x v="806"/>
    <x v="0"/>
    <x v="4"/>
    <s v="online"/>
  </r>
  <r>
    <s v="V00022"/>
    <d v="2024-01-10T00:00:00"/>
    <x v="1"/>
    <n v="1"/>
    <s v="enero"/>
    <s v="T1"/>
    <s v="P003"/>
    <x v="7"/>
    <x v="2"/>
    <x v="3"/>
    <n v="1"/>
    <n v="177.72"/>
    <n v="97.78"/>
    <n v="0"/>
    <n v="177.72"/>
    <n v="97.78"/>
    <n v="79.94"/>
    <x v="807"/>
    <x v="0"/>
    <x v="1"/>
    <s v="tienda_fisica"/>
  </r>
  <r>
    <s v="V00501"/>
    <d v="2025-07-26T00:00:00"/>
    <x v="0"/>
    <n v="7"/>
    <s v="julio"/>
    <s v="T3"/>
    <s v="P016"/>
    <x v="11"/>
    <x v="2"/>
    <x v="2"/>
    <n v="3"/>
    <n v="85.14"/>
    <n v="41.11"/>
    <n v="0"/>
    <n v="255.42000000000002"/>
    <n v="123.33"/>
    <n v="132.09000000000003"/>
    <x v="808"/>
    <x v="0"/>
    <x v="3"/>
    <s v="online"/>
  </r>
  <r>
    <s v="V00924"/>
    <d v="2025-12-29T00:00:00"/>
    <x v="0"/>
    <n v="12"/>
    <s v="diciembre"/>
    <s v="T4"/>
    <s v="P012"/>
    <x v="13"/>
    <x v="1"/>
    <x v="1"/>
    <n v="1"/>
    <n v="8.34"/>
    <n v="5.75"/>
    <n v="0"/>
    <n v="8.34"/>
    <n v="5.75"/>
    <n v="2.59"/>
    <x v="809"/>
    <x v="1"/>
    <x v="0"/>
    <s v="online"/>
  </r>
  <r>
    <s v="V01810"/>
    <d v="2025-06-25T00:00:00"/>
    <x v="0"/>
    <n v="6"/>
    <s v="junio"/>
    <s v="T2"/>
    <s v="P016"/>
    <x v="11"/>
    <x v="2"/>
    <x v="2"/>
    <n v="3"/>
    <n v="77.150000000000006"/>
    <n v="40.479999999999997"/>
    <n v="0"/>
    <n v="231.45000000000002"/>
    <n v="121.44"/>
    <n v="110.01000000000002"/>
    <x v="810"/>
    <x v="0"/>
    <x v="6"/>
    <s v="tienda_fisica"/>
  </r>
  <r>
    <s v="V02285"/>
    <d v="2025-01-26T00:00:00"/>
    <x v="0"/>
    <n v="1"/>
    <s v="enero"/>
    <s v="T1"/>
    <s v="P003"/>
    <x v="7"/>
    <x v="2"/>
    <x v="3"/>
    <n v="4"/>
    <n v="177.72"/>
    <n v="92.71"/>
    <n v="0"/>
    <n v="710.88"/>
    <n v="370.84"/>
    <n v="340.04"/>
    <x v="811"/>
    <x v="0"/>
    <x v="3"/>
    <s v="tienda_fisica"/>
  </r>
  <r>
    <s v="V01399"/>
    <d v="2025-02-14T00:00:00"/>
    <x v="0"/>
    <n v="2"/>
    <s v="febrero"/>
    <s v="T1"/>
    <s v="P016"/>
    <x v="11"/>
    <x v="2"/>
    <x v="2"/>
    <n v="4"/>
    <n v="74.52"/>
    <n v="41.01"/>
    <n v="0"/>
    <n v="298.08"/>
    <n v="164.04"/>
    <n v="134.04"/>
    <x v="812"/>
    <x v="0"/>
    <x v="0"/>
    <s v="tienda_fisica"/>
  </r>
  <r>
    <s v="V00165"/>
    <d v="2025-02-24T00:00:00"/>
    <x v="0"/>
    <n v="2"/>
    <s v="febrero"/>
    <s v="T1"/>
    <s v="P017"/>
    <x v="17"/>
    <x v="0"/>
    <x v="4"/>
    <n v="1"/>
    <n v="50.45"/>
    <n v="22.58"/>
    <n v="0"/>
    <n v="50.45"/>
    <n v="22.58"/>
    <n v="27.870000000000005"/>
    <x v="813"/>
    <x v="0"/>
    <x v="2"/>
    <s v="tienda_fisica"/>
  </r>
  <r>
    <s v="V00977"/>
    <d v="2024-04-21T00:00:00"/>
    <x v="1"/>
    <n v="4"/>
    <s v="abril"/>
    <s v="T2"/>
    <s v="P015"/>
    <x v="2"/>
    <x v="2"/>
    <x v="2"/>
    <n v="12"/>
    <n v="81.14"/>
    <n v="41.5"/>
    <n v="0"/>
    <n v="973.68000000000006"/>
    <n v="498"/>
    <n v="475.68000000000006"/>
    <x v="814"/>
    <x v="0"/>
    <x v="3"/>
    <s v="tienda_fisica"/>
  </r>
  <r>
    <s v="V01913"/>
    <d v="2025-10-12T00:00:00"/>
    <x v="0"/>
    <n v="10"/>
    <s v="octubre"/>
    <s v="T4"/>
    <s v="P008"/>
    <x v="4"/>
    <x v="2"/>
    <x v="0"/>
    <n v="4"/>
    <n v="98.87"/>
    <n v="58.53"/>
    <n v="0"/>
    <n v="395.48"/>
    <n v="234.12"/>
    <n v="161.36000000000001"/>
    <x v="815"/>
    <x v="0"/>
    <x v="2"/>
    <s v="tienda_fisica"/>
  </r>
  <r>
    <s v="V02172"/>
    <d v="2025-05-20T00:00:00"/>
    <x v="0"/>
    <n v="5"/>
    <s v="mayo"/>
    <s v="T2"/>
    <s v="P006"/>
    <x v="0"/>
    <x v="0"/>
    <x v="0"/>
    <n v="1"/>
    <n v="49.13"/>
    <n v="25.89"/>
    <n v="0"/>
    <n v="49.13"/>
    <n v="25.89"/>
    <n v="23.240000000000002"/>
    <x v="816"/>
    <x v="0"/>
    <x v="3"/>
    <s v="tienda_fisica"/>
  </r>
  <r>
    <s v="V01819"/>
    <d v="2025-02-23T00:00:00"/>
    <x v="0"/>
    <n v="2"/>
    <s v="febrero"/>
    <s v="T1"/>
    <s v="P011"/>
    <x v="10"/>
    <x v="1"/>
    <x v="1"/>
    <n v="1"/>
    <n v="20.75"/>
    <n v="11.82"/>
    <n v="0"/>
    <n v="20.75"/>
    <n v="11.82"/>
    <n v="8.93"/>
    <x v="817"/>
    <x v="0"/>
    <x v="3"/>
    <s v="online"/>
  </r>
  <r>
    <s v="V00978"/>
    <d v="2024-12-16T00:00:00"/>
    <x v="1"/>
    <n v="12"/>
    <s v="diciembre"/>
    <s v="T4"/>
    <s v="P011"/>
    <x v="10"/>
    <x v="1"/>
    <x v="1"/>
    <n v="5"/>
    <n v="20.75"/>
    <n v="10.87"/>
    <n v="0.17"/>
    <n v="86.112499999999997"/>
    <n v="54.349999999999994"/>
    <n v="31.762500000000003"/>
    <x v="818"/>
    <x v="1"/>
    <x v="6"/>
    <s v="tienda_fisica"/>
  </r>
  <r>
    <s v="V01733"/>
    <d v="2025-08-26T00:00:00"/>
    <x v="0"/>
    <n v="8"/>
    <s v="agosto"/>
    <s v="T3"/>
    <s v="P002"/>
    <x v="3"/>
    <x v="2"/>
    <x v="3"/>
    <n v="7"/>
    <n v="72.56"/>
    <n v="47.73"/>
    <n v="0"/>
    <n v="507.92"/>
    <n v="334.10999999999996"/>
    <n v="173.81000000000006"/>
    <x v="819"/>
    <x v="1"/>
    <x v="3"/>
    <s v="tienda_fisica"/>
  </r>
  <r>
    <s v="V01950"/>
    <d v="2024-10-14T00:00:00"/>
    <x v="1"/>
    <n v="10"/>
    <s v="octubre"/>
    <s v="T4"/>
    <s v="P020"/>
    <x v="19"/>
    <x v="2"/>
    <x v="4"/>
    <n v="2"/>
    <n v="63.91"/>
    <n v="35.21"/>
    <n v="0.1"/>
    <n v="115.038"/>
    <n v="70.42"/>
    <n v="44.617999999999995"/>
    <x v="820"/>
    <x v="0"/>
    <x v="0"/>
    <s v="online"/>
  </r>
  <r>
    <s v="V00379"/>
    <d v="2024-09-17T00:00:00"/>
    <x v="1"/>
    <n v="9"/>
    <s v="septiembre"/>
    <s v="T3"/>
    <s v="P004"/>
    <x v="6"/>
    <x v="2"/>
    <x v="3"/>
    <n v="2"/>
    <n v="167.42"/>
    <n v="105.71"/>
    <n v="0"/>
    <n v="334.84"/>
    <n v="211.42"/>
    <n v="123.41999999999999"/>
    <x v="821"/>
    <x v="1"/>
    <x v="4"/>
    <s v="online"/>
  </r>
  <r>
    <s v="V00064"/>
    <d v="2025-10-15T00:00:00"/>
    <x v="0"/>
    <n v="10"/>
    <s v="octubre"/>
    <s v="T4"/>
    <s v="P005"/>
    <x v="18"/>
    <x v="0"/>
    <x v="0"/>
    <n v="2"/>
    <n v="56.66"/>
    <n v="39.32"/>
    <n v="0"/>
    <n v="113.32"/>
    <n v="78.64"/>
    <n v="34.679999999999993"/>
    <x v="822"/>
    <x v="1"/>
    <x v="5"/>
    <s v="tienda_fisica"/>
  </r>
  <r>
    <s v="V01455"/>
    <d v="2024-07-06T00:00:00"/>
    <x v="1"/>
    <n v="7"/>
    <s v="julio"/>
    <s v="T3"/>
    <s v="P011"/>
    <x v="10"/>
    <x v="1"/>
    <x v="1"/>
    <n v="2"/>
    <n v="22.26"/>
    <n v="11.89"/>
    <n v="0"/>
    <n v="44.52"/>
    <n v="23.78"/>
    <n v="20.740000000000002"/>
    <x v="823"/>
    <x v="0"/>
    <x v="5"/>
    <s v="tienda_fisica"/>
  </r>
  <r>
    <s v="V02171"/>
    <d v="2025-09-19T00:00:00"/>
    <x v="0"/>
    <n v="9"/>
    <s v="septiembre"/>
    <s v="T3"/>
    <s v="P020"/>
    <x v="19"/>
    <x v="2"/>
    <x v="4"/>
    <n v="1"/>
    <n v="62.62"/>
    <n v="32.85"/>
    <n v="0"/>
    <n v="62.62"/>
    <n v="32.85"/>
    <n v="29.769999999999996"/>
    <x v="824"/>
    <x v="0"/>
    <x v="2"/>
    <s v="tienda_fisica"/>
  </r>
  <r>
    <s v="V00699"/>
    <d v="2025-11-20T00:00:00"/>
    <x v="0"/>
    <n v="11"/>
    <s v="noviembre"/>
    <s v="T4"/>
    <s v="P015"/>
    <x v="2"/>
    <x v="2"/>
    <x v="2"/>
    <n v="1"/>
    <n v="81.7"/>
    <n v="41.79"/>
    <n v="0"/>
    <n v="81.7"/>
    <n v="41.79"/>
    <n v="39.910000000000004"/>
    <x v="825"/>
    <x v="0"/>
    <x v="0"/>
    <s v="online"/>
  </r>
  <r>
    <s v="V01635"/>
    <d v="2025-02-10T00:00:00"/>
    <x v="0"/>
    <n v="2"/>
    <s v="febrero"/>
    <s v="T1"/>
    <s v="P001"/>
    <x v="9"/>
    <x v="2"/>
    <x v="3"/>
    <n v="1"/>
    <n v="116.29"/>
    <n v="83.92"/>
    <n v="0.08"/>
    <n v="106.98680000000002"/>
    <n v="83.92"/>
    <n v="23.066800000000015"/>
    <x v="826"/>
    <x v="1"/>
    <x v="6"/>
    <s v="tienda_fisica"/>
  </r>
  <r>
    <s v="V02044"/>
    <d v="2025-07-05T00:00:00"/>
    <x v="0"/>
    <n v="7"/>
    <s v="julio"/>
    <s v="T3"/>
    <s v="P016"/>
    <x v="11"/>
    <x v="2"/>
    <x v="2"/>
    <n v="7"/>
    <n v="80.349999999999994"/>
    <n v="42.72"/>
    <n v="0"/>
    <n v="562.44999999999993"/>
    <n v="299.03999999999996"/>
    <n v="263.40999999999997"/>
    <x v="827"/>
    <x v="0"/>
    <x v="3"/>
    <s v="tienda_fisica"/>
  </r>
  <r>
    <s v="V00295"/>
    <d v="2024-02-14T00:00:00"/>
    <x v="1"/>
    <n v="2"/>
    <s v="febrero"/>
    <s v="T1"/>
    <s v="P003"/>
    <x v="7"/>
    <x v="2"/>
    <x v="3"/>
    <n v="3"/>
    <n v="174.09"/>
    <n v="98.66"/>
    <n v="7.0000000000000007E-2"/>
    <n v="485.71109999999993"/>
    <n v="295.98"/>
    <n v="189.73109999999991"/>
    <x v="828"/>
    <x v="0"/>
    <x v="6"/>
    <s v="tienda_fisica"/>
  </r>
  <r>
    <s v="V01040"/>
    <d v="2025-09-19T00:00:00"/>
    <x v="0"/>
    <n v="9"/>
    <s v="septiembre"/>
    <s v="T3"/>
    <s v="P011"/>
    <x v="10"/>
    <x v="1"/>
    <x v="1"/>
    <n v="3"/>
    <n v="20.98"/>
    <n v="10.96"/>
    <n v="0.28000000000000003"/>
    <n v="45.316799999999994"/>
    <n v="32.880000000000003"/>
    <n v="12.436799999999991"/>
    <x v="829"/>
    <x v="1"/>
    <x v="3"/>
    <s v="tienda_fisica"/>
  </r>
  <r>
    <s v="V01226"/>
    <d v="2025-06-19T00:00:00"/>
    <x v="0"/>
    <n v="6"/>
    <s v="junio"/>
    <s v="T2"/>
    <s v="P011"/>
    <x v="10"/>
    <x v="1"/>
    <x v="1"/>
    <n v="3"/>
    <n v="21.6"/>
    <n v="11.03"/>
    <n v="0"/>
    <n v="64.800000000000011"/>
    <n v="33.089999999999996"/>
    <n v="31.710000000000015"/>
    <x v="830"/>
    <x v="0"/>
    <x v="3"/>
    <s v="tienda_fisica"/>
  </r>
  <r>
    <s v="V01341"/>
    <d v="2025-06-01T00:00:00"/>
    <x v="0"/>
    <n v="6"/>
    <s v="junio"/>
    <s v="T2"/>
    <s v="P010"/>
    <x v="1"/>
    <x v="1"/>
    <x v="1"/>
    <n v="1"/>
    <n v="16.18"/>
    <n v="11.86"/>
    <n v="0.11"/>
    <n v="14.4002"/>
    <n v="11.86"/>
    <n v="2.5402000000000005"/>
    <x v="831"/>
    <x v="1"/>
    <x v="3"/>
    <s v="online"/>
  </r>
  <r>
    <s v="V00896"/>
    <d v="2025-04-12T00:00:00"/>
    <x v="0"/>
    <n v="4"/>
    <s v="abril"/>
    <s v="T2"/>
    <s v="P013"/>
    <x v="8"/>
    <x v="2"/>
    <x v="2"/>
    <n v="2"/>
    <n v="77.25"/>
    <n v="45.57"/>
    <n v="0"/>
    <n v="154.5"/>
    <n v="91.14"/>
    <n v="63.36"/>
    <x v="832"/>
    <x v="0"/>
    <x v="3"/>
    <s v="online"/>
  </r>
  <r>
    <s v="V00316"/>
    <d v="2025-01-22T00:00:00"/>
    <x v="0"/>
    <n v="1"/>
    <s v="enero"/>
    <s v="T1"/>
    <s v="P006"/>
    <x v="0"/>
    <x v="0"/>
    <x v="0"/>
    <n v="1"/>
    <n v="50.07"/>
    <n v="27.82"/>
    <n v="0"/>
    <n v="50.07"/>
    <n v="27.82"/>
    <n v="22.25"/>
    <x v="833"/>
    <x v="0"/>
    <x v="3"/>
    <s v="tienda_fisica"/>
  </r>
  <r>
    <s v="V00529"/>
    <d v="2025-07-10T00:00:00"/>
    <x v="0"/>
    <n v="7"/>
    <s v="julio"/>
    <s v="T3"/>
    <s v="P016"/>
    <x v="11"/>
    <x v="2"/>
    <x v="2"/>
    <n v="3"/>
    <n v="80.88"/>
    <n v="40.82"/>
    <n v="0"/>
    <n v="242.64"/>
    <n v="122.46000000000001"/>
    <n v="120.17999999999998"/>
    <x v="834"/>
    <x v="0"/>
    <x v="2"/>
    <s v="tienda_fisica"/>
  </r>
  <r>
    <s v="V01325"/>
    <d v="2024-04-11T00:00:00"/>
    <x v="1"/>
    <n v="4"/>
    <s v="abril"/>
    <s v="T2"/>
    <s v="P019"/>
    <x v="14"/>
    <x v="2"/>
    <x v="4"/>
    <n v="4"/>
    <n v="60.02"/>
    <n v="33.340000000000003"/>
    <n v="0"/>
    <n v="240.08"/>
    <n v="133.36000000000001"/>
    <n v="106.72"/>
    <x v="835"/>
    <x v="0"/>
    <x v="5"/>
    <s v="online"/>
  </r>
  <r>
    <s v="V00131"/>
    <d v="2025-07-21T00:00:00"/>
    <x v="0"/>
    <n v="7"/>
    <s v="julio"/>
    <s v="T3"/>
    <s v="P019"/>
    <x v="14"/>
    <x v="2"/>
    <x v="4"/>
    <n v="1"/>
    <n v="60.1"/>
    <n v="31.66"/>
    <n v="0"/>
    <n v="60.1"/>
    <n v="31.66"/>
    <n v="28.44"/>
    <x v="836"/>
    <x v="0"/>
    <x v="6"/>
    <s v="tienda_fisica"/>
  </r>
  <r>
    <s v="V01178"/>
    <d v="2024-07-10T00:00:00"/>
    <x v="1"/>
    <n v="7"/>
    <s v="julio"/>
    <s v="T3"/>
    <s v="P004"/>
    <x v="6"/>
    <x v="2"/>
    <x v="3"/>
    <n v="2"/>
    <n v="149.43"/>
    <n v="113.43"/>
    <n v="0"/>
    <n v="298.86"/>
    <n v="226.86"/>
    <n v="72"/>
    <x v="837"/>
    <x v="1"/>
    <x v="1"/>
    <s v="online"/>
  </r>
  <r>
    <s v="V00190"/>
    <d v="2024-08-07T00:00:00"/>
    <x v="1"/>
    <n v="8"/>
    <s v="agosto"/>
    <s v="T3"/>
    <s v="P016"/>
    <x v="11"/>
    <x v="2"/>
    <x v="2"/>
    <n v="1"/>
    <n v="79.97"/>
    <n v="41.01"/>
    <n v="0"/>
    <n v="79.97"/>
    <n v="41.01"/>
    <n v="38.96"/>
    <x v="838"/>
    <x v="0"/>
    <x v="3"/>
    <s v="tienda_fisica"/>
  </r>
  <r>
    <s v="V00028"/>
    <d v="2025-01-01T00:00:00"/>
    <x v="0"/>
    <n v="1"/>
    <s v="enero"/>
    <s v="T1"/>
    <s v="P002"/>
    <x v="3"/>
    <x v="2"/>
    <x v="3"/>
    <n v="1"/>
    <n v="78.34"/>
    <n v="46.79"/>
    <n v="0"/>
    <n v="78.34"/>
    <n v="46.79"/>
    <n v="31.550000000000004"/>
    <x v="839"/>
    <x v="0"/>
    <x v="3"/>
    <s v="online"/>
  </r>
  <r>
    <s v="V02010"/>
    <d v="2025-07-18T00:00:00"/>
    <x v="0"/>
    <n v="7"/>
    <s v="julio"/>
    <s v="T3"/>
    <s v="P018"/>
    <x v="5"/>
    <x v="0"/>
    <x v="4"/>
    <n v="3"/>
    <n v="32.11"/>
    <n v="16.63"/>
    <n v="0"/>
    <n v="96.33"/>
    <n v="49.89"/>
    <n v="46.44"/>
    <x v="840"/>
    <x v="0"/>
    <x v="3"/>
    <s v="tienda_fisica"/>
  </r>
  <r>
    <s v="V00650"/>
    <d v="2025-12-08T00:00:00"/>
    <x v="0"/>
    <n v="12"/>
    <s v="diciembre"/>
    <s v="T4"/>
    <s v="P014"/>
    <x v="16"/>
    <x v="1"/>
    <x v="2"/>
    <n v="1"/>
    <n v="13.94"/>
    <n v="9.2899999999999991"/>
    <n v="0.21"/>
    <n v="11.012600000000001"/>
    <n v="9.2899999999999991"/>
    <n v="1.7226000000000017"/>
    <x v="841"/>
    <x v="1"/>
    <x v="2"/>
    <s v="online"/>
  </r>
  <r>
    <s v="V01233"/>
    <d v="2024-04-12T00:00:00"/>
    <x v="1"/>
    <n v="4"/>
    <s v="abril"/>
    <s v="T2"/>
    <s v="P007"/>
    <x v="15"/>
    <x v="1"/>
    <x v="0"/>
    <n v="3"/>
    <n v="20.11"/>
    <n v="13.37"/>
    <n v="0.27"/>
    <n v="44.040900000000001"/>
    <n v="40.11"/>
    <n v="3.9309000000000012"/>
    <x v="842"/>
    <x v="1"/>
    <x v="0"/>
    <s v="online"/>
  </r>
  <r>
    <s v="V01850"/>
    <d v="2024-09-18T00:00:00"/>
    <x v="1"/>
    <n v="9"/>
    <s v="septiembre"/>
    <s v="T3"/>
    <s v="P011"/>
    <x v="10"/>
    <x v="1"/>
    <x v="1"/>
    <n v="1"/>
    <n v="20.67"/>
    <n v="11.49"/>
    <n v="0"/>
    <n v="20.67"/>
    <n v="11.49"/>
    <n v="9.1800000000000015"/>
    <x v="843"/>
    <x v="0"/>
    <x v="3"/>
    <s v="online"/>
  </r>
  <r>
    <s v="V01579"/>
    <d v="2025-11-15T00:00:00"/>
    <x v="0"/>
    <n v="11"/>
    <s v="noviembre"/>
    <s v="T4"/>
    <s v="P020"/>
    <x v="19"/>
    <x v="0"/>
    <x v="4"/>
    <n v="3"/>
    <n v="56.23"/>
    <n v="32.68"/>
    <n v="0"/>
    <n v="168.69"/>
    <n v="98.039999999999992"/>
    <n v="70.650000000000006"/>
    <x v="844"/>
    <x v="0"/>
    <x v="4"/>
    <s v="tienda_fisica"/>
  </r>
  <r>
    <s v="V00831"/>
    <d v="2024-04-12T00:00:00"/>
    <x v="1"/>
    <n v="4"/>
    <s v="abril"/>
    <s v="T2"/>
    <s v="P020"/>
    <x v="19"/>
    <x v="0"/>
    <x v="4"/>
    <n v="1"/>
    <n v="57.21"/>
    <n v="34.5"/>
    <n v="0"/>
    <n v="57.21"/>
    <n v="34.5"/>
    <n v="22.71"/>
    <x v="845"/>
    <x v="0"/>
    <x v="3"/>
    <s v="online"/>
  </r>
  <r>
    <s v="V02179"/>
    <d v="2024-12-18T00:00:00"/>
    <x v="1"/>
    <n v="12"/>
    <s v="diciembre"/>
    <s v="T4"/>
    <s v="P011"/>
    <x v="10"/>
    <x v="1"/>
    <x v="1"/>
    <n v="4"/>
    <n v="23.19"/>
    <n v="11.15"/>
    <n v="0"/>
    <n v="92.76"/>
    <n v="44.6"/>
    <n v="48.160000000000004"/>
    <x v="846"/>
    <x v="0"/>
    <x v="5"/>
    <s v="online"/>
  </r>
  <r>
    <s v="V01925"/>
    <d v="2025-10-14T00:00:00"/>
    <x v="0"/>
    <n v="10"/>
    <s v="octubre"/>
    <s v="T4"/>
    <s v="P019"/>
    <x v="14"/>
    <x v="2"/>
    <x v="4"/>
    <n v="1"/>
    <n v="60.24"/>
    <n v="32.200000000000003"/>
    <n v="0.14000000000000001"/>
    <n v="51.806400000000004"/>
    <n v="32.200000000000003"/>
    <n v="19.606400000000001"/>
    <x v="847"/>
    <x v="0"/>
    <x v="3"/>
    <s v="online"/>
  </r>
  <r>
    <s v="V02081"/>
    <d v="2025-04-10T00:00:00"/>
    <x v="0"/>
    <n v="4"/>
    <s v="abril"/>
    <s v="T2"/>
    <s v="P001"/>
    <x v="9"/>
    <x v="2"/>
    <x v="3"/>
    <n v="1"/>
    <n v="128.54"/>
    <n v="86.5"/>
    <n v="0"/>
    <n v="128.54"/>
    <n v="86.5"/>
    <n v="42.039999999999992"/>
    <x v="848"/>
    <x v="1"/>
    <x v="3"/>
    <s v="online"/>
  </r>
  <r>
    <s v="V01122"/>
    <d v="2024-02-09T00:00:00"/>
    <x v="1"/>
    <n v="2"/>
    <s v="febrero"/>
    <s v="T1"/>
    <s v="P011"/>
    <x v="10"/>
    <x v="1"/>
    <x v="1"/>
    <n v="6"/>
    <n v="22.69"/>
    <n v="11.58"/>
    <n v="0"/>
    <n v="136.14000000000001"/>
    <n v="69.48"/>
    <n v="66.660000000000011"/>
    <x v="849"/>
    <x v="0"/>
    <x v="0"/>
    <s v="tienda_fisica"/>
  </r>
  <r>
    <s v="V00322"/>
    <d v="2024-12-12T00:00:00"/>
    <x v="1"/>
    <n v="12"/>
    <s v="diciembre"/>
    <s v="T4"/>
    <s v="P003"/>
    <x v="7"/>
    <x v="2"/>
    <x v="3"/>
    <n v="3"/>
    <n v="177.72"/>
    <n v="91.03"/>
    <n v="0"/>
    <n v="533.16"/>
    <n v="273.09000000000003"/>
    <n v="260.06999999999994"/>
    <x v="850"/>
    <x v="0"/>
    <x v="4"/>
    <s v="tienda_fisica"/>
  </r>
  <r>
    <s v="V02019"/>
    <d v="2025-02-02T00:00:00"/>
    <x v="0"/>
    <n v="2"/>
    <s v="febrero"/>
    <s v="T1"/>
    <s v="P016"/>
    <x v="11"/>
    <x v="2"/>
    <x v="2"/>
    <n v="6"/>
    <n v="75.37"/>
    <n v="40.75"/>
    <n v="0"/>
    <n v="452.22"/>
    <n v="244.5"/>
    <n v="207.72000000000003"/>
    <x v="851"/>
    <x v="0"/>
    <x v="3"/>
    <s v="online"/>
  </r>
  <r>
    <s v="V02229"/>
    <d v="2025-12-14T00:00:00"/>
    <x v="0"/>
    <n v="12"/>
    <s v="diciembre"/>
    <s v="T4"/>
    <s v="P006"/>
    <x v="0"/>
    <x v="0"/>
    <x v="0"/>
    <n v="8"/>
    <n v="50.36"/>
    <n v="25.36"/>
    <n v="0"/>
    <n v="402.88"/>
    <n v="202.88"/>
    <n v="200"/>
    <x v="852"/>
    <x v="0"/>
    <x v="0"/>
    <s v="tienda_fisica"/>
  </r>
  <r>
    <s v="V01348"/>
    <d v="2024-05-08T00:00:00"/>
    <x v="1"/>
    <n v="5"/>
    <s v="mayo"/>
    <s v="T2"/>
    <s v="P013"/>
    <x v="8"/>
    <x v="2"/>
    <x v="2"/>
    <n v="2"/>
    <n v="76.12"/>
    <n v="47.09"/>
    <n v="0"/>
    <n v="152.24"/>
    <n v="94.18"/>
    <n v="58.06"/>
    <x v="853"/>
    <x v="0"/>
    <x v="5"/>
    <s v="online"/>
  </r>
  <r>
    <s v="V00267"/>
    <d v="2024-03-01T00:00:00"/>
    <x v="1"/>
    <n v="3"/>
    <s v="marzo"/>
    <s v="T1"/>
    <s v="P014"/>
    <x v="16"/>
    <x v="1"/>
    <x v="2"/>
    <n v="1"/>
    <n v="13.53"/>
    <n v="9.7799999999999994"/>
    <n v="0"/>
    <n v="13.53"/>
    <n v="9.7799999999999994"/>
    <n v="3.75"/>
    <x v="854"/>
    <x v="1"/>
    <x v="6"/>
    <s v="tienda_fisica"/>
  </r>
  <r>
    <s v="V01600"/>
    <d v="2024-04-19T00:00:00"/>
    <x v="1"/>
    <n v="4"/>
    <s v="abril"/>
    <s v="T2"/>
    <s v="P019"/>
    <x v="14"/>
    <x v="2"/>
    <x v="4"/>
    <n v="3"/>
    <n v="59.65"/>
    <n v="31.09"/>
    <n v="0"/>
    <n v="178.95"/>
    <n v="93.27"/>
    <n v="85.679999999999993"/>
    <x v="855"/>
    <x v="0"/>
    <x v="3"/>
    <s v="online"/>
  </r>
  <r>
    <s v="V00586"/>
    <d v="2024-09-21T00:00:00"/>
    <x v="1"/>
    <n v="9"/>
    <s v="septiembre"/>
    <s v="T3"/>
    <s v="P002"/>
    <x v="3"/>
    <x v="2"/>
    <x v="3"/>
    <n v="2"/>
    <n v="78.86"/>
    <n v="47.75"/>
    <n v="0.17"/>
    <n v="130.9076"/>
    <n v="95.5"/>
    <n v="35.407600000000002"/>
    <x v="856"/>
    <x v="1"/>
    <x v="6"/>
    <s v="online"/>
  </r>
  <r>
    <s v="V00838"/>
    <d v="2024-06-24T00:00:00"/>
    <x v="1"/>
    <n v="6"/>
    <s v="junio"/>
    <s v="T2"/>
    <s v="P019"/>
    <x v="14"/>
    <x v="0"/>
    <x v="4"/>
    <n v="2"/>
    <n v="58.36"/>
    <n v="34.07"/>
    <n v="0"/>
    <n v="116.72"/>
    <n v="68.14"/>
    <n v="48.58"/>
    <x v="857"/>
    <x v="0"/>
    <x v="3"/>
    <s v="online"/>
  </r>
  <r>
    <s v="V00711"/>
    <d v="2025-06-22T00:00:00"/>
    <x v="0"/>
    <n v="6"/>
    <s v="junio"/>
    <s v="T2"/>
    <s v="P001"/>
    <x v="9"/>
    <x v="2"/>
    <x v="3"/>
    <n v="3"/>
    <n v="118.84"/>
    <n v="82.49"/>
    <n v="0"/>
    <n v="356.52"/>
    <n v="247.46999999999997"/>
    <n v="109.05000000000001"/>
    <x v="858"/>
    <x v="1"/>
    <x v="2"/>
    <s v="online"/>
  </r>
  <r>
    <s v="V01529"/>
    <d v="2024-11-25T00:00:00"/>
    <x v="1"/>
    <n v="11"/>
    <s v="noviembre"/>
    <s v="T4"/>
    <s v="P013"/>
    <x v="8"/>
    <x v="2"/>
    <x v="2"/>
    <n v="1"/>
    <n v="70.709999999999994"/>
    <n v="46.93"/>
    <n v="0"/>
    <n v="70.709999999999994"/>
    <n v="46.93"/>
    <n v="23.779999999999994"/>
    <x v="859"/>
    <x v="1"/>
    <x v="4"/>
    <s v="online"/>
  </r>
  <r>
    <s v="V01739"/>
    <d v="2025-11-07T00:00:00"/>
    <x v="0"/>
    <n v="11"/>
    <s v="noviembre"/>
    <s v="T4"/>
    <s v="P006"/>
    <x v="0"/>
    <x v="0"/>
    <x v="0"/>
    <n v="7"/>
    <n v="43.69"/>
    <n v="26.63"/>
    <n v="0"/>
    <n v="305.83"/>
    <n v="186.41"/>
    <n v="119.41999999999999"/>
    <x v="860"/>
    <x v="0"/>
    <x v="4"/>
    <s v="online"/>
  </r>
  <r>
    <s v="V02121"/>
    <d v="2025-07-14T00:00:00"/>
    <x v="0"/>
    <n v="7"/>
    <s v="julio"/>
    <s v="T3"/>
    <s v="P013"/>
    <x v="8"/>
    <x v="2"/>
    <x v="2"/>
    <n v="1"/>
    <n v="75.98"/>
    <n v="46.44"/>
    <n v="0"/>
    <n v="75.98"/>
    <n v="46.44"/>
    <n v="29.540000000000006"/>
    <x v="861"/>
    <x v="0"/>
    <x v="3"/>
    <s v="online"/>
  </r>
  <r>
    <s v="V00076"/>
    <d v="2024-09-15T00:00:00"/>
    <x v="1"/>
    <n v="9"/>
    <s v="septiembre"/>
    <s v="T3"/>
    <s v="P011"/>
    <x v="10"/>
    <x v="1"/>
    <x v="1"/>
    <n v="2"/>
    <n v="23.19"/>
    <n v="11.58"/>
    <n v="0"/>
    <n v="46.38"/>
    <n v="23.16"/>
    <n v="23.220000000000002"/>
    <x v="862"/>
    <x v="0"/>
    <x v="3"/>
    <s v="tienda_fisica"/>
  </r>
  <r>
    <s v="V02129"/>
    <d v="2025-09-10T00:00:00"/>
    <x v="0"/>
    <n v="9"/>
    <s v="septiembre"/>
    <s v="T3"/>
    <s v="P020"/>
    <x v="19"/>
    <x v="2"/>
    <x v="4"/>
    <n v="1"/>
    <n v="64.55"/>
    <n v="32.799999999999997"/>
    <n v="0"/>
    <n v="64.55"/>
    <n v="32.799999999999997"/>
    <n v="31.75"/>
    <x v="863"/>
    <x v="0"/>
    <x v="5"/>
    <s v="online"/>
  </r>
  <r>
    <s v="V01778"/>
    <d v="2024-01-14T00:00:00"/>
    <x v="1"/>
    <n v="1"/>
    <s v="enero"/>
    <s v="T1"/>
    <s v="P015"/>
    <x v="2"/>
    <x v="2"/>
    <x v="2"/>
    <n v="1"/>
    <n v="81.44"/>
    <n v="44.3"/>
    <n v="0"/>
    <n v="81.44"/>
    <n v="44.3"/>
    <n v="37.14"/>
    <x v="864"/>
    <x v="0"/>
    <x v="6"/>
    <s v="online"/>
  </r>
  <r>
    <s v="V00817"/>
    <d v="2024-11-02T00:00:00"/>
    <x v="1"/>
    <n v="11"/>
    <s v="noviembre"/>
    <s v="T4"/>
    <s v="P018"/>
    <x v="5"/>
    <x v="1"/>
    <x v="4"/>
    <n v="6"/>
    <n v="29.2"/>
    <n v="18.09"/>
    <n v="0"/>
    <n v="175.2"/>
    <n v="108.53999999999999"/>
    <n v="66.66"/>
    <x v="865"/>
    <x v="0"/>
    <x v="3"/>
    <s v="online"/>
  </r>
  <r>
    <s v="V00220"/>
    <d v="2025-06-30T00:00:00"/>
    <x v="0"/>
    <n v="6"/>
    <s v="junio"/>
    <s v="T2"/>
    <s v="P015"/>
    <x v="2"/>
    <x v="2"/>
    <x v="2"/>
    <n v="2"/>
    <n v="77.38"/>
    <n v="44.09"/>
    <n v="0"/>
    <n v="154.76"/>
    <n v="88.18"/>
    <n v="66.579999999999984"/>
    <x v="866"/>
    <x v="0"/>
    <x v="4"/>
    <s v="online"/>
  </r>
  <r>
    <s v="V02296"/>
    <d v="2025-04-04T00:00:00"/>
    <x v="0"/>
    <n v="4"/>
    <s v="abril"/>
    <s v="T2"/>
    <s v="P018"/>
    <x v="5"/>
    <x v="0"/>
    <x v="4"/>
    <n v="3"/>
    <n v="33.03"/>
    <n v="16.53"/>
    <n v="0"/>
    <n v="99.09"/>
    <n v="49.59"/>
    <n v="49.5"/>
    <x v="867"/>
    <x v="0"/>
    <x v="3"/>
    <s v="tienda_fisica"/>
  </r>
  <r>
    <s v="V00303"/>
    <d v="2024-01-23T00:00:00"/>
    <x v="1"/>
    <n v="1"/>
    <s v="enero"/>
    <s v="T1"/>
    <s v="P003"/>
    <x v="7"/>
    <x v="2"/>
    <x v="3"/>
    <n v="4"/>
    <n v="166.12"/>
    <n v="97.46"/>
    <n v="0"/>
    <n v="664.48"/>
    <n v="389.84"/>
    <n v="274.64000000000004"/>
    <x v="868"/>
    <x v="0"/>
    <x v="6"/>
    <s v="online"/>
  </r>
  <r>
    <s v="V00572"/>
    <d v="2025-08-16T00:00:00"/>
    <x v="0"/>
    <n v="8"/>
    <s v="agosto"/>
    <s v="T3"/>
    <s v="P018"/>
    <x v="5"/>
    <x v="0"/>
    <x v="4"/>
    <n v="2"/>
    <n v="30.76"/>
    <n v="17.329999999999998"/>
    <n v="0"/>
    <n v="61.52"/>
    <n v="34.659999999999997"/>
    <n v="26.860000000000007"/>
    <x v="869"/>
    <x v="0"/>
    <x v="3"/>
    <s v="online"/>
  </r>
  <r>
    <s v="V00986"/>
    <d v="2025-11-26T00:00:00"/>
    <x v="0"/>
    <n v="11"/>
    <s v="noviembre"/>
    <s v="T4"/>
    <s v="P007"/>
    <x v="15"/>
    <x v="1"/>
    <x v="0"/>
    <n v="9"/>
    <n v="20.32"/>
    <n v="12.84"/>
    <n v="0"/>
    <n v="182.88"/>
    <n v="115.56"/>
    <n v="67.319999999999993"/>
    <x v="870"/>
    <x v="1"/>
    <x v="4"/>
    <s v="online"/>
  </r>
  <r>
    <s v="V01508"/>
    <d v="2025-11-02T00:00:00"/>
    <x v="0"/>
    <n v="11"/>
    <s v="noviembre"/>
    <s v="T4"/>
    <s v="P016"/>
    <x v="11"/>
    <x v="2"/>
    <x v="2"/>
    <n v="1"/>
    <n v="72.959999999999994"/>
    <n v="42.46"/>
    <n v="0"/>
    <n v="72.959999999999994"/>
    <n v="42.46"/>
    <n v="30.499999999999993"/>
    <x v="871"/>
    <x v="0"/>
    <x v="3"/>
    <s v="online"/>
  </r>
  <r>
    <s v="V00631"/>
    <d v="2025-11-13T00:00:00"/>
    <x v="0"/>
    <n v="11"/>
    <s v="noviembre"/>
    <s v="T4"/>
    <s v="P019"/>
    <x v="14"/>
    <x v="2"/>
    <x v="4"/>
    <n v="5"/>
    <n v="63.22"/>
    <n v="31.5"/>
    <n v="0"/>
    <n v="316.10000000000002"/>
    <n v="157.5"/>
    <n v="158.60000000000002"/>
    <x v="872"/>
    <x v="0"/>
    <x v="3"/>
    <s v="tienda_fisica"/>
  </r>
  <r>
    <s v="V01813"/>
    <d v="2025-07-20T00:00:00"/>
    <x v="0"/>
    <n v="7"/>
    <s v="julio"/>
    <s v="T3"/>
    <s v="P003"/>
    <x v="7"/>
    <x v="2"/>
    <x v="3"/>
    <n v="14"/>
    <n v="177.72"/>
    <n v="92.88"/>
    <n v="0"/>
    <n v="2488.08"/>
    <n v="1300.32"/>
    <n v="1187.76"/>
    <x v="873"/>
    <x v="0"/>
    <x v="5"/>
    <s v="tienda_fisica"/>
  </r>
  <r>
    <s v="V01687"/>
    <d v="2024-06-07T00:00:00"/>
    <x v="1"/>
    <n v="6"/>
    <s v="junio"/>
    <s v="T2"/>
    <s v="P013"/>
    <x v="8"/>
    <x v="2"/>
    <x v="2"/>
    <n v="2"/>
    <n v="76.94"/>
    <n v="48.93"/>
    <n v="0"/>
    <n v="153.88"/>
    <n v="97.86"/>
    <n v="56.019999999999996"/>
    <x v="874"/>
    <x v="1"/>
    <x v="5"/>
    <s v="tienda_fisica"/>
  </r>
  <r>
    <s v="V00865"/>
    <d v="2025-01-12T00:00:00"/>
    <x v="0"/>
    <n v="1"/>
    <s v="enero"/>
    <s v="T1"/>
    <s v="P008"/>
    <x v="4"/>
    <x v="2"/>
    <x v="0"/>
    <n v="4"/>
    <n v="99.7"/>
    <n v="58.24"/>
    <n v="0"/>
    <n v="398.8"/>
    <n v="232.96"/>
    <n v="165.84"/>
    <x v="875"/>
    <x v="0"/>
    <x v="0"/>
    <s v="tienda_fisica"/>
  </r>
  <r>
    <s v="V02222"/>
    <d v="2025-01-11T00:00:00"/>
    <x v="0"/>
    <n v="1"/>
    <s v="enero"/>
    <s v="T1"/>
    <s v="P003"/>
    <x v="7"/>
    <x v="2"/>
    <x v="3"/>
    <n v="1"/>
    <n v="178.22"/>
    <n v="95.22"/>
    <n v="0.06"/>
    <n v="167.52679999999998"/>
    <n v="95.22"/>
    <n v="72.306799999999981"/>
    <x v="876"/>
    <x v="0"/>
    <x v="4"/>
    <s v="tienda_fisica"/>
  </r>
  <r>
    <s v="V01877"/>
    <d v="2024-11-03T00:00:00"/>
    <x v="1"/>
    <n v="11"/>
    <s v="noviembre"/>
    <s v="T4"/>
    <s v="P009"/>
    <x v="12"/>
    <x v="1"/>
    <x v="1"/>
    <n v="2"/>
    <n v="8.08"/>
    <n v="4.37"/>
    <n v="0.11"/>
    <n v="14.382400000000001"/>
    <n v="8.74"/>
    <n v="5.6424000000000003"/>
    <x v="877"/>
    <x v="0"/>
    <x v="4"/>
    <s v="tienda_fisica"/>
  </r>
  <r>
    <s v="V01293"/>
    <d v="2025-08-17T00:00:00"/>
    <x v="0"/>
    <n v="8"/>
    <s v="agosto"/>
    <s v="T3"/>
    <s v="P012"/>
    <x v="13"/>
    <x v="1"/>
    <x v="1"/>
    <n v="2"/>
    <n v="9.08"/>
    <n v="5.77"/>
    <n v="0"/>
    <n v="18.16"/>
    <n v="11.54"/>
    <n v="6.620000000000001"/>
    <x v="878"/>
    <x v="1"/>
    <x v="4"/>
    <s v="tienda_fisica"/>
  </r>
  <r>
    <s v="V01782"/>
    <d v="2024-09-16T00:00:00"/>
    <x v="1"/>
    <n v="9"/>
    <s v="septiembre"/>
    <s v="T3"/>
    <s v="P011"/>
    <x v="10"/>
    <x v="1"/>
    <x v="1"/>
    <n v="4"/>
    <n v="20.84"/>
    <n v="11.25"/>
    <n v="0"/>
    <n v="83.36"/>
    <n v="45"/>
    <n v="38.36"/>
    <x v="879"/>
    <x v="0"/>
    <x v="3"/>
    <s v="tienda_fisica"/>
  </r>
  <r>
    <s v="V00181"/>
    <d v="2025-08-30T00:00:00"/>
    <x v="0"/>
    <n v="8"/>
    <s v="agosto"/>
    <s v="T3"/>
    <s v="P010"/>
    <x v="1"/>
    <x v="1"/>
    <x v="1"/>
    <n v="3"/>
    <n v="15.82"/>
    <n v="11.8"/>
    <n v="0"/>
    <n v="47.46"/>
    <n v="35.400000000000006"/>
    <n v="12.059999999999995"/>
    <x v="880"/>
    <x v="1"/>
    <x v="3"/>
    <s v="tienda_fisica"/>
  </r>
  <r>
    <s v="V01352"/>
    <d v="2024-07-03T00:00:00"/>
    <x v="1"/>
    <n v="7"/>
    <s v="julio"/>
    <s v="T3"/>
    <s v="P014"/>
    <x v="16"/>
    <x v="1"/>
    <x v="2"/>
    <n v="1"/>
    <n v="13.35"/>
    <n v="10.039999999999999"/>
    <n v="0"/>
    <n v="13.35"/>
    <n v="10.039999999999999"/>
    <n v="3.3100000000000005"/>
    <x v="881"/>
    <x v="1"/>
    <x v="6"/>
    <s v="online"/>
  </r>
  <r>
    <s v="V01935"/>
    <d v="2025-02-23T00:00:00"/>
    <x v="0"/>
    <n v="2"/>
    <s v="febrero"/>
    <s v="T1"/>
    <s v="P009"/>
    <x v="12"/>
    <x v="1"/>
    <x v="1"/>
    <n v="4"/>
    <n v="7.93"/>
    <n v="4.17"/>
    <n v="0.13"/>
    <n v="27.596399999999999"/>
    <n v="16.68"/>
    <n v="10.916399999999999"/>
    <x v="882"/>
    <x v="0"/>
    <x v="3"/>
    <s v="tienda_fisica"/>
  </r>
  <r>
    <s v="V01518"/>
    <d v="2024-10-07T00:00:00"/>
    <x v="1"/>
    <n v="10"/>
    <s v="octubre"/>
    <s v="T4"/>
    <s v="P003"/>
    <x v="7"/>
    <x v="2"/>
    <x v="3"/>
    <n v="9"/>
    <n v="177.72"/>
    <n v="96.9"/>
    <n v="0"/>
    <n v="1599.48"/>
    <n v="872.1"/>
    <n v="727.38"/>
    <x v="883"/>
    <x v="0"/>
    <x v="0"/>
    <s v="tienda_fisica"/>
  </r>
  <r>
    <s v="V01550"/>
    <d v="2025-10-21T00:00:00"/>
    <x v="0"/>
    <n v="10"/>
    <s v="octubre"/>
    <s v="T4"/>
    <s v="P010"/>
    <x v="1"/>
    <x v="1"/>
    <x v="1"/>
    <n v="9"/>
    <n v="17.55"/>
    <n v="11.18"/>
    <n v="0"/>
    <n v="157.95000000000002"/>
    <n v="100.62"/>
    <n v="57.330000000000013"/>
    <x v="884"/>
    <x v="1"/>
    <x v="3"/>
    <s v="online"/>
  </r>
  <r>
    <s v="V02054"/>
    <d v="2025-08-21T00:00:00"/>
    <x v="0"/>
    <n v="8"/>
    <s v="agosto"/>
    <s v="T3"/>
    <s v="P008"/>
    <x v="4"/>
    <x v="2"/>
    <x v="0"/>
    <n v="2"/>
    <n v="96.07"/>
    <n v="56.26"/>
    <n v="0"/>
    <n v="192.14"/>
    <n v="112.52"/>
    <n v="79.61999999999999"/>
    <x v="885"/>
    <x v="0"/>
    <x v="0"/>
    <s v="online"/>
  </r>
  <r>
    <s v="V01760"/>
    <d v="2025-06-12T00:00:00"/>
    <x v="0"/>
    <n v="6"/>
    <s v="junio"/>
    <s v="T2"/>
    <s v="P003"/>
    <x v="7"/>
    <x v="2"/>
    <x v="3"/>
    <n v="3"/>
    <n v="177.72"/>
    <n v="94.63"/>
    <n v="0"/>
    <n v="533.16"/>
    <n v="283.89"/>
    <n v="249.26999999999998"/>
    <x v="886"/>
    <x v="0"/>
    <x v="3"/>
    <s v="online"/>
  </r>
  <r>
    <s v="V00377"/>
    <d v="2025-11-03T00:00:00"/>
    <x v="0"/>
    <n v="11"/>
    <s v="noviembre"/>
    <s v="T4"/>
    <s v="P016"/>
    <x v="11"/>
    <x v="2"/>
    <x v="2"/>
    <n v="1"/>
    <n v="72.59"/>
    <n v="40.42"/>
    <n v="0"/>
    <n v="72.59"/>
    <n v="40.42"/>
    <n v="32.17"/>
    <x v="887"/>
    <x v="0"/>
    <x v="3"/>
    <s v="tienda_fisica"/>
  </r>
  <r>
    <s v="V01645"/>
    <d v="2025-07-11T00:00:00"/>
    <x v="0"/>
    <n v="7"/>
    <s v="julio"/>
    <s v="T3"/>
    <s v="P019"/>
    <x v="14"/>
    <x v="2"/>
    <x v="4"/>
    <n v="4"/>
    <n v="58.98"/>
    <n v="33.33"/>
    <n v="0"/>
    <n v="235.92"/>
    <n v="133.32"/>
    <n v="102.6"/>
    <x v="888"/>
    <x v="0"/>
    <x v="2"/>
    <s v="tienda_fisica"/>
  </r>
  <r>
    <s v="V01449"/>
    <d v="2024-11-06T00:00:00"/>
    <x v="1"/>
    <n v="11"/>
    <s v="noviembre"/>
    <s v="T4"/>
    <s v="P011"/>
    <x v="10"/>
    <x v="1"/>
    <x v="1"/>
    <n v="2"/>
    <n v="22.4"/>
    <n v="11.79"/>
    <n v="0"/>
    <n v="44.8"/>
    <n v="23.58"/>
    <n v="21.22"/>
    <x v="889"/>
    <x v="0"/>
    <x v="5"/>
    <s v="tienda_fisica"/>
  </r>
  <r>
    <s v="V00732"/>
    <d v="2025-06-03T00:00:00"/>
    <x v="0"/>
    <n v="6"/>
    <s v="junio"/>
    <s v="T2"/>
    <s v="P008"/>
    <x v="4"/>
    <x v="2"/>
    <x v="0"/>
    <n v="2"/>
    <n v="108.24"/>
    <n v="58.37"/>
    <n v="0.12"/>
    <n v="190.50239999999999"/>
    <n v="116.74"/>
    <n v="73.7624"/>
    <x v="890"/>
    <x v="0"/>
    <x v="3"/>
    <s v="tienda_fisica"/>
  </r>
  <r>
    <s v="V00024"/>
    <d v="2025-11-10T00:00:00"/>
    <x v="0"/>
    <n v="11"/>
    <s v="noviembre"/>
    <s v="T4"/>
    <s v="P010"/>
    <x v="1"/>
    <x v="1"/>
    <x v="1"/>
    <n v="1"/>
    <n v="16.97"/>
    <n v="11.05"/>
    <n v="0"/>
    <n v="16.97"/>
    <n v="11.05"/>
    <n v="5.9199999999999982"/>
    <x v="891"/>
    <x v="1"/>
    <x v="3"/>
    <s v="tienda_fisica"/>
  </r>
  <r>
    <s v="V01972"/>
    <d v="2025-05-24T00:00:00"/>
    <x v="0"/>
    <n v="5"/>
    <s v="mayo"/>
    <s v="T2"/>
    <s v="P015"/>
    <x v="2"/>
    <x v="2"/>
    <x v="2"/>
    <n v="1"/>
    <n v="73.489999999999995"/>
    <n v="42.44"/>
    <n v="0"/>
    <n v="73.489999999999995"/>
    <n v="42.44"/>
    <n v="31.049999999999997"/>
    <x v="892"/>
    <x v="0"/>
    <x v="0"/>
    <s v="tienda_fisica"/>
  </r>
  <r>
    <s v="V01704"/>
    <d v="2024-01-06T00:00:00"/>
    <x v="1"/>
    <n v="1"/>
    <s v="enero"/>
    <s v="T1"/>
    <s v="P007"/>
    <x v="15"/>
    <x v="1"/>
    <x v="0"/>
    <n v="1"/>
    <n v="19.850000000000001"/>
    <n v="13.04"/>
    <n v="0.15"/>
    <n v="16.872500000000002"/>
    <n v="13.04"/>
    <n v="3.8325000000000031"/>
    <x v="893"/>
    <x v="1"/>
    <x v="4"/>
    <s v="tienda_fisica"/>
  </r>
  <r>
    <s v="V00684"/>
    <d v="2025-02-10T00:00:00"/>
    <x v="0"/>
    <n v="2"/>
    <s v="febrero"/>
    <s v="T1"/>
    <s v="P003"/>
    <x v="7"/>
    <x v="2"/>
    <x v="3"/>
    <n v="1"/>
    <n v="177.72"/>
    <n v="98.27"/>
    <n v="0"/>
    <n v="177.72"/>
    <n v="98.27"/>
    <n v="79.45"/>
    <x v="894"/>
    <x v="0"/>
    <x v="6"/>
    <s v="tienda_fisica"/>
  </r>
  <r>
    <s v="V01026"/>
    <d v="2025-08-14T00:00:00"/>
    <x v="0"/>
    <n v="8"/>
    <s v="agosto"/>
    <s v="T3"/>
    <s v="P010"/>
    <x v="1"/>
    <x v="1"/>
    <x v="1"/>
    <n v="9"/>
    <n v="15.66"/>
    <n v="20.36"/>
    <n v="0.06"/>
    <n v="132.4836"/>
    <n v="183.24"/>
    <n v="-50.756400000000014"/>
    <x v="895"/>
    <x v="1"/>
    <x v="4"/>
    <s v="online"/>
  </r>
  <r>
    <s v="V00347"/>
    <d v="2025-02-17T00:00:00"/>
    <x v="0"/>
    <n v="2"/>
    <s v="febrero"/>
    <s v="T1"/>
    <s v="P020"/>
    <x v="19"/>
    <x v="2"/>
    <x v="4"/>
    <n v="5"/>
    <n v="65.12"/>
    <n v="32.97"/>
    <n v="0"/>
    <n v="325.60000000000002"/>
    <n v="164.85"/>
    <n v="160.75000000000003"/>
    <x v="896"/>
    <x v="0"/>
    <x v="1"/>
    <s v="tienda_fisica"/>
  </r>
  <r>
    <s v="V00074"/>
    <d v="2024-10-11T00:00:00"/>
    <x v="1"/>
    <n v="10"/>
    <s v="octubre"/>
    <s v="T4"/>
    <s v="P015"/>
    <x v="2"/>
    <x v="2"/>
    <x v="2"/>
    <n v="4"/>
    <n v="72.709999999999994"/>
    <n v="42.14"/>
    <n v="0"/>
    <n v="290.83999999999997"/>
    <n v="168.56"/>
    <n v="122.27999999999997"/>
    <x v="897"/>
    <x v="0"/>
    <x v="3"/>
    <s v="tienda_fisica"/>
  </r>
  <r>
    <s v="V00644"/>
    <d v="2024-04-06T00:00:00"/>
    <x v="1"/>
    <n v="4"/>
    <s v="abril"/>
    <s v="T2"/>
    <s v="P006"/>
    <x v="0"/>
    <x v="0"/>
    <x v="0"/>
    <n v="2"/>
    <n v="49.3"/>
    <n v="27.43"/>
    <n v="0"/>
    <n v="98.6"/>
    <n v="54.86"/>
    <n v="43.739999999999995"/>
    <x v="898"/>
    <x v="0"/>
    <x v="4"/>
    <s v="online"/>
  </r>
  <r>
    <s v="V01885"/>
    <d v="2025-01-13T00:00:00"/>
    <x v="0"/>
    <n v="1"/>
    <s v="enero"/>
    <s v="T1"/>
    <s v="P009"/>
    <x v="12"/>
    <x v="1"/>
    <x v="1"/>
    <n v="2"/>
    <n v="8.07"/>
    <n v="4.32"/>
    <n v="0"/>
    <n v="16.14"/>
    <n v="8.64"/>
    <n v="7.5"/>
    <x v="899"/>
    <x v="0"/>
    <x v="5"/>
    <s v="tienda_fisica"/>
  </r>
  <r>
    <s v="V02269"/>
    <d v="2024-02-04T00:00:00"/>
    <x v="1"/>
    <n v="2"/>
    <s v="febrero"/>
    <s v="T1"/>
    <s v="P018"/>
    <x v="5"/>
    <x v="1"/>
    <x v="4"/>
    <n v="2"/>
    <n v="28.46"/>
    <n v="17.260000000000002"/>
    <n v="0"/>
    <n v="56.92"/>
    <n v="34.520000000000003"/>
    <n v="22.4"/>
    <x v="900"/>
    <x v="0"/>
    <x v="4"/>
    <s v="tienda_fisica"/>
  </r>
  <r>
    <s v="V00009"/>
    <d v="2024-01-01T00:00:00"/>
    <x v="1"/>
    <n v="1"/>
    <s v="enero"/>
    <s v="T1"/>
    <s v="P017"/>
    <x v="17"/>
    <x v="0"/>
    <x v="4"/>
    <n v="1"/>
    <n v="53.16"/>
    <n v="23.39"/>
    <n v="0"/>
    <n v="53.16"/>
    <n v="23.39"/>
    <n v="29.769999999999996"/>
    <x v="901"/>
    <x v="0"/>
    <x v="4"/>
    <s v="tienda_fisica"/>
  </r>
  <r>
    <s v="V02239"/>
    <d v="2025-12-15T00:00:00"/>
    <x v="0"/>
    <n v="12"/>
    <s v="diciembre"/>
    <s v="T4"/>
    <s v="P002"/>
    <x v="3"/>
    <x v="2"/>
    <x v="3"/>
    <n v="4"/>
    <n v="73.400000000000006"/>
    <n v="47.41"/>
    <n v="0"/>
    <n v="293.60000000000002"/>
    <n v="189.64"/>
    <n v="103.96000000000004"/>
    <x v="902"/>
    <x v="1"/>
    <x v="3"/>
    <s v="tienda_fisica"/>
  </r>
  <r>
    <s v="V00229"/>
    <d v="2024-11-03T00:00:00"/>
    <x v="1"/>
    <n v="11"/>
    <s v="noviembre"/>
    <s v="T4"/>
    <s v="P008"/>
    <x v="4"/>
    <x v="2"/>
    <x v="0"/>
    <n v="4"/>
    <n v="106.88"/>
    <n v="55.13"/>
    <n v="0"/>
    <n v="427.52"/>
    <n v="220.52"/>
    <n v="206.99999999999997"/>
    <x v="903"/>
    <x v="0"/>
    <x v="4"/>
    <s v="tienda_fisica"/>
  </r>
  <r>
    <s v="V00490"/>
    <d v="2024-04-16T00:00:00"/>
    <x v="1"/>
    <n v="4"/>
    <s v="abril"/>
    <s v="T2"/>
    <s v="P014"/>
    <x v="16"/>
    <x v="1"/>
    <x v="2"/>
    <n v="2"/>
    <n v="13.32"/>
    <n v="10.06"/>
    <n v="0"/>
    <n v="26.64"/>
    <n v="20.12"/>
    <n v="6.52"/>
    <x v="904"/>
    <x v="1"/>
    <x v="3"/>
    <s v="online"/>
  </r>
  <r>
    <s v="V00214"/>
    <d v="2025-10-03T00:00:00"/>
    <x v="0"/>
    <n v="10"/>
    <s v="octubre"/>
    <s v="T4"/>
    <s v="P006"/>
    <x v="0"/>
    <x v="0"/>
    <x v="0"/>
    <n v="1"/>
    <n v="47.79"/>
    <n v="26.31"/>
    <n v="0"/>
    <n v="47.79"/>
    <n v="26.31"/>
    <n v="21.48"/>
    <x v="905"/>
    <x v="0"/>
    <x v="4"/>
    <s v="tienda_fisica"/>
  </r>
  <r>
    <s v="V01574"/>
    <d v="2025-06-14T00:00:00"/>
    <x v="0"/>
    <n v="6"/>
    <s v="junio"/>
    <s v="T2"/>
    <s v="P003"/>
    <x v="7"/>
    <x v="2"/>
    <x v="3"/>
    <n v="2"/>
    <n v="165.78"/>
    <n v="96.64"/>
    <n v="0"/>
    <n v="331.56"/>
    <n v="193.28"/>
    <n v="138.28"/>
    <x v="906"/>
    <x v="0"/>
    <x v="3"/>
    <s v="tienda_fisica"/>
  </r>
  <r>
    <s v="V00830"/>
    <d v="2025-07-15T00:00:00"/>
    <x v="0"/>
    <n v="7"/>
    <s v="julio"/>
    <s v="T3"/>
    <s v="P003"/>
    <x v="7"/>
    <x v="2"/>
    <x v="3"/>
    <n v="2"/>
    <n v="171.44"/>
    <n v="91"/>
    <n v="0"/>
    <n v="342.88"/>
    <n v="182"/>
    <n v="160.88"/>
    <x v="907"/>
    <x v="0"/>
    <x v="4"/>
    <s v="tienda_fisica"/>
  </r>
  <r>
    <s v="V00979"/>
    <d v="2024-11-23T00:00:00"/>
    <x v="1"/>
    <n v="11"/>
    <s v="noviembre"/>
    <s v="T4"/>
    <s v="P007"/>
    <x v="15"/>
    <x v="1"/>
    <x v="0"/>
    <n v="7"/>
    <n v="21.37"/>
    <n v="12.53"/>
    <n v="0.06"/>
    <n v="140.6146"/>
    <n v="87.71"/>
    <n v="52.904600000000002"/>
    <x v="908"/>
    <x v="0"/>
    <x v="4"/>
    <s v="tienda_fisica"/>
  </r>
  <r>
    <s v="V01204"/>
    <d v="2024-06-04T00:00:00"/>
    <x v="1"/>
    <n v="6"/>
    <s v="junio"/>
    <s v="T2"/>
    <s v="P015"/>
    <x v="2"/>
    <x v="2"/>
    <x v="2"/>
    <n v="1"/>
    <n v="79.95"/>
    <n v="41.74"/>
    <n v="0.26"/>
    <n v="59.163000000000004"/>
    <n v="41.74"/>
    <n v="17.423000000000002"/>
    <x v="909"/>
    <x v="1"/>
    <x v="0"/>
    <s v="tienda_fisica"/>
  </r>
  <r>
    <s v="V00937"/>
    <d v="2024-12-30T00:00:00"/>
    <x v="1"/>
    <n v="12"/>
    <s v="diciembre"/>
    <s v="T4"/>
    <s v="P001"/>
    <x v="9"/>
    <x v="2"/>
    <x v="3"/>
    <n v="1"/>
    <n v="122.92"/>
    <n v="88.35"/>
    <n v="0"/>
    <n v="122.92"/>
    <n v="88.35"/>
    <n v="34.570000000000007"/>
    <x v="910"/>
    <x v="1"/>
    <x v="3"/>
    <s v="tienda_fisica"/>
  </r>
  <r>
    <s v="V00450"/>
    <d v="2025-04-13T00:00:00"/>
    <x v="0"/>
    <n v="4"/>
    <s v="abril"/>
    <s v="T2"/>
    <s v="P006"/>
    <x v="0"/>
    <x v="0"/>
    <x v="0"/>
    <n v="2"/>
    <n v="43.07"/>
    <n v="25.86"/>
    <n v="0"/>
    <n v="86.14"/>
    <n v="51.72"/>
    <n v="34.42"/>
    <x v="911"/>
    <x v="0"/>
    <x v="6"/>
    <s v="tienda_fisica"/>
  </r>
  <r>
    <s v="V01747"/>
    <d v="2025-11-11T00:00:00"/>
    <x v="0"/>
    <n v="11"/>
    <s v="noviembre"/>
    <s v="T4"/>
    <s v="P016"/>
    <x v="11"/>
    <x v="2"/>
    <x v="2"/>
    <n v="3"/>
    <n v="74.05"/>
    <n v="41.01"/>
    <n v="0.2"/>
    <n v="177.72"/>
    <n v="123.03"/>
    <n v="54.69"/>
    <x v="912"/>
    <x v="1"/>
    <x v="4"/>
    <s v="online"/>
  </r>
  <r>
    <s v="V00016"/>
    <d v="2025-03-29T00:00:00"/>
    <x v="0"/>
    <n v="3"/>
    <s v="marzo"/>
    <s v="T1"/>
    <s v="P003"/>
    <x v="7"/>
    <x v="2"/>
    <x v="3"/>
    <n v="1"/>
    <n v="178.87"/>
    <n v="89.62"/>
    <n v="0"/>
    <n v="178.87"/>
    <n v="89.62"/>
    <n v="89.25"/>
    <x v="913"/>
    <x v="0"/>
    <x v="2"/>
    <s v="tienda_fisica"/>
  </r>
  <r>
    <s v="V01414"/>
    <d v="2025-05-06T00:00:00"/>
    <x v="0"/>
    <n v="5"/>
    <s v="mayo"/>
    <s v="T2"/>
    <s v="P019"/>
    <x v="14"/>
    <x v="0"/>
    <x v="4"/>
    <n v="1"/>
    <n v="58.25"/>
    <n v="31.17"/>
    <n v="0"/>
    <n v="58.25"/>
    <n v="31.17"/>
    <n v="27.08"/>
    <x v="914"/>
    <x v="0"/>
    <x v="3"/>
    <s v="tienda_fisica"/>
  </r>
  <r>
    <s v="V01904"/>
    <d v="2024-08-20T00:00:00"/>
    <x v="1"/>
    <n v="8"/>
    <s v="agosto"/>
    <s v="T3"/>
    <s v="P015"/>
    <x v="2"/>
    <x v="2"/>
    <x v="2"/>
    <n v="3"/>
    <n v="71.59"/>
    <n v="42.21"/>
    <n v="0"/>
    <n v="214.77"/>
    <n v="126.63"/>
    <n v="88.140000000000015"/>
    <x v="915"/>
    <x v="0"/>
    <x v="4"/>
    <s v="online"/>
  </r>
  <r>
    <s v="V02160"/>
    <d v="2024-07-23T00:00:00"/>
    <x v="1"/>
    <n v="7"/>
    <s v="julio"/>
    <s v="T3"/>
    <s v="P016"/>
    <x v="11"/>
    <x v="2"/>
    <x v="2"/>
    <n v="1"/>
    <n v="76.62"/>
    <n v="40.81"/>
    <n v="0"/>
    <n v="76.62"/>
    <n v="40.81"/>
    <n v="35.81"/>
    <x v="916"/>
    <x v="0"/>
    <x v="4"/>
    <s v="tienda_fisica"/>
  </r>
  <r>
    <s v="V01307"/>
    <d v="2024-11-25T00:00:00"/>
    <x v="1"/>
    <n v="11"/>
    <s v="noviembre"/>
    <s v="T4"/>
    <s v="P005"/>
    <x v="18"/>
    <x v="0"/>
    <x v="0"/>
    <n v="1"/>
    <n v="56.13"/>
    <n v="43.15"/>
    <n v="0"/>
    <n v="56.13"/>
    <n v="43.15"/>
    <n v="12.980000000000004"/>
    <x v="917"/>
    <x v="1"/>
    <x v="5"/>
    <s v="tienda_fisica"/>
  </r>
  <r>
    <s v="V01680"/>
    <d v="2024-11-29T00:00:00"/>
    <x v="1"/>
    <n v="11"/>
    <s v="noviembre"/>
    <s v="T4"/>
    <s v="P004"/>
    <x v="6"/>
    <x v="2"/>
    <x v="3"/>
    <n v="1"/>
    <n v="149.74"/>
    <n v="106.77"/>
    <n v="0"/>
    <n v="149.74"/>
    <n v="106.77"/>
    <n v="42.970000000000013"/>
    <x v="918"/>
    <x v="1"/>
    <x v="5"/>
    <s v="online"/>
  </r>
  <r>
    <s v="V01629"/>
    <d v="2025-01-31T00:00:00"/>
    <x v="0"/>
    <n v="1"/>
    <s v="enero"/>
    <s v="T1"/>
    <s v="P004"/>
    <x v="6"/>
    <x v="2"/>
    <x v="3"/>
    <n v="1"/>
    <n v="157.53"/>
    <n v="115.2"/>
    <n v="0"/>
    <n v="157.53"/>
    <n v="115.2"/>
    <n v="42.33"/>
    <x v="919"/>
    <x v="1"/>
    <x v="0"/>
    <s v="online"/>
  </r>
  <r>
    <s v="V00824"/>
    <d v="2025-05-17T00:00:00"/>
    <x v="0"/>
    <n v="5"/>
    <s v="mayo"/>
    <s v="T2"/>
    <s v="P019"/>
    <x v="14"/>
    <x v="2"/>
    <x v="4"/>
    <n v="5"/>
    <n v="63.04"/>
    <n v="32.54"/>
    <n v="0"/>
    <n v="315.2"/>
    <n v="162.69999999999999"/>
    <n v="152.5"/>
    <x v="920"/>
    <x v="0"/>
    <x v="0"/>
    <s v="tienda_fisica"/>
  </r>
  <r>
    <s v="V02032"/>
    <d v="2024-11-30T00:00:00"/>
    <x v="1"/>
    <n v="11"/>
    <s v="noviembre"/>
    <s v="T4"/>
    <s v="P014"/>
    <x v="16"/>
    <x v="1"/>
    <x v="2"/>
    <n v="2"/>
    <n v="14.79"/>
    <n v="9.85"/>
    <n v="0.18"/>
    <n v="24.255600000000001"/>
    <n v="19.7"/>
    <n v="4.5556000000000019"/>
    <x v="921"/>
    <x v="1"/>
    <x v="5"/>
    <s v="online"/>
  </r>
  <r>
    <s v="V00547"/>
    <d v="2024-03-30T00:00:00"/>
    <x v="1"/>
    <n v="3"/>
    <s v="marzo"/>
    <s v="T1"/>
    <s v="P020"/>
    <x v="19"/>
    <x v="2"/>
    <x v="4"/>
    <n v="1"/>
    <n v="62.69"/>
    <n v="32.17"/>
    <n v="0"/>
    <n v="62.69"/>
    <n v="32.17"/>
    <n v="30.519999999999996"/>
    <x v="922"/>
    <x v="0"/>
    <x v="3"/>
    <s v="tienda_fisica"/>
  </r>
  <r>
    <s v="V00728"/>
    <d v="2025-08-22T00:00:00"/>
    <x v="0"/>
    <n v="8"/>
    <s v="agosto"/>
    <s v="T3"/>
    <s v="P015"/>
    <x v="2"/>
    <x v="2"/>
    <x v="2"/>
    <n v="2"/>
    <n v="82.13"/>
    <n v="42.5"/>
    <n v="0"/>
    <n v="164.26"/>
    <n v="85"/>
    <n v="79.259999999999991"/>
    <x v="923"/>
    <x v="0"/>
    <x v="3"/>
    <s v="online"/>
  </r>
  <r>
    <s v="V02284"/>
    <d v="2025-10-05T00:00:00"/>
    <x v="0"/>
    <n v="10"/>
    <s v="octubre"/>
    <s v="T4"/>
    <s v="P009"/>
    <x v="12"/>
    <x v="1"/>
    <x v="1"/>
    <n v="4"/>
    <n v="7.24"/>
    <n v="4.2699999999999996"/>
    <n v="0.22"/>
    <n v="22.588800000000003"/>
    <n v="17.079999999999998"/>
    <n v="5.5088000000000044"/>
    <x v="924"/>
    <x v="1"/>
    <x v="1"/>
    <s v="tienda_fisica"/>
  </r>
  <r>
    <s v="V02008"/>
    <d v="2025-02-13T00:00:00"/>
    <x v="0"/>
    <n v="2"/>
    <s v="febrero"/>
    <s v="T1"/>
    <s v="P013"/>
    <x v="8"/>
    <x v="2"/>
    <x v="2"/>
    <n v="1"/>
    <n v="72.87"/>
    <n v="47.78"/>
    <n v="0"/>
    <n v="72.87"/>
    <n v="47.78"/>
    <n v="25.090000000000003"/>
    <x v="925"/>
    <x v="1"/>
    <x v="3"/>
    <s v="tienda_fisica"/>
  </r>
  <r>
    <s v="V00355"/>
    <d v="2024-11-25T00:00:00"/>
    <x v="1"/>
    <n v="11"/>
    <s v="noviembre"/>
    <s v="T4"/>
    <s v="P001"/>
    <x v="9"/>
    <x v="2"/>
    <x v="3"/>
    <n v="5"/>
    <n v="129.56"/>
    <n v="82.73"/>
    <n v="0.18"/>
    <n v="531.19600000000003"/>
    <n v="413.65000000000003"/>
    <n v="117.54599999999999"/>
    <x v="926"/>
    <x v="1"/>
    <x v="2"/>
    <s v="tienda_fisica"/>
  </r>
  <r>
    <s v="V00281"/>
    <d v="2024-05-15T00:00:00"/>
    <x v="1"/>
    <n v="5"/>
    <s v="mayo"/>
    <s v="T2"/>
    <s v="P011"/>
    <x v="10"/>
    <x v="1"/>
    <x v="1"/>
    <n v="2"/>
    <n v="20.38"/>
    <n v="11.37"/>
    <n v="0"/>
    <n v="40.76"/>
    <n v="22.74"/>
    <n v="18.02"/>
    <x v="927"/>
    <x v="0"/>
    <x v="0"/>
    <s v="tienda_fisica"/>
  </r>
  <r>
    <s v="V00208"/>
    <d v="2024-05-01T00:00:00"/>
    <x v="1"/>
    <n v="5"/>
    <s v="mayo"/>
    <s v="T2"/>
    <s v="P012"/>
    <x v="13"/>
    <x v="1"/>
    <x v="1"/>
    <n v="3"/>
    <n v="8.35"/>
    <n v="5.48"/>
    <n v="0"/>
    <n v="25.049999999999997"/>
    <n v="16.440000000000001"/>
    <n v="8.6099999999999959"/>
    <x v="928"/>
    <x v="1"/>
    <x v="3"/>
    <s v="tienda_fisica"/>
  </r>
  <r>
    <s v="V01029"/>
    <d v="2025-06-26T00:00:00"/>
    <x v="0"/>
    <n v="6"/>
    <s v="junio"/>
    <s v="T2"/>
    <s v="P009"/>
    <x v="12"/>
    <x v="1"/>
    <x v="1"/>
    <n v="1"/>
    <n v="7.37"/>
    <n v="4.49"/>
    <n v="0"/>
    <n v="7.37"/>
    <n v="4.49"/>
    <n v="2.88"/>
    <x v="929"/>
    <x v="0"/>
    <x v="4"/>
    <s v="tienda_fisica"/>
  </r>
  <r>
    <s v="V00769"/>
    <d v="2025-07-20T00:00:00"/>
    <x v="0"/>
    <n v="7"/>
    <s v="julio"/>
    <s v="T3"/>
    <s v="P015"/>
    <x v="2"/>
    <x v="2"/>
    <x v="2"/>
    <n v="2"/>
    <n v="82.61"/>
    <n v="41.8"/>
    <n v="0"/>
    <n v="165.22"/>
    <n v="83.6"/>
    <n v="81.62"/>
    <x v="930"/>
    <x v="0"/>
    <x v="0"/>
    <s v="tienda_fisica"/>
  </r>
  <r>
    <s v="V01638"/>
    <d v="2024-12-19T00:00:00"/>
    <x v="1"/>
    <n v="12"/>
    <s v="diciembre"/>
    <s v="T4"/>
    <s v="P019"/>
    <x v="14"/>
    <x v="2"/>
    <x v="4"/>
    <n v="2"/>
    <n v="59.85"/>
    <n v="32.68"/>
    <n v="0"/>
    <n v="119.7"/>
    <n v="65.36"/>
    <n v="54.34"/>
    <x v="931"/>
    <x v="0"/>
    <x v="3"/>
    <s v="online"/>
  </r>
  <r>
    <s v="V02068"/>
    <d v="2024-05-16T00:00:00"/>
    <x v="1"/>
    <n v="5"/>
    <s v="mayo"/>
    <s v="T2"/>
    <s v="P013"/>
    <x v="8"/>
    <x v="2"/>
    <x v="2"/>
    <n v="1"/>
    <n v="81.260000000000005"/>
    <n v="46.35"/>
    <n v="0.06"/>
    <n v="76.384399999999999"/>
    <n v="46.35"/>
    <n v="30.034399999999998"/>
    <x v="932"/>
    <x v="0"/>
    <x v="3"/>
    <s v="tienda_fisica"/>
  </r>
  <r>
    <s v="V01388"/>
    <d v="2025-12-26T00:00:00"/>
    <x v="0"/>
    <n v="12"/>
    <s v="diciembre"/>
    <s v="T4"/>
    <s v="P008"/>
    <x v="4"/>
    <x v="2"/>
    <x v="0"/>
    <n v="7"/>
    <n v="102.12"/>
    <n v="54.71"/>
    <n v="0"/>
    <n v="714.84"/>
    <n v="382.97"/>
    <n v="331.87"/>
    <x v="933"/>
    <x v="0"/>
    <x v="4"/>
    <s v="online"/>
  </r>
  <r>
    <s v="V00417"/>
    <d v="2025-02-01T00:00:00"/>
    <x v="0"/>
    <n v="2"/>
    <s v="febrero"/>
    <s v="T1"/>
    <s v="P012"/>
    <x v="13"/>
    <x v="1"/>
    <x v="1"/>
    <n v="1"/>
    <n v="8.49"/>
    <n v="5.89"/>
    <n v="0"/>
    <n v="8.49"/>
    <n v="5.89"/>
    <n v="2.6000000000000005"/>
    <x v="934"/>
    <x v="1"/>
    <x v="0"/>
    <s v="tienda_fisica"/>
  </r>
  <r>
    <s v="V02230"/>
    <d v="2024-01-23T00:00:00"/>
    <x v="1"/>
    <n v="1"/>
    <s v="enero"/>
    <s v="T1"/>
    <s v="P011"/>
    <x v="10"/>
    <x v="1"/>
    <x v="1"/>
    <n v="3"/>
    <n v="20.2"/>
    <n v="11.35"/>
    <n v="0.1"/>
    <n v="54.54"/>
    <n v="34.049999999999997"/>
    <n v="20.490000000000002"/>
    <x v="935"/>
    <x v="0"/>
    <x v="5"/>
    <s v="tienda_fisica"/>
  </r>
  <r>
    <s v="V01691"/>
    <d v="2024-06-24T00:00:00"/>
    <x v="1"/>
    <n v="6"/>
    <s v="junio"/>
    <s v="T2"/>
    <s v="P014"/>
    <x v="16"/>
    <x v="1"/>
    <x v="2"/>
    <n v="7"/>
    <n v="14.28"/>
    <n v="9.7100000000000009"/>
    <n v="0"/>
    <n v="99.96"/>
    <n v="67.97"/>
    <n v="31.989999999999995"/>
    <x v="936"/>
    <x v="1"/>
    <x v="6"/>
    <s v="tienda_fisica"/>
  </r>
  <r>
    <s v="V01506"/>
    <d v="2024-05-31T00:00:00"/>
    <x v="1"/>
    <n v="5"/>
    <s v="mayo"/>
    <s v="T2"/>
    <s v="P004"/>
    <x v="6"/>
    <x v="2"/>
    <x v="3"/>
    <n v="1"/>
    <n v="168.81"/>
    <n v="112.1"/>
    <n v="0"/>
    <n v="168.81"/>
    <n v="112.1"/>
    <n v="56.710000000000008"/>
    <x v="937"/>
    <x v="1"/>
    <x v="3"/>
    <s v="tienda_fisica"/>
  </r>
  <r>
    <s v="V02071"/>
    <d v="2024-11-12T00:00:00"/>
    <x v="1"/>
    <n v="11"/>
    <s v="noviembre"/>
    <s v="T4"/>
    <s v="P020"/>
    <x v="19"/>
    <x v="2"/>
    <x v="4"/>
    <n v="1"/>
    <n v="60.74"/>
    <n v="33.659999999999997"/>
    <n v="0"/>
    <n v="60.74"/>
    <n v="33.659999999999997"/>
    <n v="27.080000000000005"/>
    <x v="938"/>
    <x v="0"/>
    <x v="3"/>
    <s v="tienda_fisica"/>
  </r>
  <r>
    <s v="V01601"/>
    <d v="2025-04-28T00:00:00"/>
    <x v="0"/>
    <n v="4"/>
    <s v="abril"/>
    <s v="T2"/>
    <s v="P011"/>
    <x v="10"/>
    <x v="1"/>
    <x v="1"/>
    <n v="5"/>
    <n v="21.84"/>
    <n v="11.92"/>
    <n v="0"/>
    <n v="109.2"/>
    <n v="59.6"/>
    <n v="49.6"/>
    <x v="939"/>
    <x v="0"/>
    <x v="4"/>
    <s v="tienda_fisica"/>
  </r>
  <r>
    <s v="V01086"/>
    <d v="2025-10-27T00:00:00"/>
    <x v="0"/>
    <n v="10"/>
    <s v="octubre"/>
    <s v="T4"/>
    <s v="P015"/>
    <x v="2"/>
    <x v="2"/>
    <x v="2"/>
    <n v="1"/>
    <n v="74.94"/>
    <n v="43.17"/>
    <n v="0"/>
    <n v="74.94"/>
    <n v="43.17"/>
    <n v="31.769999999999996"/>
    <x v="940"/>
    <x v="0"/>
    <x v="2"/>
    <s v="tienda_fisica"/>
  </r>
  <r>
    <s v="V00443"/>
    <d v="2025-08-23T00:00:00"/>
    <x v="0"/>
    <n v="8"/>
    <s v="agosto"/>
    <s v="T3"/>
    <s v="P015"/>
    <x v="2"/>
    <x v="2"/>
    <x v="2"/>
    <n v="1"/>
    <n v="81.39"/>
    <n v="41.59"/>
    <n v="0"/>
    <n v="81.39"/>
    <n v="41.59"/>
    <n v="39.799999999999997"/>
    <x v="941"/>
    <x v="0"/>
    <x v="5"/>
    <s v="tienda_fisica"/>
  </r>
  <r>
    <s v="V01410"/>
    <d v="2024-03-20T00:00:00"/>
    <x v="1"/>
    <n v="3"/>
    <s v="marzo"/>
    <s v="T1"/>
    <s v="P008"/>
    <x v="4"/>
    <x v="2"/>
    <x v="0"/>
    <n v="8"/>
    <n v="108.48"/>
    <n v="60.04"/>
    <n v="0"/>
    <n v="867.84"/>
    <n v="480.32"/>
    <n v="387.52000000000004"/>
    <x v="942"/>
    <x v="0"/>
    <x v="4"/>
    <s v="tienda_fisica"/>
  </r>
  <r>
    <s v="V01479"/>
    <d v="2024-12-28T00:00:00"/>
    <x v="1"/>
    <n v="12"/>
    <s v="diciembre"/>
    <s v="T4"/>
    <s v="P017"/>
    <x v="17"/>
    <x v="0"/>
    <x v="4"/>
    <n v="1"/>
    <n v="46.7"/>
    <n v="23.5"/>
    <n v="0.06"/>
    <n v="43.898000000000003"/>
    <n v="23.5"/>
    <n v="20.398000000000003"/>
    <x v="943"/>
    <x v="0"/>
    <x v="2"/>
    <s v="tienda_fisica"/>
  </r>
  <r>
    <s v="V01006"/>
    <d v="2025-02-06T00:00:00"/>
    <x v="0"/>
    <n v="2"/>
    <s v="febrero"/>
    <s v="T1"/>
    <s v="P009"/>
    <x v="12"/>
    <x v="1"/>
    <x v="1"/>
    <n v="3"/>
    <n v="7.48"/>
    <n v="4.42"/>
    <n v="0"/>
    <n v="22.44"/>
    <n v="13.26"/>
    <n v="9.1800000000000015"/>
    <x v="944"/>
    <x v="0"/>
    <x v="3"/>
    <s v="tienda_fisica"/>
  </r>
  <r>
    <s v="V00537"/>
    <d v="2024-07-03T00:00:00"/>
    <x v="1"/>
    <n v="7"/>
    <s v="julio"/>
    <s v="T3"/>
    <s v="P016"/>
    <x v="11"/>
    <x v="2"/>
    <x v="2"/>
    <n v="1"/>
    <n v="74.05"/>
    <n v="40.869999999999997"/>
    <n v="0"/>
    <n v="74.05"/>
    <n v="40.869999999999997"/>
    <n v="33.18"/>
    <x v="945"/>
    <x v="0"/>
    <x v="5"/>
    <s v="online"/>
  </r>
  <r>
    <s v="V02240"/>
    <d v="2024-01-06T00:00:00"/>
    <x v="1"/>
    <n v="1"/>
    <s v="enero"/>
    <s v="T1"/>
    <s v="P017"/>
    <x v="17"/>
    <x v="0"/>
    <x v="4"/>
    <n v="4"/>
    <n v="50.73"/>
    <n v="22.34"/>
    <n v="0"/>
    <n v="202.92"/>
    <n v="89.36"/>
    <n v="113.55999999999999"/>
    <x v="946"/>
    <x v="0"/>
    <x v="0"/>
    <s v="online"/>
  </r>
  <r>
    <s v="V00784"/>
    <d v="2024-11-26T00:00:00"/>
    <x v="1"/>
    <n v="11"/>
    <s v="noviembre"/>
    <s v="T4"/>
    <s v="P002"/>
    <x v="3"/>
    <x v="2"/>
    <x v="3"/>
    <n v="1"/>
    <n v="73.41"/>
    <n v="46.58"/>
    <n v="0"/>
    <n v="73.41"/>
    <n v="46.58"/>
    <n v="26.83"/>
    <x v="947"/>
    <x v="1"/>
    <x v="0"/>
    <s v="tienda_fisica"/>
  </r>
  <r>
    <s v="V00861"/>
    <d v="2024-10-10T00:00:00"/>
    <x v="1"/>
    <n v="10"/>
    <s v="octubre"/>
    <s v="T4"/>
    <s v="P004"/>
    <x v="6"/>
    <x v="2"/>
    <x v="3"/>
    <n v="1"/>
    <n v="168.56"/>
    <n v="104.63"/>
    <n v="0"/>
    <n v="168.56"/>
    <n v="104.63"/>
    <n v="63.930000000000007"/>
    <x v="948"/>
    <x v="0"/>
    <x v="3"/>
    <s v="online"/>
  </r>
  <r>
    <s v="V02012"/>
    <d v="2025-11-26T00:00:00"/>
    <x v="0"/>
    <n v="11"/>
    <s v="noviembre"/>
    <s v="T4"/>
    <s v="P013"/>
    <x v="8"/>
    <x v="2"/>
    <x v="2"/>
    <n v="1"/>
    <n v="80.09"/>
    <n v="46.15"/>
    <n v="0"/>
    <n v="80.09"/>
    <n v="46.15"/>
    <n v="33.940000000000005"/>
    <x v="949"/>
    <x v="0"/>
    <x v="0"/>
    <s v="tienda_fisica"/>
  </r>
  <r>
    <s v="V00349"/>
    <d v="2025-06-03T00:00:00"/>
    <x v="0"/>
    <n v="6"/>
    <s v="junio"/>
    <s v="T2"/>
    <s v="P012"/>
    <x v="13"/>
    <x v="1"/>
    <x v="1"/>
    <n v="4"/>
    <n v="8.4499999999999993"/>
    <n v="5.75"/>
    <n v="0"/>
    <n v="33.799999999999997"/>
    <n v="23"/>
    <n v="10.799999999999997"/>
    <x v="950"/>
    <x v="1"/>
    <x v="3"/>
    <s v="online"/>
  </r>
  <r>
    <s v="V00069"/>
    <d v="2024-02-03T00:00:00"/>
    <x v="1"/>
    <n v="2"/>
    <s v="febrero"/>
    <s v="T1"/>
    <s v="P010"/>
    <x v="1"/>
    <x v="1"/>
    <x v="1"/>
    <n v="5"/>
    <n v="16.829999999999998"/>
    <n v="11.92"/>
    <n v="0"/>
    <n v="84.149999999999991"/>
    <n v="59.6"/>
    <n v="24.54999999999999"/>
    <x v="951"/>
    <x v="1"/>
    <x v="3"/>
    <s v="tienda_fisica"/>
  </r>
  <r>
    <s v="V00404"/>
    <d v="2024-11-01T00:00:00"/>
    <x v="1"/>
    <n v="11"/>
    <s v="noviembre"/>
    <s v="T4"/>
    <s v="P005"/>
    <x v="18"/>
    <x v="0"/>
    <x v="0"/>
    <n v="6"/>
    <n v="58.46"/>
    <n v="43.02"/>
    <n v="0"/>
    <n v="350.76"/>
    <n v="258.12"/>
    <n v="92.639999999999986"/>
    <x v="952"/>
    <x v="1"/>
    <x v="4"/>
    <s v="tienda_fisica"/>
  </r>
  <r>
    <s v="V02255"/>
    <d v="2024-05-30T00:00:00"/>
    <x v="1"/>
    <n v="5"/>
    <s v="mayo"/>
    <s v="T2"/>
    <s v="P018"/>
    <x v="5"/>
    <x v="0"/>
    <x v="4"/>
    <n v="3"/>
    <n v="30.91"/>
    <n v="17.079999999999998"/>
    <n v="0"/>
    <n v="92.73"/>
    <n v="51.239999999999995"/>
    <n v="41.490000000000009"/>
    <x v="953"/>
    <x v="0"/>
    <x v="3"/>
    <s v="tienda_fisica"/>
  </r>
  <r>
    <s v="V00363"/>
    <d v="2024-01-03T00:00:00"/>
    <x v="1"/>
    <n v="1"/>
    <s v="enero"/>
    <s v="T1"/>
    <s v="P008"/>
    <x v="4"/>
    <x v="2"/>
    <x v="0"/>
    <n v="1"/>
    <n v="102.52"/>
    <n v="60.05"/>
    <n v="0"/>
    <n v="102.52"/>
    <n v="60.05"/>
    <n v="42.47"/>
    <x v="954"/>
    <x v="0"/>
    <x v="3"/>
    <s v="online"/>
  </r>
  <r>
    <s v="V00755"/>
    <d v="2025-10-13T00:00:00"/>
    <x v="0"/>
    <n v="10"/>
    <s v="octubre"/>
    <s v="T4"/>
    <s v="P016"/>
    <x v="11"/>
    <x v="2"/>
    <x v="2"/>
    <n v="1"/>
    <n v="81.53"/>
    <n v="39.49"/>
    <n v="0"/>
    <n v="81.53"/>
    <n v="39.49"/>
    <n v="42.04"/>
    <x v="955"/>
    <x v="0"/>
    <x v="0"/>
    <s v="tienda_fisica"/>
  </r>
  <r>
    <s v="V00798"/>
    <d v="2024-08-12T00:00:00"/>
    <x v="1"/>
    <n v="8"/>
    <s v="agosto"/>
    <s v="T3"/>
    <s v="P016"/>
    <x v="11"/>
    <x v="2"/>
    <x v="2"/>
    <n v="5"/>
    <n v="75.25"/>
    <n v="40.93"/>
    <n v="0"/>
    <n v="376.25"/>
    <n v="204.65"/>
    <n v="171.6"/>
    <x v="956"/>
    <x v="0"/>
    <x v="5"/>
    <s v="tienda_fisica"/>
  </r>
  <r>
    <s v="V00027"/>
    <d v="2024-04-24T00:00:00"/>
    <x v="1"/>
    <n v="4"/>
    <s v="abril"/>
    <s v="T2"/>
    <s v="P001"/>
    <x v="9"/>
    <x v="2"/>
    <x v="3"/>
    <n v="8"/>
    <n v="115.31"/>
    <n v="81.17"/>
    <n v="0"/>
    <n v="922.48"/>
    <n v="649.36"/>
    <n v="273.12"/>
    <x v="957"/>
    <x v="1"/>
    <x v="3"/>
    <s v="tienda_fisica"/>
  </r>
  <r>
    <s v="V01426"/>
    <d v="2024-11-06T00:00:00"/>
    <x v="1"/>
    <n v="11"/>
    <s v="noviembre"/>
    <s v="T4"/>
    <s v="P013"/>
    <x v="8"/>
    <x v="2"/>
    <x v="2"/>
    <n v="1"/>
    <n v="70.95"/>
    <n v="45.39"/>
    <n v="0.1"/>
    <n v="63.855000000000004"/>
    <n v="45.39"/>
    <n v="18.465000000000003"/>
    <x v="958"/>
    <x v="1"/>
    <x v="2"/>
    <s v="tienda_fisica"/>
  </r>
  <r>
    <s v="V01507"/>
    <d v="2025-03-21T00:00:00"/>
    <x v="0"/>
    <n v="3"/>
    <s v="marzo"/>
    <s v="T1"/>
    <s v="P016"/>
    <x v="11"/>
    <x v="2"/>
    <x v="2"/>
    <n v="4"/>
    <n v="81.760000000000005"/>
    <n v="40.200000000000003"/>
    <n v="0"/>
    <n v="327.04000000000002"/>
    <n v="160.80000000000001"/>
    <n v="166.24"/>
    <x v="959"/>
    <x v="0"/>
    <x v="0"/>
    <s v="tienda_fisica"/>
  </r>
  <r>
    <s v="V00178"/>
    <d v="2024-10-13T00:00:00"/>
    <x v="1"/>
    <n v="10"/>
    <s v="octubre"/>
    <s v="T4"/>
    <s v="P018"/>
    <x v="5"/>
    <x v="1"/>
    <x v="4"/>
    <n v="4"/>
    <n v="28.92"/>
    <n v="17.09"/>
    <n v="0"/>
    <n v="115.68"/>
    <n v="68.36"/>
    <n v="47.320000000000007"/>
    <x v="960"/>
    <x v="0"/>
    <x v="2"/>
    <s v="tienda_fisica"/>
  </r>
  <r>
    <s v="V00954"/>
    <d v="2025-12-20T00:00:00"/>
    <x v="0"/>
    <n v="12"/>
    <s v="diciembre"/>
    <s v="T4"/>
    <s v="P008"/>
    <x v="4"/>
    <x v="2"/>
    <x v="0"/>
    <n v="1"/>
    <n v="100.36"/>
    <n v="57.32"/>
    <n v="0.08"/>
    <n v="92.33120000000001"/>
    <n v="57.32"/>
    <n v="35.011200000000009"/>
    <x v="961"/>
    <x v="0"/>
    <x v="3"/>
    <s v="online"/>
  </r>
  <r>
    <s v="V00357"/>
    <d v="2025-01-02T00:00:00"/>
    <x v="0"/>
    <n v="1"/>
    <s v="enero"/>
    <s v="T1"/>
    <s v="P016"/>
    <x v="11"/>
    <x v="2"/>
    <x v="2"/>
    <n v="1"/>
    <n v="84.99"/>
    <n v="39.83"/>
    <n v="0.18"/>
    <n v="69.691800000000001"/>
    <n v="39.83"/>
    <n v="29.861800000000002"/>
    <x v="962"/>
    <x v="0"/>
    <x v="2"/>
    <s v="online"/>
  </r>
  <r>
    <s v="V01207"/>
    <d v="2025-07-23T00:00:00"/>
    <x v="0"/>
    <n v="7"/>
    <s v="julio"/>
    <s v="T3"/>
    <s v="P010"/>
    <x v="1"/>
    <x v="1"/>
    <x v="1"/>
    <n v="2"/>
    <n v="16.02"/>
    <n v="11.95"/>
    <n v="0"/>
    <n v="32.04"/>
    <n v="23.9"/>
    <n v="8.14"/>
    <x v="963"/>
    <x v="1"/>
    <x v="2"/>
    <s v="tienda_fisica"/>
  </r>
  <r>
    <s v="V01488"/>
    <d v="2025-01-21T00:00:00"/>
    <x v="0"/>
    <n v="1"/>
    <s v="enero"/>
    <s v="T1"/>
    <s v="P005"/>
    <x v="18"/>
    <x v="0"/>
    <x v="0"/>
    <n v="5"/>
    <n v="56.27"/>
    <n v="42.25"/>
    <n v="0.2"/>
    <n v="225.08000000000004"/>
    <n v="211.25"/>
    <n v="13.830000000000041"/>
    <x v="964"/>
    <x v="1"/>
    <x v="3"/>
    <s v="tienda_fisica"/>
  </r>
  <r>
    <s v="V01392"/>
    <d v="2024-07-23T00:00:00"/>
    <x v="1"/>
    <n v="7"/>
    <s v="julio"/>
    <s v="T3"/>
    <s v="P018"/>
    <x v="5"/>
    <x v="0"/>
    <x v="4"/>
    <n v="1"/>
    <n v="32.07"/>
    <n v="16.78"/>
    <n v="0"/>
    <n v="32.07"/>
    <n v="16.78"/>
    <n v="15.29"/>
    <x v="965"/>
    <x v="0"/>
    <x v="2"/>
    <s v="tienda_fisica"/>
  </r>
  <r>
    <s v="V01235"/>
    <d v="2024-10-17T00:00:00"/>
    <x v="1"/>
    <n v="10"/>
    <s v="octubre"/>
    <s v="T4"/>
    <s v="P017"/>
    <x v="17"/>
    <x v="0"/>
    <x v="4"/>
    <n v="1"/>
    <n v="47.82"/>
    <n v="22.69"/>
    <n v="0"/>
    <n v="47.82"/>
    <n v="22.69"/>
    <n v="25.13"/>
    <x v="966"/>
    <x v="0"/>
    <x v="6"/>
    <s v="online"/>
  </r>
  <r>
    <s v="V02105"/>
    <d v="2025-10-30T00:00:00"/>
    <x v="0"/>
    <n v="10"/>
    <s v="octubre"/>
    <s v="T4"/>
    <s v="P005"/>
    <x v="18"/>
    <x v="2"/>
    <x v="0"/>
    <n v="1"/>
    <n v="58.63"/>
    <n v="39.25"/>
    <n v="0"/>
    <n v="58.63"/>
    <n v="39.25"/>
    <n v="19.380000000000003"/>
    <x v="967"/>
    <x v="1"/>
    <x v="3"/>
    <s v="tienda_fisica"/>
  </r>
  <r>
    <s v="V00253"/>
    <d v="2025-06-12T00:00:00"/>
    <x v="0"/>
    <n v="6"/>
    <s v="junio"/>
    <s v="T2"/>
    <s v="P008"/>
    <x v="4"/>
    <x v="2"/>
    <x v="0"/>
    <n v="3"/>
    <n v="98.22"/>
    <n v="56.92"/>
    <n v="0.21"/>
    <n v="232.78139999999999"/>
    <n v="170.76"/>
    <n v="62.0214"/>
    <x v="968"/>
    <x v="1"/>
    <x v="3"/>
    <s v="online"/>
  </r>
  <r>
    <s v="V00733"/>
    <d v="2025-03-02T00:00:00"/>
    <x v="0"/>
    <n v="3"/>
    <s v="marzo"/>
    <s v="T1"/>
    <s v="P013"/>
    <x v="8"/>
    <x v="2"/>
    <x v="2"/>
    <n v="5"/>
    <n v="80.489999999999995"/>
    <n v="49.26"/>
    <n v="0"/>
    <n v="402.45"/>
    <n v="246.29999999999998"/>
    <n v="156.15"/>
    <x v="969"/>
    <x v="0"/>
    <x v="5"/>
    <s v="tienda_fisica"/>
  </r>
  <r>
    <s v="V00415"/>
    <d v="2025-12-01T00:00:00"/>
    <x v="0"/>
    <n v="12"/>
    <s v="diciembre"/>
    <s v="T4"/>
    <s v="P020"/>
    <x v="19"/>
    <x v="2"/>
    <x v="4"/>
    <n v="2"/>
    <n v="64.650000000000006"/>
    <n v="34.32"/>
    <n v="0"/>
    <n v="129.30000000000001"/>
    <n v="68.64"/>
    <n v="60.660000000000011"/>
    <x v="970"/>
    <x v="0"/>
    <x v="3"/>
    <s v="tienda_fisica"/>
  </r>
  <r>
    <s v="V00559"/>
    <d v="2024-11-29T00:00:00"/>
    <x v="1"/>
    <n v="11"/>
    <s v="noviembre"/>
    <s v="T4"/>
    <s v="P015"/>
    <x v="2"/>
    <x v="2"/>
    <x v="2"/>
    <n v="1"/>
    <n v="72.44"/>
    <n v="41.12"/>
    <n v="0"/>
    <n v="72.44"/>
    <n v="41.12"/>
    <n v="31.32"/>
    <x v="971"/>
    <x v="0"/>
    <x v="4"/>
    <s v="tienda_fisica"/>
  </r>
  <r>
    <s v="V00554"/>
    <d v="2024-05-27T00:00:00"/>
    <x v="1"/>
    <n v="5"/>
    <s v="mayo"/>
    <s v="T2"/>
    <s v="P008"/>
    <x v="4"/>
    <x v="2"/>
    <x v="0"/>
    <n v="5"/>
    <n v="107.36"/>
    <n v="59.67"/>
    <n v="0"/>
    <n v="536.79999999999995"/>
    <n v="298.35000000000002"/>
    <n v="238.44999999999993"/>
    <x v="972"/>
    <x v="0"/>
    <x v="5"/>
    <s v="tienda_fisica"/>
  </r>
  <r>
    <s v="V02013"/>
    <d v="2025-11-11T00:00:00"/>
    <x v="0"/>
    <n v="11"/>
    <s v="noviembre"/>
    <s v="T4"/>
    <s v="P018"/>
    <x v="5"/>
    <x v="0"/>
    <x v="4"/>
    <n v="2"/>
    <n v="30.92"/>
    <n v="17.28"/>
    <n v="0"/>
    <n v="61.84"/>
    <n v="34.56"/>
    <n v="27.28"/>
    <x v="973"/>
    <x v="0"/>
    <x v="5"/>
    <s v="tienda_fisica"/>
  </r>
  <r>
    <s v="V00194"/>
    <d v="2024-02-07T00:00:00"/>
    <x v="1"/>
    <n v="2"/>
    <s v="febrero"/>
    <s v="T1"/>
    <s v="P006"/>
    <x v="0"/>
    <x v="0"/>
    <x v="0"/>
    <n v="3"/>
    <n v="50.17"/>
    <n v="27.76"/>
    <n v="0"/>
    <n v="150.51"/>
    <n v="83.28"/>
    <n v="67.22999999999999"/>
    <x v="974"/>
    <x v="0"/>
    <x v="6"/>
    <s v="online"/>
  </r>
  <r>
    <s v="V01829"/>
    <d v="2025-12-02T00:00:00"/>
    <x v="0"/>
    <n v="12"/>
    <s v="diciembre"/>
    <s v="T4"/>
    <s v="P008"/>
    <x v="4"/>
    <x v="2"/>
    <x v="0"/>
    <n v="1"/>
    <n v="107.28"/>
    <n v="58.78"/>
    <n v="0"/>
    <n v="107.28"/>
    <n v="58.78"/>
    <n v="48.5"/>
    <x v="975"/>
    <x v="0"/>
    <x v="3"/>
    <s v="tienda_fisica"/>
  </r>
  <r>
    <s v="V02209"/>
    <d v="2024-05-20T00:00:00"/>
    <x v="1"/>
    <n v="5"/>
    <s v="mayo"/>
    <s v="T2"/>
    <s v="P010"/>
    <x v="1"/>
    <x v="1"/>
    <x v="1"/>
    <n v="2"/>
    <n v="17.170000000000002"/>
    <n v="11"/>
    <n v="0"/>
    <n v="34.340000000000003"/>
    <n v="22"/>
    <n v="12.340000000000003"/>
    <x v="976"/>
    <x v="1"/>
    <x v="6"/>
    <s v="tienda_fisica"/>
  </r>
  <r>
    <s v="V01460"/>
    <d v="2024-03-02T00:00:00"/>
    <x v="1"/>
    <n v="3"/>
    <s v="marzo"/>
    <s v="T1"/>
    <s v="P019"/>
    <x v="14"/>
    <x v="2"/>
    <x v="4"/>
    <n v="4"/>
    <n v="58.75"/>
    <n v="31.8"/>
    <n v="0"/>
    <n v="235"/>
    <n v="127.2"/>
    <n v="107.8"/>
    <x v="977"/>
    <x v="0"/>
    <x v="3"/>
    <s v="online"/>
  </r>
  <r>
    <s v="V00474"/>
    <d v="2025-01-25T00:00:00"/>
    <x v="0"/>
    <n v="1"/>
    <s v="enero"/>
    <s v="T1"/>
    <s v="P009"/>
    <x v="12"/>
    <x v="1"/>
    <x v="1"/>
    <n v="6"/>
    <n v="8.19"/>
    <n v="4.3"/>
    <n v="0"/>
    <n v="49.14"/>
    <n v="25.799999999999997"/>
    <n v="23.340000000000003"/>
    <x v="978"/>
    <x v="0"/>
    <x v="2"/>
    <s v="online"/>
  </r>
  <r>
    <s v="V01560"/>
    <d v="2024-04-05T00:00:00"/>
    <x v="1"/>
    <n v="4"/>
    <s v="abril"/>
    <s v="T2"/>
    <s v="P004"/>
    <x v="6"/>
    <x v="2"/>
    <x v="3"/>
    <n v="3"/>
    <n v="168.56"/>
    <n v="105.01"/>
    <n v="0"/>
    <n v="505.68"/>
    <n v="315.03000000000003"/>
    <n v="190.64999999999998"/>
    <x v="979"/>
    <x v="0"/>
    <x v="2"/>
    <s v="tienda_fisica"/>
  </r>
  <r>
    <s v="V01326"/>
    <d v="2025-10-20T00:00:00"/>
    <x v="0"/>
    <n v="10"/>
    <s v="octubre"/>
    <s v="T4"/>
    <s v="P018"/>
    <x v="5"/>
    <x v="0"/>
    <x v="4"/>
    <n v="2"/>
    <n v="33.11"/>
    <n v="17.18"/>
    <n v="0"/>
    <n v="66.22"/>
    <n v="34.36"/>
    <n v="31.86"/>
    <x v="980"/>
    <x v="0"/>
    <x v="3"/>
    <s v="online"/>
  </r>
  <r>
    <s v="V00446"/>
    <d v="2025-05-25T00:00:00"/>
    <x v="0"/>
    <n v="5"/>
    <s v="mayo"/>
    <s v="T2"/>
    <s v="P007"/>
    <x v="15"/>
    <x v="1"/>
    <x v="0"/>
    <n v="1"/>
    <n v="18.989999999999998"/>
    <n v="13.33"/>
    <n v="0"/>
    <n v="18.989999999999998"/>
    <n v="13.33"/>
    <n v="5.6599999999999984"/>
    <x v="981"/>
    <x v="1"/>
    <x v="2"/>
    <s v="online"/>
  </r>
  <r>
    <s v="V01334"/>
    <d v="2024-07-28T00:00:00"/>
    <x v="1"/>
    <n v="7"/>
    <s v="julio"/>
    <s v="T3"/>
    <s v="P010"/>
    <x v="1"/>
    <x v="1"/>
    <x v="1"/>
    <n v="1"/>
    <n v="16.02"/>
    <n v="11.83"/>
    <n v="0"/>
    <n v="16.02"/>
    <n v="11.83"/>
    <n v="4.1899999999999995"/>
    <x v="982"/>
    <x v="1"/>
    <x v="6"/>
    <s v="tienda_fisica"/>
  </r>
  <r>
    <s v="V02161"/>
    <d v="2025-09-01T00:00:00"/>
    <x v="0"/>
    <n v="9"/>
    <s v="septiembre"/>
    <s v="T3"/>
    <s v="P017"/>
    <x v="17"/>
    <x v="0"/>
    <x v="4"/>
    <n v="2"/>
    <n v="48.83"/>
    <n v="21.73"/>
    <n v="0"/>
    <n v="97.66"/>
    <n v="43.46"/>
    <n v="54.199999999999996"/>
    <x v="983"/>
    <x v="0"/>
    <x v="5"/>
    <s v="tienda_fisica"/>
  </r>
  <r>
    <s v="V01806"/>
    <d v="2024-03-29T00:00:00"/>
    <x v="1"/>
    <n v="3"/>
    <s v="marzo"/>
    <s v="T1"/>
    <s v="P010"/>
    <x v="1"/>
    <x v="1"/>
    <x v="1"/>
    <n v="10"/>
    <n v="17.61"/>
    <n v="10.87"/>
    <n v="0"/>
    <n v="176.1"/>
    <n v="108.69999999999999"/>
    <n v="67.400000000000006"/>
    <x v="984"/>
    <x v="0"/>
    <x v="4"/>
    <s v="tienda_fisica"/>
  </r>
  <r>
    <s v="V01875"/>
    <d v="2025-05-28T00:00:00"/>
    <x v="0"/>
    <n v="5"/>
    <s v="mayo"/>
    <s v="T2"/>
    <s v="P001"/>
    <x v="9"/>
    <x v="2"/>
    <x v="3"/>
    <n v="10"/>
    <n v="120.58"/>
    <n v="88.27"/>
    <n v="0"/>
    <n v="1205.8"/>
    <n v="882.69999999999993"/>
    <n v="323.10000000000002"/>
    <x v="985"/>
    <x v="1"/>
    <x v="3"/>
    <s v="online"/>
  </r>
  <r>
    <s v="V00452"/>
    <d v="2025-03-10T00:00:00"/>
    <x v="0"/>
    <n v="3"/>
    <s v="marzo"/>
    <s v="T1"/>
    <s v="P016"/>
    <x v="11"/>
    <x v="2"/>
    <x v="2"/>
    <n v="2"/>
    <n v="76.09"/>
    <n v="39.700000000000003"/>
    <n v="0.19"/>
    <n v="123.26580000000001"/>
    <n v="79.400000000000006"/>
    <n v="43.865800000000007"/>
    <x v="986"/>
    <x v="1"/>
    <x v="3"/>
    <s v="tienda_fisica"/>
  </r>
  <r>
    <s v="V02061"/>
    <d v="2025-10-03T00:00:00"/>
    <x v="0"/>
    <n v="10"/>
    <s v="octubre"/>
    <s v="T4"/>
    <s v="P020"/>
    <x v="19"/>
    <x v="2"/>
    <x v="4"/>
    <n v="3"/>
    <n v="60.67"/>
    <n v="34.99"/>
    <n v="0"/>
    <n v="182.01"/>
    <n v="104.97"/>
    <n v="77.039999999999992"/>
    <x v="987"/>
    <x v="0"/>
    <x v="6"/>
    <s v="tienda_fisica"/>
  </r>
  <r>
    <s v="V00465"/>
    <d v="2025-10-17T00:00:00"/>
    <x v="0"/>
    <n v="10"/>
    <s v="octubre"/>
    <s v="T4"/>
    <s v="P017"/>
    <x v="17"/>
    <x v="0"/>
    <x v="4"/>
    <n v="2"/>
    <n v="51.73"/>
    <n v="22.56"/>
    <n v="0"/>
    <n v="103.46"/>
    <n v="45.12"/>
    <n v="58.339999999999996"/>
    <x v="988"/>
    <x v="0"/>
    <x v="4"/>
    <s v="online "/>
  </r>
  <r>
    <s v="V00721"/>
    <d v="2024-09-16T00:00:00"/>
    <x v="1"/>
    <n v="9"/>
    <s v="septiembre"/>
    <s v="T3"/>
    <s v="P019"/>
    <x v="14"/>
    <x v="2"/>
    <x v="4"/>
    <n v="5"/>
    <n v="62.14"/>
    <n v="33.799999999999997"/>
    <n v="0.15"/>
    <n v="264.09499999999997"/>
    <n v="169"/>
    <n v="95.09499999999997"/>
    <x v="989"/>
    <x v="1"/>
    <x v="1"/>
    <s v="tienda_fisica"/>
  </r>
  <r>
    <s v="V01544"/>
    <d v="2024-05-02T00:00:00"/>
    <x v="1"/>
    <n v="5"/>
    <s v="mayo"/>
    <s v="T2"/>
    <s v="P019"/>
    <x v="14"/>
    <x v="0"/>
    <x v="4"/>
    <n v="5"/>
    <n v="57.04"/>
    <n v="31.2"/>
    <n v="0.15"/>
    <n v="242.42"/>
    <n v="156"/>
    <n v="86.419999999999987"/>
    <x v="990"/>
    <x v="1"/>
    <x v="6"/>
    <s v="online"/>
  </r>
  <r>
    <s v="V01076"/>
    <d v="2024-12-20T00:00:00"/>
    <x v="1"/>
    <n v="12"/>
    <s v="diciembre"/>
    <s v="T4"/>
    <s v="P002"/>
    <x v="3"/>
    <x v="2"/>
    <x v="3"/>
    <n v="4"/>
    <n v="68.849999999999994"/>
    <n v="47.47"/>
    <n v="0"/>
    <n v="275.39999999999998"/>
    <n v="189.88"/>
    <n v="85.519999999999982"/>
    <x v="991"/>
    <x v="1"/>
    <x v="6"/>
    <s v="tienda_fisica"/>
  </r>
  <r>
    <s v="V00459"/>
    <d v="2024-11-20T00:00:00"/>
    <x v="1"/>
    <n v="11"/>
    <s v="noviembre"/>
    <s v="T4"/>
    <s v="P011"/>
    <x v="10"/>
    <x v="1"/>
    <x v="1"/>
    <n v="4"/>
    <n v="22.84"/>
    <n v="11.72"/>
    <n v="0"/>
    <n v="91.36"/>
    <n v="46.88"/>
    <n v="44.48"/>
    <x v="992"/>
    <x v="0"/>
    <x v="4"/>
    <s v="tienda_fisica"/>
  </r>
  <r>
    <s v="V01759"/>
    <d v="2024-10-07T00:00:00"/>
    <x v="1"/>
    <n v="10"/>
    <s v="octubre"/>
    <s v="T4"/>
    <s v="P010"/>
    <x v="1"/>
    <x v="1"/>
    <x v="1"/>
    <n v="2"/>
    <n v="17.010000000000002"/>
    <n v="11.42"/>
    <n v="0"/>
    <n v="34.020000000000003"/>
    <n v="22.84"/>
    <n v="11.180000000000003"/>
    <x v="993"/>
    <x v="1"/>
    <x v="3"/>
    <s v="tienda_fisica"/>
  </r>
  <r>
    <s v="V01322"/>
    <d v="2024-12-23T00:00:00"/>
    <x v="1"/>
    <n v="12"/>
    <s v="diciembre"/>
    <s v="T4"/>
    <s v="P004"/>
    <x v="6"/>
    <x v="2"/>
    <x v="3"/>
    <n v="1"/>
    <n v="153.87"/>
    <n v="106.24"/>
    <n v="0"/>
    <n v="153.87"/>
    <n v="106.24"/>
    <n v="47.63000000000001"/>
    <x v="994"/>
    <x v="1"/>
    <x v="1"/>
    <s v="tienda_fisica"/>
  </r>
  <r>
    <s v="V02193"/>
    <d v="2024-04-22T00:00:00"/>
    <x v="1"/>
    <n v="4"/>
    <s v="abril"/>
    <s v="T2"/>
    <s v="P018"/>
    <x v="5"/>
    <x v="0"/>
    <x v="4"/>
    <n v="3"/>
    <n v="30.57"/>
    <n v="17.54"/>
    <n v="0"/>
    <n v="91.710000000000008"/>
    <n v="52.62"/>
    <n v="39.090000000000011"/>
    <x v="995"/>
    <x v="0"/>
    <x v="4"/>
    <s v="tienda_fisica"/>
  </r>
  <r>
    <s v="V00949"/>
    <d v="2024-07-04T00:00:00"/>
    <x v="1"/>
    <n v="7"/>
    <s v="julio"/>
    <s v="T3"/>
    <s v="P020"/>
    <x v="19"/>
    <x v="2"/>
    <x v="4"/>
    <n v="4"/>
    <n v="63.38"/>
    <n v="33.270000000000003"/>
    <n v="0.28000000000000003"/>
    <n v="182.53440000000001"/>
    <n v="133.08000000000001"/>
    <n v="49.454399999999993"/>
    <x v="996"/>
    <x v="1"/>
    <x v="4"/>
    <s v="online"/>
  </r>
  <r>
    <s v="V00511"/>
    <d v="2024-08-18T00:00:00"/>
    <x v="1"/>
    <n v="8"/>
    <s v="agosto"/>
    <s v="T3"/>
    <s v="P009"/>
    <x v="12"/>
    <x v="1"/>
    <x v="1"/>
    <n v="4"/>
    <n v="7.7"/>
    <n v="4.5199999999999996"/>
    <n v="0"/>
    <n v="30.8"/>
    <n v="18.079999999999998"/>
    <n v="12.720000000000002"/>
    <x v="997"/>
    <x v="0"/>
    <x v="3"/>
    <s v="tienda_fisica"/>
  </r>
  <r>
    <s v="V00370"/>
    <d v="2025-12-22T00:00:00"/>
    <x v="0"/>
    <n v="12"/>
    <s v="diciembre"/>
    <s v="T4"/>
    <s v="P001"/>
    <x v="9"/>
    <x v="2"/>
    <x v="3"/>
    <n v="5"/>
    <n v="116.79"/>
    <n v="88.15"/>
    <n v="0"/>
    <n v="583.95000000000005"/>
    <n v="440.75"/>
    <n v="143.20000000000005"/>
    <x v="998"/>
    <x v="1"/>
    <x v="5"/>
    <s v="tienda_fisica"/>
  </r>
  <r>
    <s v="V00485"/>
    <d v="2024-02-14T00:00:00"/>
    <x v="1"/>
    <n v="2"/>
    <s v="febrero"/>
    <s v="T1"/>
    <s v="P003"/>
    <x v="7"/>
    <x v="2"/>
    <x v="3"/>
    <n v="3"/>
    <n v="179.74"/>
    <n v="97.36"/>
    <n v="0"/>
    <n v="539.22"/>
    <n v="292.08"/>
    <n v="247.14000000000004"/>
    <x v="999"/>
    <x v="0"/>
    <x v="5"/>
    <s v="online"/>
  </r>
  <r>
    <s v="V00171"/>
    <d v="2025-10-04T00:00:00"/>
    <x v="0"/>
    <n v="10"/>
    <s v="octubre"/>
    <s v="T4"/>
    <s v="P016"/>
    <x v="11"/>
    <x v="2"/>
    <x v="2"/>
    <n v="1"/>
    <n v="82.75"/>
    <n v="40.619999999999997"/>
    <n v="0"/>
    <n v="82.75"/>
    <n v="40.619999999999997"/>
    <n v="42.13"/>
    <x v="1000"/>
    <x v="0"/>
    <x v="0"/>
    <s v="tienda_fisica"/>
  </r>
  <r>
    <s v="V01519"/>
    <d v="2025-05-23T00:00:00"/>
    <x v="0"/>
    <n v="5"/>
    <s v="mayo"/>
    <s v="T2"/>
    <s v="P002"/>
    <x v="3"/>
    <x v="2"/>
    <x v="3"/>
    <n v="4"/>
    <n v="69.260000000000005"/>
    <n v="45.98"/>
    <n v="0"/>
    <n v="277.04000000000002"/>
    <n v="183.92"/>
    <n v="93.120000000000033"/>
    <x v="1001"/>
    <x v="1"/>
    <x v="6"/>
    <s v="online"/>
  </r>
  <r>
    <s v="V00308"/>
    <d v="2024-10-03T00:00:00"/>
    <x v="1"/>
    <n v="10"/>
    <s v="octubre"/>
    <s v="T4"/>
    <s v="P013"/>
    <x v="8"/>
    <x v="2"/>
    <x v="2"/>
    <n v="1"/>
    <n v="80.23"/>
    <n v="45.52"/>
    <n v="0"/>
    <n v="80.23"/>
    <n v="45.52"/>
    <n v="34.71"/>
    <x v="1002"/>
    <x v="0"/>
    <x v="3"/>
    <s v="online"/>
  </r>
  <r>
    <s v="V00286"/>
    <d v="2024-05-02T00:00:00"/>
    <x v="1"/>
    <n v="5"/>
    <s v="mayo"/>
    <s v="T2"/>
    <s v="P006"/>
    <x v="0"/>
    <x v="0"/>
    <x v="0"/>
    <n v="1"/>
    <n v="45.57"/>
    <n v="26.68"/>
    <n v="0"/>
    <n v="45.57"/>
    <n v="26.68"/>
    <n v="18.89"/>
    <x v="1003"/>
    <x v="0"/>
    <x v="3"/>
    <s v="online"/>
  </r>
  <r>
    <s v="V01206"/>
    <d v="2025-11-21T00:00:00"/>
    <x v="0"/>
    <n v="11"/>
    <s v="noviembre"/>
    <s v="T4"/>
    <s v="P015"/>
    <x v="2"/>
    <x v="2"/>
    <x v="2"/>
    <n v="3"/>
    <n v="78.61"/>
    <n v="42.43"/>
    <n v="0"/>
    <n v="235.82999999999998"/>
    <n v="127.28999999999999"/>
    <n v="108.53999999999999"/>
    <x v="1004"/>
    <x v="0"/>
    <x v="0"/>
    <s v="online"/>
  </r>
  <r>
    <s v="V01838"/>
    <d v="2024-07-05T00:00:00"/>
    <x v="1"/>
    <n v="7"/>
    <s v="julio"/>
    <s v="T3"/>
    <s v="P005"/>
    <x v="18"/>
    <x v="2"/>
    <x v="0"/>
    <n v="6"/>
    <n v="63.22"/>
    <n v="39.36"/>
    <n v="0.15"/>
    <n v="322.42199999999997"/>
    <n v="236.16"/>
    <n v="86.261999999999972"/>
    <x v="1005"/>
    <x v="1"/>
    <x v="0"/>
    <s v="online"/>
  </r>
  <r>
    <s v="V01075"/>
    <d v="2025-11-10T00:00:00"/>
    <x v="0"/>
    <n v="11"/>
    <s v="noviembre"/>
    <s v="T4"/>
    <s v="P011"/>
    <x v="10"/>
    <x v="1"/>
    <x v="1"/>
    <n v="3"/>
    <n v="21.73"/>
    <n v="11.53"/>
    <n v="0"/>
    <n v="65.19"/>
    <n v="34.589999999999996"/>
    <n v="30.6"/>
    <x v="1006"/>
    <x v="0"/>
    <x v="5"/>
    <s v="online"/>
  </r>
  <r>
    <s v="V01078"/>
    <d v="2024-01-22T00:00:00"/>
    <x v="1"/>
    <n v="1"/>
    <s v="enero"/>
    <s v="T1"/>
    <s v="P008"/>
    <x v="4"/>
    <x v="2"/>
    <x v="0"/>
    <n v="4"/>
    <n v="105.63"/>
    <n v="57.47"/>
    <n v="0"/>
    <n v="422.52"/>
    <n v="229.88"/>
    <n v="192.64"/>
    <x v="1007"/>
    <x v="0"/>
    <x v="6"/>
    <s v="online"/>
  </r>
  <r>
    <s v="V01364"/>
    <d v="2025-11-06T00:00:00"/>
    <x v="0"/>
    <n v="11"/>
    <s v="noviembre"/>
    <s v="T4"/>
    <s v="P015"/>
    <x v="2"/>
    <x v="2"/>
    <x v="2"/>
    <n v="1"/>
    <n v="79.349999999999994"/>
    <n v="42.79"/>
    <n v="0.15"/>
    <n v="67.447499999999991"/>
    <n v="42.79"/>
    <n v="24.657499999999992"/>
    <x v="1008"/>
    <x v="1"/>
    <x v="3"/>
    <s v="tienda_fisica"/>
  </r>
  <r>
    <s v="V02003"/>
    <d v="2024-03-05T00:00:00"/>
    <x v="1"/>
    <n v="3"/>
    <s v="marzo"/>
    <s v="T1"/>
    <s v="P010"/>
    <x v="1"/>
    <x v="1"/>
    <x v="1"/>
    <n v="2"/>
    <n v="15.04"/>
    <n v="11.76"/>
    <n v="0"/>
    <n v="30.08"/>
    <n v="23.52"/>
    <n v="6.5599999999999987"/>
    <x v="1009"/>
    <x v="1"/>
    <x v="2"/>
    <s v="tienda_fisica"/>
  </r>
  <r>
    <s v="V01085"/>
    <d v="2024-08-24T00:00:00"/>
    <x v="1"/>
    <n v="8"/>
    <s v="agosto"/>
    <s v="T3"/>
    <s v="P017"/>
    <x v="17"/>
    <x v="0"/>
    <x v="4"/>
    <n v="1"/>
    <n v="51.6"/>
    <n v="21.64"/>
    <n v="0"/>
    <n v="51.6"/>
    <n v="21.64"/>
    <n v="29.96"/>
    <x v="1010"/>
    <x v="0"/>
    <x v="1"/>
    <s v="tienda_fisica"/>
  </r>
  <r>
    <s v="V01947"/>
    <d v="2025-07-07T00:00:00"/>
    <x v="0"/>
    <n v="7"/>
    <s v="julio"/>
    <s v="T3"/>
    <s v="P013"/>
    <x v="8"/>
    <x v="2"/>
    <x v="2"/>
    <n v="6"/>
    <n v="78.67"/>
    <n v="48.62"/>
    <n v="0"/>
    <n v="472.02"/>
    <n v="291.71999999999997"/>
    <n v="180.3"/>
    <x v="1011"/>
    <x v="0"/>
    <x v="5"/>
    <s v="online"/>
  </r>
  <r>
    <s v="V02096"/>
    <d v="2024-01-03T00:00:00"/>
    <x v="1"/>
    <n v="1"/>
    <s v="enero"/>
    <s v="T1"/>
    <s v="P013"/>
    <x v="8"/>
    <x v="2"/>
    <x v="2"/>
    <n v="6"/>
    <n v="80.75"/>
    <n v="45.9"/>
    <n v="0"/>
    <n v="484.5"/>
    <n v="275.39999999999998"/>
    <n v="209.10000000000002"/>
    <x v="1012"/>
    <x v="0"/>
    <x v="3"/>
    <s v="tienda_fisica"/>
  </r>
  <r>
    <s v="V01765"/>
    <d v="2024-02-29T00:00:00"/>
    <x v="1"/>
    <n v="2"/>
    <s v="febrero"/>
    <s v="T1"/>
    <s v="P006"/>
    <x v="0"/>
    <x v="0"/>
    <x v="0"/>
    <n v="1"/>
    <n v="46.53"/>
    <n v="26.42"/>
    <n v="0"/>
    <n v="46.53"/>
    <n v="26.42"/>
    <n v="20.11"/>
    <x v="1013"/>
    <x v="0"/>
    <x v="5"/>
    <s v="tienda_fisica"/>
  </r>
  <r>
    <s v="V01632"/>
    <d v="2024-02-21T00:00:00"/>
    <x v="1"/>
    <n v="2"/>
    <s v="febrero"/>
    <s v="T1"/>
    <s v="P005"/>
    <x v="18"/>
    <x v="0"/>
    <x v="0"/>
    <n v="3"/>
    <n v="57.58"/>
    <n v="39.78"/>
    <n v="0"/>
    <n v="172.74"/>
    <n v="119.34"/>
    <n v="53.400000000000006"/>
    <x v="1014"/>
    <x v="1"/>
    <x v="2"/>
    <s v="online"/>
  </r>
  <r>
    <s v="V00622"/>
    <d v="2024-07-11T00:00:00"/>
    <x v="1"/>
    <n v="7"/>
    <s v="julio"/>
    <s v="T3"/>
    <s v="P003"/>
    <x v="7"/>
    <x v="2"/>
    <x v="3"/>
    <n v="1"/>
    <n v="171.7"/>
    <n v="98.49"/>
    <n v="0.12"/>
    <n v="151.096"/>
    <n v="98.49"/>
    <n v="52.606000000000009"/>
    <x v="1015"/>
    <x v="1"/>
    <x v="5"/>
    <s v="tienda_fisica"/>
  </r>
  <r>
    <s v="V02201"/>
    <d v="2024-06-15T00:00:00"/>
    <x v="1"/>
    <n v="6"/>
    <s v="junio"/>
    <s v="T2"/>
    <s v="P006"/>
    <x v="0"/>
    <x v="0"/>
    <x v="0"/>
    <n v="1"/>
    <n v="47.42"/>
    <n v="27.4"/>
    <n v="0"/>
    <n v="47.42"/>
    <n v="27.4"/>
    <n v="20.020000000000003"/>
    <x v="1016"/>
    <x v="0"/>
    <x v="3"/>
    <s v="online"/>
  </r>
  <r>
    <s v="V01297"/>
    <d v="2024-08-02T00:00:00"/>
    <x v="1"/>
    <n v="8"/>
    <s v="agosto"/>
    <s v="T3"/>
    <s v="P006"/>
    <x v="0"/>
    <x v="0"/>
    <x v="0"/>
    <n v="4"/>
    <n v="48.61"/>
    <n v="27.38"/>
    <n v="0.17"/>
    <n v="161.3852"/>
    <n v="109.52"/>
    <n v="51.865200000000002"/>
    <x v="1017"/>
    <x v="1"/>
    <x v="4"/>
    <s v="tienda_fisica"/>
  </r>
  <r>
    <s v="V01926"/>
    <d v="2024-10-05T00:00:00"/>
    <x v="1"/>
    <n v="10"/>
    <s v="octubre"/>
    <s v="T4"/>
    <s v="P013"/>
    <x v="8"/>
    <x v="2"/>
    <x v="2"/>
    <n v="2"/>
    <n v="76.56"/>
    <n v="48.62"/>
    <n v="0.16"/>
    <n v="128.6208"/>
    <n v="97.24"/>
    <n v="31.380800000000008"/>
    <x v="1018"/>
    <x v="1"/>
    <x v="6"/>
    <s v="tienda_fisica"/>
  </r>
  <r>
    <s v="V01998"/>
    <d v="2024-04-29T00:00:00"/>
    <x v="1"/>
    <n v="4"/>
    <s v="abril"/>
    <s v="T2"/>
    <s v="P014"/>
    <x v="16"/>
    <x v="1"/>
    <x v="2"/>
    <n v="1"/>
    <n v="13.91"/>
    <n v="9.92"/>
    <n v="0"/>
    <n v="13.91"/>
    <n v="9.92"/>
    <n v="3.99"/>
    <x v="1019"/>
    <x v="1"/>
    <x v="0"/>
    <s v="tienda_fisica"/>
  </r>
  <r>
    <s v="V01906"/>
    <d v="2024-02-16T00:00:00"/>
    <x v="1"/>
    <n v="2"/>
    <s v="febrero"/>
    <s v="T1"/>
    <s v="P015"/>
    <x v="2"/>
    <x v="2"/>
    <x v="2"/>
    <n v="3"/>
    <n v="81.09"/>
    <n v="44.1"/>
    <n v="0"/>
    <n v="243.27"/>
    <n v="132.30000000000001"/>
    <n v="110.97"/>
    <x v="1020"/>
    <x v="0"/>
    <x v="0"/>
    <s v="online"/>
  </r>
  <r>
    <s v="V02143"/>
    <d v="2025-09-26T00:00:00"/>
    <x v="0"/>
    <n v="9"/>
    <s v="septiembre"/>
    <s v="T3"/>
    <s v="P004"/>
    <x v="6"/>
    <x v="2"/>
    <x v="3"/>
    <n v="1"/>
    <n v="156.44999999999999"/>
    <n v="105.25"/>
    <n v="0.13"/>
    <n v="136.11149999999998"/>
    <n v="105.25"/>
    <n v="30.861499999999978"/>
    <x v="1021"/>
    <x v="1"/>
    <x v="1"/>
    <s v="online"/>
  </r>
  <r>
    <s v="V01657"/>
    <d v="2024-05-12T00:00:00"/>
    <x v="1"/>
    <n v="5"/>
    <s v="mayo"/>
    <s v="T2"/>
    <s v="P005"/>
    <x v="18"/>
    <x v="2"/>
    <x v="0"/>
    <n v="3"/>
    <n v="62.44"/>
    <n v="41.3"/>
    <n v="0"/>
    <n v="187.32"/>
    <n v="123.89999999999999"/>
    <n v="63.42"/>
    <x v="1022"/>
    <x v="1"/>
    <x v="3"/>
    <s v="tienda_fisica"/>
  </r>
  <r>
    <s v="V00664"/>
    <d v="2024-11-06T00:00:00"/>
    <x v="1"/>
    <n v="11"/>
    <s v="noviembre"/>
    <s v="T4"/>
    <s v="P005"/>
    <x v="18"/>
    <x v="2"/>
    <x v="0"/>
    <n v="1"/>
    <n v="62.22"/>
    <n v="42.38"/>
    <n v="0.22"/>
    <n v="48.531599999999997"/>
    <n v="42.38"/>
    <n v="6.1515999999999948"/>
    <x v="1023"/>
    <x v="1"/>
    <x v="1"/>
    <s v="online"/>
  </r>
  <r>
    <s v="V00775"/>
    <d v="2025-12-25T00:00:00"/>
    <x v="0"/>
    <n v="12"/>
    <s v="diciembre"/>
    <s v="T4"/>
    <s v="P009"/>
    <x v="12"/>
    <x v="1"/>
    <x v="1"/>
    <n v="2"/>
    <n v="7.24"/>
    <n v="4.4000000000000004"/>
    <n v="0"/>
    <n v="14.48"/>
    <n v="8.8000000000000007"/>
    <n v="5.68"/>
    <x v="1024"/>
    <x v="0"/>
    <x v="0"/>
    <s v="online"/>
  </r>
  <r>
    <s v="V00574"/>
    <d v="2024-09-23T00:00:00"/>
    <x v="1"/>
    <n v="9"/>
    <s v="septiembre"/>
    <s v="T3"/>
    <s v="P019"/>
    <x v="14"/>
    <x v="0"/>
    <x v="4"/>
    <n v="4"/>
    <n v="55.45"/>
    <n v="32.700000000000003"/>
    <n v="0"/>
    <n v="221.8"/>
    <n v="130.80000000000001"/>
    <n v="91"/>
    <x v="1025"/>
    <x v="0"/>
    <x v="3"/>
    <s v="tienda_fisica"/>
  </r>
  <r>
    <s v="V01724"/>
    <d v="2024-02-13T00:00:00"/>
    <x v="1"/>
    <n v="2"/>
    <s v="febrero"/>
    <s v="T1"/>
    <s v="P017"/>
    <x v="17"/>
    <x v="0"/>
    <x v="4"/>
    <n v="1"/>
    <n v="48.01"/>
    <n v="23.75"/>
    <n v="0"/>
    <n v="48.01"/>
    <n v="23.75"/>
    <n v="24.259999999999998"/>
    <x v="1026"/>
    <x v="0"/>
    <x v="0"/>
    <s v=" online"/>
  </r>
  <r>
    <s v="V01091"/>
    <d v="2024-08-31T00:00:00"/>
    <x v="1"/>
    <n v="8"/>
    <s v="agosto"/>
    <s v="T3"/>
    <s v="P015"/>
    <x v="2"/>
    <x v="2"/>
    <x v="2"/>
    <n v="7"/>
    <n v="72.64"/>
    <n v="41.72"/>
    <n v="0"/>
    <n v="508.48"/>
    <n v="292.03999999999996"/>
    <n v="216.44000000000005"/>
    <x v="1027"/>
    <x v="0"/>
    <x v="1"/>
    <s v="online"/>
  </r>
  <r>
    <s v="V01180"/>
    <d v="2025-06-03T00:00:00"/>
    <x v="0"/>
    <n v="6"/>
    <s v="junio"/>
    <s v="T2"/>
    <s v="P008"/>
    <x v="4"/>
    <x v="2"/>
    <x v="0"/>
    <n v="1"/>
    <n v="104.15"/>
    <n v="55.54"/>
    <n v="0.13"/>
    <n v="90.610500000000002"/>
    <n v="55.54"/>
    <n v="35.070500000000003"/>
    <x v="1028"/>
    <x v="0"/>
    <x v="3"/>
    <s v="tienda_fisica"/>
  </r>
  <r>
    <s v="V01135"/>
    <d v="2024-04-14T00:00:00"/>
    <x v="1"/>
    <n v="4"/>
    <s v="abril"/>
    <s v="T2"/>
    <s v="P017"/>
    <x v="17"/>
    <x v="0"/>
    <x v="4"/>
    <n v="1"/>
    <n v="45.57"/>
    <n v="22.99"/>
    <n v="0"/>
    <n v="45.57"/>
    <n v="22.99"/>
    <n v="22.580000000000002"/>
    <x v="1029"/>
    <x v="0"/>
    <x v="0"/>
    <s v="tienda_fisica"/>
  </r>
  <r>
    <s v="V00140"/>
    <d v="2024-06-18T00:00:00"/>
    <x v="1"/>
    <n v="6"/>
    <s v="junio"/>
    <s v="T2"/>
    <s v="P020"/>
    <x v="19"/>
    <x v="2"/>
    <x v="4"/>
    <n v="2"/>
    <n v="64.849999999999994"/>
    <n v="34.15"/>
    <n v="0"/>
    <n v="129.69999999999999"/>
    <n v="68.3"/>
    <n v="61.399999999999991"/>
    <x v="1030"/>
    <x v="0"/>
    <x v="2"/>
    <s v="online"/>
  </r>
  <r>
    <s v="V01181"/>
    <d v="2025-12-15T00:00:00"/>
    <x v="0"/>
    <n v="12"/>
    <s v="diciembre"/>
    <s v="T4"/>
    <s v="P020"/>
    <x v="19"/>
    <x v="2"/>
    <x v="4"/>
    <n v="1"/>
    <n v="64.760000000000005"/>
    <n v="35.369999999999997"/>
    <n v="0"/>
    <n v="64.760000000000005"/>
    <n v="35.369999999999997"/>
    <n v="29.390000000000008"/>
    <x v="1031"/>
    <x v="0"/>
    <x v="6"/>
    <s v="online"/>
  </r>
  <r>
    <s v="V00283"/>
    <d v="2025-03-01T00:00:00"/>
    <x v="0"/>
    <n v="3"/>
    <s v="marzo"/>
    <s v="T1"/>
    <s v="P017"/>
    <x v="17"/>
    <x v="0"/>
    <x v="4"/>
    <n v="4"/>
    <n v="46.59"/>
    <n v="21.75"/>
    <n v="0"/>
    <n v="186.36"/>
    <n v="87"/>
    <n v="99.360000000000014"/>
    <x v="1032"/>
    <x v="0"/>
    <x v="0"/>
    <s v="online"/>
  </r>
  <r>
    <s v="V01610"/>
    <d v="2024-02-23T00:00:00"/>
    <x v="1"/>
    <n v="2"/>
    <s v="febrero"/>
    <s v="T1"/>
    <s v="P012"/>
    <x v="13"/>
    <x v="1"/>
    <x v="1"/>
    <n v="1"/>
    <n v="8.7200000000000006"/>
    <n v="5.97"/>
    <n v="0"/>
    <n v="8.7200000000000006"/>
    <n v="5.97"/>
    <n v="2.7500000000000009"/>
    <x v="1033"/>
    <x v="1"/>
    <x v="2"/>
    <s v="tienda_fisica"/>
  </r>
  <r>
    <s v="V02181"/>
    <d v="2024-07-16T00:00:00"/>
    <x v="1"/>
    <n v="7"/>
    <s v="julio"/>
    <s v="T3"/>
    <s v="P008"/>
    <x v="4"/>
    <x v="2"/>
    <x v="0"/>
    <n v="1"/>
    <n v="104.13"/>
    <n v="55.36"/>
    <n v="0"/>
    <n v="104.13"/>
    <n v="55.36"/>
    <n v="48.769999999999996"/>
    <x v="1034"/>
    <x v="0"/>
    <x v="5"/>
    <s v="online"/>
  </r>
  <r>
    <s v="V01239"/>
    <d v="2024-06-10T00:00:00"/>
    <x v="1"/>
    <n v="6"/>
    <s v="junio"/>
    <s v="T2"/>
    <s v="P006"/>
    <x v="0"/>
    <x v="0"/>
    <x v="0"/>
    <n v="4"/>
    <n v="48.81"/>
    <n v="26.02"/>
    <n v="0"/>
    <n v="195.24"/>
    <n v="104.08"/>
    <n v="91.160000000000011"/>
    <x v="1035"/>
    <x v="0"/>
    <x v="1"/>
    <s v="online"/>
  </r>
  <r>
    <s v="V00726"/>
    <d v="2024-01-28T00:00:00"/>
    <x v="1"/>
    <n v="1"/>
    <s v="enero"/>
    <s v="T1"/>
    <s v="P007"/>
    <x v="15"/>
    <x v="1"/>
    <x v="0"/>
    <n v="4"/>
    <n v="20.25"/>
    <n v="13.27"/>
    <n v="0.13"/>
    <n v="70.47"/>
    <n v="53.08"/>
    <n v="17.39"/>
    <x v="1036"/>
    <x v="1"/>
    <x v="3"/>
    <s v="tienda_fisica"/>
  </r>
  <r>
    <s v="V01245"/>
    <d v="2025-08-23T00:00:00"/>
    <x v="0"/>
    <n v="8"/>
    <s v="agosto"/>
    <s v="T3"/>
    <s v="P020"/>
    <x v="19"/>
    <x v="2"/>
    <x v="4"/>
    <n v="4"/>
    <n v="59.06"/>
    <n v="35.21"/>
    <n v="0.08"/>
    <n v="217.34080000000003"/>
    <n v="140.84"/>
    <n v="76.500800000000027"/>
    <x v="1037"/>
    <x v="1"/>
    <x v="3"/>
    <s v="online"/>
  </r>
  <r>
    <s v="V00678"/>
    <d v="2025-10-15T00:00:00"/>
    <x v="0"/>
    <n v="10"/>
    <s v="octubre"/>
    <s v="T4"/>
    <s v="P009"/>
    <x v="12"/>
    <x v="1"/>
    <x v="1"/>
    <n v="6"/>
    <n v="7.93"/>
    <n v="4.37"/>
    <n v="0"/>
    <n v="47.58"/>
    <n v="26.22"/>
    <n v="21.36"/>
    <x v="1038"/>
    <x v="0"/>
    <x v="0"/>
    <s v="tienda_fisica"/>
  </r>
  <r>
    <s v="V00056"/>
    <d v="2025-09-22T00:00:00"/>
    <x v="0"/>
    <n v="9"/>
    <s v="septiembre"/>
    <s v="T3"/>
    <s v="P009"/>
    <x v="12"/>
    <x v="1"/>
    <x v="1"/>
    <n v="3"/>
    <n v="8.14"/>
    <n v="4.22"/>
    <n v="0"/>
    <n v="24.42"/>
    <n v="12.66"/>
    <n v="11.760000000000002"/>
    <x v="1039"/>
    <x v="0"/>
    <x v="2"/>
    <s v="tienda_fisica"/>
  </r>
  <r>
    <s v="V02241"/>
    <d v="2024-02-23T00:00:00"/>
    <x v="1"/>
    <n v="2"/>
    <s v="febrero"/>
    <s v="T1"/>
    <s v="P019"/>
    <x v="14"/>
    <x v="2"/>
    <x v="4"/>
    <n v="1"/>
    <n v="63.42"/>
    <n v="33.200000000000003"/>
    <n v="0"/>
    <n v="63.42"/>
    <n v="33.200000000000003"/>
    <n v="30.22"/>
    <x v="1040"/>
    <x v="0"/>
    <x v="3"/>
    <s v="tienda_fisica"/>
  </r>
  <r>
    <s v="V00167"/>
    <d v="2024-05-07T00:00:00"/>
    <x v="1"/>
    <n v="5"/>
    <s v="mayo"/>
    <s v="T2"/>
    <s v="P002"/>
    <x v="3"/>
    <x v="2"/>
    <x v="3"/>
    <n v="1"/>
    <n v="70.56"/>
    <n v="49.34"/>
    <n v="0"/>
    <n v="70.56"/>
    <n v="49.34"/>
    <n v="21.22"/>
    <x v="1041"/>
    <x v="1"/>
    <x v="0"/>
    <s v="online"/>
  </r>
  <r>
    <s v="V01420"/>
    <d v="2024-12-06T00:00:00"/>
    <x v="1"/>
    <n v="12"/>
    <s v="diciembre"/>
    <s v="T4"/>
    <s v="P005"/>
    <x v="18"/>
    <x v="2"/>
    <x v="0"/>
    <n v="2"/>
    <n v="61.39"/>
    <n v="42.77"/>
    <n v="0"/>
    <n v="122.78"/>
    <n v="85.54"/>
    <n v="37.239999999999995"/>
    <x v="1042"/>
    <x v="1"/>
    <x v="6"/>
    <s v="tienda_fisica"/>
  </r>
  <r>
    <s v="V00873"/>
    <d v="2024-08-16T00:00:00"/>
    <x v="1"/>
    <n v="8"/>
    <s v="agosto"/>
    <s v="T3"/>
    <s v="P008"/>
    <x v="4"/>
    <x v="2"/>
    <x v="0"/>
    <n v="1"/>
    <n v="104.13"/>
    <n v="55.68"/>
    <n v="0"/>
    <n v="104.13"/>
    <n v="55.68"/>
    <n v="48.449999999999996"/>
    <x v="1043"/>
    <x v="0"/>
    <x v="3"/>
    <s v="online"/>
  </r>
  <r>
    <s v="V00888"/>
    <d v="2025-05-06T00:00:00"/>
    <x v="0"/>
    <n v="5"/>
    <s v="mayo"/>
    <s v="T2"/>
    <s v="P019"/>
    <x v="14"/>
    <x v="2"/>
    <x v="4"/>
    <n v="3"/>
    <n v="58.79"/>
    <n v="32.909999999999997"/>
    <n v="7.0000000000000007E-2"/>
    <n v="164.0241"/>
    <n v="98.72999999999999"/>
    <n v="65.294100000000014"/>
    <x v="1044"/>
    <x v="0"/>
    <x v="3"/>
    <s v="tienda_fisica"/>
  </r>
  <r>
    <s v="V00889"/>
    <d v="2024-07-08T00:00:00"/>
    <x v="1"/>
    <n v="7"/>
    <s v="julio"/>
    <s v="T3"/>
    <s v="P018"/>
    <x v="5"/>
    <x v="0"/>
    <x v="4"/>
    <n v="2"/>
    <n v="32.31"/>
    <n v="17.36"/>
    <n v="0"/>
    <n v="64.62"/>
    <n v="34.72"/>
    <n v="29.900000000000006"/>
    <x v="1045"/>
    <x v="0"/>
    <x v="0"/>
    <s v="tienda_fisica"/>
  </r>
  <r>
    <s v="V01561"/>
    <d v="2024-06-20T00:00:00"/>
    <x v="1"/>
    <n v="6"/>
    <s v="junio"/>
    <s v="T2"/>
    <s v="P018"/>
    <x v="5"/>
    <x v="0"/>
    <x v="4"/>
    <n v="1"/>
    <n v="32.479999999999997"/>
    <n v="16.82"/>
    <n v="0"/>
    <n v="32.479999999999997"/>
    <n v="16.82"/>
    <n v="15.659999999999997"/>
    <x v="1046"/>
    <x v="0"/>
    <x v="4"/>
    <s v="tienda_fisica"/>
  </r>
  <r>
    <s v="V00499"/>
    <d v="2025-04-01T00:00:00"/>
    <x v="0"/>
    <n v="4"/>
    <s v="abril"/>
    <s v="T2"/>
    <s v="P013"/>
    <x v="8"/>
    <x v="2"/>
    <x v="2"/>
    <n v="1"/>
    <n v="80.33"/>
    <n v="45.94"/>
    <n v="0"/>
    <n v="80.33"/>
    <n v="45.94"/>
    <n v="34.39"/>
    <x v="1047"/>
    <x v="0"/>
    <x v="2"/>
    <s v="tienda_fisica"/>
  </r>
  <r>
    <s v="V00715"/>
    <d v="2024-04-04T00:00:00"/>
    <x v="1"/>
    <n v="4"/>
    <s v="abril"/>
    <s v="T2"/>
    <s v="P013"/>
    <x v="8"/>
    <x v="2"/>
    <x v="2"/>
    <n v="1"/>
    <n v="72.67"/>
    <n v="48.95"/>
    <n v="0"/>
    <n v="72.67"/>
    <n v="48.95"/>
    <n v="23.72"/>
    <x v="1048"/>
    <x v="1"/>
    <x v="0"/>
    <s v="online"/>
  </r>
  <r>
    <s v="V02079"/>
    <d v="2025-08-02T00:00:00"/>
    <x v="0"/>
    <n v="8"/>
    <s v="agosto"/>
    <s v="T3"/>
    <s v="P013"/>
    <x v="8"/>
    <x v="2"/>
    <x v="2"/>
    <n v="3"/>
    <n v="70.97"/>
    <n v="49.16"/>
    <n v="0"/>
    <n v="212.91"/>
    <n v="147.47999999999999"/>
    <n v="65.430000000000007"/>
    <x v="1049"/>
    <x v="1"/>
    <x v="3"/>
    <s v="tienda_fisica"/>
  </r>
  <r>
    <s v="V02090"/>
    <d v="2025-08-01T00:00:00"/>
    <x v="0"/>
    <n v="8"/>
    <s v="agosto"/>
    <s v="T3"/>
    <s v="P003"/>
    <x v="7"/>
    <x v="2"/>
    <x v="3"/>
    <n v="1"/>
    <n v="167.22"/>
    <n v="93.6"/>
    <n v="0.15"/>
    <n v="142.137"/>
    <n v="93.6"/>
    <n v="48.537000000000006"/>
    <x v="1050"/>
    <x v="1"/>
    <x v="1"/>
    <s v="online"/>
  </r>
  <r>
    <s v="V01984"/>
    <d v="2024-05-28T00:00:00"/>
    <x v="1"/>
    <n v="5"/>
    <s v="mayo"/>
    <s v="T2"/>
    <s v="P014"/>
    <x v="16"/>
    <x v="1"/>
    <x v="2"/>
    <n v="1"/>
    <n v="13.07"/>
    <n v="9.26"/>
    <n v="0"/>
    <n v="13.07"/>
    <n v="9.26"/>
    <n v="3.8100000000000005"/>
    <x v="1051"/>
    <x v="1"/>
    <x v="3"/>
    <s v="online"/>
  </r>
  <r>
    <s v="V01482"/>
    <d v="2025-02-09T00:00:00"/>
    <x v="0"/>
    <n v="2"/>
    <s v="febrero"/>
    <s v="T1"/>
    <s v="P010"/>
    <x v="1"/>
    <x v="1"/>
    <x v="1"/>
    <n v="1"/>
    <n v="16.309999999999999"/>
    <n v="11.4"/>
    <n v="0"/>
    <n v="16.309999999999999"/>
    <n v="11.4"/>
    <n v="4.9099999999999984"/>
    <x v="1052"/>
    <x v="1"/>
    <x v="3"/>
    <s v="online"/>
  </r>
  <r>
    <s v="V00801"/>
    <d v="2024-01-23T00:00:00"/>
    <x v="1"/>
    <n v="1"/>
    <s v="enero"/>
    <s v="T1"/>
    <s v="P007"/>
    <x v="15"/>
    <x v="1"/>
    <x v="0"/>
    <n v="1"/>
    <n v="18.7"/>
    <n v="13.1"/>
    <n v="0"/>
    <n v="18.7"/>
    <n v="13.1"/>
    <n v="5.6"/>
    <x v="1053"/>
    <x v="1"/>
    <x v="3"/>
    <s v="online"/>
  </r>
  <r>
    <s v="V00618"/>
    <d v="2025-12-02T00:00:00"/>
    <x v="0"/>
    <n v="12"/>
    <s v="diciembre"/>
    <s v="T4"/>
    <s v="P007"/>
    <x v="15"/>
    <x v="1"/>
    <x v="0"/>
    <n v="2"/>
    <n v="19.420000000000002"/>
    <n v="12.48"/>
    <n v="0"/>
    <n v="38.840000000000003"/>
    <n v="24.96"/>
    <n v="13.880000000000003"/>
    <x v="1054"/>
    <x v="1"/>
    <x v="3"/>
    <s v="tienda_fisica"/>
  </r>
  <r>
    <s v="V01532"/>
    <d v="2025-07-03T00:00:00"/>
    <x v="0"/>
    <n v="7"/>
    <s v="julio"/>
    <s v="T3"/>
    <s v="P010"/>
    <x v="1"/>
    <x v="1"/>
    <x v="1"/>
    <n v="1"/>
    <n v="15.39"/>
    <n v="11.44"/>
    <n v="0"/>
    <n v="15.39"/>
    <n v="11.44"/>
    <n v="3.9500000000000011"/>
    <x v="1055"/>
    <x v="1"/>
    <x v="2"/>
    <s v="online"/>
  </r>
  <r>
    <s v="V00124"/>
    <d v="2025-03-22T00:00:00"/>
    <x v="0"/>
    <n v="3"/>
    <s v="marzo"/>
    <s v="T1"/>
    <s v="P002"/>
    <x v="3"/>
    <x v="2"/>
    <x v="3"/>
    <n v="3"/>
    <n v="72.83"/>
    <n v="47.23"/>
    <n v="0.13"/>
    <n v="190.08629999999999"/>
    <n v="141.69"/>
    <n v="48.396299999999997"/>
    <x v="1056"/>
    <x v="1"/>
    <x v="3"/>
    <s v="tienda_fisica"/>
  </r>
  <r>
    <s v="V00335"/>
    <d v="2025-02-09T00:00:00"/>
    <x v="0"/>
    <n v="2"/>
    <s v="febrero"/>
    <s v="T1"/>
    <s v="P002"/>
    <x v="3"/>
    <x v="2"/>
    <x v="3"/>
    <n v="1"/>
    <n v="78.77"/>
    <n v="49.11"/>
    <n v="0.25"/>
    <n v="59.077500000000001"/>
    <n v="49.11"/>
    <n v="9.9675000000000011"/>
    <x v="1057"/>
    <x v="1"/>
    <x v="5"/>
    <s v="online"/>
  </r>
  <r>
    <s v="V01192"/>
    <d v="2024-07-02T00:00:00"/>
    <x v="1"/>
    <n v="7"/>
    <s v="julio"/>
    <s v="T3"/>
    <s v="P004"/>
    <x v="6"/>
    <x v="2"/>
    <x v="3"/>
    <n v="2"/>
    <n v="152.76"/>
    <n v="110.03"/>
    <n v="0"/>
    <n v="305.52"/>
    <n v="220.06"/>
    <n v="85.45999999999998"/>
    <x v="1058"/>
    <x v="1"/>
    <x v="6"/>
    <s v="tienda_fisica"/>
  </r>
  <r>
    <s v="V01622"/>
    <d v="2025-01-05T00:00:00"/>
    <x v="0"/>
    <n v="1"/>
    <s v="enero"/>
    <s v="T1"/>
    <s v="P020"/>
    <x v="19"/>
    <x v="2"/>
    <x v="4"/>
    <n v="3"/>
    <n v="60.91"/>
    <n v="32.15"/>
    <n v="0"/>
    <n v="182.73"/>
    <n v="96.449999999999989"/>
    <n v="86.28"/>
    <x v="1059"/>
    <x v="0"/>
    <x v="4"/>
    <s v="tienda_fisica"/>
  </r>
  <r>
    <s v="V01562"/>
    <d v="2024-04-12T00:00:00"/>
    <x v="1"/>
    <n v="4"/>
    <s v="abril"/>
    <s v="T2"/>
    <s v="P011"/>
    <x v="10"/>
    <x v="1"/>
    <x v="1"/>
    <n v="2"/>
    <n v="21.02"/>
    <n v="11.35"/>
    <n v="0"/>
    <n v="42.04"/>
    <n v="22.7"/>
    <n v="19.34"/>
    <x v="1060"/>
    <x v="0"/>
    <x v="3"/>
    <s v="tienda_fisica"/>
  </r>
  <r>
    <s v="V00919"/>
    <d v="2025-03-15T00:00:00"/>
    <x v="0"/>
    <n v="3"/>
    <s v="marzo"/>
    <s v="T1"/>
    <s v="P011"/>
    <x v="10"/>
    <x v="1"/>
    <x v="1"/>
    <n v="2"/>
    <n v="21.46"/>
    <n v="11.7"/>
    <n v="0"/>
    <n v="42.92"/>
    <n v="23.4"/>
    <n v="19.520000000000003"/>
    <x v="1061"/>
    <x v="0"/>
    <x v="6"/>
    <s v="tienda_fisica"/>
  </r>
  <r>
    <s v="V00574"/>
    <d v="2024-09-23T00:00:00"/>
    <x v="1"/>
    <n v="9"/>
    <s v="septiembre"/>
    <s v="T3"/>
    <s v="P019"/>
    <x v="14"/>
    <x v="0"/>
    <x v="4"/>
    <n v="4"/>
    <n v="55.45"/>
    <n v="32.700000000000003"/>
    <n v="0"/>
    <n v="221.8"/>
    <n v="130.80000000000001"/>
    <n v="91"/>
    <x v="1025"/>
    <x v="0"/>
    <x v="3"/>
    <s v="tienda_fisica"/>
  </r>
  <r>
    <s v="V00582"/>
    <d v="2024-01-13T00:00:00"/>
    <x v="1"/>
    <n v="1"/>
    <s v="enero"/>
    <s v="T1"/>
    <s v="P003"/>
    <x v="7"/>
    <x v="2"/>
    <x v="3"/>
    <n v="5"/>
    <n v="177.72"/>
    <n v="91.85"/>
    <n v="0.2"/>
    <n v="710.88000000000011"/>
    <n v="459.25"/>
    <n v="251.63000000000011"/>
    <x v="1062"/>
    <x v="1"/>
    <x v="0"/>
    <s v="tienda_fisica"/>
  </r>
  <r>
    <s v="V01163"/>
    <d v="2025-04-27T00:00:00"/>
    <x v="0"/>
    <n v="4"/>
    <s v="abril"/>
    <s v="T2"/>
    <s v="P001"/>
    <x v="9"/>
    <x v="2"/>
    <x v="3"/>
    <n v="3"/>
    <n v="129.52000000000001"/>
    <n v="86.42"/>
    <n v="0"/>
    <n v="388.56000000000006"/>
    <n v="259.26"/>
    <n v="129.30000000000007"/>
    <x v="1063"/>
    <x v="1"/>
    <x v="6"/>
    <s v="tienda_fisica"/>
  </r>
  <r>
    <s v="V00829"/>
    <d v="2025-02-10T00:00:00"/>
    <x v="0"/>
    <n v="2"/>
    <s v="febrero"/>
    <s v="T1"/>
    <s v="P007"/>
    <x v="15"/>
    <x v="1"/>
    <x v="0"/>
    <n v="5"/>
    <n v="20.39"/>
    <n v="12.9"/>
    <n v="0"/>
    <n v="101.95"/>
    <n v="64.5"/>
    <n v="37.450000000000003"/>
    <x v="1064"/>
    <x v="1"/>
    <x v="3"/>
    <s v="online"/>
  </r>
  <r>
    <s v="V00992"/>
    <d v="2024-01-08T00:00:00"/>
    <x v="1"/>
    <n v="1"/>
    <s v="enero"/>
    <s v="T1"/>
    <s v="P013"/>
    <x v="8"/>
    <x v="2"/>
    <x v="2"/>
    <n v="3"/>
    <n v="78.760000000000005"/>
    <n v="46.7"/>
    <n v="0"/>
    <n v="236.28000000000003"/>
    <n v="140.10000000000002"/>
    <n v="96.18"/>
    <x v="1065"/>
    <x v="0"/>
    <x v="6"/>
    <s v="tienda_fisica"/>
  </r>
  <r>
    <s v="V02248"/>
    <d v="2025-04-12T00:00:00"/>
    <x v="0"/>
    <n v="4"/>
    <s v="abril"/>
    <s v="T2"/>
    <s v="P004"/>
    <x v="6"/>
    <x v="2"/>
    <x v="3"/>
    <n v="1"/>
    <n v="153.9"/>
    <n v="114.45"/>
    <n v="0"/>
    <n v="153.9"/>
    <n v="114.45"/>
    <n v="39.450000000000003"/>
    <x v="1066"/>
    <x v="1"/>
    <x v="3"/>
    <s v="tienda_fisica"/>
  </r>
  <r>
    <s v="V01397"/>
    <d v="2025-10-21T00:00:00"/>
    <x v="0"/>
    <n v="10"/>
    <s v="octubre"/>
    <s v="T4"/>
    <s v="P002"/>
    <x v="3"/>
    <x v="2"/>
    <x v="3"/>
    <n v="3"/>
    <n v="68.56"/>
    <n v="48.26"/>
    <n v="7.0000000000000007E-2"/>
    <n v="191.2824"/>
    <n v="144.78"/>
    <n v="46.502399999999994"/>
    <x v="1067"/>
    <x v="1"/>
    <x v="3"/>
    <s v="tienda_fisica"/>
  </r>
  <r>
    <s v="V00410"/>
    <d v="2025-12-30T00:00:00"/>
    <x v="0"/>
    <n v="12"/>
    <s v="diciembre"/>
    <s v="T4"/>
    <s v="P008"/>
    <x v="4"/>
    <x v="2"/>
    <x v="0"/>
    <n v="5"/>
    <n v="102.01"/>
    <n v="56.66"/>
    <n v="0"/>
    <n v="510.05"/>
    <n v="283.29999999999995"/>
    <n v="226.75000000000006"/>
    <x v="1068"/>
    <x v="0"/>
    <x v="2"/>
    <s v="tienda_fisica"/>
  </r>
  <r>
    <s v="V02030"/>
    <d v="2025-04-30T00:00:00"/>
    <x v="0"/>
    <n v="4"/>
    <s v="abril"/>
    <s v="T2"/>
    <s v="P017"/>
    <x v="17"/>
    <x v="0"/>
    <x v="4"/>
    <n v="7"/>
    <n v="48.17"/>
    <n v="21.95"/>
    <n v="0"/>
    <n v="337.19"/>
    <n v="153.65"/>
    <n v="183.54"/>
    <x v="1069"/>
    <x v="0"/>
    <x v="0"/>
    <s v="tienda_fisica"/>
  </r>
  <r>
    <s v="V00298"/>
    <d v="2024-04-21T00:00:00"/>
    <x v="1"/>
    <n v="4"/>
    <s v="abril"/>
    <s v="T2"/>
    <s v="P019"/>
    <x v="14"/>
    <x v="2"/>
    <x v="4"/>
    <n v="2"/>
    <n v="59.76"/>
    <n v="34.200000000000003"/>
    <n v="0.13"/>
    <n v="103.9824"/>
    <n v="68.400000000000006"/>
    <n v="35.582399999999993"/>
    <x v="1070"/>
    <x v="1"/>
    <x v="3"/>
    <s v="online"/>
  </r>
  <r>
    <s v="V00926"/>
    <d v="2024-12-05T00:00:00"/>
    <x v="1"/>
    <n v="12"/>
    <s v="diciembre"/>
    <s v="T4"/>
    <s v="P005"/>
    <x v="18"/>
    <x v="2"/>
    <x v="0"/>
    <n v="5"/>
    <n v="60.67"/>
    <n v="40.090000000000003"/>
    <n v="0"/>
    <n v="303.35000000000002"/>
    <n v="200.45000000000002"/>
    <n v="102.9"/>
    <x v="1071"/>
    <x v="1"/>
    <x v="3"/>
    <s v="tienda_fisica"/>
  </r>
  <r>
    <s v="V01567"/>
    <d v="2024-03-15T00:00:00"/>
    <x v="1"/>
    <n v="3"/>
    <s v="marzo"/>
    <s v="T1"/>
    <s v="P007"/>
    <x v="15"/>
    <x v="1"/>
    <x v="0"/>
    <n v="1"/>
    <n v="19.11"/>
    <n v="12.93"/>
    <n v="0"/>
    <n v="19.11"/>
    <n v="12.93"/>
    <n v="6.18"/>
    <x v="1072"/>
    <x v="1"/>
    <x v="3"/>
    <s v="online"/>
  </r>
  <r>
    <s v="V02124"/>
    <d v="2025-11-15T00:00:00"/>
    <x v="0"/>
    <n v="11"/>
    <s v="noviembre"/>
    <s v="T4"/>
    <s v="P001"/>
    <x v="9"/>
    <x v="2"/>
    <x v="3"/>
    <n v="2"/>
    <n v="118.04"/>
    <n v="87.47"/>
    <n v="0"/>
    <n v="236.08"/>
    <n v="174.94"/>
    <n v="61.140000000000015"/>
    <x v="1073"/>
    <x v="1"/>
    <x v="0"/>
    <s v="online"/>
  </r>
  <r>
    <s v="V00729"/>
    <d v="2025-08-15T00:00:00"/>
    <x v="0"/>
    <n v="8"/>
    <s v="agosto"/>
    <s v="T3"/>
    <s v="P016"/>
    <x v="11"/>
    <x v="2"/>
    <x v="2"/>
    <n v="1"/>
    <n v="78.69"/>
    <n v="41.38"/>
    <n v="0"/>
    <n v="78.69"/>
    <n v="41.38"/>
    <n v="37.309999999999995"/>
    <x v="1074"/>
    <x v="0"/>
    <x v="4"/>
    <s v="tienda_fisica"/>
  </r>
  <r>
    <s v="V02159"/>
    <d v="2024-02-28T00:00:00"/>
    <x v="1"/>
    <n v="2"/>
    <s v="febrero"/>
    <s v="T1"/>
    <s v="P006"/>
    <x v="0"/>
    <x v="0"/>
    <x v="0"/>
    <n v="2"/>
    <n v="46.91"/>
    <n v="27.52"/>
    <n v="0"/>
    <n v="93.82"/>
    <n v="55.04"/>
    <n v="38.779999999999994"/>
    <x v="1075"/>
    <x v="0"/>
    <x v="4"/>
    <s v="tienda_fisica"/>
  </r>
  <r>
    <s v="V00672"/>
    <d v="2025-12-13T00:00:00"/>
    <x v="0"/>
    <n v="12"/>
    <s v="diciembre"/>
    <s v="T4"/>
    <s v="P001"/>
    <x v="9"/>
    <x v="2"/>
    <x v="3"/>
    <n v="2"/>
    <n v="118.72"/>
    <n v="80.92"/>
    <n v="0"/>
    <n v="237.44"/>
    <n v="161.84"/>
    <n v="75.599999999999994"/>
    <x v="1076"/>
    <x v="1"/>
    <x v="0"/>
    <s v="online"/>
  </r>
  <r>
    <s v="V00182"/>
    <d v="2025-03-02T00:00:00"/>
    <x v="0"/>
    <n v="3"/>
    <s v="marzo"/>
    <s v="T1"/>
    <s v="P004"/>
    <x v="6"/>
    <x v="2"/>
    <x v="3"/>
    <n v="5"/>
    <n v="149.56"/>
    <n v="110.03"/>
    <n v="0"/>
    <n v="747.8"/>
    <n v="550.15"/>
    <n v="197.64999999999998"/>
    <x v="188"/>
    <x v="1"/>
    <x v="4"/>
    <s v="tienda_fisica"/>
  </r>
  <r>
    <s v="V01983"/>
    <d v="2024-11-14T00:00:00"/>
    <x v="1"/>
    <n v="11"/>
    <s v="noviembre"/>
    <s v="T4"/>
    <s v="P013"/>
    <x v="8"/>
    <x v="2"/>
    <x v="2"/>
    <n v="2"/>
    <n v="74.31"/>
    <n v="46.1"/>
    <n v="0"/>
    <n v="148.62"/>
    <n v="92.2"/>
    <n v="56.42"/>
    <x v="1077"/>
    <x v="0"/>
    <x v="2"/>
    <s v="online"/>
  </r>
  <r>
    <s v="V00202"/>
    <d v="2025-12-21T00:00:00"/>
    <x v="0"/>
    <n v="12"/>
    <s v="diciembre"/>
    <s v="T4"/>
    <s v="P017"/>
    <x v="17"/>
    <x v="0"/>
    <x v="4"/>
    <n v="1"/>
    <n v="52.51"/>
    <n v="22.01"/>
    <n v="0"/>
    <n v="52.51"/>
    <n v="22.01"/>
    <n v="30.499999999999996"/>
    <x v="1078"/>
    <x v="0"/>
    <x v="3"/>
    <s v="tienda_fisica"/>
  </r>
  <r>
    <s v="V01270"/>
    <d v="2024-08-18T00:00:00"/>
    <x v="1"/>
    <n v="8"/>
    <s v="agosto"/>
    <s v="T3"/>
    <s v="P005"/>
    <x v="18"/>
    <x v="2"/>
    <x v="0"/>
    <n v="5"/>
    <n v="60.77"/>
    <n v="40.14"/>
    <n v="0"/>
    <n v="303.85000000000002"/>
    <n v="200.7"/>
    <n v="103.15000000000003"/>
    <x v="1079"/>
    <x v="1"/>
    <x v="4"/>
    <s v="tienda_fisica"/>
  </r>
  <r>
    <s v="V00127"/>
    <d v="2024-08-29T00:00:00"/>
    <x v="1"/>
    <n v="8"/>
    <s v="agosto"/>
    <s v="T3"/>
    <s v="P005"/>
    <x v="18"/>
    <x v="2"/>
    <x v="0"/>
    <n v="1"/>
    <n v="62.14"/>
    <n v="39.42"/>
    <n v="0"/>
    <n v="62.14"/>
    <n v="39.42"/>
    <n v="22.72"/>
    <x v="1080"/>
    <x v="1"/>
    <x v="3"/>
    <s v="online"/>
  </r>
  <r>
    <s v="V00532"/>
    <d v="2025-11-19T00:00:00"/>
    <x v="0"/>
    <n v="11"/>
    <s v="noviembre"/>
    <s v="T4"/>
    <s v="P006"/>
    <x v="0"/>
    <x v="0"/>
    <x v="0"/>
    <n v="5"/>
    <n v="47.18"/>
    <n v="27.87"/>
    <n v="0"/>
    <n v="235.9"/>
    <n v="139.35"/>
    <n v="96.550000000000011"/>
    <x v="1081"/>
    <x v="0"/>
    <x v="3"/>
    <s v="tienda_fisica"/>
  </r>
  <r>
    <s v="V00200"/>
    <d v="2024-08-14T00:00:00"/>
    <x v="1"/>
    <n v="8"/>
    <s v="agosto"/>
    <s v="T3"/>
    <s v="P020"/>
    <x v="19"/>
    <x v="2"/>
    <x v="4"/>
    <n v="1"/>
    <n v="61.34"/>
    <n v="33.5"/>
    <n v="0"/>
    <n v="61.34"/>
    <n v="33.5"/>
    <n v="27.840000000000003"/>
    <x v="1082"/>
    <x v="0"/>
    <x v="3"/>
    <s v="online"/>
  </r>
  <r>
    <s v="V01121"/>
    <d v="2024-08-15T00:00:00"/>
    <x v="1"/>
    <n v="8"/>
    <s v="agosto"/>
    <s v="T3"/>
    <s v="P003"/>
    <x v="7"/>
    <x v="2"/>
    <x v="3"/>
    <n v="3"/>
    <n v="177.72"/>
    <n v="94.31"/>
    <n v="0"/>
    <n v="533.16"/>
    <n v="282.93"/>
    <n v="250.22999999999996"/>
    <x v="1083"/>
    <x v="0"/>
    <x v="2"/>
    <s v="online"/>
  </r>
  <r>
    <s v="V00693"/>
    <d v="2025-12-16T00:00:00"/>
    <x v="0"/>
    <n v="12"/>
    <s v="diciembre"/>
    <s v="T4"/>
    <s v="P006"/>
    <x v="0"/>
    <x v="0"/>
    <x v="0"/>
    <n v="2"/>
    <n v="47.08"/>
    <n v="26.17"/>
    <n v="0"/>
    <n v="94.16"/>
    <n v="52.34"/>
    <n v="41.819999999999993"/>
    <x v="1084"/>
    <x v="0"/>
    <x v="3"/>
    <s v="online"/>
  </r>
  <r>
    <s v="V02042"/>
    <d v="2025-03-11T00:00:00"/>
    <x v="0"/>
    <n v="3"/>
    <s v="marzo"/>
    <s v="T1"/>
    <s v="P007"/>
    <x v="15"/>
    <x v="1"/>
    <x v="0"/>
    <n v="3"/>
    <n v="19.920000000000002"/>
    <n v="12.36"/>
    <n v="0"/>
    <n v="59.760000000000005"/>
    <n v="37.08"/>
    <n v="22.680000000000007"/>
    <x v="1085"/>
    <x v="0"/>
    <x v="0"/>
    <s v="tienda_fisica"/>
  </r>
  <r>
    <s v="V01609"/>
    <d v="2025-01-30T00:00:00"/>
    <x v="0"/>
    <n v="1"/>
    <s v="enero"/>
    <s v="T1"/>
    <s v="P001"/>
    <x v="9"/>
    <x v="2"/>
    <x v="3"/>
    <n v="2"/>
    <n v="114.37"/>
    <n v="81.569999999999993"/>
    <n v="0.27"/>
    <n v="166.9802"/>
    <n v="163.13999999999999"/>
    <n v="3.84020000000001"/>
    <x v="1086"/>
    <x v="1"/>
    <x v="3"/>
    <s v="tienda_fisica"/>
  </r>
  <r>
    <s v="V00818"/>
    <d v="2025-09-14T00:00:00"/>
    <x v="0"/>
    <n v="9"/>
    <s v="septiembre"/>
    <s v="T3"/>
    <s v="P020"/>
    <x v="19"/>
    <x v="0"/>
    <x v="4"/>
    <n v="2"/>
    <n v="56.11"/>
    <n v="33.4"/>
    <n v="0"/>
    <n v="112.22"/>
    <n v="66.8"/>
    <n v="45.42"/>
    <x v="1087"/>
    <x v="0"/>
    <x v="4"/>
    <s v="online"/>
  </r>
  <r>
    <s v="V00217"/>
    <d v="2025-01-14T00:00:00"/>
    <x v="0"/>
    <n v="1"/>
    <s v="enero"/>
    <s v="T1"/>
    <s v="P015"/>
    <x v="2"/>
    <x v="2"/>
    <x v="2"/>
    <n v="1"/>
    <n v="79.959999999999994"/>
    <n v="43.23"/>
    <n v="0"/>
    <n v="79.959999999999994"/>
    <n v="43.23"/>
    <n v="36.729999999999997"/>
    <x v="1088"/>
    <x v="0"/>
    <x v="3"/>
    <s v="tienda_fisica"/>
  </r>
  <r>
    <s v="V00153"/>
    <d v="2025-04-29T00:00:00"/>
    <x v="0"/>
    <n v="4"/>
    <s v="abril"/>
    <s v="T2"/>
    <s v="P018"/>
    <x v="5"/>
    <x v="0"/>
    <x v="4"/>
    <n v="1"/>
    <n v="32.299999999999997"/>
    <n v="17.940000000000001"/>
    <n v="0"/>
    <n v="32.299999999999997"/>
    <n v="17.940000000000001"/>
    <n v="14.359999999999996"/>
    <x v="1089"/>
    <x v="0"/>
    <x v="3"/>
    <s v="tienda_fisica"/>
  </r>
  <r>
    <s v="V02153"/>
    <d v="2024-08-09T00:00:00"/>
    <x v="1"/>
    <n v="8"/>
    <s v="agosto"/>
    <s v="T3"/>
    <s v="P002"/>
    <x v="3"/>
    <x v="2"/>
    <x v="3"/>
    <n v="6"/>
    <n v="71.400000000000006"/>
    <n v="45.21"/>
    <n v="0"/>
    <n v="428.40000000000003"/>
    <n v="271.26"/>
    <n v="157.14000000000004"/>
    <x v="1090"/>
    <x v="1"/>
    <x v="3"/>
    <s v="online"/>
  </r>
  <r>
    <s v="V01534"/>
    <d v="2024-01-27T00:00:00"/>
    <x v="1"/>
    <n v="1"/>
    <s v="enero"/>
    <s v="T1"/>
    <s v="P001"/>
    <x v="9"/>
    <x v="2"/>
    <x v="3"/>
    <n v="5"/>
    <n v="130.62"/>
    <n v="85.18"/>
    <n v="0"/>
    <n v="653.1"/>
    <n v="425.90000000000003"/>
    <n v="227.2"/>
    <x v="1091"/>
    <x v="1"/>
    <x v="6"/>
    <s v="online"/>
  </r>
  <r>
    <s v="V00966"/>
    <d v="2025-02-04T00:00:00"/>
    <x v="0"/>
    <n v="2"/>
    <s v="febrero"/>
    <s v="T1"/>
    <s v="P011"/>
    <x v="10"/>
    <x v="1"/>
    <x v="1"/>
    <n v="2"/>
    <n v="20.14"/>
    <n v="11.75"/>
    <n v="0.2"/>
    <n v="32.224000000000004"/>
    <n v="23.5"/>
    <n v="8.7240000000000038"/>
    <x v="1092"/>
    <x v="1"/>
    <x v="2"/>
    <s v="tienda_fisica"/>
  </r>
  <r>
    <s v="V00479"/>
    <d v="2024-03-02T00:00:00"/>
    <x v="1"/>
    <n v="3"/>
    <s v="marzo"/>
    <s v="T1"/>
    <s v="P002"/>
    <x v="3"/>
    <x v="2"/>
    <x v="3"/>
    <n v="3"/>
    <n v="73.66"/>
    <n v="46.36"/>
    <n v="0"/>
    <n v="220.98"/>
    <n v="139.07999999999998"/>
    <n v="81.900000000000006"/>
    <x v="1093"/>
    <x v="1"/>
    <x v="3"/>
    <s v="online"/>
  </r>
  <r>
    <s v="V01592"/>
    <d v="2025-11-15T00:00:00"/>
    <x v="0"/>
    <n v="11"/>
    <s v="noviembre"/>
    <s v="T4"/>
    <s v="P001"/>
    <x v="9"/>
    <x v="2"/>
    <x v="3"/>
    <n v="2"/>
    <n v="118.1"/>
    <n v="84.95"/>
    <n v="0"/>
    <n v="236.2"/>
    <n v="169.9"/>
    <n v="66.299999999999983"/>
    <x v="1094"/>
    <x v="1"/>
    <x v="3"/>
    <s v="online"/>
  </r>
  <r>
    <s v="V01721"/>
    <d v="2024-04-23T00:00:00"/>
    <x v="1"/>
    <n v="4"/>
    <s v="abril"/>
    <s v="T2"/>
    <s v="P001"/>
    <x v="9"/>
    <x v="2"/>
    <x v="3"/>
    <n v="1"/>
    <n v="114.81"/>
    <n v="81.84"/>
    <n v="0"/>
    <n v="114.81"/>
    <n v="81.84"/>
    <n v="32.97"/>
    <x v="1095"/>
    <x v="1"/>
    <x v="3"/>
    <s v="online"/>
  </r>
  <r>
    <s v="V01459"/>
    <d v="2024-03-12T00:00:00"/>
    <x v="1"/>
    <n v="3"/>
    <s v="marzo"/>
    <s v="T1"/>
    <s v="P002"/>
    <x v="3"/>
    <x v="2"/>
    <x v="3"/>
    <n v="1"/>
    <n v="78.83"/>
    <n v="48.11"/>
    <n v="0.27"/>
    <n v="57.545899999999996"/>
    <n v="48.11"/>
    <n v="9.4358999999999966"/>
    <x v="1096"/>
    <x v="1"/>
    <x v="3"/>
    <s v="tienda_fisica"/>
  </r>
  <r>
    <s v="V01772"/>
    <d v="2025-02-18T00:00:00"/>
    <x v="0"/>
    <n v="2"/>
    <s v="febrero"/>
    <s v="T1"/>
    <s v="P009"/>
    <x v="12"/>
    <x v="1"/>
    <x v="1"/>
    <n v="2"/>
    <n v="7.29"/>
    <n v="4.28"/>
    <n v="0"/>
    <n v="14.58"/>
    <n v="8.56"/>
    <n v="6.02"/>
    <x v="1097"/>
    <x v="0"/>
    <x v="5"/>
    <s v="tienda_fisica"/>
  </r>
  <r>
    <s v="V01607"/>
    <d v="2025-02-08T00:00:00"/>
    <x v="0"/>
    <n v="2"/>
    <s v="febrero"/>
    <s v="T1"/>
    <s v="P016"/>
    <x v="11"/>
    <x v="2"/>
    <x v="2"/>
    <n v="5"/>
    <n v="73.77"/>
    <n v="42.02"/>
    <n v="0"/>
    <n v="368.84999999999997"/>
    <n v="210.10000000000002"/>
    <n v="158.74999999999994"/>
    <x v="1098"/>
    <x v="0"/>
    <x v="0"/>
    <s v="tienda_fisica"/>
  </r>
  <r>
    <s v="V01009"/>
    <d v="2024-12-26T00:00:00"/>
    <x v="1"/>
    <n v="12"/>
    <s v="diciembre"/>
    <s v="T4"/>
    <s v="P017"/>
    <x v="17"/>
    <x v="0"/>
    <x v="4"/>
    <n v="7"/>
    <n v="46.85"/>
    <n v="22.11"/>
    <n v="0.14000000000000001"/>
    <n v="282.03699999999998"/>
    <n v="154.76999999999998"/>
    <n v="127.267"/>
    <x v="1099"/>
    <x v="0"/>
    <x v="0"/>
    <s v="online"/>
  </r>
  <r>
    <s v="V01832"/>
    <d v="2024-08-21T00:00:00"/>
    <x v="1"/>
    <n v="8"/>
    <s v="agosto"/>
    <s v="T3"/>
    <s v="P011"/>
    <x v="10"/>
    <x v="1"/>
    <x v="1"/>
    <n v="11"/>
    <n v="20.81"/>
    <n v="11.87"/>
    <n v="0"/>
    <n v="228.91"/>
    <n v="130.57"/>
    <n v="98.34"/>
    <x v="1100"/>
    <x v="0"/>
    <x v="0"/>
    <s v="tienda_fisica"/>
  </r>
  <r>
    <s v="V00968"/>
    <d v="2025-11-28T00:00:00"/>
    <x v="0"/>
    <n v="11"/>
    <s v="noviembre"/>
    <s v="T4"/>
    <s v="P007"/>
    <x v="15"/>
    <x v="1"/>
    <x v="0"/>
    <n v="1"/>
    <n v="19.899999999999999"/>
    <n v="13.2"/>
    <n v="0"/>
    <n v="19.899999999999999"/>
    <n v="13.2"/>
    <n v="6.6999999999999993"/>
    <x v="1101"/>
    <x v="1"/>
    <x v="4"/>
    <s v="tienda_fisica"/>
  </r>
  <r>
    <s v="V01702"/>
    <d v="2024-08-03T00:00:00"/>
    <x v="1"/>
    <n v="8"/>
    <s v="agosto"/>
    <s v="T3"/>
    <s v="P006"/>
    <x v="0"/>
    <x v="0"/>
    <x v="0"/>
    <n v="6"/>
    <n v="44.23"/>
    <n v="27.77"/>
    <n v="0"/>
    <n v="265.38"/>
    <n v="166.62"/>
    <n v="98.759999999999991"/>
    <x v="1102"/>
    <x v="1"/>
    <x v="5"/>
    <s v="tienda_fisica"/>
  </r>
  <r>
    <s v="V01362"/>
    <d v="2025-01-08T00:00:00"/>
    <x v="0"/>
    <n v="1"/>
    <s v="enero"/>
    <s v="T1"/>
    <s v="P006"/>
    <x v="0"/>
    <x v="0"/>
    <x v="0"/>
    <n v="1"/>
    <n v="49.83"/>
    <n v="26.6"/>
    <n v="0"/>
    <n v="49.83"/>
    <n v="26.6"/>
    <n v="23.229999999999997"/>
    <x v="1103"/>
    <x v="0"/>
    <x v="5"/>
    <s v="online"/>
  </r>
  <r>
    <s v="V00973"/>
    <d v="2024-05-06T00:00:00"/>
    <x v="1"/>
    <n v="5"/>
    <s v="mayo"/>
    <s v="T2"/>
    <s v="P005"/>
    <x v="18"/>
    <x v="2"/>
    <x v="0"/>
    <n v="2"/>
    <n v="58.8"/>
    <n v="41.66"/>
    <n v="0"/>
    <n v="117.6"/>
    <n v="83.32"/>
    <n v="34.28"/>
    <x v="1104"/>
    <x v="1"/>
    <x v="6"/>
    <s v="tienda_fisica"/>
  </r>
  <r>
    <s v="V00188"/>
    <d v="2025-12-07T00:00:00"/>
    <x v="0"/>
    <n v="12"/>
    <s v="diciembre"/>
    <s v="T4"/>
    <s v="P007"/>
    <x v="15"/>
    <x v="1"/>
    <x v="0"/>
    <n v="2"/>
    <n v="20.79"/>
    <n v="12.61"/>
    <n v="0.22"/>
    <n v="32.432400000000001"/>
    <n v="25.22"/>
    <n v="7.2124000000000024"/>
    <x v="1105"/>
    <x v="1"/>
    <x v="4"/>
    <s v="online"/>
  </r>
  <r>
    <s v="V00247"/>
    <d v="2025-07-10T00:00:00"/>
    <x v="0"/>
    <n v="7"/>
    <s v="julio"/>
    <s v="T3"/>
    <s v="P014"/>
    <x v="16"/>
    <x v="1"/>
    <x v="2"/>
    <n v="5"/>
    <n v="14.3"/>
    <n v="9.98"/>
    <n v="0.11"/>
    <n v="63.634999999999998"/>
    <n v="49.900000000000006"/>
    <n v="13.734999999999992"/>
    <x v="1106"/>
    <x v="1"/>
    <x v="3"/>
    <s v="tienda_fisica"/>
  </r>
  <r>
    <s v="V01224"/>
    <d v="2024-05-30T00:00:00"/>
    <x v="1"/>
    <n v="5"/>
    <s v="mayo"/>
    <s v="T2"/>
    <s v="P005"/>
    <x v="18"/>
    <x v="2"/>
    <x v="0"/>
    <n v="1"/>
    <n v="63.02"/>
    <n v="41.51"/>
    <n v="0"/>
    <n v="63.02"/>
    <n v="41.51"/>
    <n v="21.510000000000005"/>
    <x v="1107"/>
    <x v="1"/>
    <x v="4"/>
    <s v="tienda_fisica"/>
  </r>
  <r>
    <s v="V01783"/>
    <d v="2024-05-29T00:00:00"/>
    <x v="1"/>
    <n v="5"/>
    <s v="mayo"/>
    <s v="T2"/>
    <s v="P011"/>
    <x v="10"/>
    <x v="1"/>
    <x v="1"/>
    <n v="1"/>
    <n v="20.46"/>
    <n v="11.4"/>
    <n v="0"/>
    <n v="20.46"/>
    <n v="11.4"/>
    <n v="9.06"/>
    <x v="1108"/>
    <x v="0"/>
    <x v="5"/>
    <s v="tienda_fisica"/>
  </r>
  <r>
    <s v="V00284"/>
    <d v="2025-07-03T00:00:00"/>
    <x v="0"/>
    <n v="7"/>
    <s v="julio"/>
    <s v="T3"/>
    <s v="P005"/>
    <x v="18"/>
    <x v="2"/>
    <x v="0"/>
    <n v="6"/>
    <n v="61.04"/>
    <n v="40.39"/>
    <n v="0"/>
    <n v="366.24"/>
    <n v="242.34"/>
    <n v="123.9"/>
    <x v="1109"/>
    <x v="1"/>
    <x v="3"/>
    <s v="tienda_fisica"/>
  </r>
  <r>
    <s v="V01498"/>
    <d v="2025-08-25T00:00:00"/>
    <x v="0"/>
    <n v="8"/>
    <s v="agosto"/>
    <s v="T3"/>
    <s v="P013"/>
    <x v="8"/>
    <x v="2"/>
    <x v="2"/>
    <n v="1"/>
    <n v="80.55"/>
    <n v="46.84"/>
    <n v="0"/>
    <n v="80.55"/>
    <n v="46.84"/>
    <n v="33.709999999999994"/>
    <x v="1110"/>
    <x v="0"/>
    <x v="3"/>
    <s v="tienda_fisica"/>
  </r>
  <r>
    <s v="V01966"/>
    <d v="2025-05-20T00:00:00"/>
    <x v="0"/>
    <n v="5"/>
    <s v="mayo"/>
    <s v="T2"/>
    <s v="P004"/>
    <x v="6"/>
    <x v="2"/>
    <x v="3"/>
    <n v="11"/>
    <n v="168.24"/>
    <n v="107.28"/>
    <n v="0"/>
    <n v="1850.64"/>
    <n v="1180.08"/>
    <n v="670.56000000000017"/>
    <x v="1111"/>
    <x v="1"/>
    <x v="3"/>
    <s v="online"/>
  </r>
  <r>
    <s v="V00904"/>
    <d v="2024-07-06T00:00:00"/>
    <x v="1"/>
    <n v="7"/>
    <s v="julio"/>
    <s v="T3"/>
    <s v="P015"/>
    <x v="2"/>
    <x v="2"/>
    <x v="2"/>
    <n v="2"/>
    <n v="83.43"/>
    <n v="42.88"/>
    <n v="0"/>
    <n v="166.86"/>
    <n v="85.76"/>
    <n v="81.100000000000009"/>
    <x v="1112"/>
    <x v="0"/>
    <x v="0"/>
    <s v=" online"/>
  </r>
  <r>
    <s v="V01617"/>
    <d v="2024-04-01T00:00:00"/>
    <x v="1"/>
    <n v="4"/>
    <s v="abril"/>
    <s v="T2"/>
    <s v="P015"/>
    <x v="2"/>
    <x v="2"/>
    <x v="2"/>
    <n v="3"/>
    <n v="76.36"/>
    <n v="44.72"/>
    <n v="0"/>
    <n v="229.07999999999998"/>
    <n v="134.16"/>
    <n v="94.919999999999987"/>
    <x v="1113"/>
    <x v="0"/>
    <x v="5"/>
    <s v="online"/>
  </r>
  <r>
    <s v="V00976"/>
    <d v="2025-02-12T00:00:00"/>
    <x v="0"/>
    <n v="2"/>
    <s v="febrero"/>
    <s v="T1"/>
    <s v="P019"/>
    <x v="14"/>
    <x v="0"/>
    <x v="4"/>
    <n v="9"/>
    <n v="57.98"/>
    <n v="32.58"/>
    <n v="0"/>
    <n v="521.81999999999994"/>
    <n v="293.21999999999997"/>
    <n v="228.59999999999997"/>
    <x v="1114"/>
    <x v="0"/>
    <x v="5"/>
    <s v="online"/>
  </r>
  <r>
    <s v="V01864"/>
    <d v="2025-06-10T00:00:00"/>
    <x v="0"/>
    <n v="6"/>
    <s v="junio"/>
    <s v="T2"/>
    <s v="P004"/>
    <x v="6"/>
    <x v="2"/>
    <x v="3"/>
    <n v="3"/>
    <n v="153.46"/>
    <n v="106.88"/>
    <n v="0"/>
    <n v="460.38"/>
    <n v="320.64"/>
    <n v="139.74"/>
    <x v="1115"/>
    <x v="1"/>
    <x v="3"/>
    <s v="tienda_fisica"/>
  </r>
  <r>
    <s v="V00123"/>
    <d v="2024-06-28T00:00:00"/>
    <x v="1"/>
    <n v="6"/>
    <s v="junio"/>
    <s v="T2"/>
    <s v="P014"/>
    <x v="16"/>
    <x v="1"/>
    <x v="2"/>
    <n v="1"/>
    <n v="14.47"/>
    <n v="9.44"/>
    <n v="0"/>
    <n v="14.47"/>
    <n v="9.44"/>
    <n v="5.0300000000000011"/>
    <x v="1116"/>
    <x v="1"/>
    <x v="3"/>
    <s v=" tienda_fisica"/>
  </r>
  <r>
    <s v="V01073"/>
    <d v="2025-06-14T00:00:00"/>
    <x v="0"/>
    <n v="6"/>
    <s v="junio"/>
    <s v="T2"/>
    <s v="P008"/>
    <x v="4"/>
    <x v="2"/>
    <x v="0"/>
    <n v="2"/>
    <n v="105.86"/>
    <n v="55.23"/>
    <n v="0"/>
    <n v="211.72"/>
    <n v="110.46"/>
    <n v="101.26"/>
    <x v="1117"/>
    <x v="0"/>
    <x v="6"/>
    <s v="tienda_fisica"/>
  </r>
  <r>
    <s v="V01598"/>
    <d v="2024-02-05T00:00:00"/>
    <x v="1"/>
    <n v="2"/>
    <s v="febrero"/>
    <s v="T1"/>
    <s v="P014"/>
    <x v="16"/>
    <x v="1"/>
    <x v="2"/>
    <n v="3"/>
    <n v="13.7"/>
    <n v="9.58"/>
    <n v="0"/>
    <n v="41.099999999999994"/>
    <n v="28.740000000000002"/>
    <n v="12.359999999999992"/>
    <x v="1118"/>
    <x v="1"/>
    <x v="2"/>
    <s v="tienda_fisica"/>
  </r>
  <r>
    <s v="V01777"/>
    <d v="2025-05-07T00:00:00"/>
    <x v="0"/>
    <n v="5"/>
    <s v="mayo"/>
    <s v="T2"/>
    <s v="P013"/>
    <x v="8"/>
    <x v="2"/>
    <x v="2"/>
    <n v="1"/>
    <n v="72.790000000000006"/>
    <n v="48.07"/>
    <n v="0"/>
    <n v="72.790000000000006"/>
    <n v="48.07"/>
    <n v="24.720000000000006"/>
    <x v="1119"/>
    <x v="1"/>
    <x v="2"/>
    <s v="tienda_fisica"/>
  </r>
  <r>
    <s v="V00870"/>
    <d v="2024-06-13T00:00:00"/>
    <x v="1"/>
    <n v="6"/>
    <s v="junio"/>
    <s v="T2"/>
    <s v="P001"/>
    <x v="9"/>
    <x v="2"/>
    <x v="3"/>
    <n v="2"/>
    <n v="126.47"/>
    <n v="85.71"/>
    <n v="0"/>
    <n v="252.94"/>
    <n v="171.42"/>
    <n v="81.52000000000001"/>
    <x v="1120"/>
    <x v="1"/>
    <x v="6"/>
    <s v="online"/>
  </r>
  <r>
    <s v="V01406"/>
    <d v="2025-02-19T00:00:00"/>
    <x v="0"/>
    <n v="2"/>
    <s v="febrero"/>
    <s v="T1"/>
    <s v="P017"/>
    <x v="17"/>
    <x v="0"/>
    <x v="4"/>
    <n v="2"/>
    <n v="52.75"/>
    <n v="22.02"/>
    <n v="0"/>
    <n v="105.5"/>
    <n v="44.04"/>
    <n v="61.46"/>
    <x v="1121"/>
    <x v="0"/>
    <x v="3"/>
    <s v="online"/>
  </r>
  <r>
    <s v="V01351"/>
    <d v="2024-11-03T00:00:00"/>
    <x v="1"/>
    <n v="11"/>
    <s v="noviembre"/>
    <s v="T4"/>
    <s v="P015"/>
    <x v="2"/>
    <x v="2"/>
    <x v="2"/>
    <n v="1"/>
    <n v="82.65"/>
    <n v="43.47"/>
    <n v="0"/>
    <n v="82.65"/>
    <n v="43.47"/>
    <n v="39.180000000000007"/>
    <x v="1122"/>
    <x v="0"/>
    <x v="5"/>
    <s v="tienda_fisica"/>
  </r>
  <r>
    <s v="V00757"/>
    <d v="2024-05-03T00:00:00"/>
    <x v="1"/>
    <n v="5"/>
    <s v="mayo"/>
    <s v="T2"/>
    <s v="P004"/>
    <x v="6"/>
    <x v="2"/>
    <x v="3"/>
    <n v="3"/>
    <n v="156.76"/>
    <n v="108.65"/>
    <n v="0"/>
    <n v="470.28"/>
    <n v="325.95000000000005"/>
    <n v="144.32999999999993"/>
    <x v="1123"/>
    <x v="1"/>
    <x v="1"/>
    <s v="online"/>
  </r>
  <r>
    <s v="V02025"/>
    <d v="2024-12-10T00:00:00"/>
    <x v="1"/>
    <n v="12"/>
    <s v="diciembre"/>
    <s v="T4"/>
    <s v="P002"/>
    <x v="3"/>
    <x v="2"/>
    <x v="3"/>
    <n v="4"/>
    <n v="74.97"/>
    <n v="46.09"/>
    <n v="0"/>
    <n v="299.88"/>
    <n v="184.36"/>
    <n v="115.51999999999998"/>
    <x v="1124"/>
    <x v="0"/>
    <x v="5"/>
    <s v="tienda_fisica"/>
  </r>
  <r>
    <s v="V00068"/>
    <d v="2024-09-27T00:00:00"/>
    <x v="1"/>
    <n v="9"/>
    <s v="septiembre"/>
    <s v="T3"/>
    <s v="P007"/>
    <x v="15"/>
    <x v="1"/>
    <x v="0"/>
    <n v="1"/>
    <n v="18.27"/>
    <n v="12.84"/>
    <n v="0"/>
    <n v="18.27"/>
    <n v="12.84"/>
    <n v="5.43"/>
    <x v="1125"/>
    <x v="1"/>
    <x v="4"/>
    <s v="online"/>
  </r>
  <r>
    <s v="V01443"/>
    <d v="2024-08-06T00:00:00"/>
    <x v="1"/>
    <n v="8"/>
    <s v="agosto"/>
    <s v="T3"/>
    <s v="P016"/>
    <x v="11"/>
    <x v="2"/>
    <x v="2"/>
    <n v="3"/>
    <n v="77.45"/>
    <n v="41.56"/>
    <n v="0"/>
    <n v="232.35000000000002"/>
    <n v="124.68"/>
    <n v="107.67000000000002"/>
    <x v="1126"/>
    <x v="0"/>
    <x v="3"/>
    <s v="tienda_fisica"/>
  </r>
  <r>
    <s v="V00333"/>
    <d v="2024-04-12T00:00:00"/>
    <x v="1"/>
    <n v="4"/>
    <s v="abril"/>
    <s v="T2"/>
    <s v="P019"/>
    <x v="14"/>
    <x v="2"/>
    <x v="4"/>
    <n v="1"/>
    <n v="59.76"/>
    <n v="32.17"/>
    <n v="0"/>
    <n v="59.76"/>
    <n v="32.17"/>
    <n v="27.589999999999996"/>
    <x v="1127"/>
    <x v="0"/>
    <x v="6"/>
    <s v="tienda_fisica"/>
  </r>
  <r>
    <s v="V00337"/>
    <d v="2025-06-12T00:00:00"/>
    <x v="0"/>
    <n v="6"/>
    <s v="junio"/>
    <s v="T2"/>
    <s v="P016"/>
    <x v="11"/>
    <x v="2"/>
    <x v="2"/>
    <n v="3"/>
    <n v="76.489999999999995"/>
    <n v="41.04"/>
    <n v="0.26"/>
    <n v="169.80779999999999"/>
    <n v="123.12"/>
    <n v="46.687799999999982"/>
    <x v="1128"/>
    <x v="1"/>
    <x v="5"/>
    <s v="tienda_fisica"/>
  </r>
  <r>
    <s v="V00913"/>
    <d v="2025-02-15T00:00:00"/>
    <x v="0"/>
    <n v="2"/>
    <s v="febrero"/>
    <s v="T1"/>
    <s v="P006"/>
    <x v="0"/>
    <x v="0"/>
    <x v="0"/>
    <n v="3"/>
    <n v="46.83"/>
    <n v="25.71"/>
    <n v="0.17"/>
    <n v="116.6067"/>
    <n v="77.13"/>
    <n v="39.476700000000008"/>
    <x v="1129"/>
    <x v="1"/>
    <x v="3"/>
    <s v="online"/>
  </r>
  <r>
    <s v="V01321"/>
    <d v="2024-02-01T00:00:00"/>
    <x v="1"/>
    <n v="2"/>
    <s v="febrero"/>
    <s v="T1"/>
    <s v="P015"/>
    <x v="2"/>
    <x v="2"/>
    <x v="2"/>
    <n v="10"/>
    <n v="73.069999999999993"/>
    <n v="44.65"/>
    <n v="0"/>
    <n v="730.69999999999993"/>
    <n v="446.5"/>
    <n v="284.19999999999993"/>
    <x v="1130"/>
    <x v="0"/>
    <x v="4"/>
    <s v="tienda_fisica"/>
  </r>
  <r>
    <s v="V00473"/>
    <d v="2024-12-04T00:00:00"/>
    <x v="1"/>
    <n v="12"/>
    <s v="diciembre"/>
    <s v="T4"/>
    <s v="P002"/>
    <x v="3"/>
    <x v="2"/>
    <x v="3"/>
    <n v="1"/>
    <n v="72.53"/>
    <n v="47.43"/>
    <n v="0.27"/>
    <n v="52.946899999999999"/>
    <n v="47.43"/>
    <n v="5.5168999999999997"/>
    <x v="1131"/>
    <x v="1"/>
    <x v="3"/>
    <s v="tienda_fisica"/>
  </r>
  <r>
    <s v="V00902"/>
    <d v="2024-07-04T00:00:00"/>
    <x v="1"/>
    <n v="7"/>
    <s v="julio"/>
    <s v="T3"/>
    <s v="P013"/>
    <x v="8"/>
    <x v="2"/>
    <x v="2"/>
    <n v="3"/>
    <n v="76.53"/>
    <n v="45.85"/>
    <n v="0.18"/>
    <n v="188.2638"/>
    <n v="137.55000000000001"/>
    <n v="50.713799999999992"/>
    <x v="1132"/>
    <x v="1"/>
    <x v="3"/>
    <s v="tienda_fisica"/>
  </r>
  <r>
    <s v="V01970"/>
    <d v="2025-09-20T00:00:00"/>
    <x v="0"/>
    <n v="9"/>
    <s v="septiembre"/>
    <s v="T3"/>
    <s v="P012"/>
    <x v="13"/>
    <x v="1"/>
    <x v="1"/>
    <n v="6"/>
    <n v="9.14"/>
    <n v="5.74"/>
    <n v="0"/>
    <n v="54.84"/>
    <n v="34.44"/>
    <n v="20.400000000000006"/>
    <x v="1133"/>
    <x v="1"/>
    <x v="4"/>
    <s v="tienda_fisica"/>
  </r>
  <r>
    <s v="V00885"/>
    <d v="2025-08-30T00:00:00"/>
    <x v="0"/>
    <n v="8"/>
    <s v="agosto"/>
    <s v="T3"/>
    <s v="P011"/>
    <x v="10"/>
    <x v="1"/>
    <x v="1"/>
    <n v="5"/>
    <n v="20.2"/>
    <n v="11.28"/>
    <n v="0"/>
    <n v="101"/>
    <n v="56.4"/>
    <n v="44.6"/>
    <x v="1134"/>
    <x v="0"/>
    <x v="0"/>
    <s v="online"/>
  </r>
  <r>
    <s v="V00478"/>
    <d v="2025-08-18T00:00:00"/>
    <x v="0"/>
    <n v="8"/>
    <s v="agosto"/>
    <s v="T3"/>
    <s v="P002"/>
    <x v="3"/>
    <x v="2"/>
    <x v="3"/>
    <n v="4"/>
    <n v="68.95"/>
    <n v="45.61"/>
    <n v="0.2"/>
    <n v="220.64000000000001"/>
    <n v="182.44"/>
    <n v="38.200000000000017"/>
    <x v="1135"/>
    <x v="1"/>
    <x v="2"/>
    <s v="tienda_fisica"/>
  </r>
  <r>
    <s v="V02200"/>
    <d v="2025-04-02T00:00:00"/>
    <x v="0"/>
    <n v="4"/>
    <s v="abril"/>
    <s v="T2"/>
    <s v="P010"/>
    <x v="1"/>
    <x v="1"/>
    <x v="1"/>
    <n v="3"/>
    <n v="15.5"/>
    <n v="10.88"/>
    <n v="0"/>
    <n v="46.5"/>
    <n v="32.64"/>
    <n v="13.86"/>
    <x v="1136"/>
    <x v="1"/>
    <x v="3"/>
    <s v="online"/>
  </r>
  <r>
    <s v="V02128"/>
    <d v="2024-05-25T00:00:00"/>
    <x v="1"/>
    <n v="5"/>
    <s v="mayo"/>
    <s v="T2"/>
    <s v="P016"/>
    <x v="11"/>
    <x v="2"/>
    <x v="2"/>
    <n v="1"/>
    <n v="73.89"/>
    <n v="40.79"/>
    <n v="0"/>
    <n v="73.89"/>
    <n v="40.79"/>
    <n v="33.1"/>
    <x v="1137"/>
    <x v="0"/>
    <x v="3"/>
    <s v="tienda_fisica"/>
  </r>
  <r>
    <s v="V00133"/>
    <d v="2024-09-10T00:00:00"/>
    <x v="1"/>
    <n v="9"/>
    <s v="septiembre"/>
    <s v="T3"/>
    <s v="P002"/>
    <x v="3"/>
    <x v="2"/>
    <x v="3"/>
    <n v="3"/>
    <n v="72.19"/>
    <n v="49.2"/>
    <n v="0"/>
    <n v="216.57"/>
    <n v="147.60000000000002"/>
    <n v="68.96999999999997"/>
    <x v="1138"/>
    <x v="1"/>
    <x v="4"/>
    <s v="tienda_fisica"/>
  </r>
  <r>
    <s v="V02131"/>
    <d v="2024-04-17T00:00:00"/>
    <x v="1"/>
    <n v="4"/>
    <s v="abril"/>
    <s v="T2"/>
    <s v="P002"/>
    <x v="3"/>
    <x v="2"/>
    <x v="3"/>
    <n v="5"/>
    <n v="79.59"/>
    <n v="48.28"/>
    <n v="0"/>
    <n v="397.95000000000005"/>
    <n v="241.4"/>
    <n v="156.55000000000004"/>
    <x v="1139"/>
    <x v="0"/>
    <x v="5"/>
    <s v="tienda_fisica"/>
  </r>
  <r>
    <s v="V00982"/>
    <d v="2024-12-29T00:00:00"/>
    <x v="1"/>
    <n v="12"/>
    <s v="diciembre"/>
    <s v="T4"/>
    <s v="P014"/>
    <x v="16"/>
    <x v="1"/>
    <x v="2"/>
    <n v="7"/>
    <n v="14.98"/>
    <n v="9.2899999999999991"/>
    <n v="0"/>
    <n v="104.86"/>
    <n v="65.03"/>
    <n v="39.83"/>
    <x v="1140"/>
    <x v="0"/>
    <x v="5"/>
    <s v="tienda_fisica"/>
  </r>
  <r>
    <s v="V01743"/>
    <d v="2024-08-26T00:00:00"/>
    <x v="1"/>
    <n v="8"/>
    <s v="agosto"/>
    <s v="T3"/>
    <s v="P017"/>
    <x v="17"/>
    <x v="0"/>
    <x v="4"/>
    <n v="3"/>
    <n v="45.47"/>
    <n v="22.69"/>
    <n v="0"/>
    <n v="136.41"/>
    <n v="68.070000000000007"/>
    <n v="68.339999999999989"/>
    <x v="1141"/>
    <x v="0"/>
    <x v="4"/>
    <s v="tienda_fisica"/>
  </r>
  <r>
    <s v="V00257"/>
    <d v="2025-09-21T00:00:00"/>
    <x v="0"/>
    <n v="9"/>
    <s v="septiembre"/>
    <s v="T3"/>
    <s v="P010"/>
    <x v="1"/>
    <x v="1"/>
    <x v="1"/>
    <n v="2"/>
    <n v="15.34"/>
    <n v="11.3"/>
    <n v="0.15"/>
    <n v="26.077999999999999"/>
    <n v="22.6"/>
    <n v="3.477999999999998"/>
    <x v="1142"/>
    <x v="1"/>
    <x v="4"/>
    <s v="tienda_fisica"/>
  </r>
  <r>
    <s v="V00551"/>
    <d v="2025-01-27T00:00:00"/>
    <x v="0"/>
    <n v="1"/>
    <s v="enero"/>
    <s v="T1"/>
    <s v="P004"/>
    <x v="6"/>
    <x v="2"/>
    <x v="3"/>
    <n v="1"/>
    <n v="164.21"/>
    <n v="113.73"/>
    <n v="0"/>
    <n v="164.21"/>
    <n v="113.73"/>
    <n v="50.480000000000004"/>
    <x v="1143"/>
    <x v="1"/>
    <x v="3"/>
    <s v="tienda_fisica"/>
  </r>
  <r>
    <s v="V01931"/>
    <d v="2025-11-21T00:00:00"/>
    <x v="0"/>
    <n v="11"/>
    <s v="noviembre"/>
    <s v="T4"/>
    <s v="P014"/>
    <x v="16"/>
    <x v="1"/>
    <x v="2"/>
    <n v="4"/>
    <n v="14.36"/>
    <n v="9.58"/>
    <n v="0"/>
    <n v="57.44"/>
    <n v="38.32"/>
    <n v="19.119999999999997"/>
    <x v="1144"/>
    <x v="1"/>
    <x v="3"/>
    <s v="online"/>
  </r>
  <r>
    <s v="V00899"/>
    <d v="2025-01-06T00:00:00"/>
    <x v="0"/>
    <n v="1"/>
    <s v="enero"/>
    <s v="T1"/>
    <s v="P003"/>
    <x v="7"/>
    <x v="2"/>
    <x v="3"/>
    <n v="1"/>
    <n v="171.28"/>
    <n v="90.4"/>
    <n v="0"/>
    <n v="171.28"/>
    <n v="90.4"/>
    <n v="80.88"/>
    <x v="1145"/>
    <x v="0"/>
    <x v="5"/>
    <s v="tienda_fisica"/>
  </r>
  <r>
    <s v="V00290"/>
    <d v="2025-07-20T00:00:00"/>
    <x v="0"/>
    <n v="7"/>
    <s v="julio"/>
    <s v="T3"/>
    <s v="P002"/>
    <x v="3"/>
    <x v="2"/>
    <x v="3"/>
    <n v="4"/>
    <n v="70.83"/>
    <n v="49.19"/>
    <n v="0"/>
    <n v="283.32"/>
    <n v="196.76"/>
    <n v="86.56"/>
    <x v="1146"/>
    <x v="1"/>
    <x v="2"/>
    <s v="tienda_fisica"/>
  </r>
  <r>
    <s v="V01646"/>
    <d v="2024-08-29T00:00:00"/>
    <x v="1"/>
    <n v="8"/>
    <s v="agosto"/>
    <s v="T3"/>
    <s v="P016"/>
    <x v="11"/>
    <x v="2"/>
    <x v="2"/>
    <n v="7"/>
    <n v="72.760000000000005"/>
    <n v="42.09"/>
    <n v="0"/>
    <n v="509.32000000000005"/>
    <n v="294.63"/>
    <n v="214.69000000000005"/>
    <x v="1147"/>
    <x v="0"/>
    <x v="5"/>
    <s v="tienda_fisica"/>
  </r>
  <r>
    <s v="V00778"/>
    <d v="2025-01-01T00:00:00"/>
    <x v="0"/>
    <n v="1"/>
    <s v="enero"/>
    <s v="T1"/>
    <s v="P020"/>
    <x v="19"/>
    <x v="0"/>
    <x v="4"/>
    <n v="7"/>
    <n v="56.7"/>
    <n v="33.340000000000003"/>
    <n v="0.05"/>
    <n v="377.05500000000001"/>
    <n v="233.38000000000002"/>
    <n v="143.67499999999998"/>
    <x v="1148"/>
    <x v="0"/>
    <x v="0"/>
    <s v="tienda_fisica"/>
  </r>
  <r>
    <s v="V01582"/>
    <d v="2025-02-26T00:00:00"/>
    <x v="0"/>
    <n v="2"/>
    <s v="febrero"/>
    <s v="T1"/>
    <s v="P008"/>
    <x v="4"/>
    <x v="2"/>
    <x v="0"/>
    <n v="1"/>
    <n v="105.27"/>
    <n v="56.7"/>
    <n v="0"/>
    <n v="105.27"/>
    <n v="56.7"/>
    <n v="48.569999999999993"/>
    <x v="1149"/>
    <x v="0"/>
    <x v="3"/>
    <s v="online"/>
  </r>
  <r>
    <s v="V00054"/>
    <d v="2024-05-03T00:00:00"/>
    <x v="1"/>
    <n v="5"/>
    <s v="mayo"/>
    <s v="T2"/>
    <s v="P020"/>
    <x v="19"/>
    <x v="2"/>
    <x v="4"/>
    <n v="1"/>
    <n v="61.88"/>
    <n v="32.32"/>
    <n v="0"/>
    <n v="61.88"/>
    <n v="32.32"/>
    <n v="29.560000000000002"/>
    <x v="1150"/>
    <x v="0"/>
    <x v="2"/>
    <s v="tienda_fisica"/>
  </r>
  <r>
    <s v="V00558"/>
    <d v="2025-12-11T00:00:00"/>
    <x v="0"/>
    <n v="12"/>
    <s v="diciembre"/>
    <s v="T4"/>
    <s v="P018"/>
    <x v="5"/>
    <x v="0"/>
    <x v="4"/>
    <n v="1"/>
    <n v="31.28"/>
    <n v="17.309999999999999"/>
    <n v="0"/>
    <n v="31.28"/>
    <n v="17.309999999999999"/>
    <n v="13.970000000000002"/>
    <x v="1151"/>
    <x v="0"/>
    <x v="3"/>
    <s v="tienda_fisica"/>
  </r>
  <r>
    <s v="V00041"/>
    <d v="2024-06-29T00:00:00"/>
    <x v="1"/>
    <n v="6"/>
    <s v="junio"/>
    <s v="T2"/>
    <s v="P008"/>
    <x v="4"/>
    <x v="2"/>
    <x v="0"/>
    <n v="2"/>
    <n v="109.47"/>
    <n v="55.29"/>
    <n v="0.17"/>
    <n v="181.72019999999998"/>
    <n v="110.58"/>
    <n v="71.140199999999979"/>
    <x v="1152"/>
    <x v="0"/>
    <x v="2"/>
    <s v="tienda_fisica"/>
  </r>
  <r>
    <s v="V01347"/>
    <d v="2025-01-11T00:00:00"/>
    <x v="0"/>
    <n v="1"/>
    <s v="enero"/>
    <s v="T1"/>
    <s v="P006"/>
    <x v="0"/>
    <x v="0"/>
    <x v="0"/>
    <n v="1"/>
    <n v="46.05"/>
    <n v="27.64"/>
    <n v="0"/>
    <n v="46.05"/>
    <n v="27.64"/>
    <n v="18.409999999999997"/>
    <x v="1153"/>
    <x v="0"/>
    <x v="2"/>
    <s v="tienda_fisica"/>
  </r>
  <r>
    <s v="V00262"/>
    <d v="2024-04-25T00:00:00"/>
    <x v="1"/>
    <n v="4"/>
    <s v="abril"/>
    <s v="T2"/>
    <s v="P017"/>
    <x v="17"/>
    <x v="0"/>
    <x v="4"/>
    <n v="3"/>
    <n v="49.66"/>
    <n v="23.27"/>
    <n v="0"/>
    <n v="148.97999999999999"/>
    <n v="69.81"/>
    <n v="79.169999999999987"/>
    <x v="1154"/>
    <x v="0"/>
    <x v="4"/>
    <s v="online"/>
  </r>
  <r>
    <s v="V01228"/>
    <d v="2024-12-31T00:00:00"/>
    <x v="1"/>
    <n v="12"/>
    <s v="diciembre"/>
    <s v="T4"/>
    <s v="P007"/>
    <x v="15"/>
    <x v="1"/>
    <x v="0"/>
    <n v="5"/>
    <n v="20.76"/>
    <n v="13.41"/>
    <n v="0"/>
    <n v="103.80000000000001"/>
    <n v="67.05"/>
    <n v="36.750000000000014"/>
    <x v="1155"/>
    <x v="1"/>
    <x v="0"/>
    <s v="tienda_fisica"/>
  </r>
  <r>
    <s v="V00084"/>
    <d v="2025-05-22T00:00:00"/>
    <x v="0"/>
    <n v="5"/>
    <s v="mayo"/>
    <s v="T2"/>
    <s v="P005"/>
    <x v="18"/>
    <x v="0"/>
    <x v="0"/>
    <n v="1"/>
    <n v="55.85"/>
    <n v="42.86"/>
    <n v="0.09"/>
    <n v="50.823500000000003"/>
    <n v="42.86"/>
    <n v="7.9635000000000034"/>
    <x v="1156"/>
    <x v="1"/>
    <x v="6"/>
    <s v="online"/>
  </r>
  <r>
    <s v="V01556"/>
    <d v="2024-04-08T00:00:00"/>
    <x v="1"/>
    <n v="4"/>
    <s v="abril"/>
    <s v="T2"/>
    <s v="P012"/>
    <x v="13"/>
    <x v="1"/>
    <x v="1"/>
    <n v="6"/>
    <n v="8.73"/>
    <n v="5.73"/>
    <n v="0"/>
    <n v="52.38"/>
    <n v="34.380000000000003"/>
    <n v="18"/>
    <x v="1157"/>
    <x v="1"/>
    <x v="3"/>
    <s v="tienda_fisica"/>
  </r>
  <r>
    <s v="V01084"/>
    <d v="2025-12-15T00:00:00"/>
    <x v="0"/>
    <n v="12"/>
    <s v="diciembre"/>
    <s v="T4"/>
    <s v="P011"/>
    <x v="10"/>
    <x v="1"/>
    <x v="1"/>
    <n v="2"/>
    <n v="23.06"/>
    <n v="11.38"/>
    <n v="0.28000000000000003"/>
    <n v="33.206399999999995"/>
    <n v="22.76"/>
    <n v="10.446399999999993"/>
    <x v="1158"/>
    <x v="1"/>
    <x v="0"/>
    <s v="online"/>
  </r>
  <r>
    <s v="V02144"/>
    <d v="2025-03-11T00:00:00"/>
    <x v="0"/>
    <n v="3"/>
    <s v="marzo"/>
    <s v="T1"/>
    <s v="P004"/>
    <x v="6"/>
    <x v="2"/>
    <x v="3"/>
    <n v="1"/>
    <n v="158.4"/>
    <n v="105.31"/>
    <n v="0"/>
    <n v="158.4"/>
    <n v="105.31"/>
    <n v="53.09"/>
    <x v="1159"/>
    <x v="1"/>
    <x v="4"/>
    <s v="tienda_fisica"/>
  </r>
  <r>
    <s v="V02270"/>
    <d v="2025-04-04T00:00:00"/>
    <x v="0"/>
    <n v="4"/>
    <s v="abril"/>
    <s v="T2"/>
    <s v="P001"/>
    <x v="9"/>
    <x v="2"/>
    <x v="3"/>
    <n v="2"/>
    <n v="127.23"/>
    <n v="85.59"/>
    <n v="0"/>
    <n v="254.46"/>
    <n v="171.18"/>
    <n v="83.28"/>
    <x v="1160"/>
    <x v="1"/>
    <x v="4"/>
    <s v="online "/>
  </r>
  <r>
    <s v="V00031"/>
    <d v="2024-07-23T00:00:00"/>
    <x v="1"/>
    <n v="7"/>
    <s v="julio"/>
    <s v="T3"/>
    <s v="P008"/>
    <x v="4"/>
    <x v="2"/>
    <x v="0"/>
    <n v="1"/>
    <n v="98.15"/>
    <n v="54.73"/>
    <n v="0.13"/>
    <n v="85.390500000000003"/>
    <n v="54.73"/>
    <n v="30.660500000000006"/>
    <x v="1161"/>
    <x v="1"/>
    <x v="2"/>
    <s v="tienda_fisica"/>
  </r>
  <r>
    <s v="V01289"/>
    <d v="2025-03-07T00:00:00"/>
    <x v="0"/>
    <n v="3"/>
    <s v="marzo"/>
    <s v="T1"/>
    <s v="P014"/>
    <x v="16"/>
    <x v="1"/>
    <x v="2"/>
    <n v="6"/>
    <n v="14.61"/>
    <n v="9.9700000000000006"/>
    <n v="0"/>
    <n v="87.66"/>
    <n v="59.820000000000007"/>
    <n v="27.839999999999989"/>
    <x v="1162"/>
    <x v="1"/>
    <x v="3"/>
    <s v="online"/>
  </r>
  <r>
    <s v="V02108"/>
    <d v="2025-12-19T00:00:00"/>
    <x v="0"/>
    <n v="12"/>
    <s v="diciembre"/>
    <s v="T4"/>
    <s v="P018"/>
    <x v="5"/>
    <x v="0"/>
    <x v="4"/>
    <n v="5"/>
    <n v="31.54"/>
    <n v="17.309999999999999"/>
    <n v="0"/>
    <n v="157.69999999999999"/>
    <n v="86.55"/>
    <n v="71.149999999999991"/>
    <x v="1163"/>
    <x v="0"/>
    <x v="3"/>
    <s v="tienda_fisica"/>
  </r>
  <r>
    <s v="V01735"/>
    <d v="2025-02-24T00:00:00"/>
    <x v="0"/>
    <n v="2"/>
    <s v="febrero"/>
    <s v="T1"/>
    <s v="P004"/>
    <x v="6"/>
    <x v="2"/>
    <x v="3"/>
    <n v="1"/>
    <n v="173.53"/>
    <n v="109.87"/>
    <n v="0"/>
    <n v="173.53"/>
    <n v="109.87"/>
    <n v="63.66"/>
    <x v="1164"/>
    <x v="1"/>
    <x v="5"/>
    <s v="tienda_fisica"/>
  </r>
  <r>
    <s v="V02046"/>
    <d v="2025-08-22T00:00:00"/>
    <x v="0"/>
    <n v="8"/>
    <s v="agosto"/>
    <s v="T3"/>
    <s v="P014"/>
    <x v="16"/>
    <x v="1"/>
    <x v="2"/>
    <n v="2"/>
    <n v="14.44"/>
    <n v="9.81"/>
    <n v="0"/>
    <n v="28.88"/>
    <n v="19.62"/>
    <n v="9.259999999999998"/>
    <x v="1165"/>
    <x v="1"/>
    <x v="3"/>
    <s v="tienda_fisica"/>
  </r>
  <r>
    <s v="V01021"/>
    <d v="2025-11-15T00:00:00"/>
    <x v="0"/>
    <n v="11"/>
    <s v="noviembre"/>
    <s v="T4"/>
    <s v="P015"/>
    <x v="2"/>
    <x v="2"/>
    <x v="2"/>
    <n v="3"/>
    <n v="83.73"/>
    <n v="42.03"/>
    <n v="0"/>
    <n v="251.19"/>
    <n v="126.09"/>
    <n v="125.1"/>
    <x v="1166"/>
    <x v="0"/>
    <x v="3"/>
    <s v="tienda_fisica"/>
  </r>
  <r>
    <s v="V02235"/>
    <d v="2024-01-31T00:00:00"/>
    <x v="1"/>
    <n v="1"/>
    <s v="enero"/>
    <s v="T1"/>
    <s v="P006"/>
    <x v="0"/>
    <x v="0"/>
    <x v="0"/>
    <n v="3"/>
    <n v="44.73"/>
    <n v="27.65"/>
    <n v="0"/>
    <n v="134.19"/>
    <n v="82.949999999999989"/>
    <n v="51.240000000000009"/>
    <x v="1167"/>
    <x v="0"/>
    <x v="3"/>
    <s v="tienda_fisica"/>
  </r>
  <r>
    <s v="V01196"/>
    <d v="2024-06-28T00:00:00"/>
    <x v="1"/>
    <n v="6"/>
    <s v="junio"/>
    <s v="T2"/>
    <s v="P008"/>
    <x v="4"/>
    <x v="2"/>
    <x v="0"/>
    <n v="5"/>
    <n v="101.49"/>
    <n v="56.18"/>
    <n v="0"/>
    <n v="507.45"/>
    <n v="280.89999999999998"/>
    <n v="226.55"/>
    <x v="1168"/>
    <x v="0"/>
    <x v="3"/>
    <s v="online"/>
  </r>
  <r>
    <s v="V02221"/>
    <d v="2025-03-01T00:00:00"/>
    <x v="0"/>
    <n v="3"/>
    <s v="marzo"/>
    <s v="T1"/>
    <s v="P012"/>
    <x v="13"/>
    <x v="1"/>
    <x v="1"/>
    <n v="2"/>
    <n v="8.58"/>
    <n v="5.62"/>
    <n v="0"/>
    <n v="17.16"/>
    <n v="11.24"/>
    <n v="5.92"/>
    <x v="1169"/>
    <x v="1"/>
    <x v="3"/>
    <s v="online"/>
  </r>
  <r>
    <s v="V00049"/>
    <d v="2024-07-05T00:00:00"/>
    <x v="1"/>
    <n v="7"/>
    <s v="julio"/>
    <s v="T3"/>
    <s v="P015"/>
    <x v="2"/>
    <x v="2"/>
    <x v="2"/>
    <n v="1"/>
    <n v="81.05"/>
    <n v="42.27"/>
    <n v="0"/>
    <n v="81.05"/>
    <n v="42.27"/>
    <n v="38.779999999999994"/>
    <x v="1170"/>
    <x v="0"/>
    <x v="3"/>
    <s v="online"/>
  </r>
  <r>
    <s v="V01523"/>
    <d v="2024-01-04T00:00:00"/>
    <x v="1"/>
    <n v="1"/>
    <s v="enero"/>
    <s v="T1"/>
    <s v="P004"/>
    <x v="6"/>
    <x v="2"/>
    <x v="3"/>
    <n v="6"/>
    <n v="155.86000000000001"/>
    <n v="106.5"/>
    <n v="0"/>
    <n v="935.16000000000008"/>
    <n v="639"/>
    <n v="296.16000000000008"/>
    <x v="1171"/>
    <x v="1"/>
    <x v="6"/>
    <s v="online"/>
  </r>
  <r>
    <s v="V00894"/>
    <d v="2025-06-06T00:00:00"/>
    <x v="0"/>
    <n v="6"/>
    <s v="junio"/>
    <s v="T2"/>
    <s v="P018"/>
    <x v="5"/>
    <x v="0"/>
    <x v="4"/>
    <n v="1"/>
    <n v="32.56"/>
    <n v="18.100000000000001"/>
    <n v="0"/>
    <n v="32.56"/>
    <n v="18.100000000000001"/>
    <n v="14.46"/>
    <x v="1172"/>
    <x v="0"/>
    <x v="3"/>
    <s v="online"/>
  </r>
  <r>
    <s v="V00154"/>
    <d v="2025-01-11T00:00:00"/>
    <x v="0"/>
    <n v="1"/>
    <s v="enero"/>
    <s v="T1"/>
    <s v="P004"/>
    <x v="6"/>
    <x v="2"/>
    <x v="3"/>
    <n v="2"/>
    <n v="157.63999999999999"/>
    <n v="106.58"/>
    <n v="0"/>
    <n v="315.27999999999997"/>
    <n v="213.16"/>
    <n v="102.11999999999998"/>
    <x v="1173"/>
    <x v="1"/>
    <x v="0"/>
    <s v="online"/>
  </r>
  <r>
    <s v="V00395"/>
    <d v="2024-06-12T00:00:00"/>
    <x v="1"/>
    <n v="6"/>
    <s v="junio"/>
    <s v="T2"/>
    <s v="P017"/>
    <x v="17"/>
    <x v="0"/>
    <x v="4"/>
    <n v="1"/>
    <n v="47.07"/>
    <n v="61.19"/>
    <n v="0"/>
    <n v="47.07"/>
    <n v="61.19"/>
    <n v="-14.119999999999997"/>
    <x v="1174"/>
    <x v="1"/>
    <x v="0"/>
    <s v="tienda_fisica"/>
  </r>
  <r>
    <s v="V01148"/>
    <d v="2025-06-19T00:00:00"/>
    <x v="0"/>
    <n v="6"/>
    <s v="junio"/>
    <s v="T2"/>
    <s v="P009"/>
    <x v="12"/>
    <x v="1"/>
    <x v="1"/>
    <n v="3"/>
    <n v="7.59"/>
    <n v="4.4000000000000004"/>
    <n v="0"/>
    <n v="22.77"/>
    <n v="13.200000000000001"/>
    <n v="9.5699999999999985"/>
    <x v="172"/>
    <x v="0"/>
    <x v="3"/>
    <s v="tienda_fisica"/>
  </r>
  <r>
    <s v="V01159"/>
    <d v="2025-12-02T00:00:00"/>
    <x v="0"/>
    <n v="12"/>
    <s v="diciembre"/>
    <s v="T4"/>
    <s v="P009"/>
    <x v="12"/>
    <x v="1"/>
    <x v="1"/>
    <n v="4"/>
    <n v="8.31"/>
    <n v="4.47"/>
    <n v="0"/>
    <n v="33.24"/>
    <n v="17.88"/>
    <n v="15.360000000000003"/>
    <x v="1175"/>
    <x v="0"/>
    <x v="3"/>
    <s v="tienda_fisica"/>
  </r>
  <r>
    <s v="V00269"/>
    <d v="2025-06-11T00:00:00"/>
    <x v="0"/>
    <n v="6"/>
    <s v="junio"/>
    <s v="T2"/>
    <s v="P013"/>
    <x v="8"/>
    <x v="2"/>
    <x v="2"/>
    <n v="3"/>
    <n v="81.34"/>
    <n v="49.27"/>
    <n v="0.28999999999999998"/>
    <n v="173.2542"/>
    <n v="147.81"/>
    <n v="25.444199999999995"/>
    <x v="1176"/>
    <x v="1"/>
    <x v="2"/>
    <s v="tienda_fisica"/>
  </r>
  <r>
    <s v="V00386"/>
    <d v="2025-08-19T00:00:00"/>
    <x v="0"/>
    <n v="8"/>
    <s v="agosto"/>
    <s v="T3"/>
    <s v="P016"/>
    <x v="11"/>
    <x v="2"/>
    <x v="2"/>
    <n v="2"/>
    <n v="83.18"/>
    <n v="40.130000000000003"/>
    <n v="0"/>
    <n v="166.36"/>
    <n v="80.260000000000005"/>
    <n v="86.100000000000009"/>
    <x v="1177"/>
    <x v="0"/>
    <x v="4"/>
    <s v="tienda_fisica"/>
  </r>
  <r>
    <s v="V00042"/>
    <d v="2025-07-26T00:00:00"/>
    <x v="0"/>
    <n v="7"/>
    <s v="julio"/>
    <s v="T3"/>
    <s v="P017"/>
    <x v="17"/>
    <x v="0"/>
    <x v="4"/>
    <n v="5"/>
    <n v="51.94"/>
    <n v="22.8"/>
    <n v="0"/>
    <n v="259.7"/>
    <n v="114"/>
    <n v="145.69999999999999"/>
    <x v="1178"/>
    <x v="0"/>
    <x v="4"/>
    <s v="tienda_fisica"/>
  </r>
  <r>
    <s v="V00598"/>
    <d v="2024-11-28T00:00:00"/>
    <x v="1"/>
    <n v="11"/>
    <s v="noviembre"/>
    <s v="T4"/>
    <s v="P013"/>
    <x v="8"/>
    <x v="2"/>
    <x v="2"/>
    <n v="3"/>
    <n v="82.52"/>
    <n v="46.25"/>
    <n v="0.09"/>
    <n v="225.27960000000002"/>
    <n v="138.75"/>
    <n v="86.529600000000016"/>
    <x v="1179"/>
    <x v="0"/>
    <x v="3"/>
    <s v="tienda_fisica"/>
  </r>
  <r>
    <s v="V01090"/>
    <d v="2024-04-21T00:00:00"/>
    <x v="1"/>
    <n v="4"/>
    <s v="abril"/>
    <s v="T2"/>
    <s v="P002"/>
    <x v="3"/>
    <x v="2"/>
    <x v="3"/>
    <n v="2"/>
    <n v="76.98"/>
    <n v="46.1"/>
    <n v="0"/>
    <n v="153.96"/>
    <n v="92.2"/>
    <n v="61.760000000000005"/>
    <x v="1180"/>
    <x v="0"/>
    <x v="4"/>
    <s v="tienda_fisica"/>
  </r>
  <r>
    <s v="V00681"/>
    <d v="2024-06-02T00:00:00"/>
    <x v="1"/>
    <n v="6"/>
    <s v="junio"/>
    <s v="T2"/>
    <s v="P004"/>
    <x v="6"/>
    <x v="2"/>
    <x v="3"/>
    <n v="7"/>
    <n v="163.36000000000001"/>
    <n v="109.33"/>
    <n v="0"/>
    <n v="1143.52"/>
    <n v="765.31"/>
    <n v="378.21000000000004"/>
    <x v="1181"/>
    <x v="1"/>
    <x v="3"/>
    <s v="online"/>
  </r>
  <r>
    <s v="V01634"/>
    <d v="2025-10-02T00:00:00"/>
    <x v="0"/>
    <n v="10"/>
    <s v="octubre"/>
    <s v="T4"/>
    <s v="P016"/>
    <x v="11"/>
    <x v="2"/>
    <x v="2"/>
    <n v="13"/>
    <n v="78.87"/>
    <n v="42.78"/>
    <n v="0.24"/>
    <n v="779.23559999999998"/>
    <n v="556.14"/>
    <n v="223.09559999999999"/>
    <x v="1182"/>
    <x v="1"/>
    <x v="2"/>
    <s v="tienda_fisica"/>
  </r>
  <r>
    <s v="V00525"/>
    <d v="2024-09-13T00:00:00"/>
    <x v="1"/>
    <n v="9"/>
    <s v="septiembre"/>
    <s v="T3"/>
    <s v="P003"/>
    <x v="7"/>
    <x v="2"/>
    <x v="3"/>
    <n v="5"/>
    <n v="177.72"/>
    <n v="90.34"/>
    <n v="0"/>
    <n v="888.6"/>
    <n v="451.70000000000005"/>
    <n v="436.9"/>
    <x v="1183"/>
    <x v="0"/>
    <x v="3"/>
    <s v="tienda_fisica"/>
  </r>
  <r>
    <s v="V01349"/>
    <d v="2025-11-12T00:00:00"/>
    <x v="0"/>
    <n v="11"/>
    <s v="noviembre"/>
    <s v="T4"/>
    <s v="P011"/>
    <x v="10"/>
    <x v="1"/>
    <x v="1"/>
    <n v="1"/>
    <n v="20.45"/>
    <n v="11.05"/>
    <n v="0"/>
    <n v="20.45"/>
    <n v="11.05"/>
    <n v="9.3999999999999986"/>
    <x v="1184"/>
    <x v="0"/>
    <x v="0"/>
    <s v="tienda_fisica"/>
  </r>
  <r>
    <s v="V02226"/>
    <d v="2025-02-18T00:00:00"/>
    <x v="0"/>
    <n v="2"/>
    <s v="febrero"/>
    <s v="T1"/>
    <s v="P001"/>
    <x v="9"/>
    <x v="2"/>
    <x v="3"/>
    <n v="1"/>
    <n v="120.64"/>
    <n v="87.58"/>
    <n v="0"/>
    <n v="120.64"/>
    <n v="87.58"/>
    <n v="33.06"/>
    <x v="1185"/>
    <x v="1"/>
    <x v="0"/>
    <s v="tienda_fisica"/>
  </r>
  <r>
    <s v="V01648"/>
    <d v="2024-01-16T00:00:00"/>
    <x v="1"/>
    <n v="1"/>
    <s v="enero"/>
    <s v="T1"/>
    <s v="P012"/>
    <x v="13"/>
    <x v="1"/>
    <x v="1"/>
    <n v="2"/>
    <n v="8.41"/>
    <n v="5.81"/>
    <n v="0"/>
    <n v="16.82"/>
    <n v="11.62"/>
    <n v="5.2000000000000011"/>
    <x v="1186"/>
    <x v="1"/>
    <x v="2"/>
    <s v="tienda_fisica"/>
  </r>
  <r>
    <s v="V01017"/>
    <d v="2025-01-17T00:00:00"/>
    <x v="0"/>
    <n v="1"/>
    <s v="enero"/>
    <s v="T1"/>
    <s v="P004"/>
    <x v="6"/>
    <x v="2"/>
    <x v="3"/>
    <n v="1"/>
    <n v="152.46"/>
    <n v="115.46"/>
    <n v="0"/>
    <n v="152.46"/>
    <n v="115.46"/>
    <n v="37.000000000000014"/>
    <x v="1187"/>
    <x v="1"/>
    <x v="6"/>
    <s v="online"/>
  </r>
  <r>
    <s v="V02114"/>
    <d v="2024-01-26T00:00:00"/>
    <x v="1"/>
    <n v="1"/>
    <s v="enero"/>
    <s v="T1"/>
    <s v="P013"/>
    <x v="8"/>
    <x v="2"/>
    <x v="2"/>
    <n v="1"/>
    <n v="79.5"/>
    <n v="49.04"/>
    <n v="0"/>
    <n v="79.5"/>
    <n v="49.04"/>
    <n v="30.46"/>
    <x v="1188"/>
    <x v="0"/>
    <x v="3"/>
    <s v="online"/>
  </r>
  <r>
    <s v="V02082"/>
    <d v="2024-07-07T00:00:00"/>
    <x v="1"/>
    <n v="7"/>
    <s v="julio"/>
    <s v="T3"/>
    <s v="P005"/>
    <x v="18"/>
    <x v="0"/>
    <x v="0"/>
    <n v="2"/>
    <n v="56.63"/>
    <n v="42.86"/>
    <n v="0"/>
    <n v="113.26"/>
    <n v="85.72"/>
    <n v="27.540000000000006"/>
    <x v="1189"/>
    <x v="1"/>
    <x v="3"/>
    <s v="online"/>
  </r>
  <r>
    <s v="V01398"/>
    <d v="2024-05-23T00:00:00"/>
    <x v="1"/>
    <n v="5"/>
    <s v="mayo"/>
    <s v="T2"/>
    <s v="P003"/>
    <x v="7"/>
    <x v="2"/>
    <x v="3"/>
    <n v="6"/>
    <n v="173.12"/>
    <n v="93.37"/>
    <n v="0"/>
    <n v="1038.72"/>
    <n v="560.22"/>
    <n v="478.5"/>
    <x v="1190"/>
    <x v="0"/>
    <x v="3"/>
    <s v="tienda_fisica"/>
  </r>
  <r>
    <s v="V01683"/>
    <d v="2024-01-07T00:00:00"/>
    <x v="1"/>
    <n v="1"/>
    <s v="enero"/>
    <s v="T1"/>
    <s v="P005"/>
    <x v="18"/>
    <x v="2"/>
    <x v="0"/>
    <n v="1"/>
    <n v="61.65"/>
    <n v="42.44"/>
    <n v="0.08"/>
    <n v="56.718000000000004"/>
    <n v="42.44"/>
    <n v="14.278000000000006"/>
    <x v="1191"/>
    <x v="1"/>
    <x v="3"/>
    <s v="tienda_fisica"/>
  </r>
  <r>
    <s v="V00226"/>
    <d v="2025-10-15T00:00:00"/>
    <x v="0"/>
    <n v="10"/>
    <s v="octubre"/>
    <s v="T4"/>
    <s v="P020"/>
    <x v="19"/>
    <x v="0"/>
    <x v="4"/>
    <n v="3"/>
    <n v="55.56"/>
    <n v="33.950000000000003"/>
    <n v="0.18"/>
    <n v="136.67760000000001"/>
    <n v="101.85000000000001"/>
    <n v="34.827600000000004"/>
    <x v="1192"/>
    <x v="1"/>
    <x v="4"/>
    <s v="tienda_fisica"/>
  </r>
  <r>
    <s v="V01581"/>
    <d v="2025-01-21T00:00:00"/>
    <x v="0"/>
    <n v="1"/>
    <s v="enero"/>
    <s v="T1"/>
    <s v="P008"/>
    <x v="4"/>
    <x v="2"/>
    <x v="0"/>
    <n v="2"/>
    <n v="103.11"/>
    <n v="56.93"/>
    <n v="0"/>
    <n v="206.22"/>
    <n v="113.86"/>
    <n v="92.36"/>
    <x v="1193"/>
    <x v="0"/>
    <x v="3"/>
    <s v="online"/>
  </r>
  <r>
    <s v="V02189"/>
    <d v="2024-03-03T00:00:00"/>
    <x v="1"/>
    <n v="3"/>
    <s v="marzo"/>
    <s v="T1"/>
    <s v="P009"/>
    <x v="12"/>
    <x v="1"/>
    <x v="1"/>
    <n v="1"/>
    <n v="8.3000000000000007"/>
    <n v="4.26"/>
    <n v="0"/>
    <n v="8.3000000000000007"/>
    <n v="4.26"/>
    <n v="4.0400000000000009"/>
    <x v="1194"/>
    <x v="0"/>
    <x v="3"/>
    <s v="tienda_fisica"/>
  </r>
  <r>
    <s v="V01278"/>
    <d v="2025-06-07T00:00:00"/>
    <x v="0"/>
    <n v="6"/>
    <s v="junio"/>
    <s v="T2"/>
    <s v="P013"/>
    <x v="8"/>
    <x v="2"/>
    <x v="2"/>
    <n v="5"/>
    <n v="78.05"/>
    <n v="45.96"/>
    <n v="0"/>
    <n v="390.25"/>
    <n v="229.8"/>
    <n v="160.44999999999999"/>
    <x v="1195"/>
    <x v="0"/>
    <x v="3"/>
    <s v="tienda_fisica"/>
  </r>
  <r>
    <s v="V02300"/>
    <d v="2024-08-24T00:00:00"/>
    <x v="1"/>
    <n v="8"/>
    <s v="agosto"/>
    <s v="T3"/>
    <s v="P012"/>
    <x v="13"/>
    <x v="1"/>
    <x v="1"/>
    <n v="7"/>
    <n v="8.1"/>
    <n v="5.84"/>
    <n v="0"/>
    <n v="56.699999999999996"/>
    <n v="40.879999999999995"/>
    <n v="15.82"/>
    <x v="1196"/>
    <x v="1"/>
    <x v="5"/>
    <s v="tienda_fisica"/>
  </r>
  <r>
    <s v="V02237"/>
    <d v="2025-04-05T00:00:00"/>
    <x v="0"/>
    <n v="4"/>
    <s v="abril"/>
    <s v="T2"/>
    <s v="P014"/>
    <x v="16"/>
    <x v="1"/>
    <x v="2"/>
    <n v="1"/>
    <n v="14.81"/>
    <n v="9.52"/>
    <n v="0.11"/>
    <n v="13.180900000000001"/>
    <n v="9.52"/>
    <n v="3.6609000000000016"/>
    <x v="1197"/>
    <x v="1"/>
    <x v="3"/>
    <s v="online"/>
  </r>
  <r>
    <s v="V01605"/>
    <d v="2024-03-16T00:00:00"/>
    <x v="1"/>
    <n v="3"/>
    <s v="marzo"/>
    <s v="T1"/>
    <s v="P005"/>
    <x v="18"/>
    <x v="0"/>
    <x v="0"/>
    <n v="2"/>
    <n v="57.33"/>
    <n v="39.26"/>
    <n v="0"/>
    <n v="114.66"/>
    <n v="78.52"/>
    <n v="36.14"/>
    <x v="1198"/>
    <x v="1"/>
    <x v="3"/>
    <s v="online"/>
  </r>
  <r>
    <s v="V00206"/>
    <d v="2024-10-20T00:00:00"/>
    <x v="1"/>
    <n v="10"/>
    <s v="octubre"/>
    <s v="T4"/>
    <s v="P002"/>
    <x v="3"/>
    <x v="2"/>
    <x v="3"/>
    <n v="6"/>
    <n v="75.52"/>
    <n v="46.85"/>
    <n v="0"/>
    <n v="453.12"/>
    <n v="281.10000000000002"/>
    <n v="172.01999999999998"/>
    <x v="1199"/>
    <x v="0"/>
    <x v="0"/>
    <s v="tienda_fisica"/>
  </r>
  <r>
    <s v="V01028"/>
    <d v="2024-02-24T00:00:00"/>
    <x v="1"/>
    <n v="2"/>
    <s v="febrero"/>
    <s v="T1"/>
    <s v="P011"/>
    <x v="10"/>
    <x v="1"/>
    <x v="1"/>
    <n v="1"/>
    <n v="22.98"/>
    <n v="11.05"/>
    <n v="0.09"/>
    <n v="20.911799999999999"/>
    <n v="11.05"/>
    <n v="9.8617999999999988"/>
    <x v="1200"/>
    <x v="0"/>
    <x v="0"/>
    <s v="online"/>
  </r>
  <r>
    <s v="V02085"/>
    <d v="2025-09-09T00:00:00"/>
    <x v="0"/>
    <n v="9"/>
    <s v="septiembre"/>
    <s v="T3"/>
    <s v="P015"/>
    <x v="2"/>
    <x v="2"/>
    <x v="2"/>
    <n v="3"/>
    <n v="73.239999999999995"/>
    <n v="44.71"/>
    <n v="0"/>
    <n v="219.71999999999997"/>
    <n v="134.13"/>
    <n v="85.589999999999975"/>
    <x v="1201"/>
    <x v="0"/>
    <x v="2"/>
    <s v="tienda_fisica"/>
  </r>
  <r>
    <s v="V01229"/>
    <d v="2025-11-11T00:00:00"/>
    <x v="0"/>
    <n v="11"/>
    <s v="noviembre"/>
    <s v="T4"/>
    <s v="P012"/>
    <x v="13"/>
    <x v="1"/>
    <x v="1"/>
    <n v="1"/>
    <n v="9.2200000000000006"/>
    <n v="5.79"/>
    <n v="0.25"/>
    <n v="6.9150000000000009"/>
    <n v="5.79"/>
    <n v="1.1250000000000009"/>
    <x v="1202"/>
    <x v="1"/>
    <x v="3"/>
    <s v="tienda_fisica"/>
  </r>
  <r>
    <s v="V01047"/>
    <d v="2025-07-12T00:00:00"/>
    <x v="0"/>
    <n v="7"/>
    <s v="julio"/>
    <s v="T3"/>
    <s v="P015"/>
    <x v="2"/>
    <x v="2"/>
    <x v="2"/>
    <n v="3"/>
    <n v="77.849999999999994"/>
    <n v="43.58"/>
    <n v="0"/>
    <n v="233.54999999999998"/>
    <n v="130.74"/>
    <n v="102.80999999999997"/>
    <x v="1203"/>
    <x v="0"/>
    <x v="3"/>
    <s v="tienda_fisica"/>
  </r>
  <r>
    <s v="V00694"/>
    <d v="2025-10-18T00:00:00"/>
    <x v="0"/>
    <n v="10"/>
    <s v="octubre"/>
    <s v="T4"/>
    <s v="P002"/>
    <x v="3"/>
    <x v="2"/>
    <x v="3"/>
    <n v="2"/>
    <n v="71.599999999999994"/>
    <n v="45.26"/>
    <n v="0.18"/>
    <n v="117.42400000000001"/>
    <n v="90.52"/>
    <n v="26.904000000000011"/>
    <x v="1204"/>
    <x v="1"/>
    <x v="4"/>
    <s v="tienda_fisica"/>
  </r>
  <r>
    <s v="V02231"/>
    <d v="2025-03-08T00:00:00"/>
    <x v="0"/>
    <n v="3"/>
    <s v="marzo"/>
    <s v="T1"/>
    <s v="P018"/>
    <x v="5"/>
    <x v="0"/>
    <x v="4"/>
    <n v="3"/>
    <n v="32.01"/>
    <n v="16.5"/>
    <n v="0"/>
    <n v="96.03"/>
    <n v="49.5"/>
    <n v="46.53"/>
    <x v="1205"/>
    <x v="0"/>
    <x v="2"/>
    <s v="tienda_fisica"/>
  </r>
  <r>
    <s v="V01727"/>
    <d v="2024-05-03T00:00:00"/>
    <x v="1"/>
    <n v="5"/>
    <s v="mayo"/>
    <s v="T2"/>
    <s v="P007"/>
    <x v="15"/>
    <x v="1"/>
    <x v="0"/>
    <n v="6"/>
    <n v="18.760000000000002"/>
    <n v="13.3"/>
    <n v="0"/>
    <n v="112.56"/>
    <n v="79.800000000000011"/>
    <n v="32.759999999999991"/>
    <x v="1206"/>
    <x v="1"/>
    <x v="4"/>
    <s v="online"/>
  </r>
  <r>
    <s v="V02177"/>
    <d v="2024-08-31T00:00:00"/>
    <x v="1"/>
    <n v="8"/>
    <s v="agosto"/>
    <s v="T3"/>
    <s v="P010"/>
    <x v="1"/>
    <x v="1"/>
    <x v="1"/>
    <n v="3"/>
    <n v="16.559999999999999"/>
    <n v="11.07"/>
    <n v="0.28999999999999998"/>
    <n v="35.272799999999989"/>
    <n v="33.21"/>
    <n v="2.0627999999999886"/>
    <x v="1207"/>
    <x v="1"/>
    <x v="4"/>
    <s v="online"/>
  </r>
  <r>
    <s v="V01187"/>
    <d v="2025-10-23T00:00:00"/>
    <x v="0"/>
    <n v="10"/>
    <s v="octubre"/>
    <s v="T4"/>
    <s v="P003"/>
    <x v="7"/>
    <x v="2"/>
    <x v="3"/>
    <n v="1"/>
    <n v="166.14"/>
    <n v="93.1"/>
    <n v="0.09"/>
    <n v="151.1874"/>
    <n v="93.1"/>
    <n v="58.087400000000002"/>
    <x v="1208"/>
    <x v="0"/>
    <x v="3"/>
    <s v="tienda_fisica"/>
  </r>
  <r>
    <s v="V01174"/>
    <d v="2024-02-07T00:00:00"/>
    <x v="1"/>
    <n v="2"/>
    <s v="febrero"/>
    <s v="T1"/>
    <s v="P006"/>
    <x v="0"/>
    <x v="0"/>
    <x v="0"/>
    <n v="1"/>
    <n v="50.41"/>
    <n v="26.45"/>
    <n v="0"/>
    <n v="50.41"/>
    <n v="26.45"/>
    <n v="23.959999999999997"/>
    <x v="1209"/>
    <x v="0"/>
    <x v="6"/>
    <s v="tienda_fisica"/>
  </r>
  <r>
    <s v="V01359"/>
    <d v="2025-08-21T00:00:00"/>
    <x v="0"/>
    <n v="8"/>
    <s v="agosto"/>
    <s v="T3"/>
    <s v="P015"/>
    <x v="2"/>
    <x v="2"/>
    <x v="2"/>
    <n v="1"/>
    <n v="79.94"/>
    <n v="42.12"/>
    <n v="0"/>
    <n v="79.94"/>
    <n v="42.12"/>
    <n v="37.82"/>
    <x v="1210"/>
    <x v="0"/>
    <x v="4"/>
    <s v="tienda_fisica"/>
  </r>
  <r>
    <s v="V01423"/>
    <d v="2025-12-01T00:00:00"/>
    <x v="0"/>
    <n v="12"/>
    <s v="diciembre"/>
    <s v="T4"/>
    <s v="P008"/>
    <x v="4"/>
    <x v="2"/>
    <x v="0"/>
    <n v="1"/>
    <n v="107.5"/>
    <n v="57.75"/>
    <n v="0"/>
    <n v="107.5"/>
    <n v="57.75"/>
    <n v="49.75"/>
    <x v="1211"/>
    <x v="0"/>
    <x v="4"/>
    <s v="online"/>
  </r>
  <r>
    <s v="V01775"/>
    <d v="2024-06-30T00:00:00"/>
    <x v="1"/>
    <n v="6"/>
    <s v="junio"/>
    <s v="T2"/>
    <s v="P003"/>
    <x v="7"/>
    <x v="2"/>
    <x v="3"/>
    <n v="1"/>
    <n v="177.72"/>
    <n v="97.16"/>
    <n v="0"/>
    <n v="177.72"/>
    <n v="97.16"/>
    <n v="80.56"/>
    <x v="1212"/>
    <x v="0"/>
    <x v="3"/>
    <s v="tienda_fisica"/>
  </r>
  <r>
    <s v="V01361"/>
    <m/>
    <x v="2"/>
    <n v="1"/>
    <s v="enero"/>
    <s v="T1"/>
    <s v="P007"/>
    <x v="15"/>
    <x v="1"/>
    <x v="0"/>
    <n v="4"/>
    <n v="18.309999999999999"/>
    <n v="13.4"/>
    <n v="0"/>
    <n v="73.239999999999995"/>
    <n v="53.6"/>
    <n v="19.639999999999993"/>
    <x v="1213"/>
    <x v="1"/>
    <x v="3"/>
    <s v="tienda_fisica"/>
  </r>
  <r>
    <s v="V00158"/>
    <d v="2024-05-26T00:00:00"/>
    <x v="1"/>
    <n v="5"/>
    <s v="mayo"/>
    <s v="T2"/>
    <s v="P001"/>
    <x v="9"/>
    <x v="2"/>
    <x v="3"/>
    <n v="2"/>
    <n v="117.03"/>
    <n v="85.53"/>
    <n v="0"/>
    <n v="234.06"/>
    <n v="171.06"/>
    <n v="63"/>
    <x v="1214"/>
    <x v="1"/>
    <x v="5"/>
    <s v="tienda_fisica"/>
  </r>
  <r>
    <s v="V01353"/>
    <d v="2025-10-18T00:00:00"/>
    <x v="0"/>
    <n v="10"/>
    <s v="octubre"/>
    <s v="T4"/>
    <s v="P005"/>
    <x v="18"/>
    <x v="2"/>
    <x v="0"/>
    <n v="1"/>
    <n v="59.37"/>
    <n v="42.69"/>
    <n v="0"/>
    <n v="59.37"/>
    <n v="42.69"/>
    <n v="16.68"/>
    <x v="1215"/>
    <x v="1"/>
    <x v="0"/>
    <s v="tienda_fisica"/>
  </r>
  <r>
    <s v="V02020"/>
    <d v="2025-07-01T00:00:00"/>
    <x v="0"/>
    <n v="7"/>
    <s v="julio"/>
    <s v="T3"/>
    <s v="P008"/>
    <x v="4"/>
    <x v="2"/>
    <x v="0"/>
    <n v="8"/>
    <n v="99.13"/>
    <n v="58.78"/>
    <n v="0"/>
    <n v="793.04"/>
    <n v="470.24"/>
    <n v="322.79999999999995"/>
    <x v="1216"/>
    <x v="0"/>
    <x v="3"/>
    <s v="online"/>
  </r>
  <r>
    <s v="V00306"/>
    <d v="2025-05-05T00:00:00"/>
    <x v="0"/>
    <n v="5"/>
    <s v="mayo"/>
    <s v="T2"/>
    <s v="P018"/>
    <x v="5"/>
    <x v="0"/>
    <x v="4"/>
    <n v="1"/>
    <n v="32.81"/>
    <n v="17.350000000000001"/>
    <n v="0"/>
    <n v="32.81"/>
    <n v="17.350000000000001"/>
    <n v="15.46"/>
    <x v="1217"/>
    <x v="0"/>
    <x v="3"/>
    <s v="online"/>
  </r>
  <r>
    <s v="V00657"/>
    <d v="2025-07-24T00:00:00"/>
    <x v="0"/>
    <n v="7"/>
    <s v="julio"/>
    <s v="T3"/>
    <s v="P010"/>
    <x v="1"/>
    <x v="1"/>
    <x v="1"/>
    <n v="3"/>
    <n v="16.23"/>
    <n v="11.71"/>
    <n v="0"/>
    <n v="48.69"/>
    <n v="35.130000000000003"/>
    <n v="13.559999999999995"/>
    <x v="1218"/>
    <x v="1"/>
    <x v="2"/>
    <s v="online"/>
  </r>
  <r>
    <s v="V00400"/>
    <d v="2025-10-24T00:00:00"/>
    <x v="0"/>
    <n v="10"/>
    <s v="octubre"/>
    <s v="T4"/>
    <s v="P014"/>
    <x v="16"/>
    <x v="1"/>
    <x v="2"/>
    <n v="1"/>
    <n v="13.53"/>
    <n v="9.17"/>
    <n v="0"/>
    <n v="13.53"/>
    <n v="9.17"/>
    <n v="4.3599999999999994"/>
    <x v="1219"/>
    <x v="1"/>
    <x v="2"/>
    <s v="online"/>
  </r>
  <r>
    <s v="V00799"/>
    <d v="2025-01-19T00:00:00"/>
    <x v="0"/>
    <n v="1"/>
    <s v="enero"/>
    <s v="T1"/>
    <s v="P011"/>
    <x v="10"/>
    <x v="1"/>
    <x v="1"/>
    <n v="1"/>
    <n v="20.46"/>
    <n v="11.5"/>
    <n v="0"/>
    <n v="20.46"/>
    <n v="11.5"/>
    <n v="8.9600000000000009"/>
    <x v="1220"/>
    <x v="0"/>
    <x v="3"/>
    <s v=" online"/>
  </r>
  <r>
    <s v="V02182"/>
    <d v="2024-12-21T00:00:00"/>
    <x v="1"/>
    <n v="12"/>
    <s v="diciembre"/>
    <s v="T4"/>
    <s v="P001"/>
    <x v="9"/>
    <x v="2"/>
    <x v="3"/>
    <n v="1"/>
    <n v="117.68"/>
    <n v="84.31"/>
    <n v="0.19"/>
    <n v="95.320800000000006"/>
    <n v="84.31"/>
    <n v="11.010800000000003"/>
    <x v="1221"/>
    <x v="1"/>
    <x v="4"/>
    <s v="tienda_fisica"/>
  </r>
  <r>
    <s v="V00619"/>
    <d v="2025-07-28T00:00:00"/>
    <x v="0"/>
    <n v="7"/>
    <s v="julio"/>
    <s v="T3"/>
    <s v="P003"/>
    <x v="7"/>
    <x v="2"/>
    <x v="3"/>
    <n v="1"/>
    <n v="177.72"/>
    <n v="94.94"/>
    <n v="0"/>
    <n v="177.72"/>
    <n v="94.94"/>
    <n v="82.78"/>
    <x v="1222"/>
    <x v="0"/>
    <x v="4"/>
    <s v="online"/>
  </r>
  <r>
    <s v="V00509"/>
    <d v="2024-11-08T00:00:00"/>
    <x v="1"/>
    <n v="11"/>
    <s v="noviembre"/>
    <s v="T4"/>
    <s v="P017"/>
    <x v="17"/>
    <x v="0"/>
    <x v="4"/>
    <n v="1"/>
    <n v="48.16"/>
    <n v="22.97"/>
    <n v="0"/>
    <n v="48.16"/>
    <n v="22.97"/>
    <n v="25.189999999999998"/>
    <x v="1223"/>
    <x v="0"/>
    <x v="3"/>
    <s v="online"/>
  </r>
  <r>
    <s v="V01758"/>
    <d v="2024-10-12T00:00:00"/>
    <x v="1"/>
    <n v="10"/>
    <s v="octubre"/>
    <s v="T4"/>
    <s v="P012"/>
    <x v="13"/>
    <x v="1"/>
    <x v="1"/>
    <n v="1"/>
    <n v="8.64"/>
    <n v="5.86"/>
    <n v="0"/>
    <n v="8.64"/>
    <n v="5.86"/>
    <n v="2.7800000000000002"/>
    <x v="1224"/>
    <x v="1"/>
    <x v="2"/>
    <s v="tienda_fisica"/>
  </r>
  <r>
    <s v="V00737"/>
    <d v="2025-07-24T00:00:00"/>
    <x v="0"/>
    <n v="7"/>
    <s v="julio"/>
    <s v="T3"/>
    <s v="P002"/>
    <x v="3"/>
    <x v="2"/>
    <x v="3"/>
    <n v="5"/>
    <n v="75.8"/>
    <n v="48.2"/>
    <n v="0"/>
    <n v="379"/>
    <n v="241"/>
    <n v="138"/>
    <x v="1225"/>
    <x v="1"/>
    <x v="3"/>
    <s v="online"/>
  </r>
  <r>
    <s v="V01549"/>
    <d v="2024-05-24T00:00:00"/>
    <x v="1"/>
    <n v="5"/>
    <s v="mayo"/>
    <s v="T2"/>
    <s v="P010"/>
    <x v="1"/>
    <x v="1"/>
    <x v="1"/>
    <n v="6"/>
    <n v="17.03"/>
    <n v="10.94"/>
    <n v="0"/>
    <n v="102.18"/>
    <n v="65.64"/>
    <n v="36.540000000000006"/>
    <x v="1226"/>
    <x v="1"/>
    <x v="3"/>
    <s v="online"/>
  </r>
  <r>
    <s v="V00275"/>
    <d v="2025-05-04T00:00:00"/>
    <x v="0"/>
    <n v="5"/>
    <s v="mayo"/>
    <s v="T2"/>
    <s v="P005"/>
    <x v="18"/>
    <x v="0"/>
    <x v="0"/>
    <n v="2"/>
    <n v="56.21"/>
    <n v="42.3"/>
    <n v="0"/>
    <n v="112.42"/>
    <n v="84.6"/>
    <n v="27.820000000000007"/>
    <x v="1227"/>
    <x v="1"/>
    <x v="3"/>
    <s v="online"/>
  </r>
  <r>
    <s v="V01282"/>
    <d v="2024-09-14T00:00:00"/>
    <x v="1"/>
    <n v="9"/>
    <s v="septiembre"/>
    <s v="T3"/>
    <s v="P003"/>
    <x v="7"/>
    <x v="2"/>
    <x v="3"/>
    <n v="1"/>
    <n v="177.72"/>
    <n v="90.11"/>
    <n v="0"/>
    <n v="177.72"/>
    <n v="90.11"/>
    <n v="87.61"/>
    <x v="1228"/>
    <x v="0"/>
    <x v="4"/>
    <s v="tienda_fisica"/>
  </r>
  <r>
    <s v="V00868"/>
    <d v="2025-05-31T00:00:00"/>
    <x v="0"/>
    <n v="5"/>
    <s v="mayo"/>
    <s v="T2"/>
    <s v="P019"/>
    <x v="14"/>
    <x v="2"/>
    <x v="4"/>
    <n v="1"/>
    <n v="64.14"/>
    <n v="34.270000000000003"/>
    <n v="0"/>
    <n v="64.14"/>
    <n v="34.270000000000003"/>
    <n v="29.869999999999997"/>
    <x v="1229"/>
    <x v="0"/>
    <x v="3"/>
    <s v="tienda_fisica"/>
  </r>
  <r>
    <s v="V00460"/>
    <d v="2025-06-17T00:00:00"/>
    <x v="0"/>
    <n v="6"/>
    <s v="junio"/>
    <s v="T2"/>
    <s v="P019"/>
    <x v="14"/>
    <x v="2"/>
    <x v="4"/>
    <n v="5"/>
    <n v="63.61"/>
    <n v="33.340000000000003"/>
    <n v="0.09"/>
    <n v="289.4255"/>
    <n v="166.70000000000002"/>
    <n v="122.72549999999998"/>
    <x v="1230"/>
    <x v="0"/>
    <x v="6"/>
    <s v="online"/>
  </r>
  <r>
    <s v="V02192"/>
    <d v="2024-06-06T00:00:00"/>
    <x v="1"/>
    <n v="6"/>
    <s v="junio"/>
    <s v="T2"/>
    <s v="P005"/>
    <x v="18"/>
    <x v="2"/>
    <x v="0"/>
    <n v="1"/>
    <n v="60.89"/>
    <n v="41.89"/>
    <n v="0"/>
    <n v="60.89"/>
    <n v="41.89"/>
    <n v="19"/>
    <x v="1231"/>
    <x v="1"/>
    <x v="6"/>
    <s v="tienda_fisica"/>
  </r>
  <r>
    <s v="V00063"/>
    <d v="2025-01-04T00:00:00"/>
    <x v="0"/>
    <n v="1"/>
    <s v="enero"/>
    <s v="T1"/>
    <s v="P008"/>
    <x v="4"/>
    <x v="2"/>
    <x v="0"/>
    <n v="3"/>
    <n v="110.41"/>
    <n v="57.78"/>
    <n v="0"/>
    <n v="331.23"/>
    <n v="173.34"/>
    <n v="157.89000000000001"/>
    <x v="1232"/>
    <x v="0"/>
    <x v="3"/>
    <s v="online"/>
  </r>
  <r>
    <s v="V00600"/>
    <d v="2024-04-12T00:00:00"/>
    <x v="1"/>
    <n v="4"/>
    <s v="abril"/>
    <s v="T2"/>
    <s v="P005"/>
    <x v="18"/>
    <x v="2"/>
    <x v="0"/>
    <n v="2"/>
    <n v="63.29"/>
    <n v="39.44"/>
    <n v="0.28000000000000003"/>
    <n v="91.137599999999992"/>
    <n v="78.88"/>
    <n v="12.257599999999996"/>
    <x v="1233"/>
    <x v="1"/>
    <x v="2"/>
    <s v="tienda_fisica"/>
  </r>
  <r>
    <s v="V01298"/>
    <d v="2024-12-07T00:00:00"/>
    <x v="1"/>
    <n v="12"/>
    <s v="diciembre"/>
    <s v="T4"/>
    <s v="P003"/>
    <x v="7"/>
    <x v="2"/>
    <x v="3"/>
    <n v="7"/>
    <n v="172.5"/>
    <n v="92.36"/>
    <n v="0"/>
    <n v="1207.5"/>
    <n v="646.52"/>
    <n v="560.98"/>
    <x v="1234"/>
    <x v="0"/>
    <x v="1"/>
    <s v="tienda_fisica"/>
  </r>
  <r>
    <s v="V02035"/>
    <d v="2025-01-20T00:00:00"/>
    <x v="0"/>
    <n v="1"/>
    <s v="enero"/>
    <s v="T1"/>
    <s v="P009"/>
    <x v="12"/>
    <x v="1"/>
    <x v="1"/>
    <n v="4"/>
    <n v="8.2100000000000009"/>
    <n v="4.4000000000000004"/>
    <n v="0"/>
    <n v="32.840000000000003"/>
    <n v="17.600000000000001"/>
    <n v="15.240000000000002"/>
    <x v="1235"/>
    <x v="0"/>
    <x v="4"/>
    <s v="tienda_fisica"/>
  </r>
  <r>
    <s v="V00458"/>
    <d v="2024-06-20T00:00:00"/>
    <x v="1"/>
    <n v="6"/>
    <s v="junio"/>
    <s v="T2"/>
    <s v="P005"/>
    <x v="18"/>
    <x v="2"/>
    <x v="0"/>
    <n v="2"/>
    <n v="58.76"/>
    <n v="42.85"/>
    <n v="0.14000000000000001"/>
    <n v="101.0672"/>
    <n v="85.7"/>
    <n v="15.367199999999997"/>
    <x v="1236"/>
    <x v="1"/>
    <x v="4"/>
    <s v="tienda_fisica"/>
  </r>
  <r>
    <s v="V01257"/>
    <d v="2024-11-18T00:00:00"/>
    <x v="1"/>
    <n v="11"/>
    <s v="noviembre"/>
    <s v="T4"/>
    <s v="P011"/>
    <x v="10"/>
    <x v="1"/>
    <x v="1"/>
    <n v="1"/>
    <n v="23.2"/>
    <n v="11.1"/>
    <n v="0"/>
    <n v="23.2"/>
    <n v="11.1"/>
    <n v="12.1"/>
    <x v="1237"/>
    <x v="0"/>
    <x v="6"/>
    <s v="tienda_fisica"/>
  </r>
  <r>
    <s v="V01118"/>
    <d v="2024-04-08T00:00:00"/>
    <x v="1"/>
    <n v="4"/>
    <s v="abril"/>
    <s v="T2"/>
    <s v="P005"/>
    <x v="18"/>
    <x v="2"/>
    <x v="0"/>
    <n v="11"/>
    <n v="60.05"/>
    <n v="42.4"/>
    <n v="0.26"/>
    <n v="488.80699999999996"/>
    <n v="466.4"/>
    <n v="22.406999999999982"/>
    <x v="1238"/>
    <x v="1"/>
    <x v="3"/>
    <s v="tienda_fisica"/>
  </r>
  <r>
    <s v="V00871"/>
    <d v="2025-11-12T00:00:00"/>
    <x v="0"/>
    <n v="11"/>
    <s v="noviembre"/>
    <s v="T4"/>
    <s v="P004"/>
    <x v="6"/>
    <x v="2"/>
    <x v="3"/>
    <n v="5"/>
    <n v="172.99"/>
    <n v="112.96"/>
    <n v="0"/>
    <n v="864.95"/>
    <n v="564.79999999999995"/>
    <n v="300.15000000000009"/>
    <x v="1239"/>
    <x v="1"/>
    <x v="3"/>
    <s v="tienda_fisica"/>
  </r>
  <r>
    <s v="V00791"/>
    <d v="2025-11-06T00:00:00"/>
    <x v="0"/>
    <n v="11"/>
    <s v="noviembre"/>
    <s v="T4"/>
    <s v="P020"/>
    <x v="19"/>
    <x v="2"/>
    <x v="4"/>
    <n v="2"/>
    <n v="61.48"/>
    <n v="32.43"/>
    <n v="0"/>
    <n v="122.96"/>
    <n v="64.86"/>
    <n v="58.099999999999994"/>
    <x v="1240"/>
    <x v="0"/>
    <x v="4"/>
    <s v="tienda_fisica"/>
  </r>
  <r>
    <s v="V02065"/>
    <d v="2025-08-27T00:00:00"/>
    <x v="0"/>
    <n v="8"/>
    <s v="agosto"/>
    <s v="T3"/>
    <s v="P007"/>
    <x v="15"/>
    <x v="1"/>
    <x v="0"/>
    <n v="1"/>
    <n v="20"/>
    <n v="12.83"/>
    <n v="0"/>
    <n v="20"/>
    <n v="12.83"/>
    <n v="7.17"/>
    <x v="1241"/>
    <x v="1"/>
    <x v="0"/>
    <s v="tienda_fisica"/>
  </r>
  <r>
    <s v="V01533"/>
    <d v="2024-10-14T00:00:00"/>
    <x v="1"/>
    <n v="10"/>
    <s v="octubre"/>
    <s v="T4"/>
    <s v="P005"/>
    <x v="18"/>
    <x v="0"/>
    <x v="0"/>
    <n v="1"/>
    <n v="55.61"/>
    <n v="40.380000000000003"/>
    <n v="0"/>
    <n v="55.61"/>
    <n v="40.380000000000003"/>
    <n v="15.229999999999997"/>
    <x v="1242"/>
    <x v="1"/>
    <x v="3"/>
    <s v="online"/>
  </r>
  <r>
    <s v="V00761"/>
    <d v="2025-11-11T00:00:00"/>
    <x v="0"/>
    <n v="11"/>
    <s v="noviembre"/>
    <s v="T4"/>
    <s v="P020"/>
    <x v="19"/>
    <x v="2"/>
    <x v="4"/>
    <n v="1"/>
    <n v="59.77"/>
    <n v="33.03"/>
    <n v="0"/>
    <n v="59.77"/>
    <n v="33.03"/>
    <n v="26.740000000000002"/>
    <x v="1243"/>
    <x v="0"/>
    <x v="4"/>
    <s v="online"/>
  </r>
  <r>
    <s v="V00955"/>
    <d v="2025-01-04T00:00:00"/>
    <x v="0"/>
    <n v="1"/>
    <s v="enero"/>
    <s v="T1"/>
    <s v="P012"/>
    <x v="13"/>
    <x v="1"/>
    <x v="1"/>
    <n v="1"/>
    <n v="9.4"/>
    <n v="5.77"/>
    <n v="0"/>
    <n v="9.4"/>
    <n v="5.77"/>
    <n v="3.6300000000000008"/>
    <x v="1244"/>
    <x v="0"/>
    <x v="5"/>
    <s v="tienda_fisica"/>
  </r>
  <r>
    <s v="V00651"/>
    <d v="2024-03-01T00:00:00"/>
    <x v="1"/>
    <n v="3"/>
    <s v="marzo"/>
    <s v="T1"/>
    <s v="P019"/>
    <x v="14"/>
    <x v="0"/>
    <x v="4"/>
    <n v="1"/>
    <n v="54.76"/>
    <n v="31.36"/>
    <n v="0.2"/>
    <n v="43.808"/>
    <n v="31.36"/>
    <n v="12.448"/>
    <x v="1245"/>
    <x v="1"/>
    <x v="0"/>
    <s v="tienda_fisica"/>
  </r>
  <r>
    <s v="V01591"/>
    <d v="2024-07-10T00:00:00"/>
    <x v="1"/>
    <n v="7"/>
    <s v="julio"/>
    <s v="T3"/>
    <s v="P002"/>
    <x v="3"/>
    <x v="2"/>
    <x v="3"/>
    <n v="4"/>
    <n v="75.959999999999994"/>
    <n v="46.26"/>
    <n v="0"/>
    <n v="303.83999999999997"/>
    <n v="185.04"/>
    <n v="118.79999999999998"/>
    <x v="1246"/>
    <x v="0"/>
    <x v="0"/>
    <s v="online"/>
  </r>
  <r>
    <s v="V02154"/>
    <d v="2025-12-23T00:00:00"/>
    <x v="0"/>
    <n v="12"/>
    <s v="diciembre"/>
    <s v="T4"/>
    <s v="P011"/>
    <x v="10"/>
    <x v="1"/>
    <x v="1"/>
    <n v="1"/>
    <n v="20.93"/>
    <n v="11.71"/>
    <n v="0"/>
    <n v="20.93"/>
    <n v="11.71"/>
    <n v="9.2199999999999989"/>
    <x v="1247"/>
    <x v="0"/>
    <x v="0"/>
    <s v="online"/>
  </r>
  <r>
    <s v="V00380"/>
    <d v="2024-05-06T00:00:00"/>
    <x v="1"/>
    <n v="5"/>
    <s v="mayo"/>
    <s v="T2"/>
    <s v="P019"/>
    <x v="14"/>
    <x v="0"/>
    <x v="4"/>
    <n v="4"/>
    <n v="55.95"/>
    <n v="32.68"/>
    <n v="0"/>
    <n v="223.8"/>
    <n v="130.72"/>
    <n v="93.080000000000013"/>
    <x v="1248"/>
    <x v="0"/>
    <x v="2"/>
    <s v="tienda_fisica"/>
  </r>
  <r>
    <s v="V00565"/>
    <d v="2025-12-29T00:00:00"/>
    <x v="0"/>
    <n v="12"/>
    <s v="diciembre"/>
    <s v="T4"/>
    <s v="P011"/>
    <x v="10"/>
    <x v="1"/>
    <x v="1"/>
    <n v="3"/>
    <n v="21.42"/>
    <n v="11.04"/>
    <n v="0"/>
    <n v="64.260000000000005"/>
    <n v="33.119999999999997"/>
    <n v="31.140000000000008"/>
    <x v="1249"/>
    <x v="0"/>
    <x v="0"/>
    <s v="online"/>
  </r>
  <r>
    <s v="V01201"/>
    <d v="2025-11-25T00:00:00"/>
    <x v="0"/>
    <n v="11"/>
    <s v="noviembre"/>
    <s v="T4"/>
    <s v="P006"/>
    <x v="0"/>
    <x v="0"/>
    <x v="0"/>
    <n v="1"/>
    <n v="47.9"/>
    <n v="26.03"/>
    <n v="0"/>
    <n v="47.9"/>
    <n v="26.03"/>
    <n v="21.869999999999997"/>
    <x v="1250"/>
    <x v="0"/>
    <x v="3"/>
    <s v="online"/>
  </r>
  <r>
    <s v="V01647"/>
    <d v="2024-03-27T00:00:00"/>
    <x v="1"/>
    <n v="3"/>
    <s v="marzo"/>
    <s v="T1"/>
    <s v="P005"/>
    <x v="18"/>
    <x v="2"/>
    <x v="0"/>
    <n v="1"/>
    <n v="61.33"/>
    <n v="39.47"/>
    <n v="0"/>
    <n v="61.33"/>
    <n v="39.47"/>
    <n v="21.86"/>
    <x v="1251"/>
    <x v="1"/>
    <x v="4"/>
    <s v="online"/>
  </r>
  <r>
    <s v="V00957"/>
    <d v="2025-12-19T00:00:00"/>
    <x v="0"/>
    <n v="12"/>
    <s v="diciembre"/>
    <s v="T4"/>
    <s v="P002"/>
    <x v="3"/>
    <x v="2"/>
    <x v="3"/>
    <n v="3"/>
    <n v="69.760000000000005"/>
    <n v="45.56"/>
    <n v="0.11"/>
    <n v="186.25920000000002"/>
    <n v="136.68"/>
    <n v="49.579200000000014"/>
    <x v="1252"/>
    <x v="1"/>
    <x v="3"/>
    <s v="tienda_fisica"/>
  </r>
  <r>
    <s v="V00742"/>
    <d v="2025-06-26T00:00:00"/>
    <x v="0"/>
    <n v="6"/>
    <s v="junio"/>
    <s v="T2"/>
    <s v="P005"/>
    <x v="18"/>
    <x v="2"/>
    <x v="0"/>
    <n v="7"/>
    <n v="58.8"/>
    <n v="41"/>
    <n v="0"/>
    <n v="411.59999999999997"/>
    <n v="287"/>
    <n v="124.59999999999997"/>
    <x v="1253"/>
    <x v="1"/>
    <x v="0"/>
    <s v="online"/>
  </r>
  <r>
    <s v="V01269"/>
    <d v="2024-05-11T00:00:00"/>
    <x v="1"/>
    <n v="5"/>
    <s v="mayo"/>
    <s v="T2"/>
    <s v="P009"/>
    <x v="12"/>
    <x v="1"/>
    <x v="1"/>
    <n v="1"/>
    <n v="8.27"/>
    <n v="4.3499999999999996"/>
    <n v="0"/>
    <n v="8.27"/>
    <n v="4.3499999999999996"/>
    <n v="3.92"/>
    <x v="1254"/>
    <x v="0"/>
    <x v="3"/>
    <s v="tienda_fisica"/>
  </r>
  <r>
    <s v="V00232"/>
    <d v="2025-07-31T00:00:00"/>
    <x v="0"/>
    <n v="7"/>
    <s v="julio"/>
    <s v="T3"/>
    <s v="P018"/>
    <x v="5"/>
    <x v="0"/>
    <x v="4"/>
    <n v="1"/>
    <n v="32.5"/>
    <n v="17.87"/>
    <n v="0"/>
    <n v="32.5"/>
    <n v="17.87"/>
    <n v="14.629999999999999"/>
    <x v="1255"/>
    <x v="0"/>
    <x v="4"/>
    <s v="online"/>
  </r>
  <r>
    <s v="V01553"/>
    <d v="2024-03-05T00:00:00"/>
    <x v="1"/>
    <n v="3"/>
    <s v="marzo"/>
    <s v="T1"/>
    <s v="P001"/>
    <x v="9"/>
    <x v="2"/>
    <x v="3"/>
    <n v="1"/>
    <n v="128.24"/>
    <n v="86.48"/>
    <n v="0"/>
    <n v="128.24"/>
    <n v="86.48"/>
    <n v="41.760000000000005"/>
    <x v="1256"/>
    <x v="1"/>
    <x v="4"/>
    <s v="tienda_fisica"/>
  </r>
  <r>
    <s v="V00383"/>
    <d v="2024-10-28T00:00:00"/>
    <x v="1"/>
    <n v="10"/>
    <s v="octubre"/>
    <s v="T4"/>
    <s v="P011"/>
    <x v="10"/>
    <x v="1"/>
    <x v="1"/>
    <n v="2"/>
    <n v="22.36"/>
    <n v="11.17"/>
    <n v="0"/>
    <n v="44.72"/>
    <n v="22.34"/>
    <n v="22.38"/>
    <x v="1257"/>
    <x v="0"/>
    <x v="0"/>
    <s v="online"/>
  </r>
  <r>
    <s v="V02063"/>
    <d v="2025-07-04T00:00:00"/>
    <x v="0"/>
    <n v="7"/>
    <s v="julio"/>
    <s v="T3"/>
    <s v="P011"/>
    <x v="10"/>
    <x v="1"/>
    <x v="1"/>
    <n v="1"/>
    <n v="22"/>
    <n v="11.31"/>
    <n v="0"/>
    <n v="22"/>
    <n v="11.31"/>
    <n v="10.69"/>
    <x v="1258"/>
    <x v="0"/>
    <x v="2"/>
    <s v="tienda_fisica"/>
  </r>
  <r>
    <s v="V00073"/>
    <d v="2025-08-24T00:00:00"/>
    <x v="0"/>
    <n v="8"/>
    <s v="agosto"/>
    <s v="T3"/>
    <s v="P019"/>
    <x v="14"/>
    <x v="0"/>
    <x v="4"/>
    <n v="4"/>
    <n v="55.05"/>
    <n v="33.520000000000003"/>
    <n v="0"/>
    <n v="220.2"/>
    <n v="134.08000000000001"/>
    <n v="86.119999999999976"/>
    <x v="1259"/>
    <x v="0"/>
    <x v="6"/>
    <s v="tienda_fisica"/>
  </r>
  <r>
    <s v="V01095"/>
    <d v="2025-03-27T00:00:00"/>
    <x v="0"/>
    <n v="3"/>
    <s v="marzo"/>
    <s v="T1"/>
    <s v="P003"/>
    <x v="7"/>
    <x v="2"/>
    <x v="3"/>
    <n v="1"/>
    <n v="167.12"/>
    <n v="95.42"/>
    <n v="0.2"/>
    <n v="133.696"/>
    <n v="95.42"/>
    <n v="38.275999999999996"/>
    <x v="1260"/>
    <x v="1"/>
    <x v="1"/>
    <s v="tienda_fisica"/>
  </r>
  <r>
    <s v="V01708"/>
    <d v="2024-07-21T00:00:00"/>
    <x v="1"/>
    <n v="7"/>
    <s v="julio"/>
    <s v="T3"/>
    <s v="P008"/>
    <x v="4"/>
    <x v="2"/>
    <x v="0"/>
    <n v="1"/>
    <n v="97.57"/>
    <n v="57.47"/>
    <n v="0.05"/>
    <n v="92.691499999999991"/>
    <n v="57.47"/>
    <n v="35.221499999999992"/>
    <x v="1261"/>
    <x v="0"/>
    <x v="6"/>
    <s v="tienda_fisica"/>
  </r>
  <r>
    <s v="V01390"/>
    <d v="2024-03-09T00:00:00"/>
    <x v="1"/>
    <n v="3"/>
    <s v="marzo"/>
    <s v="T1"/>
    <s v="P009"/>
    <x v="12"/>
    <x v="1"/>
    <x v="1"/>
    <n v="1"/>
    <n v="7.3"/>
    <n v="4.21"/>
    <n v="0"/>
    <n v="7.3"/>
    <n v="4.21"/>
    <n v="3.09"/>
    <x v="1262"/>
    <x v="0"/>
    <x v="0"/>
    <s v="tienda_fisica"/>
  </r>
  <r>
    <s v="V00172"/>
    <d v="2024-06-10T00:00:00"/>
    <x v="1"/>
    <n v="6"/>
    <s v="junio"/>
    <s v="T2"/>
    <s v="P002"/>
    <x v="3"/>
    <x v="2"/>
    <x v="3"/>
    <n v="1"/>
    <n v="71.59"/>
    <n v="48.26"/>
    <n v="0"/>
    <n v="71.59"/>
    <n v="48.26"/>
    <n v="23.330000000000005"/>
    <x v="1263"/>
    <x v="1"/>
    <x v="0"/>
    <s v="tienda_fisica"/>
  </r>
  <r>
    <s v="V01333"/>
    <d v="2025-02-15T00:00:00"/>
    <x v="0"/>
    <n v="2"/>
    <s v="febrero"/>
    <s v="T1"/>
    <s v="P012"/>
    <x v="13"/>
    <x v="1"/>
    <x v="1"/>
    <n v="1"/>
    <n v="9.27"/>
    <n v="5.73"/>
    <n v="0"/>
    <n v="9.27"/>
    <n v="5.73"/>
    <n v="3.5399999999999991"/>
    <x v="1264"/>
    <x v="0"/>
    <x v="3"/>
    <s v="online"/>
  </r>
  <r>
    <s v="V00169"/>
    <d v="2025-08-29T00:00:00"/>
    <x v="0"/>
    <n v="8"/>
    <s v="agosto"/>
    <s v="T3"/>
    <s v="P006"/>
    <x v="0"/>
    <x v="0"/>
    <x v="0"/>
    <n v="4"/>
    <n v="47.51"/>
    <n v="27.54"/>
    <n v="0"/>
    <n v="190.04"/>
    <n v="110.16"/>
    <n v="79.88"/>
    <x v="1265"/>
    <x v="0"/>
    <x v="6"/>
    <s v="online"/>
  </r>
  <r>
    <s v="V01618"/>
    <d v="2025-08-01T00:00:00"/>
    <x v="0"/>
    <n v="8"/>
    <s v="agosto"/>
    <s v="T3"/>
    <s v="P011"/>
    <x v="10"/>
    <x v="1"/>
    <x v="1"/>
    <n v="3"/>
    <n v="21.92"/>
    <n v="11.94"/>
    <n v="0"/>
    <n v="65.760000000000005"/>
    <n v="35.82"/>
    <n v="29.940000000000005"/>
    <x v="1266"/>
    <x v="0"/>
    <x v="3"/>
    <s v="online"/>
  </r>
  <r>
    <s v="V00273"/>
    <d v="2024-02-23T00:00:00"/>
    <x v="1"/>
    <n v="2"/>
    <s v="febrero"/>
    <s v="T1"/>
    <s v="P006"/>
    <x v="0"/>
    <x v="0"/>
    <x v="0"/>
    <n v="5"/>
    <n v="47.88"/>
    <n v="27.17"/>
    <n v="0.17"/>
    <n v="198.702"/>
    <n v="135.85000000000002"/>
    <n v="62.851999999999975"/>
    <x v="1267"/>
    <x v="1"/>
    <x v="0"/>
    <s v="online"/>
  </r>
  <r>
    <s v="V01216"/>
    <d v="2025-10-18T00:00:00"/>
    <x v="0"/>
    <n v="10"/>
    <s v="octubre"/>
    <s v="T4"/>
    <s v="P017"/>
    <x v="17"/>
    <x v="0"/>
    <x v="4"/>
    <n v="2"/>
    <n v="46.64"/>
    <n v="22.69"/>
    <n v="0"/>
    <n v="93.28"/>
    <n v="45.38"/>
    <n v="47.9"/>
    <x v="1268"/>
    <x v="0"/>
    <x v="3"/>
    <s v="tienda_fisica"/>
  </r>
  <r>
    <s v="V00421"/>
    <d v="2025-02-28T00:00:00"/>
    <x v="0"/>
    <n v="2"/>
    <s v="febrero"/>
    <s v="T1"/>
    <s v="P008"/>
    <x v="4"/>
    <x v="2"/>
    <x v="0"/>
    <n v="3"/>
    <n v="97.87"/>
    <n v="55.52"/>
    <n v="0"/>
    <n v="293.61"/>
    <n v="166.56"/>
    <n v="127.05000000000001"/>
    <x v="1269"/>
    <x v="0"/>
    <x v="2"/>
    <s v="tienda_fisica"/>
  </r>
  <r>
    <s v="V01119"/>
    <d v="2025-01-13T00:00:00"/>
    <x v="0"/>
    <n v="1"/>
    <s v="enero"/>
    <s v="T1"/>
    <s v="P001"/>
    <x v="9"/>
    <x v="2"/>
    <x v="3"/>
    <n v="3"/>
    <n v="122.6"/>
    <n v="87.1"/>
    <n v="0"/>
    <n v="367.79999999999995"/>
    <n v="261.29999999999995"/>
    <n v="106.5"/>
    <x v="1270"/>
    <x v="1"/>
    <x v="3"/>
    <s v="tienda_fisica"/>
  </r>
  <r>
    <s v="V01748"/>
    <d v="2024-12-29T00:00:00"/>
    <x v="1"/>
    <n v="12"/>
    <s v="diciembre"/>
    <s v="T4"/>
    <s v="P004"/>
    <x v="6"/>
    <x v="2"/>
    <x v="3"/>
    <n v="3"/>
    <n v="161.49"/>
    <n v="111.95"/>
    <n v="0"/>
    <n v="484.47"/>
    <n v="335.85"/>
    <n v="148.62"/>
    <x v="1271"/>
    <x v="1"/>
    <x v="0"/>
    <s v="tienda_fisica"/>
  </r>
  <r>
    <s v="V02151"/>
    <d v="2024-10-13T00:00:00"/>
    <x v="1"/>
    <n v="10"/>
    <s v="octubre"/>
    <s v="T4"/>
    <s v="P012"/>
    <x v="13"/>
    <x v="1"/>
    <x v="1"/>
    <n v="1"/>
    <n v="8.66"/>
    <n v="5.5"/>
    <n v="0"/>
    <n v="8.66"/>
    <n v="5.5"/>
    <n v="3.16"/>
    <x v="1272"/>
    <x v="1"/>
    <x v="0"/>
    <s v="tienda_fisica"/>
  </r>
  <r>
    <s v="V01067"/>
    <d v="2024-07-19T00:00:00"/>
    <x v="1"/>
    <n v="7"/>
    <s v="julio"/>
    <s v="T3"/>
    <s v="P007"/>
    <x v="15"/>
    <x v="1"/>
    <x v="0"/>
    <n v="1"/>
    <n v="18.78"/>
    <n v="13.3"/>
    <n v="0"/>
    <n v="18.78"/>
    <n v="13.3"/>
    <n v="5.48"/>
    <x v="1273"/>
    <x v="1"/>
    <x v="3"/>
    <s v="tienda_fisica"/>
  </r>
  <r>
    <s v="V00057"/>
    <d v="2024-10-12T00:00:00"/>
    <x v="1"/>
    <n v="10"/>
    <s v="octubre"/>
    <s v="T4"/>
    <s v="P003"/>
    <x v="7"/>
    <x v="2"/>
    <x v="3"/>
    <n v="2"/>
    <n v="174.28"/>
    <n v="89.75"/>
    <n v="0"/>
    <n v="348.56"/>
    <n v="179.5"/>
    <n v="169.06"/>
    <x v="1274"/>
    <x v="0"/>
    <x v="5"/>
    <s v="online"/>
  </r>
  <r>
    <s v="V01128"/>
    <d v="2025-03-05T00:00:00"/>
    <x v="0"/>
    <n v="3"/>
    <s v="marzo"/>
    <s v="T1"/>
    <s v="P010"/>
    <x v="1"/>
    <x v="1"/>
    <x v="1"/>
    <n v="4"/>
    <n v="16.25"/>
    <n v="11.23"/>
    <n v="0.22"/>
    <n v="50.7"/>
    <n v="44.92"/>
    <n v="5.7800000000000011"/>
    <x v="1275"/>
    <x v="1"/>
    <x v="6"/>
    <s v="online"/>
  </r>
  <r>
    <s v="V01421"/>
    <d v="2025-09-05T00:00:00"/>
    <x v="0"/>
    <n v="9"/>
    <s v="septiembre"/>
    <s v="T3"/>
    <s v="P005"/>
    <x v="18"/>
    <x v="2"/>
    <x v="0"/>
    <n v="5"/>
    <n v="60.37"/>
    <n v="43.13"/>
    <n v="0"/>
    <n v="301.84999999999997"/>
    <n v="215.65"/>
    <n v="86.19999999999996"/>
    <x v="1276"/>
    <x v="1"/>
    <x v="3"/>
    <s v="tienda_fisica"/>
  </r>
  <r>
    <s v="V01505"/>
    <d v="2025-03-04T00:00:00"/>
    <x v="0"/>
    <n v="3"/>
    <s v="marzo"/>
    <s v="T1"/>
    <s v="P013"/>
    <x v="8"/>
    <x v="2"/>
    <x v="2"/>
    <n v="2"/>
    <n v="72.489999999999995"/>
    <n v="45.98"/>
    <n v="0.2"/>
    <n v="115.98399999999999"/>
    <n v="91.96"/>
    <n v="24.024000000000001"/>
    <x v="1277"/>
    <x v="1"/>
    <x v="2"/>
    <s v="online"/>
  </r>
  <r>
    <s v="V01682"/>
    <d v="2024-05-27T00:00:00"/>
    <x v="1"/>
    <n v="5"/>
    <s v="mayo"/>
    <s v="T2"/>
    <s v="P016"/>
    <x v="11"/>
    <x v="2"/>
    <x v="2"/>
    <n v="2"/>
    <n v="78.13"/>
    <n v="42.85"/>
    <n v="0"/>
    <n v="156.26"/>
    <n v="85.7"/>
    <n v="70.559999999999988"/>
    <x v="1278"/>
    <x v="0"/>
    <x v="0"/>
    <s v="tienda_fisica"/>
  </r>
  <r>
    <s v="V00039"/>
    <d v="2025-11-19T00:00:00"/>
    <x v="0"/>
    <n v="11"/>
    <s v="noviembre"/>
    <s v="T4"/>
    <s v="P008"/>
    <x v="4"/>
    <x v="2"/>
    <x v="0"/>
    <n v="6"/>
    <n v="108.96"/>
    <n v="57.9"/>
    <n v="0"/>
    <n v="653.76"/>
    <n v="347.4"/>
    <n v="306.36"/>
    <x v="1279"/>
    <x v="0"/>
    <x v="3"/>
    <s v="tienda_fisica"/>
  </r>
  <r>
    <s v="V00307"/>
    <d v="2024-01-20T00:00:00"/>
    <x v="1"/>
    <n v="1"/>
    <s v="enero"/>
    <s v="T1"/>
    <s v="P018"/>
    <x v="5"/>
    <x v="0"/>
    <x v="4"/>
    <n v="2"/>
    <n v="30.83"/>
    <n v="18.02"/>
    <n v="0"/>
    <n v="61.66"/>
    <n v="36.04"/>
    <n v="25.619999999999997"/>
    <x v="1280"/>
    <x v="0"/>
    <x v="6"/>
    <s v="tienda_fisica"/>
  </r>
  <r>
    <s v="V00007"/>
    <d v="2025-03-21T00:00:00"/>
    <x v="0"/>
    <n v="3"/>
    <s v="marzo"/>
    <s v="T1"/>
    <s v="P010"/>
    <x v="1"/>
    <x v="1"/>
    <x v="1"/>
    <n v="5"/>
    <n v="17.57"/>
    <n v="11.74"/>
    <n v="0"/>
    <n v="87.85"/>
    <n v="58.7"/>
    <n v="29.149999999999991"/>
    <x v="1281"/>
    <x v="1"/>
    <x v="3"/>
    <s v="online"/>
  </r>
  <r>
    <s v="V01105"/>
    <d v="2025-01-05T00:00:00"/>
    <x v="0"/>
    <n v="1"/>
    <s v="enero"/>
    <s v="T1"/>
    <s v="P008"/>
    <x v="4"/>
    <x v="2"/>
    <x v="0"/>
    <n v="2"/>
    <n v="101.14"/>
    <n v="55.05"/>
    <n v="0"/>
    <n v="202.28"/>
    <n v="110.1"/>
    <n v="92.18"/>
    <x v="1282"/>
    <x v="0"/>
    <x v="3"/>
    <s v="online"/>
  </r>
  <r>
    <s v="V00783"/>
    <d v="2025-11-25T00:00:00"/>
    <x v="0"/>
    <n v="11"/>
    <s v="noviembre"/>
    <s v="T4"/>
    <s v="P007"/>
    <x v="15"/>
    <x v="1"/>
    <x v="0"/>
    <n v="4"/>
    <n v="20.420000000000002"/>
    <n v="13.39"/>
    <n v="0.16"/>
    <n v="68.611199999999997"/>
    <n v="53.56"/>
    <n v="15.051199999999994"/>
    <x v="1283"/>
    <x v="1"/>
    <x v="3"/>
    <s v="tienda_fisica"/>
  </r>
  <r>
    <s v="V00409"/>
    <d v="2025-09-23T00:00:00"/>
    <x v="0"/>
    <n v="9"/>
    <s v="septiembre"/>
    <s v="T3"/>
    <s v="P011"/>
    <x v="10"/>
    <x v="1"/>
    <x v="1"/>
    <n v="1"/>
    <n v="22.57"/>
    <n v="11.92"/>
    <n v="0.13"/>
    <n v="19.635899999999999"/>
    <n v="11.92"/>
    <n v="7.7158999999999995"/>
    <x v="1284"/>
    <x v="0"/>
    <x v="4"/>
    <s v="tienda_fisica"/>
  </r>
  <r>
    <s v="V01977"/>
    <d v="2024-07-28T00:00:00"/>
    <x v="1"/>
    <n v="7"/>
    <s v="julio"/>
    <s v="T3"/>
    <s v="P007"/>
    <x v="15"/>
    <x v="1"/>
    <x v="0"/>
    <n v="3"/>
    <n v="18.399999999999999"/>
    <n v="13"/>
    <n v="0"/>
    <n v="55.199999999999996"/>
    <n v="39"/>
    <n v="16.199999999999996"/>
    <x v="1285"/>
    <x v="1"/>
    <x v="2"/>
    <s v="online"/>
  </r>
  <r>
    <s v="V00782"/>
    <d v="2025-08-25T00:00:00"/>
    <x v="0"/>
    <n v="8"/>
    <s v="agosto"/>
    <s v="T3"/>
    <s v="P003"/>
    <x v="7"/>
    <x v="2"/>
    <x v="3"/>
    <n v="1"/>
    <n v="169.98"/>
    <n v="94.41"/>
    <n v="0"/>
    <n v="169.98"/>
    <n v="94.41"/>
    <n v="75.569999999999993"/>
    <x v="1286"/>
    <x v="0"/>
    <x v="3"/>
    <s v="online"/>
  </r>
  <r>
    <s v="V01191"/>
    <d v="2025-09-10T00:00:00"/>
    <x v="0"/>
    <n v="9"/>
    <s v="septiembre"/>
    <s v="T3"/>
    <s v="P004"/>
    <x v="6"/>
    <x v="2"/>
    <x v="3"/>
    <n v="3"/>
    <n v="167.3"/>
    <n v="113.82"/>
    <n v="0"/>
    <n v="501.90000000000003"/>
    <n v="341.46"/>
    <n v="160.44000000000005"/>
    <x v="1287"/>
    <x v="1"/>
    <x v="2"/>
    <s v="tienda_fisica"/>
  </r>
  <r>
    <s v="V00535"/>
    <d v="2025-08-08T00:00:00"/>
    <x v="0"/>
    <n v="8"/>
    <s v="agosto"/>
    <s v="T3"/>
    <s v="P004"/>
    <x v="6"/>
    <x v="2"/>
    <x v="3"/>
    <n v="5"/>
    <n v="174.4"/>
    <n v="107.69"/>
    <n v="0"/>
    <n v="872"/>
    <n v="538.45000000000005"/>
    <n v="333.54999999999995"/>
    <x v="1288"/>
    <x v="0"/>
    <x v="2"/>
    <s v="tienda_fisica"/>
  </r>
  <r>
    <s v="V00584"/>
    <d v="2024-07-08T00:00:00"/>
    <x v="1"/>
    <n v="7"/>
    <s v="julio"/>
    <s v="T3"/>
    <s v="P019"/>
    <x v="14"/>
    <x v="2"/>
    <x v="4"/>
    <n v="1"/>
    <n v="63.57"/>
    <n v="33.130000000000003"/>
    <n v="0"/>
    <n v="63.57"/>
    <n v="33.130000000000003"/>
    <n v="30.439999999999998"/>
    <x v="1289"/>
    <x v="0"/>
    <x v="5"/>
    <s v="tienda_fisica"/>
  </r>
  <r>
    <s v="V02115"/>
    <d v="2025-05-18T00:00:00"/>
    <x v="0"/>
    <n v="5"/>
    <s v="mayo"/>
    <s v="T2"/>
    <s v="P010"/>
    <x v="1"/>
    <x v="1"/>
    <x v="1"/>
    <n v="2"/>
    <n v="15.25"/>
    <n v="12.01"/>
    <n v="0"/>
    <n v="30.5"/>
    <n v="24.02"/>
    <n v="6.48"/>
    <x v="1290"/>
    <x v="1"/>
    <x v="5"/>
    <s v="online"/>
  </r>
  <r>
    <s v="V02247"/>
    <d v="2024-06-24T00:00:00"/>
    <x v="1"/>
    <n v="6"/>
    <s v="junio"/>
    <s v="T2"/>
    <s v="P004"/>
    <x v="6"/>
    <x v="2"/>
    <x v="3"/>
    <n v="1"/>
    <n v="162.6"/>
    <n v="113.78"/>
    <n v="0"/>
    <n v="162.6"/>
    <n v="113.78"/>
    <n v="48.819999999999993"/>
    <x v="1291"/>
    <x v="1"/>
    <x v="2"/>
    <s v="online"/>
  </r>
  <r>
    <s v="V01831"/>
    <d v="2025-04-03T00:00:00"/>
    <x v="0"/>
    <n v="4"/>
    <s v="abril"/>
    <s v="T2"/>
    <s v="P014"/>
    <x v="16"/>
    <x v="1"/>
    <x v="2"/>
    <n v="10"/>
    <n v="14.1"/>
    <n v="9.6300000000000008"/>
    <n v="0"/>
    <n v="141"/>
    <n v="96.300000000000011"/>
    <n v="44.699999999999989"/>
    <x v="1292"/>
    <x v="1"/>
    <x v="1"/>
    <s v="tienda_fisica"/>
  </r>
  <r>
    <s v="V01590"/>
    <d v="2025-02-03T00:00:00"/>
    <x v="0"/>
    <n v="2"/>
    <s v="febrero"/>
    <s v="T1"/>
    <s v="P002"/>
    <x v="3"/>
    <x v="2"/>
    <x v="3"/>
    <n v="2"/>
    <n v="76.760000000000005"/>
    <n v="48.45"/>
    <n v="0"/>
    <n v="153.52000000000001"/>
    <n v="96.9"/>
    <n v="56.620000000000005"/>
    <x v="1293"/>
    <x v="1"/>
    <x v="3"/>
    <s v="tienda_fisica"/>
  </r>
  <r>
    <s v="V01424"/>
    <d v="2024-08-12T00:00:00"/>
    <x v="1"/>
    <n v="8"/>
    <s v="agosto"/>
    <s v="T3"/>
    <s v="P013"/>
    <x v="8"/>
    <x v="2"/>
    <x v="2"/>
    <n v="5"/>
    <n v="73.44"/>
    <n v="48.31"/>
    <n v="0.22"/>
    <n v="286.416"/>
    <n v="241.55"/>
    <n v="44.865999999999985"/>
    <x v="1294"/>
    <x v="1"/>
    <x v="4"/>
    <s v="tienda_fisica"/>
  </r>
  <r>
    <s v="V01380"/>
    <d v="2025-01-25T00:00:00"/>
    <x v="0"/>
    <n v="1"/>
    <s v="enero"/>
    <s v="T1"/>
    <s v="P011"/>
    <x v="10"/>
    <x v="1"/>
    <x v="1"/>
    <n v="2"/>
    <n v="22.51"/>
    <n v="11.58"/>
    <n v="0.2"/>
    <n v="36.016000000000005"/>
    <n v="23.16"/>
    <n v="12.856000000000005"/>
    <x v="1295"/>
    <x v="1"/>
    <x v="6"/>
    <s v="tienda_fisica"/>
  </r>
  <r>
    <s v="V00814"/>
    <d v="2025-11-02T00:00:00"/>
    <x v="0"/>
    <n v="11"/>
    <s v="noviembre"/>
    <s v="T4"/>
    <s v="P019"/>
    <x v="14"/>
    <x v="0"/>
    <x v="4"/>
    <n v="5"/>
    <n v="56.89"/>
    <n v="32.96"/>
    <n v="0"/>
    <n v="284.45"/>
    <n v="164.8"/>
    <n v="119.64999999999998"/>
    <x v="1296"/>
    <x v="0"/>
    <x v="3"/>
    <s v="tienda_fisica"/>
  </r>
  <r>
    <s v="V00317"/>
    <d v="2024-02-03T00:00:00"/>
    <x v="1"/>
    <n v="2"/>
    <s v="febrero"/>
    <s v="T1"/>
    <s v="P019"/>
    <x v="14"/>
    <x v="2"/>
    <x v="4"/>
    <n v="7"/>
    <n v="60.75"/>
    <n v="31.39"/>
    <n v="0"/>
    <n v="425.25"/>
    <n v="219.73000000000002"/>
    <n v="205.51999999999998"/>
    <x v="1297"/>
    <x v="0"/>
    <x v="3"/>
    <s v="online"/>
  </r>
  <r>
    <s v="V01894"/>
    <d v="2025-05-22T00:00:00"/>
    <x v="0"/>
    <n v="5"/>
    <s v="mayo"/>
    <s v="T2"/>
    <s v="P004"/>
    <x v="6"/>
    <x v="2"/>
    <x v="3"/>
    <n v="1"/>
    <n v="163.08000000000001"/>
    <n v="105.54"/>
    <n v="0"/>
    <n v="163.08000000000001"/>
    <n v="105.54"/>
    <n v="57.540000000000006"/>
    <x v="1298"/>
    <x v="1"/>
    <x v="6"/>
    <s v="tienda_fisica"/>
  </r>
  <r>
    <s v="V02133"/>
    <d v="2024-07-29T00:00:00"/>
    <x v="1"/>
    <n v="7"/>
    <s v="julio"/>
    <s v="T3"/>
    <s v="P003"/>
    <x v="7"/>
    <x v="2"/>
    <x v="3"/>
    <n v="2"/>
    <n v="166.9"/>
    <n v="93.93"/>
    <n v="0.18"/>
    <n v="273.71600000000001"/>
    <n v="187.86"/>
    <n v="85.855999999999995"/>
    <x v="1299"/>
    <x v="1"/>
    <x v="6"/>
    <s v="online"/>
  </r>
  <r>
    <s v="V00517"/>
    <d v="2025-05-29T00:00:00"/>
    <x v="0"/>
    <n v="5"/>
    <s v="mayo"/>
    <s v="T2"/>
    <s v="P005"/>
    <x v="18"/>
    <x v="2"/>
    <x v="0"/>
    <n v="4"/>
    <n v="58.6"/>
    <n v="41.06"/>
    <n v="0.11"/>
    <n v="208.61600000000001"/>
    <n v="164.24"/>
    <n v="44.376000000000005"/>
    <x v="1300"/>
    <x v="1"/>
    <x v="5"/>
    <s v="tienda_fisica"/>
  </r>
  <r>
    <s v="V01999"/>
    <d v="2025-12-10T00:00:00"/>
    <x v="0"/>
    <n v="12"/>
    <s v="diciembre"/>
    <s v="T4"/>
    <s v="P018"/>
    <x v="5"/>
    <x v="0"/>
    <x v="4"/>
    <n v="1"/>
    <n v="33.340000000000003"/>
    <n v="17.87"/>
    <n v="0.15"/>
    <n v="28.339000000000002"/>
    <n v="17.87"/>
    <n v="10.469000000000001"/>
    <x v="1301"/>
    <x v="1"/>
    <x v="1"/>
    <s v="tienda_fisica"/>
  </r>
  <r>
    <s v="V00662"/>
    <d v="2025-02-18T00:00:00"/>
    <x v="0"/>
    <n v="2"/>
    <s v="febrero"/>
    <s v="T1"/>
    <s v="P020"/>
    <x v="19"/>
    <x v="0"/>
    <x v="4"/>
    <n v="1"/>
    <n v="56.67"/>
    <n v="33.74"/>
    <n v="0"/>
    <n v="56.67"/>
    <n v="33.74"/>
    <n v="22.93"/>
    <x v="1302"/>
    <x v="0"/>
    <x v="6"/>
    <s v="tienda_fisica"/>
  </r>
  <r>
    <s v="V00534"/>
    <d v="2025-04-27T00:00:00"/>
    <x v="0"/>
    <n v="4"/>
    <s v="abril"/>
    <s v="T2"/>
    <s v="P010"/>
    <x v="1"/>
    <x v="1"/>
    <x v="1"/>
    <n v="1"/>
    <n v="16.399999999999999"/>
    <n v="11.66"/>
    <n v="0"/>
    <n v="16.399999999999999"/>
    <n v="11.66"/>
    <n v="4.7399999999999984"/>
    <x v="1303"/>
    <x v="1"/>
    <x v="3"/>
    <s v="tienda_fisica"/>
  </r>
  <r>
    <s v="V01991"/>
    <d v="2024-09-06T00:00:00"/>
    <x v="1"/>
    <n v="9"/>
    <s v="septiembre"/>
    <s v="T3"/>
    <s v="P014"/>
    <x v="16"/>
    <x v="1"/>
    <x v="2"/>
    <n v="3"/>
    <n v="14.95"/>
    <n v="9.58"/>
    <n v="0"/>
    <n v="44.849999999999994"/>
    <n v="28.740000000000002"/>
    <n v="16.109999999999992"/>
    <x v="1304"/>
    <x v="1"/>
    <x v="5"/>
    <s v="online"/>
  </r>
  <r>
    <s v="V01343"/>
    <d v="2024-02-09T00:00:00"/>
    <x v="1"/>
    <n v="2"/>
    <s v="febrero"/>
    <s v="T1"/>
    <s v="P012"/>
    <x v="13"/>
    <x v="1"/>
    <x v="1"/>
    <n v="1"/>
    <n v="8.83"/>
    <n v="5.95"/>
    <n v="0"/>
    <n v="8.83"/>
    <n v="5.95"/>
    <n v="2.88"/>
    <x v="1305"/>
    <x v="1"/>
    <x v="1"/>
    <s v="online"/>
  </r>
  <r>
    <s v="V00272"/>
    <d v="2024-07-26T00:00:00"/>
    <x v="1"/>
    <n v="7"/>
    <s v="julio"/>
    <s v="T3"/>
    <s v="P014"/>
    <x v="16"/>
    <x v="1"/>
    <x v="2"/>
    <n v="9"/>
    <n v="13.17"/>
    <n v="9.4499999999999993"/>
    <n v="0.22"/>
    <n v="92.453400000000002"/>
    <n v="85.05"/>
    <n v="7.4034000000000049"/>
    <x v="1306"/>
    <x v="1"/>
    <x v="6"/>
    <s v="tienda_fisica"/>
  </r>
  <r>
    <s v="V00549"/>
    <d v="2025-07-27T00:00:00"/>
    <x v="0"/>
    <n v="7"/>
    <s v="julio"/>
    <s v="T3"/>
    <s v="P020"/>
    <x v="19"/>
    <x v="0"/>
    <x v="4"/>
    <n v="2"/>
    <n v="56.86"/>
    <n v="34.47"/>
    <n v="0"/>
    <n v="113.72"/>
    <n v="68.94"/>
    <n v="44.78"/>
    <x v="1307"/>
    <x v="0"/>
    <x v="0"/>
    <s v="online"/>
  </r>
  <r>
    <s v="V00965"/>
    <d v="2025-07-31T00:00:00"/>
    <x v="0"/>
    <n v="7"/>
    <s v="julio"/>
    <s v="T3"/>
    <s v="P002"/>
    <x v="3"/>
    <x v="2"/>
    <x v="3"/>
    <n v="2"/>
    <n v="76.77"/>
    <n v="49.4"/>
    <n v="0"/>
    <n v="153.54"/>
    <n v="98.8"/>
    <n v="54.739999999999995"/>
    <x v="1308"/>
    <x v="1"/>
    <x v="6"/>
    <s v="tienda_fisica"/>
  </r>
  <r>
    <s v="V02117"/>
    <d v="2025-02-05T00:00:00"/>
    <x v="0"/>
    <n v="2"/>
    <s v="febrero"/>
    <s v="T1"/>
    <s v="P017"/>
    <x v="17"/>
    <x v="0"/>
    <x v="4"/>
    <n v="2"/>
    <n v="50.9"/>
    <n v="22.46"/>
    <n v="0.08"/>
    <n v="93.656000000000006"/>
    <n v="44.92"/>
    <n v="48.736000000000004"/>
    <x v="1309"/>
    <x v="0"/>
    <x v="5"/>
    <s v="tienda_fisica"/>
  </r>
  <r>
    <s v="V02073"/>
    <d v="2024-11-01T00:00:00"/>
    <x v="1"/>
    <n v="11"/>
    <s v="noviembre"/>
    <s v="T4"/>
    <s v="P016"/>
    <x v="11"/>
    <x v="2"/>
    <x v="2"/>
    <n v="1"/>
    <n v="81.319999999999993"/>
    <n v="41.72"/>
    <n v="7.0000000000000007E-2"/>
    <n v="75.627599999999987"/>
    <n v="41.72"/>
    <n v="33.907599999999988"/>
    <x v="1310"/>
    <x v="0"/>
    <x v="2"/>
    <s v="online"/>
  </r>
  <r>
    <s v="V00599"/>
    <d v="2024-05-03T00:00:00"/>
    <x v="1"/>
    <n v="5"/>
    <s v="mayo"/>
    <s v="T2"/>
    <s v="P003"/>
    <x v="7"/>
    <x v="2"/>
    <x v="3"/>
    <n v="1"/>
    <n v="168.19"/>
    <n v="91.78"/>
    <n v="0"/>
    <n v="168.19"/>
    <n v="91.78"/>
    <n v="76.41"/>
    <x v="1311"/>
    <x v="0"/>
    <x v="3"/>
    <s v="tienda_fisica"/>
  </r>
  <r>
    <s v="V00895"/>
    <d v="2025-08-28T00:00:00"/>
    <x v="0"/>
    <n v="8"/>
    <s v="agosto"/>
    <s v="T3"/>
    <s v="P007"/>
    <x v="15"/>
    <x v="1"/>
    <x v="0"/>
    <n v="4"/>
    <n v="19.07"/>
    <n v="12.75"/>
    <n v="0"/>
    <n v="76.28"/>
    <n v="51"/>
    <n v="25.28"/>
    <x v="1312"/>
    <x v="1"/>
    <x v="3"/>
    <s v="online"/>
  </r>
  <r>
    <s v="V00571"/>
    <d v="2024-03-21T00:00:00"/>
    <x v="1"/>
    <n v="3"/>
    <s v="marzo"/>
    <s v="T1"/>
    <s v="P017"/>
    <x v="17"/>
    <x v="0"/>
    <x v="4"/>
    <n v="1"/>
    <n v="50.62"/>
    <n v="23.07"/>
    <n v="0"/>
    <n v="50.62"/>
    <n v="23.07"/>
    <n v="27.549999999999997"/>
    <x v="1313"/>
    <x v="0"/>
    <x v="0"/>
    <s v="tienda_fisica"/>
  </r>
  <r>
    <s v="V00075"/>
    <d v="2024-06-13T00:00:00"/>
    <x v="1"/>
    <n v="6"/>
    <s v="junio"/>
    <s v="T2"/>
    <s v="P004"/>
    <x v="6"/>
    <x v="2"/>
    <x v="3"/>
    <n v="1"/>
    <n v="169.93"/>
    <n v="110.58"/>
    <n v="0"/>
    <n v="169.93"/>
    <n v="110.58"/>
    <n v="59.350000000000009"/>
    <x v="1314"/>
    <x v="1"/>
    <x v="3"/>
    <s v="tienda_fisica"/>
  </r>
  <r>
    <s v="V00062"/>
    <d v="2024-07-15T00:00:00"/>
    <x v="1"/>
    <n v="7"/>
    <s v="julio"/>
    <s v="T3"/>
    <s v="P006"/>
    <x v="0"/>
    <x v="0"/>
    <x v="0"/>
    <n v="5"/>
    <n v="46.9"/>
    <n v="26.63"/>
    <n v="0.1"/>
    <n v="211.05"/>
    <n v="133.15"/>
    <n v="77.900000000000006"/>
    <x v="1315"/>
    <x v="1"/>
    <x v="3"/>
    <s v="tienda_fisica"/>
  </r>
  <r>
    <s v="V01248"/>
    <d v="2025-01-04T00:00:00"/>
    <x v="0"/>
    <n v="1"/>
    <s v="enero"/>
    <s v="T1"/>
    <s v="P011"/>
    <x v="10"/>
    <x v="1"/>
    <x v="1"/>
    <n v="2"/>
    <n v="20.94"/>
    <n v="11.6"/>
    <n v="0"/>
    <n v="41.88"/>
    <n v="23.2"/>
    <n v="18.680000000000003"/>
    <x v="1316"/>
    <x v="0"/>
    <x v="5"/>
    <s v="tienda_fisica"/>
  </r>
  <r>
    <s v="V02293"/>
    <d v="2025-10-17T00:00:00"/>
    <x v="0"/>
    <n v="10"/>
    <s v="octubre"/>
    <s v="T4"/>
    <s v="P005"/>
    <x v="18"/>
    <x v="2"/>
    <x v="0"/>
    <n v="6"/>
    <n v="62.02"/>
    <n v="42.5"/>
    <n v="0"/>
    <n v="372.12"/>
    <n v="255"/>
    <n v="117.12"/>
    <x v="1317"/>
    <x v="1"/>
    <x v="5"/>
    <s v="online"/>
  </r>
  <r>
    <s v="V01260"/>
    <d v="2025-08-15T00:00:00"/>
    <x v="0"/>
    <n v="8"/>
    <s v="agosto"/>
    <s v="T3"/>
    <s v="P017"/>
    <x v="17"/>
    <x v="0"/>
    <x v="4"/>
    <n v="3"/>
    <n v="51.3"/>
    <n v="22.27"/>
    <n v="0"/>
    <n v="153.89999999999998"/>
    <n v="66.81"/>
    <n v="87.089999999999975"/>
    <x v="1318"/>
    <x v="0"/>
    <x v="2"/>
    <s v="online"/>
  </r>
  <r>
    <s v="V00810"/>
    <d v="2024-11-20T00:00:00"/>
    <x v="1"/>
    <n v="11"/>
    <s v="noviembre"/>
    <s v="T4"/>
    <s v="P016"/>
    <x v="11"/>
    <x v="2"/>
    <x v="2"/>
    <n v="2"/>
    <n v="73.52"/>
    <n v="42.66"/>
    <n v="0"/>
    <n v="147.04"/>
    <n v="85.32"/>
    <n v="61.72"/>
    <x v="1319"/>
    <x v="0"/>
    <x v="3"/>
    <s v="online"/>
  </r>
  <r>
    <s v="V00245"/>
    <d v="2025-12-26T00:00:00"/>
    <x v="0"/>
    <n v="12"/>
    <s v="diciembre"/>
    <s v="T4"/>
    <s v="P015"/>
    <x v="2"/>
    <x v="2"/>
    <x v="2"/>
    <n v="8"/>
    <n v="79.95"/>
    <n v="41.25"/>
    <n v="0"/>
    <n v="639.6"/>
    <n v="330"/>
    <n v="309.60000000000002"/>
    <x v="1320"/>
    <x v="0"/>
    <x v="3"/>
    <s v="tienda_fisica"/>
  </r>
  <r>
    <s v="V01050"/>
    <d v="2025-02-16T00:00:00"/>
    <x v="0"/>
    <n v="2"/>
    <s v="febrero"/>
    <s v="T1"/>
    <s v="P005"/>
    <x v="18"/>
    <x v="2"/>
    <x v="0"/>
    <n v="6"/>
    <n v="62.91"/>
    <n v="39.46"/>
    <n v="0"/>
    <n v="377.46"/>
    <n v="236.76"/>
    <n v="140.69999999999999"/>
    <x v="1321"/>
    <x v="1"/>
    <x v="4"/>
    <s v="tienda_fisica"/>
  </r>
  <r>
    <s v="V01413"/>
    <d v="2024-05-03T00:00:00"/>
    <x v="1"/>
    <n v="5"/>
    <s v="mayo"/>
    <s v="T2"/>
    <s v="P007"/>
    <x v="15"/>
    <x v="1"/>
    <x v="0"/>
    <n v="1"/>
    <n v="20.100000000000001"/>
    <n v="12.97"/>
    <n v="0"/>
    <n v="20.100000000000001"/>
    <n v="12.97"/>
    <n v="7.1300000000000008"/>
    <x v="1322"/>
    <x v="1"/>
    <x v="5"/>
    <s v="tienda_fisica"/>
  </r>
  <r>
    <s v="V01247"/>
    <d v="2024-09-08T00:00:00"/>
    <x v="1"/>
    <n v="9"/>
    <s v="septiembre"/>
    <s v="T3"/>
    <s v="P015"/>
    <x v="2"/>
    <x v="2"/>
    <x v="2"/>
    <n v="4"/>
    <n v="81.75"/>
    <n v="43.6"/>
    <n v="0.24"/>
    <n v="248.52"/>
    <n v="174.4"/>
    <n v="74.12"/>
    <x v="1323"/>
    <x v="1"/>
    <x v="3"/>
    <s v="tienda_fisica"/>
  </r>
  <r>
    <s v="V01937"/>
    <d v="2025-08-19T00:00:00"/>
    <x v="0"/>
    <n v="8"/>
    <s v="agosto"/>
    <s v="T3"/>
    <s v="P017"/>
    <x v="17"/>
    <x v="0"/>
    <x v="4"/>
    <n v="1"/>
    <n v="45.45"/>
    <n v="23.58"/>
    <n v="0"/>
    <n v="45.45"/>
    <n v="23.58"/>
    <n v="21.870000000000005"/>
    <x v="1324"/>
    <x v="0"/>
    <x v="5"/>
    <s v="online"/>
  </r>
  <r>
    <s v="V00106"/>
    <d v="2025-09-02T00:00:00"/>
    <x v="0"/>
    <n v="9"/>
    <s v="septiembre"/>
    <s v="T3"/>
    <s v="P005"/>
    <x v="18"/>
    <x v="0"/>
    <x v="0"/>
    <n v="1"/>
    <n v="57.29"/>
    <n v="39.83"/>
    <n v="0"/>
    <n v="57.29"/>
    <n v="39.83"/>
    <n v="17.46"/>
    <x v="1325"/>
    <x v="1"/>
    <x v="3"/>
    <s v="tienda_fisica"/>
  </r>
  <r>
    <s v="V00674"/>
    <d v="2025-07-02T00:00:00"/>
    <x v="0"/>
    <n v="7"/>
    <s v="julio"/>
    <s v="T3"/>
    <s v="P003"/>
    <x v="7"/>
    <x v="2"/>
    <x v="3"/>
    <n v="1"/>
    <n v="177.72"/>
    <n v="95.36"/>
    <n v="0"/>
    <n v="177.72"/>
    <n v="95.36"/>
    <n v="82.36"/>
    <x v="1326"/>
    <x v="0"/>
    <x v="3"/>
    <s v="online"/>
  </r>
  <r>
    <s v="V00643"/>
    <d v="2025-10-13T00:00:00"/>
    <x v="0"/>
    <n v="10"/>
    <s v="octubre"/>
    <s v="T4"/>
    <s v="P014"/>
    <x v="16"/>
    <x v="1"/>
    <x v="2"/>
    <n v="1"/>
    <n v="15.07"/>
    <n v="9.59"/>
    <n v="0"/>
    <n v="15.07"/>
    <n v="9.59"/>
    <n v="5.48"/>
    <x v="1327"/>
    <x v="1"/>
    <x v="5"/>
    <s v="online"/>
  </r>
  <r>
    <s v="V01978"/>
    <d v="2025-12-22T00:00:00"/>
    <x v="0"/>
    <n v="12"/>
    <s v="diciembre"/>
    <s v="T4"/>
    <s v="P008"/>
    <x v="4"/>
    <x v="2"/>
    <x v="0"/>
    <n v="4"/>
    <n v="96.9"/>
    <n v="60.05"/>
    <n v="7.0000000000000007E-2"/>
    <n v="360.46800000000002"/>
    <n v="240.2"/>
    <n v="120.26800000000003"/>
    <x v="1328"/>
    <x v="1"/>
    <x v="5"/>
    <s v="online"/>
  </r>
  <r>
    <s v="V00666"/>
    <d v="2024-02-06T00:00:00"/>
    <x v="1"/>
    <n v="2"/>
    <s v="febrero"/>
    <s v="T1"/>
    <s v="P015"/>
    <x v="2"/>
    <x v="2"/>
    <x v="2"/>
    <n v="5"/>
    <n v="73.25"/>
    <n v="43.71"/>
    <n v="0"/>
    <n v="366.25"/>
    <n v="218.55"/>
    <n v="147.69999999999999"/>
    <x v="1329"/>
    <x v="0"/>
    <x v="3"/>
    <s v="tienda_fisica"/>
  </r>
  <r>
    <s v="V00510"/>
    <d v="2024-10-09T00:00:00"/>
    <x v="1"/>
    <n v="10"/>
    <s v="octubre"/>
    <s v="T4"/>
    <s v="P017"/>
    <x v="17"/>
    <x v="0"/>
    <x v="4"/>
    <n v="10"/>
    <n v="51.82"/>
    <n v="21.62"/>
    <n v="0"/>
    <n v="518.20000000000005"/>
    <n v="216.20000000000002"/>
    <n v="302"/>
    <x v="1330"/>
    <x v="0"/>
    <x v="2"/>
    <s v="tienda_fisica"/>
  </r>
  <r>
    <s v="V00132"/>
    <d v="2024-06-03T00:00:00"/>
    <x v="1"/>
    <n v="6"/>
    <s v="junio"/>
    <s v="T2"/>
    <s v="P017"/>
    <x v="17"/>
    <x v="0"/>
    <x v="4"/>
    <n v="7"/>
    <n v="53.14"/>
    <n v="21.75"/>
    <n v="0.13500000000000001"/>
    <n v="321.7627"/>
    <n v="152.25"/>
    <n v="169.5127"/>
    <x v="1331"/>
    <x v="0"/>
    <x v="6"/>
    <s v="tienda_fisica"/>
  </r>
  <r>
    <s v="V00445"/>
    <d v="2024-03-18T00:00:00"/>
    <x v="1"/>
    <n v="3"/>
    <s v="marzo"/>
    <s v="T1"/>
    <s v="P011"/>
    <x v="10"/>
    <x v="1"/>
    <x v="1"/>
    <n v="2"/>
    <n v="21.76"/>
    <n v="11.04"/>
    <n v="0"/>
    <n v="43.52"/>
    <n v="22.08"/>
    <n v="21.440000000000005"/>
    <x v="1332"/>
    <x v="0"/>
    <x v="1"/>
    <s v="online"/>
  </r>
  <r>
    <s v="V00867"/>
    <d v="2025-11-05T00:00:00"/>
    <x v="0"/>
    <n v="11"/>
    <s v="noviembre"/>
    <s v="T4"/>
    <s v="P016"/>
    <x v="11"/>
    <x v="2"/>
    <x v="2"/>
    <n v="5"/>
    <n v="75.02"/>
    <n v="39.549999999999997"/>
    <n v="0"/>
    <n v="375.09999999999997"/>
    <n v="197.75"/>
    <n v="177.34999999999997"/>
    <x v="1333"/>
    <x v="0"/>
    <x v="5"/>
    <s v="tienda_fisica"/>
  </r>
  <r>
    <s v="V00956"/>
    <d v="2024-02-27T00:00:00"/>
    <x v="1"/>
    <n v="2"/>
    <s v="febrero"/>
    <s v="T1"/>
    <s v="P008"/>
    <x v="4"/>
    <x v="2"/>
    <x v="0"/>
    <n v="5"/>
    <n v="106.45"/>
    <n v="58.6"/>
    <n v="0"/>
    <n v="532.25"/>
    <n v="293"/>
    <n v="239.25"/>
    <x v="485"/>
    <x v="0"/>
    <x v="2"/>
    <s v="online"/>
  </r>
  <r>
    <s v="V02292"/>
    <d v="2025-12-29T00:00:00"/>
    <x v="0"/>
    <n v="12"/>
    <s v="diciembre"/>
    <s v="T4"/>
    <s v="P012"/>
    <x v="13"/>
    <x v="1"/>
    <x v="1"/>
    <n v="5"/>
    <n v="9.25"/>
    <n v="5.87"/>
    <n v="0"/>
    <n v="46.25"/>
    <n v="29.35"/>
    <n v="16.899999999999999"/>
    <x v="1334"/>
    <x v="1"/>
    <x v="3"/>
    <s v="tienda_fisica"/>
  </r>
  <r>
    <s v="V01061"/>
    <d v="2025-04-15T00:00:00"/>
    <x v="0"/>
    <n v="4"/>
    <s v="abril"/>
    <s v="T2"/>
    <s v="P011"/>
    <x v="10"/>
    <x v="1"/>
    <x v="1"/>
    <n v="1"/>
    <n v="20.83"/>
    <n v="11.28"/>
    <n v="0"/>
    <n v="20.83"/>
    <n v="11.28"/>
    <n v="9.5499999999999989"/>
    <x v="1335"/>
    <x v="0"/>
    <x v="2"/>
    <s v="tienda_fisica"/>
  </r>
  <r>
    <s v="V00209"/>
    <d v="2025-03-10T00:00:00"/>
    <x v="0"/>
    <n v="3"/>
    <s v="marzo"/>
    <s v="T1"/>
    <s v="P018"/>
    <x v="5"/>
    <x v="1"/>
    <x v="4"/>
    <n v="1"/>
    <n v="29.8"/>
    <n v="18.07"/>
    <n v="0"/>
    <n v="29.8"/>
    <n v="18.07"/>
    <n v="11.73"/>
    <x v="1336"/>
    <x v="0"/>
    <x v="0"/>
    <s v="tienda_fisica"/>
  </r>
  <r>
    <s v="V00058"/>
    <d v="2025-05-14T00:00:00"/>
    <x v="0"/>
    <n v="5"/>
    <s v="mayo"/>
    <s v="T2"/>
    <s v="P006"/>
    <x v="0"/>
    <x v="0"/>
    <x v="0"/>
    <n v="2"/>
    <n v="48.22"/>
    <n v="26.03"/>
    <n v="0.28999999999999998"/>
    <n v="68.472399999999993"/>
    <n v="52.06"/>
    <n v="16.412399999999991"/>
    <x v="1337"/>
    <x v="1"/>
    <x v="3"/>
    <s v="tienda_fisica "/>
  </r>
  <r>
    <s v="V02173"/>
    <d v="2025-07-30T00:00:00"/>
    <x v="0"/>
    <n v="7"/>
    <s v="julio"/>
    <s v="T3"/>
    <s v="P010"/>
    <x v="1"/>
    <x v="1"/>
    <x v="1"/>
    <n v="8"/>
    <n v="16.22"/>
    <n v="11.61"/>
    <n v="0"/>
    <n v="129.76"/>
    <n v="92.88"/>
    <n v="36.879999999999995"/>
    <x v="1338"/>
    <x v="1"/>
    <x v="2"/>
    <s v="online"/>
  </r>
  <r>
    <s v="V00103"/>
    <d v="2025-12-07T00:00:00"/>
    <x v="0"/>
    <n v="12"/>
    <s v="diciembre"/>
    <s v="T4"/>
    <s v="P002"/>
    <x v="3"/>
    <x v="2"/>
    <x v="3"/>
    <n v="1"/>
    <n v="74.33"/>
    <n v="49.49"/>
    <n v="0"/>
    <n v="74.33"/>
    <n v="49.49"/>
    <n v="24.839999999999996"/>
    <x v="1339"/>
    <x v="1"/>
    <x v="3"/>
    <s v="tienda_fisica"/>
  </r>
  <r>
    <s v="V01870"/>
    <d v="2025-11-29T00:00:00"/>
    <x v="0"/>
    <n v="11"/>
    <s v="noviembre"/>
    <s v="T4"/>
    <s v="P001"/>
    <x v="9"/>
    <x v="2"/>
    <x v="3"/>
    <n v="5"/>
    <n v="130.69"/>
    <n v="83.8"/>
    <n v="0"/>
    <n v="653.45000000000005"/>
    <n v="419"/>
    <n v="234.45000000000005"/>
    <x v="1340"/>
    <x v="1"/>
    <x v="6"/>
    <s v="online"/>
  </r>
  <r>
    <s v="V01808"/>
    <d v="2025-03-16T00:00:00"/>
    <x v="0"/>
    <n v="3"/>
    <s v="marzo"/>
    <s v="T1"/>
    <s v="P007"/>
    <x v="15"/>
    <x v="1"/>
    <x v="0"/>
    <n v="3"/>
    <n v="20.57"/>
    <n v="12.98"/>
    <n v="0"/>
    <n v="61.71"/>
    <n v="38.94"/>
    <n v="22.770000000000003"/>
    <x v="1341"/>
    <x v="1"/>
    <x v="0"/>
    <s v="online"/>
  </r>
  <r>
    <s v="V01585"/>
    <d v="2024-05-05T00:00:00"/>
    <x v="1"/>
    <n v="5"/>
    <s v="mayo"/>
    <s v="T2"/>
    <s v="P002"/>
    <x v="3"/>
    <x v="2"/>
    <x v="3"/>
    <n v="3"/>
    <n v="78.7"/>
    <n v="48.36"/>
    <n v="0"/>
    <n v="236.10000000000002"/>
    <n v="145.07999999999998"/>
    <n v="91.020000000000039"/>
    <x v="1342"/>
    <x v="0"/>
    <x v="5"/>
    <s v="online"/>
  </r>
  <r>
    <s v="V00087"/>
    <d v="2024-04-02T00:00:00"/>
    <x v="1"/>
    <n v="4"/>
    <s v="abril"/>
    <s v="T2"/>
    <s v="P008"/>
    <x v="4"/>
    <x v="2"/>
    <x v="0"/>
    <n v="4"/>
    <n v="101.7"/>
    <n v="58.58"/>
    <n v="0"/>
    <n v="406.8"/>
    <n v="234.32"/>
    <n v="172.48000000000002"/>
    <x v="1343"/>
    <x v="0"/>
    <x v="0"/>
    <s v="online"/>
  </r>
  <r>
    <s v="V02207"/>
    <d v="2025-04-19T00:00:00"/>
    <x v="0"/>
    <n v="4"/>
    <s v="abril"/>
    <s v="T2"/>
    <s v="P008"/>
    <x v="4"/>
    <x v="2"/>
    <x v="0"/>
    <n v="1"/>
    <n v="105.23"/>
    <n v="59.52"/>
    <n v="0"/>
    <n v="105.23"/>
    <n v="59.52"/>
    <n v="45.71"/>
    <x v="1344"/>
    <x v="0"/>
    <x v="3"/>
    <s v="online"/>
  </r>
  <r>
    <s v="V00772"/>
    <d v="2024-10-23T00:00:00"/>
    <x v="1"/>
    <n v="10"/>
    <s v="octubre"/>
    <s v="T4"/>
    <s v="P020"/>
    <x v="19"/>
    <x v="0"/>
    <x v="4"/>
    <n v="1"/>
    <n v="58.13"/>
    <n v="32.94"/>
    <n v="0"/>
    <n v="58.13"/>
    <n v="32.94"/>
    <n v="25.190000000000005"/>
    <x v="1345"/>
    <x v="0"/>
    <x v="4"/>
    <s v="online"/>
  </r>
  <r>
    <s v="V01583"/>
    <d v="2025-01-19T00:00:00"/>
    <x v="0"/>
    <n v="1"/>
    <s v="enero"/>
    <s v="T1"/>
    <s v="P019"/>
    <x v="14"/>
    <x v="2"/>
    <x v="4"/>
    <n v="1"/>
    <n v="58.53"/>
    <n v="32.68"/>
    <n v="0"/>
    <n v="58.53"/>
    <n v="32.68"/>
    <n v="25.85"/>
    <x v="1346"/>
    <x v="0"/>
    <x v="2"/>
    <s v="tienda_fisica"/>
  </r>
  <r>
    <s v="V01565"/>
    <d v="2025-01-10T00:00:00"/>
    <x v="0"/>
    <n v="1"/>
    <s v="enero"/>
    <s v="T1"/>
    <s v="P007"/>
    <x v="15"/>
    <x v="1"/>
    <x v="0"/>
    <n v="1"/>
    <n v="18.75"/>
    <n v="12.34"/>
    <n v="0"/>
    <n v="18.75"/>
    <n v="12.34"/>
    <n v="6.41"/>
    <x v="1347"/>
    <x v="1"/>
    <x v="4"/>
    <s v="tienda_fisica"/>
  </r>
  <r>
    <s v="V00709"/>
    <d v="2024-02-11T00:00:00"/>
    <x v="1"/>
    <n v="2"/>
    <s v="febrero"/>
    <s v="T1"/>
    <s v="P016"/>
    <x v="11"/>
    <x v="2"/>
    <x v="2"/>
    <n v="3"/>
    <n v="73.98"/>
    <n v="41.91"/>
    <n v="0.14000000000000001"/>
    <n v="190.86840000000001"/>
    <n v="125.72999999999999"/>
    <n v="65.138400000000019"/>
    <x v="1348"/>
    <x v="1"/>
    <x v="0"/>
    <s v="tienda_fisica"/>
  </r>
  <r>
    <s v="V01110"/>
    <d v="2025-03-08T00:00:00"/>
    <x v="0"/>
    <n v="3"/>
    <s v="marzo"/>
    <s v="T1"/>
    <s v="P013"/>
    <x v="8"/>
    <x v="2"/>
    <x v="2"/>
    <n v="3"/>
    <n v="72.13"/>
    <n v="49.51"/>
    <n v="0"/>
    <n v="216.39"/>
    <n v="148.53"/>
    <n v="67.859999999999985"/>
    <x v="1349"/>
    <x v="1"/>
    <x v="3"/>
    <s v="online"/>
  </r>
  <r>
    <s v="V02001"/>
    <d v="2024-11-11T00:00:00"/>
    <x v="1"/>
    <n v="11"/>
    <s v="noviembre"/>
    <s v="T4"/>
    <s v="P007"/>
    <x v="15"/>
    <x v="1"/>
    <x v="0"/>
    <n v="2"/>
    <n v="20.39"/>
    <n v="13.07"/>
    <n v="0.16"/>
    <n v="34.255200000000002"/>
    <n v="26.14"/>
    <n v="8.1152000000000015"/>
    <x v="1350"/>
    <x v="1"/>
    <x v="4"/>
    <s v="tienda_fisica"/>
  </r>
  <r>
    <s v="V01715"/>
    <d v="2025-03-08T00:00:00"/>
    <x v="0"/>
    <n v="3"/>
    <s v="marzo"/>
    <s v="T1"/>
    <s v="P002"/>
    <x v="3"/>
    <x v="2"/>
    <x v="3"/>
    <n v="3"/>
    <n v="71.180000000000007"/>
    <n v="45.65"/>
    <n v="0"/>
    <n v="213.54000000000002"/>
    <n v="136.94999999999999"/>
    <n v="76.590000000000032"/>
    <x v="1351"/>
    <x v="1"/>
    <x v="3"/>
    <s v="tienda_fisica"/>
  </r>
  <r>
    <s v="V02007"/>
    <d v="2025-11-09T00:00:00"/>
    <x v="0"/>
    <n v="11"/>
    <s v="noviembre"/>
    <s v="T4"/>
    <s v="P006"/>
    <x v="0"/>
    <x v="0"/>
    <x v="0"/>
    <n v="1"/>
    <n v="50.36"/>
    <n v="25.74"/>
    <n v="0.16"/>
    <n v="42.302399999999999"/>
    <n v="25.74"/>
    <n v="16.5624"/>
    <x v="1352"/>
    <x v="0"/>
    <x v="4"/>
    <s v="tienda_fisica"/>
  </r>
  <r>
    <s v="V00539"/>
    <d v="2024-11-11T00:00:00"/>
    <x v="1"/>
    <n v="11"/>
    <s v="noviembre"/>
    <s v="T4"/>
    <s v="P003"/>
    <x v="7"/>
    <x v="2"/>
    <x v="3"/>
    <n v="2"/>
    <n v="179.68"/>
    <n v="98.52"/>
    <n v="0"/>
    <n v="359.36"/>
    <n v="197.04"/>
    <n v="162.32000000000002"/>
    <x v="1353"/>
    <x v="0"/>
    <x v="3"/>
    <s v="tienda_fisica"/>
  </r>
  <r>
    <s v="V01843"/>
    <d v="2024-08-07T00:00:00"/>
    <x v="1"/>
    <n v="8"/>
    <s v="agosto"/>
    <s v="T3"/>
    <s v="P002"/>
    <x v="3"/>
    <x v="2"/>
    <x v="3"/>
    <n v="5"/>
    <n v="68.66"/>
    <n v="47.43"/>
    <n v="0"/>
    <n v="343.29999999999995"/>
    <n v="237.15"/>
    <n v="106.14999999999995"/>
    <x v="1354"/>
    <x v="1"/>
    <x v="0"/>
    <s v="tienda_fisica"/>
  </r>
  <r>
    <s v="V01511"/>
    <d v="2024-04-05T00:00:00"/>
    <x v="1"/>
    <n v="4"/>
    <s v="abril"/>
    <s v="T2"/>
    <s v="P014"/>
    <x v="16"/>
    <x v="1"/>
    <x v="2"/>
    <n v="1"/>
    <n v="13.5"/>
    <n v="9.68"/>
    <n v="0"/>
    <n v="13.5"/>
    <n v="9.68"/>
    <n v="3.8200000000000003"/>
    <x v="1355"/>
    <x v="1"/>
    <x v="0"/>
    <s v="tienda_fisica"/>
  </r>
  <r>
    <s v="V01996"/>
    <d v="2025-05-19T00:00:00"/>
    <x v="0"/>
    <n v="5"/>
    <s v="mayo"/>
    <s v="T2"/>
    <s v="P016"/>
    <x v="11"/>
    <x v="2"/>
    <x v="2"/>
    <n v="2"/>
    <n v="77.23"/>
    <n v="41.35"/>
    <n v="0.27"/>
    <n v="112.75580000000001"/>
    <n v="82.7"/>
    <n v="30.055800000000005"/>
    <x v="1356"/>
    <x v="1"/>
    <x v="0"/>
    <s v="tienda_fisica"/>
  </r>
  <r>
    <s v="V01676"/>
    <d v="2024-06-20T00:00:00"/>
    <x v="1"/>
    <n v="6"/>
    <s v="junio"/>
    <s v="T2"/>
    <s v="P010"/>
    <x v="1"/>
    <x v="1"/>
    <x v="1"/>
    <n v="3"/>
    <n v="17.37"/>
    <n v="11.19"/>
    <n v="0"/>
    <n v="52.11"/>
    <n v="33.57"/>
    <n v="18.54"/>
    <x v="1357"/>
    <x v="1"/>
    <x v="3"/>
    <s v="tienda_fisica"/>
  </r>
  <r>
    <s v="V00419"/>
    <d v="2025-06-12T00:00:00"/>
    <x v="0"/>
    <n v="6"/>
    <s v="junio"/>
    <s v="T2"/>
    <s v="P008"/>
    <x v="4"/>
    <x v="2"/>
    <x v="0"/>
    <n v="2"/>
    <n v="108.98"/>
    <n v="54.63"/>
    <n v="0"/>
    <n v="217.96"/>
    <n v="109.26"/>
    <n v="108.7"/>
    <x v="1358"/>
    <x v="0"/>
    <x v="0"/>
    <s v="tienda_fisica"/>
  </r>
  <r>
    <s v="V00498"/>
    <d v="2025-06-20T00:00:00"/>
    <x v="0"/>
    <n v="6"/>
    <s v="junio"/>
    <s v="T2"/>
    <s v="P010"/>
    <x v="1"/>
    <x v="1"/>
    <x v="1"/>
    <n v="1"/>
    <n v="15.61"/>
    <n v="10.93"/>
    <n v="0"/>
    <n v="15.61"/>
    <n v="10.93"/>
    <n v="4.68"/>
    <x v="1359"/>
    <x v="1"/>
    <x v="3"/>
    <s v="tienda_fisica"/>
  </r>
  <r>
    <s v="V01074"/>
    <d v="2025-10-30T00:00:00"/>
    <x v="0"/>
    <n v="10"/>
    <s v="octubre"/>
    <s v="T4"/>
    <s v="P009"/>
    <x v="12"/>
    <x v="1"/>
    <x v="1"/>
    <n v="1"/>
    <n v="8.18"/>
    <n v="4.16"/>
    <n v="0"/>
    <n v="8.18"/>
    <n v="4.16"/>
    <n v="4.0199999999999996"/>
    <x v="1360"/>
    <x v="0"/>
    <x v="3"/>
    <s v="online"/>
  </r>
  <r>
    <s v="V02118"/>
    <d v="2025-09-28T00:00:00"/>
    <x v="0"/>
    <n v="9"/>
    <s v="septiembre"/>
    <s v="T3"/>
    <s v="P003"/>
    <x v="7"/>
    <x v="2"/>
    <x v="3"/>
    <n v="2"/>
    <n v="178.02"/>
    <n v="97.43"/>
    <n v="0"/>
    <n v="356.04"/>
    <n v="194.86"/>
    <n v="161.18"/>
    <x v="1361"/>
    <x v="0"/>
    <x v="5"/>
    <s v="tienda_fisica"/>
  </r>
  <r>
    <s v="V01868"/>
    <d v="2024-05-14T00:00:00"/>
    <x v="1"/>
    <n v="5"/>
    <s v="mayo"/>
    <s v="T2"/>
    <s v="P008"/>
    <x v="4"/>
    <x v="2"/>
    <x v="0"/>
    <n v="2"/>
    <n v="105.83"/>
    <n v="55.19"/>
    <n v="0"/>
    <n v="211.66"/>
    <n v="110.38"/>
    <n v="101.28"/>
    <x v="1362"/>
    <x v="0"/>
    <x v="3"/>
    <s v="tienda_fisica"/>
  </r>
  <r>
    <s v="V01644"/>
    <d v="2025-11-28T00:00:00"/>
    <x v="0"/>
    <n v="11"/>
    <s v="noviembre"/>
    <s v="T4"/>
    <s v="P018"/>
    <x v="5"/>
    <x v="0"/>
    <x v="4"/>
    <n v="2"/>
    <n v="30.66"/>
    <n v="17.72"/>
    <n v="0"/>
    <n v="61.32"/>
    <n v="35.44"/>
    <n v="25.880000000000003"/>
    <x v="1363"/>
    <x v="0"/>
    <x v="6"/>
    <s v="online"/>
  </r>
  <r>
    <s v="V00852"/>
    <d v="2024-06-15T00:00:00"/>
    <x v="1"/>
    <n v="6"/>
    <s v="junio"/>
    <s v="T2"/>
    <s v="P019"/>
    <x v="14"/>
    <x v="2"/>
    <x v="4"/>
    <n v="1"/>
    <n v="61.53"/>
    <n v="32.71"/>
    <n v="0"/>
    <n v="61.53"/>
    <n v="32.71"/>
    <n v="28.82"/>
    <x v="1364"/>
    <x v="0"/>
    <x v="3"/>
    <s v="tienda_fisica"/>
  </r>
  <r>
    <s v="V01005"/>
    <d v="2025-04-23T00:00:00"/>
    <x v="0"/>
    <n v="4"/>
    <s v="abril"/>
    <s v="T2"/>
    <s v="P010"/>
    <x v="1"/>
    <x v="1"/>
    <x v="1"/>
    <n v="3"/>
    <n v="15.54"/>
    <n v="11.07"/>
    <n v="0"/>
    <n v="46.62"/>
    <n v="33.21"/>
    <n v="13.409999999999997"/>
    <x v="1365"/>
    <x v="1"/>
    <x v="2"/>
    <s v="tienda_fisica"/>
  </r>
  <r>
    <s v="V00437"/>
    <d v="2025-11-03T00:00:00"/>
    <x v="0"/>
    <n v="11"/>
    <s v="noviembre"/>
    <s v="T4"/>
    <s v="P007"/>
    <x v="15"/>
    <x v="1"/>
    <x v="0"/>
    <n v="1"/>
    <n v="19.88"/>
    <n v="13.16"/>
    <n v="0"/>
    <n v="19.88"/>
    <n v="13.16"/>
    <n v="6.7199999999999989"/>
    <x v="1366"/>
    <x v="1"/>
    <x v="6"/>
    <s v="tienda_fisica"/>
  </r>
  <r>
    <s v="V01317"/>
    <d v="2024-08-20T00:00:00"/>
    <x v="1"/>
    <n v="8"/>
    <s v="agosto"/>
    <s v="T3"/>
    <s v="P007"/>
    <x v="15"/>
    <x v="1"/>
    <x v="0"/>
    <n v="1"/>
    <n v="18.559999999999999"/>
    <n v="12.59"/>
    <n v="0"/>
    <n v="18.559999999999999"/>
    <n v="12.59"/>
    <n v="5.9699999999999989"/>
    <x v="1367"/>
    <x v="1"/>
    <x v="3"/>
    <s v="tienda_fisica"/>
  </r>
  <r>
    <s v="V01280"/>
    <d v="2024-08-19T00:00:00"/>
    <x v="1"/>
    <n v="8"/>
    <s v="agosto"/>
    <s v="T3"/>
    <s v="P020"/>
    <x v="19"/>
    <x v="2"/>
    <x v="4"/>
    <n v="1"/>
    <n v="61.38"/>
    <n v="34.99"/>
    <n v="0"/>
    <n v="61.38"/>
    <n v="34.99"/>
    <n v="26.39"/>
    <x v="1368"/>
    <x v="0"/>
    <x v="5"/>
    <s v="tienda_fisica"/>
  </r>
  <r>
    <s v="V01004"/>
    <d v="2024-12-01T00:00:00"/>
    <x v="1"/>
    <n v="12"/>
    <s v="diciembre"/>
    <s v="T4"/>
    <s v="P001"/>
    <x v="9"/>
    <x v="2"/>
    <x v="3"/>
    <n v="5"/>
    <n v="117.77"/>
    <n v="81.77"/>
    <n v="0.23"/>
    <n v="453.41450000000003"/>
    <n v="408.84999999999997"/>
    <n v="44.564500000000066"/>
    <x v="1369"/>
    <x v="1"/>
    <x v="3"/>
    <s v="online"/>
  </r>
  <r>
    <s v="V01279"/>
    <m/>
    <x v="2"/>
    <n v="1"/>
    <s v="enero"/>
    <s v="T1"/>
    <s v="P017"/>
    <x v="17"/>
    <x v="0"/>
    <x v="4"/>
    <n v="1"/>
    <n v="49.57"/>
    <n v="22.41"/>
    <n v="0.09"/>
    <n v="45.108699999999999"/>
    <n v="22.41"/>
    <n v="22.698699999999999"/>
    <x v="1370"/>
    <x v="0"/>
    <x v="2"/>
    <s v="online"/>
  </r>
  <r>
    <s v="V01033"/>
    <d v="2024-05-25T00:00:00"/>
    <x v="1"/>
    <n v="5"/>
    <s v="mayo"/>
    <s v="T2"/>
    <s v="P015"/>
    <x v="2"/>
    <x v="2"/>
    <x v="2"/>
    <n v="2"/>
    <n v="83.7"/>
    <n v="44.42"/>
    <n v="0.24"/>
    <n v="127.224"/>
    <n v="88.84"/>
    <n v="38.384"/>
    <x v="1371"/>
    <x v="1"/>
    <x v="6"/>
    <s v="tienda_fisica"/>
  </r>
  <r>
    <s v="V01666"/>
    <d v="2025-01-13T00:00:00"/>
    <x v="0"/>
    <n v="1"/>
    <s v="enero"/>
    <s v="T1"/>
    <s v="P013"/>
    <x v="8"/>
    <x v="2"/>
    <x v="2"/>
    <n v="3"/>
    <n v="75.41"/>
    <n v="49.29"/>
    <n v="0"/>
    <n v="226.23"/>
    <n v="147.87"/>
    <n v="78.359999999999985"/>
    <x v="1372"/>
    <x v="1"/>
    <x v="3"/>
    <s v="tienda_fisica"/>
  </r>
  <r>
    <s v="V02199"/>
    <d v="2024-06-11T00:00:00"/>
    <x v="1"/>
    <n v="6"/>
    <s v="junio"/>
    <s v="T2"/>
    <s v="P018"/>
    <x v="5"/>
    <x v="0"/>
    <x v="4"/>
    <n v="1"/>
    <n v="31.72"/>
    <n v="17.54"/>
    <n v="0.27"/>
    <n v="23.1556"/>
    <n v="17.54"/>
    <n v="5.6156000000000006"/>
    <x v="1373"/>
    <x v="1"/>
    <x v="3"/>
    <s v="tienda_fisica"/>
  </r>
  <r>
    <s v="V02167"/>
    <d v="2024-09-29T00:00:00"/>
    <x v="1"/>
    <n v="9"/>
    <s v="septiembre"/>
    <s v="T3"/>
    <s v="P004"/>
    <x v="6"/>
    <x v="2"/>
    <x v="3"/>
    <n v="3"/>
    <n v="159.80000000000001"/>
    <n v="104.81"/>
    <n v="0.17"/>
    <n v="397.90199999999999"/>
    <n v="314.43"/>
    <n v="83.47199999999998"/>
    <x v="1374"/>
    <x v="1"/>
    <x v="3"/>
    <s v="online"/>
  </r>
  <r>
    <s v="V00305"/>
    <d v="2024-10-08T00:00:00"/>
    <x v="1"/>
    <n v="10"/>
    <s v="octubre"/>
    <s v="T4"/>
    <s v="P006"/>
    <x v="0"/>
    <x v="0"/>
    <x v="0"/>
    <n v="1"/>
    <n v="44.82"/>
    <n v="26.08"/>
    <n v="0"/>
    <n v="44.82"/>
    <n v="26.08"/>
    <n v="18.740000000000002"/>
    <x v="1375"/>
    <x v="0"/>
    <x v="3"/>
    <s v="tienda_fisica"/>
  </r>
  <r>
    <s v="V01941"/>
    <d v="2024-05-24T00:00:00"/>
    <x v="1"/>
    <n v="5"/>
    <s v="mayo"/>
    <s v="T2"/>
    <s v="P001"/>
    <x v="9"/>
    <x v="2"/>
    <x v="3"/>
    <n v="1"/>
    <n v="116.4"/>
    <n v="87.38"/>
    <n v="0"/>
    <n v="116.4"/>
    <n v="87.38"/>
    <n v="29.02000000000001"/>
    <x v="1376"/>
    <x v="1"/>
    <x v="5"/>
    <s v="tienda_fisica"/>
  </r>
  <r>
    <s v="V01099"/>
    <d v="2025-10-19T00:00:00"/>
    <x v="0"/>
    <n v="10"/>
    <s v="octubre"/>
    <s v="T4"/>
    <s v="P003"/>
    <x v="7"/>
    <x v="2"/>
    <x v="3"/>
    <n v="1"/>
    <n v="173.75"/>
    <n v="98.66"/>
    <n v="0"/>
    <n v="173.75"/>
    <n v="98.66"/>
    <n v="75.09"/>
    <x v="1377"/>
    <x v="0"/>
    <x v="0"/>
    <s v="online"/>
  </r>
  <r>
    <s v="V00336"/>
    <d v="2024-11-14T00:00:00"/>
    <x v="1"/>
    <n v="11"/>
    <s v="noviembre"/>
    <s v="T4"/>
    <s v="P010"/>
    <x v="1"/>
    <x v="1"/>
    <x v="1"/>
    <n v="2"/>
    <n v="15.52"/>
    <n v="11.11"/>
    <n v="0"/>
    <n v="31.04"/>
    <n v="22.22"/>
    <n v="8.82"/>
    <x v="1378"/>
    <x v="1"/>
    <x v="3"/>
    <s v="tienda_fisica"/>
  </r>
  <r>
    <s v="V00996"/>
    <d v="2025-10-04T00:00:00"/>
    <x v="0"/>
    <n v="10"/>
    <s v="octubre"/>
    <s v="T4"/>
    <s v="P013"/>
    <x v="8"/>
    <x v="2"/>
    <x v="2"/>
    <n v="1"/>
    <n v="71.81"/>
    <n v="45.36"/>
    <n v="0.24"/>
    <n v="54.575600000000001"/>
    <n v="45.36"/>
    <n v="9.215600000000002"/>
    <x v="1379"/>
    <x v="1"/>
    <x v="5"/>
    <s v="tienda_fisica"/>
  </r>
  <r>
    <s v="V00570"/>
    <d v="2025-12-22T00:00:00"/>
    <x v="0"/>
    <n v="12"/>
    <s v="diciembre"/>
    <s v="T4"/>
    <s v="P016"/>
    <x v="11"/>
    <x v="2"/>
    <x v="2"/>
    <n v="5"/>
    <n v="83.4"/>
    <n v="42.04"/>
    <n v="0"/>
    <n v="417"/>
    <n v="210.2"/>
    <n v="206.8"/>
    <x v="1380"/>
    <x v="0"/>
    <x v="3"/>
    <s v="tienda_fisica"/>
  </r>
  <r>
    <s v="V00089"/>
    <d v="2024-06-28T00:00:00"/>
    <x v="1"/>
    <n v="6"/>
    <s v="junio"/>
    <s v="T2"/>
    <s v="P006"/>
    <x v="0"/>
    <x v="0"/>
    <x v="0"/>
    <n v="4"/>
    <n v="49.81"/>
    <n v="25.68"/>
    <n v="0"/>
    <n v="199.24"/>
    <n v="102.72"/>
    <n v="96.52000000000001"/>
    <x v="1381"/>
    <x v="0"/>
    <x v="3"/>
    <s v="tienda_fisica"/>
  </r>
  <r>
    <s v="V00875"/>
    <d v="2024-11-23T00:00:00"/>
    <x v="1"/>
    <n v="11"/>
    <s v="noviembre"/>
    <s v="T4"/>
    <s v="P014"/>
    <x v="16"/>
    <x v="1"/>
    <x v="2"/>
    <n v="4"/>
    <n v="13.2"/>
    <n v="9.11"/>
    <n v="0"/>
    <n v="52.8"/>
    <n v="36.44"/>
    <n v="16.36"/>
    <x v="1382"/>
    <x v="1"/>
    <x v="2"/>
    <s v="tienda_fisica"/>
  </r>
  <r>
    <s v="V02088"/>
    <d v="2024-09-18T00:00:00"/>
    <x v="1"/>
    <n v="9"/>
    <s v="septiembre"/>
    <s v="T3"/>
    <s v="P014"/>
    <x v="16"/>
    <x v="1"/>
    <x v="2"/>
    <n v="10"/>
    <n v="14.48"/>
    <n v="9.2200000000000006"/>
    <n v="0"/>
    <n v="144.80000000000001"/>
    <n v="92.2"/>
    <n v="52.600000000000009"/>
    <x v="1383"/>
    <x v="1"/>
    <x v="0"/>
    <s v="tienda_fisica"/>
  </r>
  <r>
    <s v="V01242"/>
    <d v="2025-11-08T00:00:00"/>
    <x v="0"/>
    <n v="11"/>
    <s v="noviembre"/>
    <s v="T4"/>
    <s v="P007"/>
    <x v="15"/>
    <x v="1"/>
    <x v="0"/>
    <n v="2"/>
    <n v="20.77"/>
    <n v="12.68"/>
    <n v="0"/>
    <n v="41.54"/>
    <n v="25.36"/>
    <n v="16.18"/>
    <x v="1384"/>
    <x v="0"/>
    <x v="2"/>
    <s v="online"/>
  </r>
  <r>
    <s v="V01957"/>
    <d v="2024-06-16T00:00:00"/>
    <x v="1"/>
    <n v="6"/>
    <s v="junio"/>
    <s v="T2"/>
    <s v="P006"/>
    <x v="0"/>
    <x v="0"/>
    <x v="0"/>
    <n v="1"/>
    <n v="46.27"/>
    <n v="27.64"/>
    <n v="0"/>
    <n v="46.27"/>
    <n v="27.64"/>
    <n v="18.630000000000003"/>
    <x v="1385"/>
    <x v="0"/>
    <x v="4"/>
    <s v="online"/>
  </r>
  <r>
    <s v="V00713"/>
    <d v="2025-04-09T00:00:00"/>
    <x v="0"/>
    <n v="4"/>
    <s v="abril"/>
    <s v="T2"/>
    <s v="P016"/>
    <x v="11"/>
    <x v="2"/>
    <x v="2"/>
    <n v="4"/>
    <n v="73.11"/>
    <n v="41.51"/>
    <n v="0"/>
    <n v="292.44"/>
    <n v="166.04"/>
    <n v="126.4"/>
    <x v="1386"/>
    <x v="0"/>
    <x v="4"/>
    <s v="online"/>
  </r>
  <r>
    <s v="V01069"/>
    <d v="2025-08-04T00:00:00"/>
    <x v="0"/>
    <n v="8"/>
    <s v="agosto"/>
    <s v="T3"/>
    <s v="P014"/>
    <x v="16"/>
    <x v="1"/>
    <x v="2"/>
    <n v="1"/>
    <n v="15.02"/>
    <n v="9.7200000000000006"/>
    <n v="0"/>
    <n v="15.02"/>
    <n v="9.7200000000000006"/>
    <n v="5.2999999999999989"/>
    <x v="1387"/>
    <x v="1"/>
    <x v="0"/>
    <s v="online"/>
  </r>
  <r>
    <s v="V01919"/>
    <d v="2024-07-08T00:00:00"/>
    <x v="1"/>
    <n v="7"/>
    <s v="julio"/>
    <s v="T3"/>
    <s v="P012"/>
    <x v="13"/>
    <x v="1"/>
    <x v="1"/>
    <n v="1"/>
    <n v="8.9700000000000006"/>
    <n v="5.52"/>
    <n v="0"/>
    <n v="8.9700000000000006"/>
    <n v="5.52"/>
    <n v="3.4500000000000011"/>
    <x v="1388"/>
    <x v="0"/>
    <x v="3"/>
    <s v="tienda_fisica"/>
  </r>
  <r>
    <s v="V02204"/>
    <d v="2024-02-21T00:00:00"/>
    <x v="1"/>
    <n v="2"/>
    <s v="febrero"/>
    <s v="T1"/>
    <s v="P003"/>
    <x v="7"/>
    <x v="2"/>
    <x v="3"/>
    <n v="1"/>
    <n v="169.21"/>
    <n v="95.31"/>
    <n v="0.12"/>
    <n v="148.90479999999999"/>
    <n v="95.31"/>
    <n v="53.594799999999992"/>
    <x v="1389"/>
    <x v="1"/>
    <x v="2"/>
    <s v="online"/>
  </r>
  <r>
    <s v="V01766"/>
    <d v="2025-09-02T00:00:00"/>
    <x v="0"/>
    <n v="9"/>
    <s v="septiembre"/>
    <s v="T3"/>
    <s v="P008"/>
    <x v="4"/>
    <x v="2"/>
    <x v="0"/>
    <n v="2"/>
    <n v="106.06"/>
    <n v="55.32"/>
    <n v="0"/>
    <n v="212.12"/>
    <n v="110.64"/>
    <n v="101.48"/>
    <x v="1390"/>
    <x v="0"/>
    <x v="0"/>
    <s v="tienda_fisica"/>
  </r>
  <r>
    <s v="V00222"/>
    <d v="2025-03-03T00:00:00"/>
    <x v="0"/>
    <n v="3"/>
    <s v="marzo"/>
    <s v="T1"/>
    <s v="P019"/>
    <x v="14"/>
    <x v="0"/>
    <x v="4"/>
    <n v="1"/>
    <n v="57"/>
    <n v="32.85"/>
    <n v="0"/>
    <n v="57"/>
    <n v="32.85"/>
    <n v="24.15"/>
    <x v="1391"/>
    <x v="0"/>
    <x v="3"/>
    <s v="online"/>
  </r>
  <r>
    <s v="V00320"/>
    <d v="2024-06-19T00:00:00"/>
    <x v="1"/>
    <n v="6"/>
    <s v="junio"/>
    <s v="T2"/>
    <s v="P014"/>
    <x v="16"/>
    <x v="1"/>
    <x v="2"/>
    <n v="2"/>
    <n v="13.19"/>
    <n v="9.58"/>
    <n v="0"/>
    <n v="26.38"/>
    <n v="19.16"/>
    <n v="7.2199999999999989"/>
    <x v="1392"/>
    <x v="1"/>
    <x v="5"/>
    <s v="tienda_fisica"/>
  </r>
  <r>
    <s v="V00520"/>
    <d v="2024-11-16T00:00:00"/>
    <x v="1"/>
    <n v="11"/>
    <s v="noviembre"/>
    <s v="T4"/>
    <s v="P013"/>
    <x v="8"/>
    <x v="2"/>
    <x v="2"/>
    <n v="3"/>
    <n v="78.55"/>
    <n v="48.59"/>
    <n v="0"/>
    <n v="235.64999999999998"/>
    <n v="145.77000000000001"/>
    <n v="89.879999999999967"/>
    <x v="1393"/>
    <x v="0"/>
    <x v="0"/>
    <s v="tienda_fisica"/>
  </r>
  <r>
    <s v="V00879"/>
    <d v="2025-12-18T00:00:00"/>
    <x v="0"/>
    <n v="12"/>
    <s v="diciembre"/>
    <s v="T4"/>
    <s v="P008"/>
    <x v="4"/>
    <x v="2"/>
    <x v="0"/>
    <n v="6"/>
    <n v="106.35"/>
    <n v="56.32"/>
    <n v="0"/>
    <n v="638.09999999999991"/>
    <n v="337.92"/>
    <n v="300.17999999999989"/>
    <x v="1394"/>
    <x v="0"/>
    <x v="2"/>
    <s v="tienda_fisica"/>
  </r>
  <r>
    <s v="V00630"/>
    <d v="2025-07-13T00:00:00"/>
    <x v="0"/>
    <n v="7"/>
    <s v="julio"/>
    <s v="T3"/>
    <s v="P001"/>
    <x v="9"/>
    <x v="2"/>
    <x v="3"/>
    <n v="5"/>
    <n v="118.08"/>
    <n v="84.31"/>
    <n v="0"/>
    <n v="590.4"/>
    <n v="421.55"/>
    <n v="168.84999999999997"/>
    <x v="1395"/>
    <x v="1"/>
    <x v="6"/>
    <s v="online"/>
  </r>
  <r>
    <s v="V00826"/>
    <d v="2025-12-16T00:00:00"/>
    <x v="0"/>
    <n v="12"/>
    <s v="diciembre"/>
    <s v="T4"/>
    <s v="P006"/>
    <x v="0"/>
    <x v="0"/>
    <x v="0"/>
    <n v="4"/>
    <n v="49.83"/>
    <n v="27.16"/>
    <n v="0"/>
    <n v="199.32"/>
    <n v="108.64"/>
    <n v="90.679999999999993"/>
    <x v="1396"/>
    <x v="0"/>
    <x v="4"/>
    <s v="online"/>
  </r>
  <r>
    <s v="V01199"/>
    <d v="2025-03-19T00:00:00"/>
    <x v="0"/>
    <n v="3"/>
    <s v="marzo"/>
    <s v="T1"/>
    <s v="P003"/>
    <x v="7"/>
    <x v="2"/>
    <x v="3"/>
    <n v="3"/>
    <n v="177.72"/>
    <n v="94.56"/>
    <n v="0"/>
    <n v="533.16"/>
    <n v="283.68"/>
    <n v="249.47999999999996"/>
    <x v="1397"/>
    <x v="0"/>
    <x v="6"/>
    <s v="tienda_fisica"/>
  </r>
  <r>
    <s v="V01291"/>
    <d v="2024-04-16T00:00:00"/>
    <x v="1"/>
    <n v="4"/>
    <s v="abril"/>
    <s v="T2"/>
    <s v="P009"/>
    <x v="12"/>
    <x v="1"/>
    <x v="1"/>
    <n v="3"/>
    <n v="7.93"/>
    <n v="4.37"/>
    <n v="0"/>
    <n v="23.79"/>
    <n v="13.11"/>
    <n v="10.68"/>
    <x v="1038"/>
    <x v="0"/>
    <x v="6"/>
    <s v="tienda_fisica"/>
  </r>
  <r>
    <s v="V01031"/>
    <d v="2025-05-22T00:00:00"/>
    <x v="0"/>
    <n v="5"/>
    <s v="mayo"/>
    <s v="T2"/>
    <s v="P009"/>
    <x v="12"/>
    <x v="1"/>
    <x v="1"/>
    <n v="2"/>
    <n v="7.97"/>
    <n v="4.42"/>
    <n v="0.18"/>
    <n v="13.0708"/>
    <n v="8.84"/>
    <n v="4.2308000000000003"/>
    <x v="1398"/>
    <x v="1"/>
    <x v="3"/>
    <s v="tienda_fisica"/>
  </r>
  <r>
    <s v="V01878"/>
    <d v="2024-12-18T00:00:00"/>
    <x v="1"/>
    <n v="12"/>
    <s v="diciembre"/>
    <s v="T4"/>
    <s v="P014"/>
    <x v="16"/>
    <x v="1"/>
    <x v="2"/>
    <n v="2"/>
    <n v="13.25"/>
    <n v="9.58"/>
    <n v="0.27"/>
    <n v="19.344999999999999"/>
    <n v="19.16"/>
    <n v="0.18499999999999872"/>
    <x v="1399"/>
    <x v="1"/>
    <x v="3"/>
    <s v="tienda_fisica"/>
  </r>
  <r>
    <s v="V00139"/>
    <d v="2024-02-08T00:00:00"/>
    <x v="1"/>
    <n v="2"/>
    <s v="febrero"/>
    <s v="T1"/>
    <s v="P017"/>
    <x v="17"/>
    <x v="0"/>
    <x v="4"/>
    <n v="4"/>
    <n v="46.6"/>
    <n v="21.97"/>
    <n v="0"/>
    <n v="186.4"/>
    <n v="87.88"/>
    <n v="98.52000000000001"/>
    <x v="1400"/>
    <x v="0"/>
    <x v="4"/>
    <s v="tienda_fisica"/>
  </r>
  <r>
    <s v="V00164"/>
    <d v="2025-04-23T00:00:00"/>
    <x v="0"/>
    <n v="4"/>
    <s v="abril"/>
    <s v="T2"/>
    <s v="P012"/>
    <x v="13"/>
    <x v="1"/>
    <x v="1"/>
    <n v="4"/>
    <n v="8.4700000000000006"/>
    <n v="6.06"/>
    <n v="0"/>
    <n v="33.880000000000003"/>
    <n v="24.24"/>
    <n v="9.6400000000000041"/>
    <x v="1401"/>
    <x v="1"/>
    <x v="2"/>
    <s v="tienda_fisica"/>
  </r>
  <r>
    <s v="V00002"/>
    <d v="2025-09-15T00:00:00"/>
    <x v="0"/>
    <n v="9"/>
    <s v="septiembre"/>
    <s v="T3"/>
    <s v="P003"/>
    <x v="7"/>
    <x v="2"/>
    <x v="3"/>
    <n v="1"/>
    <n v="171.18"/>
    <n v="98.2"/>
    <n v="0"/>
    <n v="171.18"/>
    <n v="98.2"/>
    <n v="72.98"/>
    <x v="1402"/>
    <x v="0"/>
    <x v="4"/>
    <s v="tienda_fisica"/>
  </r>
  <r>
    <s v="V02062"/>
    <d v="2025-04-10T00:00:00"/>
    <x v="0"/>
    <n v="4"/>
    <s v="abril"/>
    <s v="T2"/>
    <s v="P017"/>
    <x v="17"/>
    <x v="0"/>
    <x v="4"/>
    <n v="6"/>
    <n v="52.14"/>
    <n v="22.69"/>
    <n v="0"/>
    <n v="312.84000000000003"/>
    <n v="136.14000000000001"/>
    <n v="176.70000000000002"/>
    <x v="1403"/>
    <x v="0"/>
    <x v="2"/>
    <s v="tienda_fisica"/>
  </r>
  <r>
    <s v="V00961"/>
    <d v="2024-10-05T00:00:00"/>
    <x v="1"/>
    <n v="10"/>
    <s v="octubre"/>
    <s v="T4"/>
    <s v="P006"/>
    <x v="0"/>
    <x v="0"/>
    <x v="0"/>
    <n v="1"/>
    <n v="44.62"/>
    <n v="25.79"/>
    <n v="0"/>
    <n v="44.62"/>
    <n v="25.79"/>
    <n v="18.829999999999998"/>
    <x v="1404"/>
    <x v="0"/>
    <x v="6"/>
    <s v="tienda_fisica"/>
  </r>
  <r>
    <s v="V01848"/>
    <d v="2025-11-09T00:00:00"/>
    <x v="0"/>
    <n v="11"/>
    <s v="noviembre"/>
    <s v="T4"/>
    <s v="P007"/>
    <x v="15"/>
    <x v="1"/>
    <x v="0"/>
    <n v="1"/>
    <n v="21.4"/>
    <n v="13.37"/>
    <n v="0.15"/>
    <n v="18.189999999999998"/>
    <n v="13.37"/>
    <n v="4.8199999999999985"/>
    <x v="1405"/>
    <x v="1"/>
    <x v="3"/>
    <s v="tienda_fisica"/>
  </r>
  <r>
    <s v="V01768"/>
    <d v="2024-11-01T00:00:00"/>
    <x v="1"/>
    <n v="11"/>
    <s v="noviembre"/>
    <s v="T4"/>
    <s v="P005"/>
    <x v="18"/>
    <x v="0"/>
    <x v="0"/>
    <n v="1"/>
    <n v="58.49"/>
    <n v="40.659999999999997"/>
    <n v="0"/>
    <n v="58.49"/>
    <n v="40.659999999999997"/>
    <n v="17.830000000000005"/>
    <x v="1406"/>
    <x v="1"/>
    <x v="0"/>
    <s v="tienda_fisica"/>
  </r>
  <r>
    <s v="V01510"/>
    <d v="2025-11-05T00:00:00"/>
    <x v="0"/>
    <n v="11"/>
    <s v="noviembre"/>
    <s v="T4"/>
    <s v="P014"/>
    <x v="16"/>
    <x v="1"/>
    <x v="2"/>
    <n v="3"/>
    <n v="12.98"/>
    <n v="9.85"/>
    <n v="0"/>
    <n v="38.94"/>
    <n v="29.549999999999997"/>
    <n v="9.39"/>
    <x v="1407"/>
    <x v="1"/>
    <x v="3"/>
    <s v="tienda_fisica"/>
  </r>
  <r>
    <s v="V02262"/>
    <d v="2024-06-25T00:00:00"/>
    <x v="1"/>
    <n v="6"/>
    <s v="junio"/>
    <s v="T2"/>
    <s v="P017"/>
    <x v="17"/>
    <x v="0"/>
    <x v="4"/>
    <n v="7"/>
    <n v="51.8"/>
    <n v="21.77"/>
    <n v="0.18"/>
    <n v="297.33199999999999"/>
    <n v="152.38999999999999"/>
    <n v="144.94200000000001"/>
    <x v="1408"/>
    <x v="0"/>
    <x v="3"/>
    <s v="tienda_fisica"/>
  </r>
  <r>
    <s v="V01667"/>
    <d v="2024-11-24T00:00:00"/>
    <x v="1"/>
    <n v="11"/>
    <s v="noviembre"/>
    <s v="T4"/>
    <s v="P020"/>
    <x v="19"/>
    <x v="0"/>
    <x v="4"/>
    <n v="1"/>
    <n v="55.57"/>
    <n v="33.130000000000003"/>
    <n v="0"/>
    <n v="55.57"/>
    <n v="33.130000000000003"/>
    <n v="22.439999999999998"/>
    <x v="1409"/>
    <x v="0"/>
    <x v="2"/>
    <s v="tienda_fisica"/>
  </r>
  <r>
    <s v="V01060"/>
    <d v="2024-08-03T00:00:00"/>
    <x v="1"/>
    <n v="8"/>
    <s v="agosto"/>
    <s v="T3"/>
    <s v="P017"/>
    <x v="17"/>
    <x v="0"/>
    <x v="4"/>
    <n v="2"/>
    <n v="50.56"/>
    <n v="22.35"/>
    <n v="0"/>
    <n v="101.12"/>
    <n v="44.7"/>
    <n v="56.42"/>
    <x v="1410"/>
    <x v="0"/>
    <x v="3"/>
    <s v="tienda_fisica"/>
  </r>
  <r>
    <s v="V00634"/>
    <d v="2024-11-21T00:00:00"/>
    <x v="1"/>
    <n v="11"/>
    <s v="noviembre"/>
    <s v="T4"/>
    <s v="P016"/>
    <x v="11"/>
    <x v="2"/>
    <x v="2"/>
    <n v="1"/>
    <n v="77.58"/>
    <n v="41.9"/>
    <n v="0"/>
    <n v="77.58"/>
    <n v="41.9"/>
    <n v="35.68"/>
    <x v="1411"/>
    <x v="0"/>
    <x v="4"/>
    <s v="tienda_fisica"/>
  </r>
  <r>
    <s v="V01243"/>
    <d v="2024-08-08T00:00:00"/>
    <x v="1"/>
    <n v="8"/>
    <s v="agosto"/>
    <s v="T3"/>
    <s v="P007"/>
    <x v="15"/>
    <x v="1"/>
    <x v="0"/>
    <n v="1"/>
    <n v="18.77"/>
    <n v="12.9"/>
    <n v="0"/>
    <n v="18.77"/>
    <n v="12.9"/>
    <n v="5.8699999999999992"/>
    <x v="1412"/>
    <x v="1"/>
    <x v="4"/>
    <s v="tienda_fisica"/>
  </r>
  <r>
    <s v="V01679"/>
    <d v="2025-10-16T00:00:00"/>
    <x v="0"/>
    <n v="10"/>
    <s v="octubre"/>
    <s v="T4"/>
    <s v="P012"/>
    <x v="13"/>
    <x v="1"/>
    <x v="1"/>
    <n v="1"/>
    <n v="8.2200000000000006"/>
    <n v="5.99"/>
    <n v="0"/>
    <n v="8.2200000000000006"/>
    <n v="5.99"/>
    <n v="2.2300000000000004"/>
    <x v="1413"/>
    <x v="1"/>
    <x v="3"/>
    <s v="tienda_fisica"/>
  </r>
  <r>
    <s v="V00656"/>
    <d v="2024-08-21T00:00:00"/>
    <x v="1"/>
    <n v="8"/>
    <s v="agosto"/>
    <s v="T3"/>
    <s v="P017"/>
    <x v="17"/>
    <x v="0"/>
    <x v="4"/>
    <n v="2"/>
    <n v="49.49"/>
    <n v="22.68"/>
    <n v="0"/>
    <n v="98.98"/>
    <n v="45.36"/>
    <n v="53.620000000000005"/>
    <x v="1414"/>
    <x v="0"/>
    <x v="0"/>
    <s v="tienda_fisica"/>
  </r>
  <r>
    <s v="V00017"/>
    <d v="2024-06-19T00:00:00"/>
    <x v="1"/>
    <n v="6"/>
    <s v="junio"/>
    <s v="T2"/>
    <s v="P008"/>
    <x v="4"/>
    <x v="2"/>
    <x v="0"/>
    <n v="9"/>
    <n v="97.11"/>
    <n v="54.61"/>
    <n v="0"/>
    <n v="873.99"/>
    <n v="491.49"/>
    <n v="382.5"/>
    <x v="1415"/>
    <x v="0"/>
    <x v="0"/>
    <s v="tienda_fisica"/>
  </r>
  <r>
    <s v="V02069"/>
    <d v="2025-04-06T00:00:00"/>
    <x v="0"/>
    <n v="4"/>
    <s v="abril"/>
    <s v="T2"/>
    <s v="P012"/>
    <x v="13"/>
    <x v="1"/>
    <x v="1"/>
    <n v="1"/>
    <n v="9"/>
    <n v="5.97"/>
    <n v="0"/>
    <n v="9"/>
    <n v="5.97"/>
    <n v="3.0300000000000002"/>
    <x v="1416"/>
    <x v="1"/>
    <x v="0"/>
    <s v="online"/>
  </r>
  <r>
    <s v="V01491"/>
    <d v="2025-11-19T00:00:00"/>
    <x v="0"/>
    <n v="11"/>
    <s v="noviembre"/>
    <s v="T4"/>
    <s v="P006"/>
    <x v="0"/>
    <x v="0"/>
    <x v="0"/>
    <n v="2"/>
    <n v="47.59"/>
    <n v="27.91"/>
    <n v="0"/>
    <n v="95.18"/>
    <n v="55.82"/>
    <n v="39.360000000000007"/>
    <x v="1417"/>
    <x v="0"/>
    <x v="0"/>
    <s v="online"/>
  </r>
  <r>
    <s v="V00138"/>
    <d v="2024-07-15T00:00:00"/>
    <x v="1"/>
    <n v="7"/>
    <s v="julio"/>
    <s v="T3"/>
    <s v="P016"/>
    <x v="11"/>
    <x v="2"/>
    <x v="2"/>
    <n v="1"/>
    <n v="73.84"/>
    <n v="42.12"/>
    <n v="0"/>
    <n v="73.84"/>
    <n v="42.12"/>
    <n v="31.720000000000006"/>
    <x v="1418"/>
    <x v="0"/>
    <x v="3"/>
    <s v="online"/>
  </r>
  <r>
    <s v="V02137"/>
    <d v="2025-03-05T00:00:00"/>
    <x v="0"/>
    <n v="3"/>
    <s v="marzo"/>
    <s v="T1"/>
    <s v="P015"/>
    <x v="2"/>
    <x v="2"/>
    <x v="2"/>
    <n v="5"/>
    <n v="81.34"/>
    <n v="42.64"/>
    <n v="0"/>
    <n v="406.70000000000005"/>
    <n v="213.2"/>
    <n v="193.50000000000006"/>
    <x v="1419"/>
    <x v="0"/>
    <x v="4"/>
    <s v="online"/>
  </r>
  <r>
    <s v="V00698"/>
    <d v="2025-09-06T00:00:00"/>
    <x v="0"/>
    <n v="9"/>
    <s v="septiembre"/>
    <s v="T3"/>
    <s v="P014"/>
    <x v="16"/>
    <x v="1"/>
    <x v="2"/>
    <n v="2"/>
    <n v="13.23"/>
    <n v="9.7899999999999991"/>
    <n v="0"/>
    <n v="26.46"/>
    <n v="19.579999999999998"/>
    <n v="6.8800000000000026"/>
    <x v="1420"/>
    <x v="1"/>
    <x v="3"/>
    <s v="online"/>
  </r>
  <r>
    <s v="V01098"/>
    <d v="2024-03-20T00:00:00"/>
    <x v="1"/>
    <n v="3"/>
    <s v="marzo"/>
    <s v="T1"/>
    <s v="P004"/>
    <x v="6"/>
    <x v="2"/>
    <x v="3"/>
    <n v="1"/>
    <n v="163.63"/>
    <n v="113.65"/>
    <n v="0"/>
    <n v="163.63"/>
    <n v="113.65"/>
    <n v="49.97999999999999"/>
    <x v="1421"/>
    <x v="1"/>
    <x v="0"/>
    <s v="online"/>
  </r>
  <r>
    <s v="V02150"/>
    <d v="2025-04-17T00:00:00"/>
    <x v="0"/>
    <n v="4"/>
    <s v="abril"/>
    <s v="T2"/>
    <s v="P020"/>
    <x v="19"/>
    <x v="0"/>
    <x v="4"/>
    <n v="1"/>
    <n v="58.32"/>
    <n v="34.65"/>
    <n v="0"/>
    <n v="58.32"/>
    <n v="34.65"/>
    <n v="23.67"/>
    <x v="1422"/>
    <x v="0"/>
    <x v="3"/>
    <s v="tienda_fisica"/>
  </r>
  <r>
    <s v="V02059"/>
    <d v="2024-09-26T00:00:00"/>
    <x v="1"/>
    <n v="9"/>
    <s v="septiembre"/>
    <s v="T3"/>
    <s v="P004"/>
    <x v="6"/>
    <x v="2"/>
    <x v="3"/>
    <n v="2"/>
    <n v="163.86"/>
    <n v="111.04"/>
    <n v="0"/>
    <n v="327.72"/>
    <n v="222.08"/>
    <n v="105.64000000000001"/>
    <x v="1423"/>
    <x v="1"/>
    <x v="4"/>
    <s v="tienda_fisica"/>
  </r>
  <r>
    <s v="V00449"/>
    <d v="2024-10-13T00:00:00"/>
    <x v="1"/>
    <n v="10"/>
    <s v="octubre"/>
    <s v="T4"/>
    <s v="P017"/>
    <x v="17"/>
    <x v="0"/>
    <x v="4"/>
    <n v="1"/>
    <n v="48.72"/>
    <n v="23.69"/>
    <n v="0.14000000000000001"/>
    <n v="41.8992"/>
    <n v="23.69"/>
    <n v="18.209199999999999"/>
    <x v="1424"/>
    <x v="0"/>
    <x v="0"/>
    <s v="tienda_fisica"/>
  </r>
  <r>
    <s v="V02067"/>
    <d v="2025-09-11T00:00:00"/>
    <x v="0"/>
    <n v="9"/>
    <s v="septiembre"/>
    <s v="T3"/>
    <s v="P001"/>
    <x v="9"/>
    <x v="2"/>
    <x v="3"/>
    <n v="3"/>
    <n v="120.61"/>
    <n v="80.290000000000006"/>
    <n v="0"/>
    <n v="361.83"/>
    <n v="240.87"/>
    <n v="120.95999999999998"/>
    <x v="1425"/>
    <x v="1"/>
    <x v="3"/>
    <s v="tienda_fisica"/>
  </r>
  <r>
    <s v="V00036"/>
    <d v="2025-02-16T00:00:00"/>
    <x v="0"/>
    <n v="2"/>
    <s v="febrero"/>
    <s v="T1"/>
    <s v="P011"/>
    <x v="10"/>
    <x v="1"/>
    <x v="1"/>
    <n v="1"/>
    <n v="21.09"/>
    <n v="11.68"/>
    <n v="0.19"/>
    <n v="17.082900000000002"/>
    <n v="11.68"/>
    <n v="5.4029000000000025"/>
    <x v="1426"/>
    <x v="1"/>
    <x v="4"/>
    <s v="tienda_fisica"/>
  </r>
  <r>
    <s v="V01267"/>
    <d v="2025-07-06T00:00:00"/>
    <x v="0"/>
    <n v="7"/>
    <s v="julio"/>
    <s v="T3"/>
    <s v="P002"/>
    <x v="3"/>
    <x v="2"/>
    <x v="3"/>
    <n v="3"/>
    <n v="68.069999999999993"/>
    <n v="49.11"/>
    <n v="0.3"/>
    <n v="142.94699999999997"/>
    <n v="147.32999999999998"/>
    <n v="-4.3830000000000098"/>
    <x v="1427"/>
    <x v="1"/>
    <x v="3"/>
    <s v="tienda_fisica"/>
  </r>
  <r>
    <s v="V00328"/>
    <d v="2025-02-27T00:00:00"/>
    <x v="0"/>
    <n v="2"/>
    <s v="febrero"/>
    <s v="T1"/>
    <s v="P018"/>
    <x v="5"/>
    <x v="0"/>
    <x v="4"/>
    <n v="3"/>
    <n v="32.479999999999997"/>
    <n v="17.170000000000002"/>
    <n v="0"/>
    <n v="97.44"/>
    <n v="51.510000000000005"/>
    <n v="45.929999999999993"/>
    <x v="1428"/>
    <x v="0"/>
    <x v="6"/>
    <s v="tienda_fisica"/>
  </r>
  <r>
    <s v="V00318"/>
    <d v="2024-03-20T00:00:00"/>
    <x v="1"/>
    <n v="3"/>
    <s v="marzo"/>
    <s v="T1"/>
    <s v="P011"/>
    <x v="10"/>
    <x v="1"/>
    <x v="1"/>
    <n v="1"/>
    <n v="20.09"/>
    <n v="11.64"/>
    <n v="0"/>
    <n v="20.09"/>
    <n v="11.64"/>
    <n v="8.4499999999999993"/>
    <x v="1429"/>
    <x v="0"/>
    <x v="3"/>
    <s v="tienda_fisica"/>
  </r>
  <r>
    <s v="V01963"/>
    <d v="2024-02-12T00:00:00"/>
    <x v="1"/>
    <n v="2"/>
    <s v="febrero"/>
    <s v="T1"/>
    <s v="P017"/>
    <x v="17"/>
    <x v="0"/>
    <x v="4"/>
    <n v="5"/>
    <n v="52.63"/>
    <n v="22.95"/>
    <n v="0"/>
    <n v="263.15000000000003"/>
    <n v="114.75"/>
    <n v="148.40000000000003"/>
    <x v="1430"/>
    <x v="0"/>
    <x v="3"/>
    <s v="online"/>
  </r>
  <r>
    <s v="V01170"/>
    <d v="2024-04-02T00:00:00"/>
    <x v="1"/>
    <n v="4"/>
    <s v="abril"/>
    <s v="T2"/>
    <s v="P004"/>
    <x v="6"/>
    <x v="2"/>
    <x v="3"/>
    <n v="2"/>
    <n v="149.38999999999999"/>
    <n v="106.39"/>
    <n v="0.21"/>
    <n v="236.03619999999998"/>
    <n v="212.78"/>
    <n v="23.256199999999978"/>
    <x v="1431"/>
    <x v="1"/>
    <x v="3"/>
    <s v="online"/>
  </r>
  <r>
    <s v="V00527"/>
    <d v="2024-12-09T00:00:00"/>
    <x v="1"/>
    <n v="12"/>
    <s v="diciembre"/>
    <s v="T4"/>
    <s v="P006"/>
    <x v="0"/>
    <x v="0"/>
    <x v="0"/>
    <n v="1"/>
    <n v="44.32"/>
    <n v="27.19"/>
    <n v="0"/>
    <n v="44.32"/>
    <n v="27.19"/>
    <n v="17.13"/>
    <x v="1432"/>
    <x v="0"/>
    <x v="4"/>
    <s v="tienda_fisica"/>
  </r>
  <r>
    <s v="V00088"/>
    <d v="2024-11-28T00:00:00"/>
    <x v="1"/>
    <n v="11"/>
    <s v="noviembre"/>
    <s v="T4"/>
    <s v="P002"/>
    <x v="3"/>
    <x v="2"/>
    <x v="3"/>
    <n v="2"/>
    <n v="74.17"/>
    <n v="47.54"/>
    <n v="0"/>
    <n v="148.34"/>
    <n v="95.08"/>
    <n v="53.260000000000005"/>
    <x v="1433"/>
    <x v="1"/>
    <x v="2"/>
    <s v="online"/>
  </r>
  <r>
    <s v="V01363"/>
    <d v="2025-10-26T00:00:00"/>
    <x v="0"/>
    <n v="10"/>
    <s v="octubre"/>
    <s v="T4"/>
    <s v="P002"/>
    <x v="3"/>
    <x v="2"/>
    <x v="3"/>
    <n v="2"/>
    <n v="68.37"/>
    <n v="47.23"/>
    <n v="0"/>
    <n v="136.74"/>
    <n v="94.46"/>
    <n v="42.280000000000015"/>
    <x v="1434"/>
    <x v="1"/>
    <x v="3"/>
    <s v="online"/>
  </r>
  <r>
    <s v="V01637"/>
    <d v="2025-11-25T00:00:00"/>
    <x v="0"/>
    <n v="11"/>
    <s v="noviembre"/>
    <s v="T4"/>
    <s v="P006"/>
    <x v="0"/>
    <x v="0"/>
    <x v="0"/>
    <n v="6"/>
    <n v="46.82"/>
    <n v="27.08"/>
    <n v="0.17"/>
    <n v="233.1636"/>
    <n v="162.47999999999999"/>
    <n v="70.683600000000013"/>
    <x v="1435"/>
    <x v="1"/>
    <x v="3"/>
    <s v="tienda_fisica"/>
  </r>
  <r>
    <s v="V01503"/>
    <d v="2024-03-07T00:00:00"/>
    <x v="1"/>
    <n v="3"/>
    <s v="marzo"/>
    <s v="T1"/>
    <s v="P005"/>
    <x v="18"/>
    <x v="2"/>
    <x v="0"/>
    <n v="1"/>
    <n v="59.81"/>
    <n v="41.16"/>
    <n v="0"/>
    <n v="59.81"/>
    <n v="41.16"/>
    <n v="18.650000000000006"/>
    <x v="1436"/>
    <x v="1"/>
    <x v="0"/>
    <s v="tienda_fisica"/>
  </r>
  <r>
    <s v="V00149"/>
    <d v="2024-07-10T00:00:00"/>
    <x v="1"/>
    <n v="7"/>
    <s v="julio"/>
    <s v="T3"/>
    <s v="P014"/>
    <x v="16"/>
    <x v="1"/>
    <x v="2"/>
    <n v="3"/>
    <n v="15.19"/>
    <n v="9.6300000000000008"/>
    <n v="0"/>
    <n v="45.57"/>
    <n v="28.89"/>
    <n v="16.68"/>
    <x v="1437"/>
    <x v="1"/>
    <x v="4"/>
    <s v="online"/>
  </r>
  <r>
    <s v="V00304"/>
    <d v="2024-02-13T00:00:00"/>
    <x v="1"/>
    <n v="2"/>
    <s v="febrero"/>
    <s v="T1"/>
    <s v="P004"/>
    <x v="6"/>
    <x v="2"/>
    <x v="3"/>
    <n v="5"/>
    <n v="158.77000000000001"/>
    <n v="109.22"/>
    <n v="0"/>
    <n v="793.85"/>
    <n v="546.1"/>
    <n v="247.75"/>
    <x v="1438"/>
    <x v="1"/>
    <x v="6"/>
    <s v="online"/>
  </r>
  <r>
    <s v="V02075"/>
    <d v="2025-07-13T00:00:00"/>
    <x v="0"/>
    <n v="7"/>
    <s v="julio"/>
    <s v="T3"/>
    <s v="P005"/>
    <x v="18"/>
    <x v="0"/>
    <x v="0"/>
    <n v="1"/>
    <n v="56.34"/>
    <n v="39.26"/>
    <n v="0"/>
    <n v="56.34"/>
    <n v="39.26"/>
    <n v="17.080000000000005"/>
    <x v="1439"/>
    <x v="1"/>
    <x v="0"/>
    <s v="tienda_fisica"/>
  </r>
  <r>
    <s v="V01547"/>
    <d v="2025-02-02T00:00:00"/>
    <x v="0"/>
    <n v="2"/>
    <s v="febrero"/>
    <s v="T1"/>
    <s v="P007"/>
    <x v="15"/>
    <x v="1"/>
    <x v="0"/>
    <n v="9"/>
    <n v="19.82"/>
    <n v="13.48"/>
    <n v="0"/>
    <n v="178.38"/>
    <n v="121.32000000000001"/>
    <n v="57.059999999999988"/>
    <x v="1440"/>
    <x v="1"/>
    <x v="3"/>
    <s v="tienda_fisica"/>
  </r>
  <r>
    <s v="V01873"/>
    <d v="2025-08-19T00:00:00"/>
    <x v="0"/>
    <n v="8"/>
    <s v="agosto"/>
    <s v="T3"/>
    <s v="P006"/>
    <x v="0"/>
    <x v="0"/>
    <x v="0"/>
    <n v="1"/>
    <n v="44.95"/>
    <n v="27.54"/>
    <n v="0"/>
    <n v="44.95"/>
    <n v="27.54"/>
    <n v="17.410000000000004"/>
    <x v="1441"/>
    <x v="0"/>
    <x v="2"/>
    <s v="tienda_fisica"/>
  </r>
  <r>
    <s v="V02092"/>
    <d v="2025-06-06T00:00:00"/>
    <x v="0"/>
    <n v="6"/>
    <s v="junio"/>
    <s v="T2"/>
    <s v="P009"/>
    <x v="12"/>
    <x v="1"/>
    <x v="1"/>
    <n v="1"/>
    <n v="7.88"/>
    <n v="4.24"/>
    <n v="0"/>
    <n v="7.88"/>
    <n v="4.24"/>
    <n v="3.6399999999999997"/>
    <x v="1442"/>
    <x v="0"/>
    <x v="0"/>
    <s v="tienda_fisica"/>
  </r>
  <r>
    <s v="V00366"/>
    <d v="2024-12-02T00:00:00"/>
    <x v="1"/>
    <n v="12"/>
    <s v="diciembre"/>
    <s v="T4"/>
    <s v="P006"/>
    <x v="0"/>
    <x v="0"/>
    <x v="0"/>
    <n v="4"/>
    <n v="43.68"/>
    <n v="27.47"/>
    <n v="0.15"/>
    <n v="148.512"/>
    <n v="109.88"/>
    <n v="38.632000000000005"/>
    <x v="1443"/>
    <x v="1"/>
    <x v="3"/>
    <s v="tienda_fisica"/>
  </r>
  <r>
    <s v="V00590"/>
    <d v="2025-12-06T00:00:00"/>
    <x v="0"/>
    <n v="12"/>
    <s v="diciembre"/>
    <s v="T4"/>
    <s v="P013"/>
    <x v="8"/>
    <x v="2"/>
    <x v="2"/>
    <n v="3"/>
    <n v="75.08"/>
    <n v="48.49"/>
    <n v="0"/>
    <n v="225.24"/>
    <n v="145.47"/>
    <n v="79.77000000000001"/>
    <x v="1444"/>
    <x v="1"/>
    <x v="2"/>
    <s v="tienda_fisica"/>
  </r>
  <r>
    <s v="V02234"/>
    <d v="2024-04-02T00:00:00"/>
    <x v="1"/>
    <n v="4"/>
    <s v="abril"/>
    <s v="T2"/>
    <s v="P015"/>
    <x v="2"/>
    <x v="2"/>
    <x v="2"/>
    <n v="1"/>
    <n v="81.91"/>
    <n v="43.26"/>
    <n v="0.2"/>
    <n v="65.528000000000006"/>
    <n v="43.26"/>
    <n v="22.268000000000008"/>
    <x v="1445"/>
    <x v="1"/>
    <x v="0"/>
    <s v="tienda_fisica"/>
  </r>
  <r>
    <s v="V00199"/>
    <d v="2025-12-03T00:00:00"/>
    <x v="0"/>
    <n v="12"/>
    <s v="diciembre"/>
    <s v="T4"/>
    <s v="P013"/>
    <x v="8"/>
    <x v="2"/>
    <x v="2"/>
    <n v="5"/>
    <n v="72.11"/>
    <n v="49.6"/>
    <n v="0"/>
    <n v="360.55"/>
    <n v="248"/>
    <n v="112.55000000000001"/>
    <x v="1446"/>
    <x v="1"/>
    <x v="0"/>
    <s v="tienda_fisica"/>
  </r>
  <r>
    <s v="V02233"/>
    <d v="2025-08-18T00:00:00"/>
    <x v="0"/>
    <n v="8"/>
    <s v="agosto"/>
    <s v="T3"/>
    <s v="P019"/>
    <x v="14"/>
    <x v="0"/>
    <x v="4"/>
    <n v="3"/>
    <n v="57.74"/>
    <n v="33.93"/>
    <n v="0.25"/>
    <n v="129.91499999999999"/>
    <n v="101.78999999999999"/>
    <n v="28.125"/>
    <x v="1447"/>
    <x v="1"/>
    <x v="3"/>
    <s v="tienda_fisica"/>
  </r>
  <r>
    <s v="V00193"/>
    <d v="2024-04-01T00:00:00"/>
    <x v="1"/>
    <n v="4"/>
    <s v="abril"/>
    <s v="T2"/>
    <s v="P002"/>
    <x v="3"/>
    <x v="2"/>
    <x v="3"/>
    <n v="5"/>
    <n v="68.34"/>
    <n v="49.22"/>
    <n v="0"/>
    <n v="341.70000000000005"/>
    <n v="246.1"/>
    <n v="95.600000000000051"/>
    <x v="1448"/>
    <x v="1"/>
    <x v="4"/>
    <s v="online"/>
  </r>
  <r>
    <s v="V00405"/>
    <d v="2024-05-24T00:00:00"/>
    <x v="1"/>
    <n v="5"/>
    <s v="mayo"/>
    <s v="T2"/>
    <s v="P018"/>
    <x v="5"/>
    <x v="0"/>
    <x v="4"/>
    <n v="4"/>
    <n v="33.119999999999997"/>
    <n v="16.97"/>
    <n v="0"/>
    <n v="132.47999999999999"/>
    <n v="67.88"/>
    <n v="64.599999999999994"/>
    <x v="1449"/>
    <x v="0"/>
    <x v="3"/>
    <s v="online"/>
  </r>
  <r>
    <s v="V02022"/>
    <d v="2024-08-30T00:00:00"/>
    <x v="1"/>
    <n v="8"/>
    <s v="agosto"/>
    <s v="T3"/>
    <s v="P016"/>
    <x v="11"/>
    <x v="2"/>
    <x v="2"/>
    <n v="4"/>
    <n v="74.540000000000006"/>
    <n v="42.13"/>
    <n v="0"/>
    <n v="298.16000000000003"/>
    <n v="168.52"/>
    <n v="129.64000000000001"/>
    <x v="1450"/>
    <x v="0"/>
    <x v="6"/>
    <s v=" tienda_fisica"/>
  </r>
  <r>
    <s v="V00251"/>
    <d v="2024-11-15T00:00:00"/>
    <x v="1"/>
    <n v="11"/>
    <s v="noviembre"/>
    <s v="T4"/>
    <s v="P012"/>
    <x v="13"/>
    <x v="1"/>
    <x v="1"/>
    <n v="3"/>
    <n v="8.18"/>
    <n v="5.9"/>
    <n v="0"/>
    <n v="24.54"/>
    <n v="17.700000000000003"/>
    <n v="6.8399999999999963"/>
    <x v="1451"/>
    <x v="1"/>
    <x v="3"/>
    <s v="tienda_fisica"/>
  </r>
  <r>
    <s v="V00484"/>
    <d v="2024-07-13T00:00:00"/>
    <x v="1"/>
    <n v="7"/>
    <s v="julio"/>
    <s v="T3"/>
    <s v="P013"/>
    <x v="8"/>
    <x v="2"/>
    <x v="2"/>
    <n v="3"/>
    <n v="74.63"/>
    <n v="47.62"/>
    <n v="0.18"/>
    <n v="183.5898"/>
    <n v="142.85999999999999"/>
    <n v="40.729800000000012"/>
    <x v="1452"/>
    <x v="1"/>
    <x v="0"/>
    <s v="tienda_fisica"/>
  </r>
  <r>
    <s v="V01183"/>
    <d v="2025-01-18T00:00:00"/>
    <x v="0"/>
    <n v="1"/>
    <s v="enero"/>
    <s v="T1"/>
    <s v="P018"/>
    <x v="5"/>
    <x v="0"/>
    <x v="4"/>
    <n v="1"/>
    <n v="30.39"/>
    <n v="16.809999999999999"/>
    <n v="0"/>
    <n v="30.39"/>
    <n v="16.809999999999999"/>
    <n v="13.580000000000002"/>
    <x v="1453"/>
    <x v="0"/>
    <x v="3"/>
    <s v="online"/>
  </r>
  <r>
    <s v="V01340"/>
    <d v="2024-08-03T00:00:00"/>
    <x v="1"/>
    <n v="8"/>
    <s v="agosto"/>
    <s v="T3"/>
    <s v="P007"/>
    <x v="15"/>
    <x v="1"/>
    <x v="0"/>
    <n v="1"/>
    <n v="21.13"/>
    <n v="12.33"/>
    <n v="0"/>
    <n v="21.13"/>
    <n v="12.33"/>
    <n v="8.7999999999999989"/>
    <x v="1454"/>
    <x v="0"/>
    <x v="2"/>
    <s v="online"/>
  </r>
  <r>
    <s v="V01281"/>
    <d v="2024-10-30T00:00:00"/>
    <x v="1"/>
    <n v="10"/>
    <s v="octubre"/>
    <s v="T4"/>
    <s v="P013"/>
    <x v="8"/>
    <x v="2"/>
    <x v="2"/>
    <n v="2"/>
    <n v="74.62"/>
    <n v="48.68"/>
    <n v="0"/>
    <n v="149.24"/>
    <n v="97.36"/>
    <n v="51.88000000000001"/>
    <x v="1455"/>
    <x v="1"/>
    <x v="0"/>
    <s v="tienda_fisica"/>
  </r>
  <r>
    <s v="V01872"/>
    <d v="2025-11-30T00:00:00"/>
    <x v="0"/>
    <n v="11"/>
    <s v="noviembre"/>
    <s v="T4"/>
    <s v="P014"/>
    <x v="16"/>
    <x v="1"/>
    <x v="2"/>
    <n v="5"/>
    <n v="13.82"/>
    <n v="9.68"/>
    <n v="0"/>
    <n v="69.099999999999994"/>
    <n v="48.4"/>
    <n v="20.699999999999996"/>
    <x v="1456"/>
    <x v="1"/>
    <x v="5"/>
    <s v="tienda_fisica"/>
  </r>
  <r>
    <s v="V00792"/>
    <d v="2025-04-09T00:00:00"/>
    <x v="0"/>
    <n v="4"/>
    <s v="abril"/>
    <s v="T2"/>
    <s v="P001"/>
    <x v="9"/>
    <x v="2"/>
    <x v="3"/>
    <n v="5"/>
    <n v="128.85"/>
    <n v="87.72"/>
    <n v="0.18"/>
    <n v="528.28500000000008"/>
    <n v="438.6"/>
    <n v="89.685000000000059"/>
    <x v="1457"/>
    <x v="1"/>
    <x v="0"/>
    <s v="tienda_fisica"/>
  </r>
  <r>
    <s v="V00800"/>
    <d v="2024-01-31T00:00:00"/>
    <x v="1"/>
    <n v="1"/>
    <s v="enero"/>
    <s v="T1"/>
    <s v="P002"/>
    <x v="3"/>
    <x v="2"/>
    <x v="3"/>
    <n v="1"/>
    <n v="69.95"/>
    <n v="48.87"/>
    <n v="0"/>
    <n v="69.95"/>
    <n v="48.87"/>
    <n v="21.080000000000005"/>
    <x v="1458"/>
    <x v="1"/>
    <x v="3"/>
    <s v="online"/>
  </r>
  <r>
    <s v="V00385"/>
    <d v="2025-12-28T00:00:00"/>
    <x v="0"/>
    <n v="12"/>
    <s v="diciembre"/>
    <s v="T4"/>
    <s v="P005"/>
    <x v="18"/>
    <x v="0"/>
    <x v="0"/>
    <n v="3"/>
    <n v="57.97"/>
    <n v="39.590000000000003"/>
    <n v="0"/>
    <n v="173.91"/>
    <n v="118.77000000000001"/>
    <n v="55.139999999999986"/>
    <x v="1459"/>
    <x v="1"/>
    <x v="4"/>
    <s v="tienda_fisica"/>
  </r>
  <r>
    <s v="V00751"/>
    <d v="2025-04-09T00:00:00"/>
    <x v="0"/>
    <n v="4"/>
    <s v="abril"/>
    <s v="T2"/>
    <s v="P001"/>
    <x v="9"/>
    <x v="2"/>
    <x v="3"/>
    <n v="5"/>
    <n v="126.39"/>
    <n v="88"/>
    <n v="0"/>
    <n v="631.95000000000005"/>
    <n v="440"/>
    <n v="191.95000000000005"/>
    <x v="1460"/>
    <x v="1"/>
    <x v="3"/>
    <s v="online"/>
  </r>
  <r>
    <s v="V01202"/>
    <d v="2024-04-09T00:00:00"/>
    <x v="1"/>
    <n v="4"/>
    <s v="abril"/>
    <s v="T2"/>
    <s v="P011"/>
    <x v="10"/>
    <x v="1"/>
    <x v="1"/>
    <n v="2"/>
    <n v="20.78"/>
    <n v="11.64"/>
    <n v="0"/>
    <n v="41.56"/>
    <n v="23.28"/>
    <n v="18.28"/>
    <x v="1461"/>
    <x v="0"/>
    <x v="3"/>
    <s v="online"/>
  </r>
  <r>
    <s v="V00423"/>
    <d v="2025-06-13T00:00:00"/>
    <x v="0"/>
    <n v="6"/>
    <s v="junio"/>
    <s v="T2"/>
    <s v="P006"/>
    <x v="0"/>
    <x v="0"/>
    <x v="0"/>
    <n v="3"/>
    <n v="48.36"/>
    <n v="26.63"/>
    <n v="0"/>
    <n v="145.07999999999998"/>
    <n v="79.89"/>
    <n v="65.189999999999984"/>
    <x v="1462"/>
    <x v="0"/>
    <x v="6"/>
    <s v="tienda_fisica"/>
  </r>
  <r>
    <s v="V00315"/>
    <d v="2025-10-26T00:00:00"/>
    <x v="0"/>
    <n v="10"/>
    <s v="octubre"/>
    <s v="T4"/>
    <s v="P016"/>
    <x v="11"/>
    <x v="2"/>
    <x v="2"/>
    <n v="3"/>
    <n v="80.3"/>
    <n v="40.42"/>
    <n v="0"/>
    <n v="240.89999999999998"/>
    <n v="121.26"/>
    <n v="119.63999999999997"/>
    <x v="1463"/>
    <x v="0"/>
    <x v="3"/>
    <s v="tienda_fisica"/>
  </r>
  <r>
    <s v="V01022"/>
    <d v="2024-04-04T00:00:00"/>
    <x v="1"/>
    <n v="4"/>
    <s v="abril"/>
    <s v="T2"/>
    <s v="P008"/>
    <x v="4"/>
    <x v="2"/>
    <x v="0"/>
    <n v="1"/>
    <n v="108.74"/>
    <n v="58.39"/>
    <n v="0"/>
    <n v="108.74"/>
    <n v="58.39"/>
    <n v="50.349999999999994"/>
    <x v="1464"/>
    <x v="0"/>
    <x v="3"/>
    <s v="online"/>
  </r>
  <r>
    <s v="V01382"/>
    <d v="2024-10-11T00:00:00"/>
    <x v="1"/>
    <n v="10"/>
    <s v="octubre"/>
    <s v="T4"/>
    <s v="P018"/>
    <x v="5"/>
    <x v="0"/>
    <x v="4"/>
    <n v="5"/>
    <n v="33.119999999999997"/>
    <n v="16.72"/>
    <n v="0"/>
    <n v="165.6"/>
    <n v="83.6"/>
    <n v="82"/>
    <x v="1465"/>
    <x v="0"/>
    <x v="1"/>
    <s v="tienda_fisica"/>
  </r>
  <r>
    <s v="V01323"/>
    <d v="2025-04-10T00:00:00"/>
    <x v="0"/>
    <n v="4"/>
    <s v="abril"/>
    <s v="T2"/>
    <s v="P011"/>
    <x v="10"/>
    <x v="1"/>
    <x v="1"/>
    <n v="2"/>
    <n v="20.190000000000001"/>
    <n v="11.46"/>
    <n v="0"/>
    <n v="40.380000000000003"/>
    <n v="22.92"/>
    <n v="17.46"/>
    <x v="1466"/>
    <x v="0"/>
    <x v="6"/>
    <s v="tienda_fisica"/>
  </r>
  <r>
    <s v="V00544"/>
    <d v="2024-08-09T00:00:00"/>
    <x v="1"/>
    <n v="8"/>
    <s v="agosto"/>
    <s v="T3"/>
    <s v="P010"/>
    <x v="1"/>
    <x v="1"/>
    <x v="1"/>
    <n v="2"/>
    <n v="15.56"/>
    <n v="10.97"/>
    <n v="0"/>
    <n v="31.12"/>
    <n v="21.94"/>
    <n v="9.18"/>
    <x v="1467"/>
    <x v="1"/>
    <x v="0"/>
    <s v="online"/>
  </r>
  <r>
    <s v="V00914"/>
    <d v="2025-11-03T00:00:00"/>
    <x v="0"/>
    <n v="11"/>
    <s v="noviembre"/>
    <s v="T4"/>
    <s v="P005"/>
    <x v="18"/>
    <x v="2"/>
    <x v="0"/>
    <n v="2"/>
    <n v="63.41"/>
    <n v="41.32"/>
    <n v="0"/>
    <n v="126.82"/>
    <n v="82.64"/>
    <n v="44.179999999999993"/>
    <x v="1468"/>
    <x v="1"/>
    <x v="3"/>
    <s v="tienda_fisica"/>
  </r>
  <r>
    <s v="V00663"/>
    <d v="2024-01-31T00:00:00"/>
    <x v="1"/>
    <n v="1"/>
    <s v="enero"/>
    <s v="T1"/>
    <s v="P005"/>
    <x v="18"/>
    <x v="2"/>
    <x v="0"/>
    <n v="1"/>
    <n v="64.180000000000007"/>
    <n v="40.69"/>
    <n v="0"/>
    <n v="64.180000000000007"/>
    <n v="40.69"/>
    <n v="23.490000000000009"/>
    <x v="1469"/>
    <x v="1"/>
    <x v="3"/>
    <s v="online"/>
  </r>
  <r>
    <s v="V00903"/>
    <d v="2025-11-04T00:00:00"/>
    <x v="0"/>
    <n v="11"/>
    <s v="noviembre"/>
    <s v="T4"/>
    <s v="P005"/>
    <x v="18"/>
    <x v="2"/>
    <x v="0"/>
    <n v="5"/>
    <n v="61.65"/>
    <n v="40.14"/>
    <n v="0"/>
    <n v="308.25"/>
    <n v="200.7"/>
    <n v="107.55000000000001"/>
    <x v="1470"/>
    <x v="1"/>
    <x v="3"/>
    <s v="online"/>
  </r>
  <r>
    <s v="V01788"/>
    <d v="2025-05-30T00:00:00"/>
    <x v="0"/>
    <n v="5"/>
    <s v="mayo"/>
    <s v="T2"/>
    <s v="P018"/>
    <x v="5"/>
    <x v="1"/>
    <x v="4"/>
    <n v="1"/>
    <n v="28.61"/>
    <n v="18.04"/>
    <n v="0"/>
    <n v="28.61"/>
    <n v="18.04"/>
    <n v="10.57"/>
    <x v="1471"/>
    <x v="1"/>
    <x v="2"/>
    <s v="online"/>
  </r>
  <r>
    <s v="V00686"/>
    <d v="2024-08-29T00:00:00"/>
    <x v="1"/>
    <n v="8"/>
    <s v="agosto"/>
    <s v="T3"/>
    <s v="P013"/>
    <x v="8"/>
    <x v="2"/>
    <x v="2"/>
    <n v="1"/>
    <n v="74.040000000000006"/>
    <n v="47.18"/>
    <n v="0"/>
    <n v="74.040000000000006"/>
    <n v="47.18"/>
    <n v="26.860000000000007"/>
    <x v="1472"/>
    <x v="1"/>
    <x v="6"/>
    <s v="online"/>
  </r>
  <r>
    <s v="V00434"/>
    <d v="2025-07-17T00:00:00"/>
    <x v="0"/>
    <n v="7"/>
    <s v="julio"/>
    <s v="T3"/>
    <s v="P011"/>
    <x v="10"/>
    <x v="1"/>
    <x v="1"/>
    <n v="1"/>
    <n v="21.98"/>
    <n v="11.75"/>
    <n v="0"/>
    <n v="21.98"/>
    <n v="11.75"/>
    <n v="10.23"/>
    <x v="1473"/>
    <x v="0"/>
    <x v="4"/>
    <s v="tienda_fisica"/>
  </r>
  <r>
    <s v="V00160"/>
    <d v="2024-04-26T00:00:00"/>
    <x v="1"/>
    <n v="4"/>
    <s v="abril"/>
    <s v="T2"/>
    <s v="P008"/>
    <x v="4"/>
    <x v="2"/>
    <x v="0"/>
    <n v="3"/>
    <n v="96.34"/>
    <n v="57.47"/>
    <n v="0"/>
    <n v="289.02"/>
    <n v="172.41"/>
    <n v="116.60999999999999"/>
    <x v="1474"/>
    <x v="0"/>
    <x v="3"/>
    <s v="online"/>
  </r>
  <r>
    <s v="V01000"/>
    <d v="2024-04-05T00:00:00"/>
    <x v="1"/>
    <n v="4"/>
    <s v="abril"/>
    <s v="T2"/>
    <s v="P006"/>
    <x v="0"/>
    <x v="0"/>
    <x v="0"/>
    <n v="1"/>
    <n v="46.08"/>
    <n v="26.59"/>
    <n v="0"/>
    <n v="46.08"/>
    <n v="26.59"/>
    <n v="19.489999999999998"/>
    <x v="1475"/>
    <x v="0"/>
    <x v="3"/>
    <s v="tienda_fisica"/>
  </r>
  <r>
    <s v="V01669"/>
    <d v="2024-03-29T00:00:00"/>
    <x v="1"/>
    <n v="3"/>
    <s v="marzo"/>
    <s v="T1"/>
    <s v="P002"/>
    <x v="3"/>
    <x v="2"/>
    <x v="3"/>
    <n v="2"/>
    <n v="73.25"/>
    <n v="46.41"/>
    <n v="0"/>
    <n v="146.5"/>
    <n v="92.82"/>
    <n v="53.680000000000007"/>
    <x v="1476"/>
    <x v="1"/>
    <x v="5"/>
    <s v="online"/>
  </r>
  <r>
    <s v="V01385"/>
    <d v="2024-05-12T00:00:00"/>
    <x v="1"/>
    <n v="5"/>
    <s v="mayo"/>
    <s v="T2"/>
    <s v="P020"/>
    <x v="19"/>
    <x v="0"/>
    <x v="4"/>
    <n v="2"/>
    <n v="56.73"/>
    <n v="34"/>
    <n v="0"/>
    <n v="113.46"/>
    <n v="68"/>
    <n v="45.459999999999994"/>
    <x v="1477"/>
    <x v="0"/>
    <x v="0"/>
    <s v="online"/>
  </r>
  <r>
    <s v="V02244"/>
    <d v="2024-06-18T00:00:00"/>
    <x v="1"/>
    <n v="6"/>
    <s v="junio"/>
    <s v="T2"/>
    <s v="P017"/>
    <x v="17"/>
    <x v="0"/>
    <x v="4"/>
    <n v="1"/>
    <n v="47.72"/>
    <n v="22.23"/>
    <n v="0"/>
    <n v="47.72"/>
    <n v="22.23"/>
    <n v="25.49"/>
    <x v="1478"/>
    <x v="0"/>
    <x v="4"/>
    <s v="online"/>
  </r>
  <r>
    <s v="V00203"/>
    <d v="2024-12-01T00:00:00"/>
    <x v="1"/>
    <n v="12"/>
    <s v="diciembre"/>
    <s v="T4"/>
    <s v="P006"/>
    <x v="0"/>
    <x v="0"/>
    <x v="0"/>
    <n v="4"/>
    <n v="46.64"/>
    <n v="27.69"/>
    <n v="0"/>
    <n v="186.56"/>
    <n v="110.76"/>
    <n v="75.8"/>
    <x v="1479"/>
    <x v="0"/>
    <x v="5"/>
    <s v="tienda_fisica"/>
  </r>
  <r>
    <s v="V01024"/>
    <d v="2025-06-10T00:00:00"/>
    <x v="0"/>
    <n v="6"/>
    <s v="junio"/>
    <s v="T2"/>
    <s v="P017"/>
    <x v="17"/>
    <x v="0"/>
    <x v="4"/>
    <n v="2"/>
    <n v="46.6"/>
    <n v="22.7"/>
    <n v="0"/>
    <n v="93.2"/>
    <n v="45.4"/>
    <n v="47.800000000000004"/>
    <x v="1480"/>
    <x v="0"/>
    <x v="5"/>
    <s v="tienda_fisica"/>
  </r>
  <r>
    <s v="V01968"/>
    <d v="2025-08-28T00:00:00"/>
    <x v="0"/>
    <n v="8"/>
    <s v="agosto"/>
    <s v="T3"/>
    <s v="P009"/>
    <x v="12"/>
    <x v="1"/>
    <x v="1"/>
    <n v="3"/>
    <n v="8.4499999999999993"/>
    <n v="4.2300000000000004"/>
    <n v="0"/>
    <n v="25.349999999999998"/>
    <n v="12.690000000000001"/>
    <n v="12.659999999999997"/>
    <x v="1481"/>
    <x v="0"/>
    <x v="5"/>
    <s v="online"/>
  </r>
  <r>
    <s v="V01652"/>
    <d v="2025-06-03T00:00:00"/>
    <x v="0"/>
    <n v="6"/>
    <s v="junio"/>
    <s v="T2"/>
    <s v="P009"/>
    <x v="12"/>
    <x v="1"/>
    <x v="1"/>
    <n v="1"/>
    <n v="8.2799999999999994"/>
    <n v="4.37"/>
    <n v="0"/>
    <n v="8.2799999999999994"/>
    <n v="4.37"/>
    <n v="3.9099999999999993"/>
    <x v="1482"/>
    <x v="0"/>
    <x v="6"/>
    <s v="tienda_fisica"/>
  </r>
  <r>
    <s v="V01521"/>
    <d v="2024-05-12T00:00:00"/>
    <x v="1"/>
    <n v="5"/>
    <s v="mayo"/>
    <s v="T2"/>
    <s v="P004"/>
    <x v="6"/>
    <x v="2"/>
    <x v="3"/>
    <n v="1"/>
    <n v="155.52000000000001"/>
    <n v="106.31"/>
    <n v="0"/>
    <n v="155.52000000000001"/>
    <n v="106.31"/>
    <n v="49.210000000000008"/>
    <x v="1483"/>
    <x v="1"/>
    <x v="6"/>
    <s v="tienda_fisica"/>
  </r>
  <r>
    <s v="V00113"/>
    <d v="2025-11-12T00:00:00"/>
    <x v="0"/>
    <n v="11"/>
    <s v="noviembre"/>
    <s v="T4"/>
    <s v="P011"/>
    <x v="10"/>
    <x v="1"/>
    <x v="1"/>
    <n v="5"/>
    <n v="20.100000000000001"/>
    <n v="10.93"/>
    <n v="0"/>
    <n v="100.5"/>
    <n v="54.65"/>
    <n v="45.85"/>
    <x v="1484"/>
    <x v="0"/>
    <x v="3"/>
    <s v="tienda_fisica"/>
  </r>
  <r>
    <s v="V02175"/>
    <d v="2025-07-13T00:00:00"/>
    <x v="0"/>
    <n v="7"/>
    <s v="julio"/>
    <s v="T3"/>
    <s v="P017"/>
    <x v="17"/>
    <x v="0"/>
    <x v="4"/>
    <n v="2"/>
    <n v="48.25"/>
    <n v="22.49"/>
    <n v="0"/>
    <n v="96.5"/>
    <n v="44.98"/>
    <n v="51.52"/>
    <x v="1485"/>
    <x v="0"/>
    <x v="0"/>
    <s v="tienda_fisica"/>
  </r>
  <r>
    <s v="V01332"/>
    <d v="2024-10-24T00:00:00"/>
    <x v="1"/>
    <n v="10"/>
    <s v="octubre"/>
    <s v="T4"/>
    <s v="P004"/>
    <x v="6"/>
    <x v="2"/>
    <x v="3"/>
    <n v="7"/>
    <n v="174.35"/>
    <n v="115.39"/>
    <n v="0"/>
    <n v="1220.45"/>
    <n v="807.73"/>
    <n v="412.72"/>
    <x v="1486"/>
    <x v="1"/>
    <x v="3"/>
    <s v="online"/>
  </r>
  <r>
    <s v="V02015"/>
    <d v="2025-01-16T00:00:00"/>
    <x v="0"/>
    <n v="1"/>
    <s v="enero"/>
    <s v="T1"/>
    <s v="P014"/>
    <x v="16"/>
    <x v="1"/>
    <x v="2"/>
    <n v="1"/>
    <n v="13.65"/>
    <n v="10.029999999999999"/>
    <n v="0.2"/>
    <n v="10.920000000000002"/>
    <n v="10.029999999999999"/>
    <n v="0.89000000000000234"/>
    <x v="1487"/>
    <x v="1"/>
    <x v="5"/>
    <s v="online"/>
  </r>
  <r>
    <s v="V01447"/>
    <d v="2025-02-20T00:00:00"/>
    <x v="0"/>
    <n v="2"/>
    <s v="febrero"/>
    <s v="T1"/>
    <s v="P017"/>
    <x v="17"/>
    <x v="0"/>
    <x v="4"/>
    <n v="1"/>
    <n v="47.65"/>
    <n v="23.31"/>
    <n v="0"/>
    <n v="47.65"/>
    <n v="23.31"/>
    <n v="24.34"/>
    <x v="1488"/>
    <x v="0"/>
    <x v="4"/>
    <s v="tienda_fisica"/>
  </r>
  <r>
    <s v="V00981"/>
    <d v="2025-06-21T00:00:00"/>
    <x v="0"/>
    <n v="6"/>
    <s v="junio"/>
    <s v="T2"/>
    <s v="P014"/>
    <x v="16"/>
    <x v="1"/>
    <x v="2"/>
    <n v="1"/>
    <n v="14.05"/>
    <n v="9.58"/>
    <n v="0"/>
    <n v="14.05"/>
    <n v="9.58"/>
    <n v="4.4700000000000006"/>
    <x v="1489"/>
    <x v="1"/>
    <x v="3"/>
    <s v="tienda_fisica"/>
  </r>
  <r>
    <s v="V00923"/>
    <d v="2025-02-21T00:00:00"/>
    <x v="0"/>
    <n v="2"/>
    <s v="febrero"/>
    <s v="T1"/>
    <s v="P013"/>
    <x v="8"/>
    <x v="2"/>
    <x v="2"/>
    <n v="2"/>
    <n v="75.91"/>
    <n v="45.48"/>
    <n v="0"/>
    <n v="151.82"/>
    <n v="90.96"/>
    <n v="60.86"/>
    <x v="1490"/>
    <x v="0"/>
    <x v="0"/>
    <s v="tienda_fisica"/>
  </r>
  <r>
    <s v="V01903"/>
    <d v="2024-12-26T00:00:00"/>
    <x v="1"/>
    <n v="12"/>
    <s v="diciembre"/>
    <s v="T4"/>
    <s v="P020"/>
    <x v="19"/>
    <x v="0"/>
    <x v="4"/>
    <n v="4"/>
    <n v="56.93"/>
    <n v="32.6"/>
    <n v="0"/>
    <n v="227.72"/>
    <n v="130.4"/>
    <n v="97.32"/>
    <x v="1491"/>
    <x v="0"/>
    <x v="2"/>
    <s v="tienda_fisica"/>
  </r>
  <r>
    <s v="V02039"/>
    <d v="2024-12-22T00:00:00"/>
    <x v="1"/>
    <n v="12"/>
    <s v="diciembre"/>
    <s v="T4"/>
    <s v="P019"/>
    <x v="14"/>
    <x v="2"/>
    <x v="4"/>
    <n v="3"/>
    <n v="60.3"/>
    <n v="31.63"/>
    <n v="0.24"/>
    <n v="137.48399999999998"/>
    <n v="94.89"/>
    <n v="42.59399999999998"/>
    <x v="1492"/>
    <x v="1"/>
    <x v="2"/>
    <s v="online"/>
  </r>
  <r>
    <s v="V01815"/>
    <d v="2025-11-20T00:00:00"/>
    <x v="0"/>
    <n v="11"/>
    <s v="noviembre"/>
    <s v="T4"/>
    <s v="P018"/>
    <x v="5"/>
    <x v="0"/>
    <x v="4"/>
    <n v="1"/>
    <n v="31.96"/>
    <n v="17.14"/>
    <n v="0"/>
    <n v="31.96"/>
    <n v="17.14"/>
    <n v="14.82"/>
    <x v="1493"/>
    <x v="0"/>
    <x v="2"/>
    <s v="tienda_fisica"/>
  </r>
  <r>
    <s v="V01596"/>
    <d v="2025-02-08T00:00:00"/>
    <x v="0"/>
    <n v="2"/>
    <s v="febrero"/>
    <s v="T1"/>
    <s v="P004"/>
    <x v="6"/>
    <x v="2"/>
    <x v="3"/>
    <n v="5"/>
    <n v="160.94"/>
    <n v="114.2"/>
    <n v="0.06"/>
    <n v="756.41800000000001"/>
    <n v="571"/>
    <n v="185.41800000000001"/>
    <x v="1494"/>
    <x v="1"/>
    <x v="2"/>
    <s v="tienda_fisica"/>
  </r>
  <r>
    <s v="V01320"/>
    <d v="2025-09-06T00:00:00"/>
    <x v="0"/>
    <n v="9"/>
    <s v="septiembre"/>
    <s v="T3"/>
    <s v="P005"/>
    <x v="18"/>
    <x v="2"/>
    <x v="0"/>
    <n v="2"/>
    <n v="62.27"/>
    <n v="41.2"/>
    <n v="0"/>
    <n v="124.54"/>
    <n v="82.4"/>
    <n v="42.14"/>
    <x v="1495"/>
    <x v="1"/>
    <x v="3"/>
    <s v="online"/>
  </r>
  <r>
    <s v="V01484"/>
    <d v="2025-04-21T00:00:00"/>
    <x v="0"/>
    <n v="4"/>
    <s v="abril"/>
    <s v="T2"/>
    <s v="P012"/>
    <x v="13"/>
    <x v="1"/>
    <x v="1"/>
    <n v="1"/>
    <n v="8.81"/>
    <n v="5.5"/>
    <n v="0"/>
    <n v="8.81"/>
    <n v="5.5"/>
    <n v="3.3100000000000005"/>
    <x v="1496"/>
    <x v="0"/>
    <x v="5"/>
    <s v="tienda_fisica"/>
  </r>
  <r>
    <s v="V00816"/>
    <d v="2024-01-10T00:00:00"/>
    <x v="1"/>
    <n v="1"/>
    <s v="enero"/>
    <s v="T1"/>
    <s v="P010"/>
    <x v="1"/>
    <x v="1"/>
    <x v="1"/>
    <n v="2"/>
    <n v="16.149999999999999"/>
    <n v="11.73"/>
    <n v="0"/>
    <n v="32.299999999999997"/>
    <n v="23.46"/>
    <n v="8.8399999999999963"/>
    <x v="1497"/>
    <x v="1"/>
    <x v="0"/>
    <s v="tienda_fisica"/>
  </r>
  <r>
    <s v="V01745"/>
    <d v="2024-11-02T00:00:00"/>
    <x v="1"/>
    <n v="11"/>
    <s v="noviembre"/>
    <s v="T4"/>
    <s v="P003"/>
    <x v="7"/>
    <x v="2"/>
    <x v="3"/>
    <n v="4"/>
    <n v="167.99"/>
    <n v="94.19"/>
    <n v="0"/>
    <n v="671.96"/>
    <n v="376.76"/>
    <n v="295.20000000000005"/>
    <x v="1498"/>
    <x v="0"/>
    <x v="4"/>
    <s v="online"/>
  </r>
  <r>
    <s v="V01658"/>
    <d v="2025-02-12T00:00:00"/>
    <x v="0"/>
    <n v="2"/>
    <s v="febrero"/>
    <s v="T1"/>
    <s v="P001"/>
    <x v="9"/>
    <x v="2"/>
    <x v="3"/>
    <n v="6"/>
    <n v="126.01"/>
    <n v="87.54"/>
    <n v="0"/>
    <n v="756.06000000000006"/>
    <n v="525.24"/>
    <n v="230.82000000000005"/>
    <x v="1499"/>
    <x v="1"/>
    <x v="4"/>
    <s v="tienda_fisica"/>
  </r>
  <r>
    <s v="V01474"/>
    <d v="2024-10-22T00:00:00"/>
    <x v="1"/>
    <n v="10"/>
    <s v="octubre"/>
    <s v="T4"/>
    <s v="P006"/>
    <x v="0"/>
    <x v="0"/>
    <x v="0"/>
    <n v="1"/>
    <n v="44.32"/>
    <n v="25.63"/>
    <n v="0"/>
    <n v="44.32"/>
    <n v="25.63"/>
    <n v="18.690000000000001"/>
    <x v="1500"/>
    <x v="0"/>
    <x v="0"/>
    <s v="tienda_fisica"/>
  </r>
  <r>
    <s v="V00680"/>
    <d v="2025-10-11T00:00:00"/>
    <x v="0"/>
    <n v="10"/>
    <s v="octubre"/>
    <s v="T4"/>
    <s v="P003"/>
    <x v="7"/>
    <x v="2"/>
    <x v="3"/>
    <n v="7"/>
    <n v="170.79"/>
    <n v="95.14"/>
    <n v="0"/>
    <n v="1195.53"/>
    <n v="665.98"/>
    <n v="529.54999999999995"/>
    <x v="1501"/>
    <x v="0"/>
    <x v="3"/>
    <s v="online"/>
  </r>
  <r>
    <s v="V01094"/>
    <d v="2025-05-06T00:00:00"/>
    <x v="0"/>
    <n v="5"/>
    <s v="mayo"/>
    <s v="T2"/>
    <s v="P012"/>
    <x v="13"/>
    <x v="1"/>
    <x v="1"/>
    <n v="2"/>
    <n v="8.15"/>
    <n v="6"/>
    <n v="0"/>
    <n v="16.3"/>
    <n v="12"/>
    <n v="4.3000000000000007"/>
    <x v="1502"/>
    <x v="1"/>
    <x v="4"/>
    <s v="tienda_fisica"/>
  </r>
  <r>
    <s v="V00081"/>
    <d v="2025-02-28T00:00:00"/>
    <x v="0"/>
    <n v="2"/>
    <s v="febrero"/>
    <s v="T1"/>
    <s v="P009"/>
    <x v="12"/>
    <x v="1"/>
    <x v="1"/>
    <n v="5"/>
    <n v="7.95"/>
    <n v="4.3899999999999997"/>
    <n v="0"/>
    <n v="39.75"/>
    <n v="21.95"/>
    <n v="17.8"/>
    <x v="1503"/>
    <x v="0"/>
    <x v="3"/>
    <s v="tienda_fisica"/>
  </r>
  <r>
    <s v="V00613"/>
    <d v="2025-03-03T00:00:00"/>
    <x v="0"/>
    <n v="3"/>
    <s v="marzo"/>
    <s v="T1"/>
    <s v="P001"/>
    <x v="9"/>
    <x v="2"/>
    <x v="3"/>
    <n v="2"/>
    <n v="113.07"/>
    <n v="84.57"/>
    <n v="0"/>
    <n v="226.14"/>
    <n v="169.14"/>
    <n v="57"/>
    <x v="1504"/>
    <x v="1"/>
    <x v="6"/>
    <s v="online"/>
  </r>
  <r>
    <s v="V01749"/>
    <d v="2025-07-25T00:00:00"/>
    <x v="0"/>
    <n v="7"/>
    <s v="julio"/>
    <s v="T3"/>
    <s v="P018"/>
    <x v="5"/>
    <x v="0"/>
    <x v="4"/>
    <n v="2"/>
    <n v="30.71"/>
    <n v="17.829999999999998"/>
    <n v="0"/>
    <n v="61.42"/>
    <n v="35.659999999999997"/>
    <n v="25.760000000000005"/>
    <x v="1505"/>
    <x v="0"/>
    <x v="3"/>
    <s v="tienda_fisica"/>
  </r>
  <r>
    <s v="V01967"/>
    <d v="2024-06-16T00:00:00"/>
    <x v="1"/>
    <n v="6"/>
    <s v="junio"/>
    <s v="T2"/>
    <s v="P006"/>
    <x v="0"/>
    <x v="0"/>
    <x v="0"/>
    <n v="1"/>
    <n v="44.3"/>
    <n v="27.11"/>
    <n v="0"/>
    <n v="44.3"/>
    <n v="27.11"/>
    <n v="17.189999999999998"/>
    <x v="1506"/>
    <x v="0"/>
    <x v="3"/>
    <s v="tienda_fisica"/>
  </r>
  <r>
    <s v="V00753"/>
    <d v="2024-04-17T00:00:00"/>
    <x v="1"/>
    <n v="4"/>
    <s v="abril"/>
    <s v="T2"/>
    <s v="P008"/>
    <x v="4"/>
    <x v="2"/>
    <x v="0"/>
    <n v="1"/>
    <n v="108.01"/>
    <n v="55.07"/>
    <n v="0.27"/>
    <n v="78.847300000000004"/>
    <n v="55.07"/>
    <n v="23.777300000000004"/>
    <x v="1507"/>
    <x v="1"/>
    <x v="3"/>
    <s v="tienda_fisica"/>
  </r>
  <r>
    <s v="V01240"/>
    <d v="2024-11-06T00:00:00"/>
    <x v="1"/>
    <n v="11"/>
    <s v="noviembre"/>
    <s v="T4"/>
    <s v="P016"/>
    <x v="11"/>
    <x v="2"/>
    <x v="2"/>
    <n v="5"/>
    <n v="76.540000000000006"/>
    <n v="40.22"/>
    <n v="0"/>
    <n v="382.70000000000005"/>
    <n v="201.1"/>
    <n v="181.60000000000005"/>
    <x v="1508"/>
    <x v="0"/>
    <x v="3"/>
    <s v="online"/>
  </r>
  <r>
    <s v="V01690"/>
    <d v="2024-07-09T00:00:00"/>
    <x v="1"/>
    <n v="7"/>
    <s v="julio"/>
    <s v="T3"/>
    <s v="P019"/>
    <x v="14"/>
    <x v="2"/>
    <x v="4"/>
    <n v="2"/>
    <n v="60.15"/>
    <n v="32.9"/>
    <n v="0"/>
    <n v="120.3"/>
    <n v="65.8"/>
    <n v="54.5"/>
    <x v="1509"/>
    <x v="0"/>
    <x v="6"/>
    <s v="tienda_fisica"/>
  </r>
  <r>
    <s v="V01055"/>
    <d v="2024-07-07T00:00:00"/>
    <x v="1"/>
    <n v="7"/>
    <s v="julio"/>
    <s v="T3"/>
    <s v="P016"/>
    <x v="11"/>
    <x v="2"/>
    <x v="2"/>
    <n v="3"/>
    <n v="81.16"/>
    <n v="42.48"/>
    <n v="0"/>
    <n v="243.48"/>
    <n v="127.44"/>
    <n v="116.03999999999999"/>
    <x v="1510"/>
    <x v="0"/>
    <x v="2"/>
    <s v="tienda_fisica"/>
  </r>
  <r>
    <s v="V00243"/>
    <d v="2025-05-05T00:00:00"/>
    <x v="0"/>
    <n v="5"/>
    <s v="mayo"/>
    <s v="T2"/>
    <s v="P007"/>
    <x v="15"/>
    <x v="1"/>
    <x v="0"/>
    <n v="5"/>
    <n v="20.09"/>
    <n v="12.57"/>
    <n v="0"/>
    <n v="100.45"/>
    <n v="62.85"/>
    <n v="37.6"/>
    <x v="1511"/>
    <x v="1"/>
    <x v="3"/>
    <s v="tienda_fisica"/>
  </r>
  <r>
    <s v="V01716"/>
    <d v="2024-03-28T00:00:00"/>
    <x v="1"/>
    <n v="3"/>
    <s v="marzo"/>
    <s v="T1"/>
    <s v="P015"/>
    <x v="2"/>
    <x v="2"/>
    <x v="2"/>
    <n v="1"/>
    <n v="73.150000000000006"/>
    <n v="41.85"/>
    <n v="0"/>
    <n v="73.150000000000006"/>
    <n v="41.85"/>
    <n v="31.300000000000004"/>
    <x v="1512"/>
    <x v="0"/>
    <x v="0"/>
    <s v="tienda_fisica"/>
  </r>
  <r>
    <s v="V00642"/>
    <d v="2024-09-22T00:00:00"/>
    <x v="1"/>
    <n v="9"/>
    <s v="septiembre"/>
    <s v="T3"/>
    <s v="P001"/>
    <x v="9"/>
    <x v="2"/>
    <x v="3"/>
    <n v="2"/>
    <n v="115.06"/>
    <n v="81.47"/>
    <n v="0"/>
    <n v="230.12"/>
    <n v="162.94"/>
    <n v="67.180000000000007"/>
    <x v="1513"/>
    <x v="1"/>
    <x v="3"/>
    <s v="online"/>
  </r>
  <r>
    <s v="V00697"/>
    <d v="2025-07-25T00:00:00"/>
    <x v="0"/>
    <n v="7"/>
    <s v="julio"/>
    <s v="T3"/>
    <s v="P001"/>
    <x v="9"/>
    <x v="2"/>
    <x v="3"/>
    <n v="11"/>
    <n v="116.29"/>
    <n v="86.01"/>
    <n v="0.15"/>
    <n v="1087.3115"/>
    <n v="946.11"/>
    <n v="141.20150000000001"/>
    <x v="1514"/>
    <x v="1"/>
    <x v="4"/>
    <s v="tienda_fisica"/>
  </r>
  <r>
    <s v="V00210"/>
    <d v="2024-02-02T00:00:00"/>
    <x v="1"/>
    <n v="2"/>
    <s v="febrero"/>
    <s v="T1"/>
    <s v="P004"/>
    <x v="6"/>
    <x v="2"/>
    <x v="3"/>
    <n v="6"/>
    <n v="149.27000000000001"/>
    <n v="106.8"/>
    <n v="0.06"/>
    <n v="841.88280000000009"/>
    <n v="640.79999999999995"/>
    <n v="201.08280000000013"/>
    <x v="1515"/>
    <x v="1"/>
    <x v="2"/>
    <s v="online"/>
  </r>
  <r>
    <s v="V00503"/>
    <d v="2025-11-02T00:00:00"/>
    <x v="0"/>
    <n v="11"/>
    <s v="noviembre"/>
    <s v="T4"/>
    <s v="P020"/>
    <x v="19"/>
    <x v="2"/>
    <x v="4"/>
    <n v="2"/>
    <n v="63.72"/>
    <n v="32.47"/>
    <n v="0.28999999999999998"/>
    <n v="90.482399999999998"/>
    <n v="64.94"/>
    <n v="25.542400000000001"/>
    <x v="1516"/>
    <x v="1"/>
    <x v="3"/>
    <s v="online"/>
  </r>
  <r>
    <s v="V00771"/>
    <d v="2025-01-17T00:00:00"/>
    <x v="0"/>
    <n v="1"/>
    <s v="enero"/>
    <s v="T1"/>
    <s v="P005"/>
    <x v="18"/>
    <x v="2"/>
    <x v="0"/>
    <n v="1"/>
    <n v="64.069999999999993"/>
    <n v="41.4"/>
    <n v="0.25"/>
    <n v="48.052499999999995"/>
    <n v="41.4"/>
    <n v="6.6524999999999963"/>
    <x v="1517"/>
    <x v="1"/>
    <x v="0"/>
    <s v="online"/>
  </r>
  <r>
    <s v="V00754"/>
    <d v="2024-08-07T00:00:00"/>
    <x v="1"/>
    <n v="8"/>
    <s v="agosto"/>
    <s v="T3"/>
    <s v="P016"/>
    <x v="11"/>
    <x v="2"/>
    <x v="2"/>
    <n v="3"/>
    <n v="79.11"/>
    <n v="40.58"/>
    <n v="0"/>
    <n v="237.32999999999998"/>
    <n v="121.74"/>
    <n v="115.58999999999999"/>
    <x v="1518"/>
    <x v="0"/>
    <x v="0"/>
    <s v="online"/>
  </r>
  <r>
    <s v="V00436"/>
    <d v="2025-11-02T00:00:00"/>
    <x v="0"/>
    <n v="11"/>
    <s v="noviembre"/>
    <s v="T4"/>
    <s v="P020"/>
    <x v="19"/>
    <x v="2"/>
    <x v="4"/>
    <n v="4"/>
    <n v="63.41"/>
    <n v="34.25"/>
    <n v="0"/>
    <n v="253.64"/>
    <n v="137"/>
    <n v="116.63999999999999"/>
    <x v="1519"/>
    <x v="0"/>
    <x v="0"/>
    <s v="tienda_fisica"/>
  </r>
  <r>
    <s v="V01064"/>
    <d v="2025-05-26T00:00:00"/>
    <x v="0"/>
    <n v="5"/>
    <s v="mayo"/>
    <s v="T2"/>
    <s v="P004"/>
    <x v="6"/>
    <x v="2"/>
    <x v="3"/>
    <n v="6"/>
    <n v="169.8"/>
    <n v="112.59"/>
    <n v="0"/>
    <n v="1018.8000000000001"/>
    <n v="675.54"/>
    <n v="343.2600000000001"/>
    <x v="1520"/>
    <x v="1"/>
    <x v="1"/>
    <s v="tienda_fisica"/>
  </r>
  <r>
    <s v="V01446"/>
    <d v="2024-07-16T00:00:00"/>
    <x v="1"/>
    <n v="7"/>
    <s v="julio"/>
    <s v="T3"/>
    <s v="P001"/>
    <x v="9"/>
    <x v="2"/>
    <x v="3"/>
    <n v="2"/>
    <n v="129.36000000000001"/>
    <n v="86.41"/>
    <n v="0.2"/>
    <n v="206.97600000000003"/>
    <n v="172.82"/>
    <n v="34.156000000000034"/>
    <x v="1521"/>
    <x v="1"/>
    <x v="4"/>
    <s v="tienda_fisica"/>
  </r>
  <r>
    <s v="V00975"/>
    <d v="2025-09-27T00:00:00"/>
    <x v="0"/>
    <n v="9"/>
    <s v="septiembre"/>
    <s v="T3"/>
    <s v="P002"/>
    <x v="3"/>
    <x v="2"/>
    <x v="3"/>
    <n v="6"/>
    <n v="74.52"/>
    <n v="45.6"/>
    <n v="0.14000000000000001"/>
    <n v="384.52319999999997"/>
    <n v="273.60000000000002"/>
    <n v="110.92319999999995"/>
    <x v="1522"/>
    <x v="1"/>
    <x v="6"/>
    <s v="online"/>
  </r>
  <r>
    <s v="V00552"/>
    <d v="2024-12-30T00:00:00"/>
    <x v="1"/>
    <n v="12"/>
    <s v="diciembre"/>
    <s v="T4"/>
    <s v="P020"/>
    <x v="19"/>
    <x v="2"/>
    <x v="4"/>
    <n v="5"/>
    <n v="60.64"/>
    <n v="35.380000000000003"/>
    <n v="0"/>
    <n v="303.2"/>
    <n v="176.9"/>
    <n v="126.29999999999998"/>
    <x v="1523"/>
    <x v="0"/>
    <x v="3"/>
    <s v="tienda_fisica"/>
  </r>
  <r>
    <s v="V01785"/>
    <d v="2024-09-05T00:00:00"/>
    <x v="1"/>
    <n v="9"/>
    <s v="septiembre"/>
    <s v="T3"/>
    <s v="P007"/>
    <x v="15"/>
    <x v="1"/>
    <x v="0"/>
    <n v="4"/>
    <n v="18.8"/>
    <n v="12.5"/>
    <n v="0"/>
    <n v="75.2"/>
    <n v="50"/>
    <n v="25.200000000000003"/>
    <x v="1524"/>
    <x v="1"/>
    <x v="4"/>
    <s v="tienda_fisica"/>
  </r>
  <r>
    <s v="V01796"/>
    <d v="2024-06-28T00:00:00"/>
    <x v="1"/>
    <n v="6"/>
    <s v="junio"/>
    <s v="T2"/>
    <s v="P009"/>
    <x v="12"/>
    <x v="1"/>
    <x v="1"/>
    <n v="8"/>
    <n v="7.97"/>
    <n v="4.17"/>
    <n v="0"/>
    <n v="63.76"/>
    <n v="33.36"/>
    <n v="30.4"/>
    <x v="694"/>
    <x v="0"/>
    <x v="3"/>
    <s v="tienda_fisica"/>
  </r>
  <r>
    <s v="V01516"/>
    <d v="2025-09-15T00:00:00"/>
    <x v="0"/>
    <n v="9"/>
    <s v="septiembre"/>
    <s v="T3"/>
    <s v="P015"/>
    <x v="2"/>
    <x v="2"/>
    <x v="2"/>
    <n v="1"/>
    <n v="82.18"/>
    <n v="44.15"/>
    <n v="0"/>
    <n v="82.18"/>
    <n v="44.15"/>
    <n v="38.030000000000008"/>
    <x v="1525"/>
    <x v="0"/>
    <x v="4"/>
    <s v="tienda_fisica"/>
  </r>
  <r>
    <s v="V01014"/>
    <d v="2024-01-19T00:00:00"/>
    <x v="1"/>
    <n v="1"/>
    <s v="enero"/>
    <s v="T1"/>
    <s v="P010"/>
    <x v="1"/>
    <x v="1"/>
    <x v="1"/>
    <n v="1"/>
    <n v="16.09"/>
    <n v="11.89"/>
    <n v="0"/>
    <n v="16.09"/>
    <n v="11.89"/>
    <n v="4.1999999999999993"/>
    <x v="1526"/>
    <x v="1"/>
    <x v="4"/>
    <s v="tienda_fisica"/>
  </r>
  <r>
    <s v="V01008"/>
    <d v="2025-04-05T00:00:00"/>
    <x v="0"/>
    <n v="4"/>
    <s v="abril"/>
    <s v="T2"/>
    <s v="P003"/>
    <x v="7"/>
    <x v="2"/>
    <x v="3"/>
    <n v="3"/>
    <n v="171.85"/>
    <n v="97.27"/>
    <n v="0"/>
    <n v="515.54999999999995"/>
    <n v="291.81"/>
    <n v="223.73999999999995"/>
    <x v="1527"/>
    <x v="0"/>
    <x v="3"/>
    <s v="online"/>
  </r>
  <r>
    <s v="V01428"/>
    <d v="2025-01-18T00:00:00"/>
    <x v="0"/>
    <n v="1"/>
    <s v="enero"/>
    <s v="T1"/>
    <s v="P013"/>
    <x v="8"/>
    <x v="2"/>
    <x v="2"/>
    <n v="3"/>
    <n v="78.22"/>
    <n v="47.62"/>
    <n v="0"/>
    <n v="234.66"/>
    <n v="142.85999999999999"/>
    <n v="91.800000000000011"/>
    <x v="1528"/>
    <x v="0"/>
    <x v="3"/>
    <s v="tienda_fisica"/>
  </r>
  <r>
    <s v="V01275"/>
    <d v="2024-12-11T00:00:00"/>
    <x v="1"/>
    <n v="12"/>
    <s v="diciembre"/>
    <s v="T4"/>
    <s v="P011"/>
    <x v="10"/>
    <x v="1"/>
    <x v="1"/>
    <n v="2"/>
    <n v="22.45"/>
    <n v="11.35"/>
    <n v="0.26"/>
    <n v="33.225999999999999"/>
    <n v="22.7"/>
    <n v="10.526"/>
    <x v="1529"/>
    <x v="1"/>
    <x v="6"/>
    <s v="online"/>
  </r>
  <r>
    <s v="V01387"/>
    <d v="2025-07-22T00:00:00"/>
    <x v="0"/>
    <n v="7"/>
    <s v="julio"/>
    <s v="T3"/>
    <s v="P009"/>
    <x v="12"/>
    <x v="1"/>
    <x v="1"/>
    <n v="5"/>
    <n v="8.43"/>
    <n v="4.4400000000000004"/>
    <n v="0"/>
    <n v="42.15"/>
    <n v="22.200000000000003"/>
    <n v="19.949999999999996"/>
    <x v="1530"/>
    <x v="0"/>
    <x v="1"/>
    <s v="tienda_fisica"/>
  </r>
  <r>
    <s v="V01296"/>
    <d v="2025-01-02T00:00:00"/>
    <x v="0"/>
    <n v="1"/>
    <s v="enero"/>
    <s v="T1"/>
    <s v="P009"/>
    <x v="12"/>
    <x v="1"/>
    <x v="1"/>
    <n v="2"/>
    <n v="7.8"/>
    <n v="4.53"/>
    <n v="0"/>
    <n v="15.6"/>
    <n v="9.06"/>
    <n v="6.5399999999999991"/>
    <x v="1531"/>
    <x v="0"/>
    <x v="2"/>
    <s v=" online"/>
  </r>
  <r>
    <s v="V00467"/>
    <d v="2024-11-02T00:00:00"/>
    <x v="1"/>
    <n v="11"/>
    <s v="noviembre"/>
    <s v="T4"/>
    <s v="P016"/>
    <x v="11"/>
    <x v="2"/>
    <x v="2"/>
    <n v="1"/>
    <n v="72.650000000000006"/>
    <n v="40.49"/>
    <n v="0"/>
    <n v="72.650000000000006"/>
    <n v="40.49"/>
    <n v="32.160000000000004"/>
    <x v="1532"/>
    <x v="0"/>
    <x v="3"/>
    <s v="tienda_fisica"/>
  </r>
  <r>
    <s v="V01500"/>
    <d v="2024-02-22T00:00:00"/>
    <x v="1"/>
    <n v="2"/>
    <s v="febrero"/>
    <s v="T1"/>
    <s v="P005"/>
    <x v="18"/>
    <x v="0"/>
    <x v="0"/>
    <n v="1"/>
    <n v="58.4"/>
    <n v="41.93"/>
    <n v="0"/>
    <n v="58.4"/>
    <n v="41.93"/>
    <n v="16.47"/>
    <x v="1533"/>
    <x v="1"/>
    <x v="3"/>
    <s v="online"/>
  </r>
  <r>
    <s v="V01889"/>
    <d v="2024-11-09T00:00:00"/>
    <x v="1"/>
    <n v="11"/>
    <s v="noviembre"/>
    <s v="T4"/>
    <s v="P020"/>
    <x v="19"/>
    <x v="0"/>
    <x v="4"/>
    <n v="1"/>
    <n v="56.87"/>
    <n v="34.75"/>
    <n v="0"/>
    <n v="56.87"/>
    <n v="34.75"/>
    <n v="22.119999999999997"/>
    <x v="1534"/>
    <x v="0"/>
    <x v="0"/>
    <s v="tienda_fisica"/>
  </r>
  <r>
    <s v="V01675"/>
    <d v="2025-03-02T00:00:00"/>
    <x v="0"/>
    <n v="3"/>
    <s v="marzo"/>
    <s v="T1"/>
    <s v="P014"/>
    <x v="16"/>
    <x v="1"/>
    <x v="2"/>
    <n v="6"/>
    <n v="14.75"/>
    <n v="9.5299999999999994"/>
    <n v="0"/>
    <n v="88.5"/>
    <n v="57.179999999999993"/>
    <n v="31.320000000000007"/>
    <x v="1535"/>
    <x v="1"/>
    <x v="3"/>
    <s v="online"/>
  </r>
  <r>
    <s v="V00278"/>
    <d v="2025-03-15T00:00:00"/>
    <x v="0"/>
    <n v="3"/>
    <s v="marzo"/>
    <s v="T1"/>
    <s v="P012"/>
    <x v="13"/>
    <x v="1"/>
    <x v="1"/>
    <n v="1"/>
    <n v="8.81"/>
    <n v="5.83"/>
    <n v="0"/>
    <n v="8.81"/>
    <n v="5.83"/>
    <n v="2.9800000000000004"/>
    <x v="1536"/>
    <x v="1"/>
    <x v="3"/>
    <s v="online"/>
  </r>
  <r>
    <s v="V01070"/>
    <d v="2025-08-07T00:00:00"/>
    <x v="0"/>
    <n v="8"/>
    <s v="agosto"/>
    <s v="T3"/>
    <s v="P007"/>
    <x v="15"/>
    <x v="1"/>
    <x v="0"/>
    <n v="2"/>
    <n v="20.97"/>
    <n v="13.29"/>
    <n v="0"/>
    <n v="41.94"/>
    <n v="26.58"/>
    <n v="15.36"/>
    <x v="1537"/>
    <x v="1"/>
    <x v="2"/>
    <s v="tienda_fisica"/>
  </r>
  <r>
    <s v="V01018"/>
    <d v="2024-08-19T00:00:00"/>
    <x v="1"/>
    <n v="8"/>
    <s v="agosto"/>
    <s v="T3"/>
    <s v="P014"/>
    <x v="16"/>
    <x v="1"/>
    <x v="2"/>
    <n v="11"/>
    <n v="15.07"/>
    <n v="9.93"/>
    <n v="0"/>
    <n v="165.77"/>
    <n v="109.22999999999999"/>
    <n v="56.54000000000002"/>
    <x v="1538"/>
    <x v="1"/>
    <x v="3"/>
    <s v="online"/>
  </r>
  <r>
    <s v="V01694"/>
    <d v="2024-06-14T00:00:00"/>
    <x v="1"/>
    <n v="6"/>
    <s v="junio"/>
    <s v="T2"/>
    <s v="P008"/>
    <x v="4"/>
    <x v="2"/>
    <x v="0"/>
    <n v="1"/>
    <n v="107.72"/>
    <n v="59.05"/>
    <n v="0"/>
    <n v="107.72"/>
    <n v="59.05"/>
    <n v="48.67"/>
    <x v="1539"/>
    <x v="0"/>
    <x v="2"/>
    <s v="online"/>
  </r>
  <r>
    <s v="V01789"/>
    <d v="2025-06-11T00:00:00"/>
    <x v="0"/>
    <n v="6"/>
    <s v="junio"/>
    <s v="T2"/>
    <s v="P004"/>
    <x v="6"/>
    <x v="2"/>
    <x v="3"/>
    <n v="2"/>
    <n v="162.18"/>
    <n v="105.27"/>
    <n v="0"/>
    <n v="324.36"/>
    <n v="210.54"/>
    <n v="113.82000000000002"/>
    <x v="1540"/>
    <x v="1"/>
    <x v="3"/>
    <s v="tienda_fisica"/>
  </r>
  <r>
    <s v="V00723"/>
    <d v="2024-08-04T00:00:00"/>
    <x v="1"/>
    <n v="8"/>
    <s v="agosto"/>
    <s v="T3"/>
    <s v="P006"/>
    <x v="0"/>
    <x v="0"/>
    <x v="0"/>
    <n v="4"/>
    <n v="43.78"/>
    <n v="26.72"/>
    <n v="0.08"/>
    <n v="161.1104"/>
    <n v="106.88"/>
    <n v="54.230400000000003"/>
    <x v="1541"/>
    <x v="1"/>
    <x v="3"/>
    <s v="tienda_fisica"/>
  </r>
  <r>
    <s v="V00941"/>
    <d v="2024-06-15T00:00:00"/>
    <x v="1"/>
    <n v="6"/>
    <s v="junio"/>
    <s v="T2"/>
    <s v="P010"/>
    <x v="1"/>
    <x v="1"/>
    <x v="1"/>
    <n v="5"/>
    <n v="15.41"/>
    <n v="11.36"/>
    <n v="0"/>
    <n v="77.05"/>
    <n v="56.8"/>
    <n v="20.25"/>
    <x v="1542"/>
    <x v="1"/>
    <x v="5"/>
    <s v="tienda_fisica"/>
  </r>
  <r>
    <s v="V00787"/>
    <d v="2024-01-29T00:00:00"/>
    <x v="1"/>
    <n v="1"/>
    <s v="enero"/>
    <s v="T1"/>
    <s v="P004"/>
    <x v="6"/>
    <x v="2"/>
    <x v="3"/>
    <n v="3"/>
    <n v="157.52000000000001"/>
    <n v="107.28"/>
    <n v="0.11"/>
    <n v="420.57840000000004"/>
    <n v="321.84000000000003"/>
    <n v="98.738400000000013"/>
    <x v="1543"/>
    <x v="1"/>
    <x v="0"/>
    <s v="tienda_fisica"/>
  </r>
  <r>
    <s v="V01986"/>
    <d v="2025-04-02T00:00:00"/>
    <x v="0"/>
    <n v="4"/>
    <s v="abril"/>
    <s v="T2"/>
    <s v="P020"/>
    <x v="19"/>
    <x v="2"/>
    <x v="4"/>
    <n v="3"/>
    <n v="61.41"/>
    <n v="34.03"/>
    <n v="0"/>
    <n v="184.23"/>
    <n v="102.09"/>
    <n v="82.139999999999986"/>
    <x v="1544"/>
    <x v="0"/>
    <x v="3"/>
    <s v="tienda_fisica"/>
  </r>
  <r>
    <s v="V01467"/>
    <d v="2025-12-16T00:00:00"/>
    <x v="0"/>
    <n v="12"/>
    <s v="diciembre"/>
    <s v="T4"/>
    <s v="P020"/>
    <x v="19"/>
    <x v="2"/>
    <x v="4"/>
    <n v="2"/>
    <n v="58.9"/>
    <n v="33.020000000000003"/>
    <n v="0"/>
    <n v="117.8"/>
    <n v="66.040000000000006"/>
    <n v="51.759999999999991"/>
    <x v="1545"/>
    <x v="0"/>
    <x v="4"/>
    <s v="online"/>
  </r>
  <r>
    <s v="V01324"/>
    <d v="2024-05-24T00:00:00"/>
    <x v="1"/>
    <n v="5"/>
    <s v="mayo"/>
    <s v="T2"/>
    <s v="P012"/>
    <x v="13"/>
    <x v="1"/>
    <x v="1"/>
    <n v="1"/>
    <n v="8.5399999999999991"/>
    <n v="6.01"/>
    <n v="0"/>
    <n v="8.5399999999999991"/>
    <n v="6.01"/>
    <n v="2.5299999999999994"/>
    <x v="1546"/>
    <x v="1"/>
    <x v="3"/>
    <s v="tienda_fisica"/>
  </r>
  <r>
    <s v="V01754"/>
    <d v="2025-02-08T00:00:00"/>
    <x v="0"/>
    <n v="2"/>
    <s v="febrero"/>
    <s v="T1"/>
    <s v="P009"/>
    <x v="12"/>
    <x v="1"/>
    <x v="1"/>
    <n v="6"/>
    <n v="7.95"/>
    <n v="4.32"/>
    <n v="0"/>
    <n v="47.7"/>
    <n v="25.92"/>
    <n v="21.78"/>
    <x v="1547"/>
    <x v="0"/>
    <x v="0"/>
    <s v="tienda_fisica"/>
  </r>
  <r>
    <s v="V01400"/>
    <d v="2024-06-11T00:00:00"/>
    <x v="1"/>
    <n v="6"/>
    <s v="junio"/>
    <s v="T2"/>
    <s v="P015"/>
    <x v="2"/>
    <x v="2"/>
    <x v="2"/>
    <n v="1"/>
    <n v="79.599999999999994"/>
    <n v="43.04"/>
    <n v="0.26"/>
    <n v="58.903999999999996"/>
    <n v="43.04"/>
    <n v="15.863999999999997"/>
    <x v="1548"/>
    <x v="1"/>
    <x v="3"/>
    <s v="tienda_fisica"/>
  </r>
  <r>
    <s v="V01750"/>
    <d v="2024-07-05T00:00:00"/>
    <x v="1"/>
    <n v="7"/>
    <s v="julio"/>
    <s v="T3"/>
    <s v="P013"/>
    <x v="8"/>
    <x v="2"/>
    <x v="2"/>
    <n v="4"/>
    <n v="78.53"/>
    <n v="49.22"/>
    <n v="0"/>
    <n v="314.12"/>
    <n v="196.88"/>
    <n v="117.24000000000001"/>
    <x v="1549"/>
    <x v="1"/>
    <x v="3"/>
    <s v="online"/>
  </r>
  <r>
    <s v="V01450"/>
    <d v="2025-11-29T00:00:00"/>
    <x v="0"/>
    <n v="11"/>
    <s v="noviembre"/>
    <s v="T4"/>
    <s v="P018"/>
    <x v="5"/>
    <x v="1"/>
    <x v="4"/>
    <n v="3"/>
    <n v="28.89"/>
    <n v="17.29"/>
    <n v="0"/>
    <n v="86.67"/>
    <n v="51.87"/>
    <n v="34.800000000000004"/>
    <x v="445"/>
    <x v="0"/>
    <x v="4"/>
    <s v="tienda_fisica"/>
  </r>
  <r>
    <s v="V01671"/>
    <d v="2025-03-12T00:00:00"/>
    <x v="0"/>
    <n v="3"/>
    <s v="marzo"/>
    <s v="T1"/>
    <s v="P008"/>
    <x v="4"/>
    <x v="2"/>
    <x v="0"/>
    <n v="1"/>
    <n v="110.05"/>
    <n v="55.46"/>
    <n v="0"/>
    <n v="110.05"/>
    <n v="55.46"/>
    <n v="54.589999999999996"/>
    <x v="1550"/>
    <x v="0"/>
    <x v="0"/>
    <s v="online"/>
  </r>
  <r>
    <s v="V00907"/>
    <d v="2024-05-19T00:00:00"/>
    <x v="1"/>
    <n v="5"/>
    <s v="mayo"/>
    <s v="T2"/>
    <s v="P017"/>
    <x v="17"/>
    <x v="0"/>
    <x v="4"/>
    <n v="5"/>
    <n v="50.25"/>
    <n v="23.62"/>
    <n v="0"/>
    <n v="251.25"/>
    <n v="118.10000000000001"/>
    <n v="133.14999999999998"/>
    <x v="1551"/>
    <x v="0"/>
    <x v="0"/>
    <s v="tienda_fisica"/>
  </r>
  <r>
    <s v="V01497"/>
    <d v="2025-04-29T00:00:00"/>
    <x v="0"/>
    <n v="4"/>
    <s v="abril"/>
    <s v="T2"/>
    <s v="P014"/>
    <x v="16"/>
    <x v="1"/>
    <x v="2"/>
    <n v="2"/>
    <n v="14.06"/>
    <n v="10.06"/>
    <n v="0"/>
    <n v="28.12"/>
    <n v="20.12"/>
    <n v="8"/>
    <x v="1552"/>
    <x v="1"/>
    <x v="6"/>
    <s v="online"/>
  </r>
  <r>
    <s v="V01774"/>
    <d v="2025-03-14T00:00:00"/>
    <x v="0"/>
    <n v="3"/>
    <s v="marzo"/>
    <s v="T1"/>
    <s v="P015"/>
    <x v="2"/>
    <x v="2"/>
    <x v="2"/>
    <n v="4"/>
    <n v="73.25"/>
    <n v="42"/>
    <n v="0.06"/>
    <n v="275.41999999999996"/>
    <n v="168"/>
    <n v="107.41999999999996"/>
    <x v="1553"/>
    <x v="0"/>
    <x v="6"/>
    <s v="tienda_fisica"/>
  </r>
  <r>
    <s v="V00564"/>
    <d v="2025-12-21T00:00:00"/>
    <x v="0"/>
    <n v="12"/>
    <s v="diciembre"/>
    <s v="T4"/>
    <s v="P001"/>
    <x v="9"/>
    <x v="2"/>
    <x v="3"/>
    <n v="1"/>
    <n v="113.02"/>
    <n v="83.73"/>
    <n v="0"/>
    <n v="113.02"/>
    <n v="83.73"/>
    <n v="29.289999999999992"/>
    <x v="1554"/>
    <x v="1"/>
    <x v="4"/>
    <s v="tienda_fisica"/>
  </r>
  <r>
    <s v="V01250"/>
    <d v="2025-01-17T00:00:00"/>
    <x v="0"/>
    <n v="1"/>
    <s v="enero"/>
    <s v="T1"/>
    <s v="P017"/>
    <x v="17"/>
    <x v="0"/>
    <x v="4"/>
    <n v="1"/>
    <n v="51.68"/>
    <n v="23.35"/>
    <n v="0"/>
    <n v="51.68"/>
    <n v="23.35"/>
    <n v="28.33"/>
    <x v="1555"/>
    <x v="0"/>
    <x v="3"/>
    <s v=" tienda_fisica"/>
  </r>
  <r>
    <s v="V00389"/>
    <d v="2025-06-07T00:00:00"/>
    <x v="0"/>
    <n v="6"/>
    <s v="junio"/>
    <s v="T2"/>
    <s v="P008"/>
    <x v="4"/>
    <x v="2"/>
    <x v="0"/>
    <n v="1"/>
    <n v="109.62"/>
    <n v="56.82"/>
    <n v="0"/>
    <n v="109.62"/>
    <n v="56.82"/>
    <n v="52.800000000000004"/>
    <x v="1556"/>
    <x v="0"/>
    <x v="2"/>
    <s v="tienda_fisica"/>
  </r>
  <r>
    <s v="V00023"/>
    <d v="2024-10-18T00:00:00"/>
    <x v="1"/>
    <n v="10"/>
    <s v="octubre"/>
    <s v="T4"/>
    <s v="P012"/>
    <x v="13"/>
    <x v="1"/>
    <x v="1"/>
    <n v="5"/>
    <n v="9.42"/>
    <n v="5.86"/>
    <n v="0.25"/>
    <n v="35.325000000000003"/>
    <n v="29.3"/>
    <n v="6.0250000000000021"/>
    <x v="1557"/>
    <x v="1"/>
    <x v="1"/>
    <s v="tienda_fisica"/>
  </r>
  <r>
    <s v="V01569"/>
    <d v="2024-06-25T00:00:00"/>
    <x v="1"/>
    <n v="6"/>
    <s v="junio"/>
    <s v="T2"/>
    <s v="P014"/>
    <x v="16"/>
    <x v="1"/>
    <x v="2"/>
    <n v="1"/>
    <n v="13.45"/>
    <n v="9.8000000000000007"/>
    <n v="0"/>
    <n v="13.45"/>
    <n v="9.8000000000000007"/>
    <n v="3.6499999999999986"/>
    <x v="1558"/>
    <x v="1"/>
    <x v="4"/>
    <s v="tienda_fisica"/>
  </r>
  <r>
    <s v="V00125"/>
    <d v="2025-04-16T00:00:00"/>
    <x v="0"/>
    <n v="4"/>
    <s v="abril"/>
    <s v="T2"/>
    <s v="P020"/>
    <x v="19"/>
    <x v="0"/>
    <x v="4"/>
    <n v="1"/>
    <n v="57.84"/>
    <n v="34.08"/>
    <n v="0"/>
    <n v="57.84"/>
    <n v="34.08"/>
    <n v="23.760000000000005"/>
    <x v="1559"/>
    <x v="0"/>
    <x v="5"/>
    <s v="tienda_fisica"/>
  </r>
  <r>
    <s v="V01448"/>
    <d v="2025-03-03T00:00:00"/>
    <x v="0"/>
    <n v="3"/>
    <s v="marzo"/>
    <s v="T1"/>
    <s v="P001"/>
    <x v="9"/>
    <x v="2"/>
    <x v="3"/>
    <n v="4"/>
    <n v="120.1"/>
    <n v="84.01"/>
    <n v="0"/>
    <n v="480.4"/>
    <n v="336.04"/>
    <n v="144.35999999999996"/>
    <x v="1560"/>
    <x v="1"/>
    <x v="3"/>
    <s v="online"/>
  </r>
  <r>
    <s v="V02140"/>
    <d v="2025-11-29T00:00:00"/>
    <x v="0"/>
    <n v="11"/>
    <s v="noviembre"/>
    <s v="T4"/>
    <s v="P015"/>
    <x v="2"/>
    <x v="2"/>
    <x v="2"/>
    <n v="4"/>
    <n v="78.77"/>
    <n v="44.85"/>
    <n v="0"/>
    <n v="315.08"/>
    <n v="179.4"/>
    <n v="135.67999999999998"/>
    <x v="1561"/>
    <x v="0"/>
    <x v="4"/>
    <s v="online"/>
  </r>
  <r>
    <s v="V00774"/>
    <d v="2025-07-23T00:00:00"/>
    <x v="0"/>
    <n v="7"/>
    <s v="julio"/>
    <s v="T3"/>
    <s v="P005"/>
    <x v="18"/>
    <x v="2"/>
    <x v="0"/>
    <n v="1"/>
    <n v="62.55"/>
    <n v="42.75"/>
    <n v="0"/>
    <n v="62.55"/>
    <n v="42.75"/>
    <n v="19.799999999999997"/>
    <x v="1562"/>
    <x v="1"/>
    <x v="6"/>
    <s v="tienda_fisica"/>
  </r>
  <r>
    <s v="V00881"/>
    <d v="2024-10-16T00:00:00"/>
    <x v="1"/>
    <n v="10"/>
    <s v="octubre"/>
    <s v="T4"/>
    <s v="P010"/>
    <x v="1"/>
    <x v="1"/>
    <x v="1"/>
    <n v="1"/>
    <n v="16.55"/>
    <n v="11.79"/>
    <n v="0"/>
    <n v="16.55"/>
    <n v="11.79"/>
    <n v="4.7600000000000016"/>
    <x v="1563"/>
    <x v="1"/>
    <x v="4"/>
    <s v="online"/>
  </r>
  <r>
    <s v="V02166"/>
    <d v="2024-01-09T00:00:00"/>
    <x v="1"/>
    <n v="1"/>
    <s v="enero"/>
    <s v="T1"/>
    <s v="P019"/>
    <x v="14"/>
    <x v="2"/>
    <x v="4"/>
    <n v="1"/>
    <n v="63.8"/>
    <n v="32.68"/>
    <n v="0"/>
    <n v="63.8"/>
    <n v="32.68"/>
    <n v="31.119999999999997"/>
    <x v="1564"/>
    <x v="0"/>
    <x v="3"/>
    <s v="tienda_fisica"/>
  </r>
  <r>
    <s v="V01847"/>
    <d v="2025-05-03T00:00:00"/>
    <x v="0"/>
    <n v="5"/>
    <s v="mayo"/>
    <s v="T2"/>
    <s v="P015"/>
    <x v="2"/>
    <x v="2"/>
    <x v="2"/>
    <n v="11"/>
    <n v="77.81"/>
    <n v="43.62"/>
    <n v="0.27"/>
    <n v="624.8143"/>
    <n v="479.82"/>
    <n v="144.99430000000001"/>
    <x v="1565"/>
    <x v="1"/>
    <x v="3"/>
    <s v="tienda_fisica"/>
  </r>
  <r>
    <s v="V01145"/>
    <d v="2025-07-12T00:00:00"/>
    <x v="0"/>
    <n v="7"/>
    <s v="julio"/>
    <s v="T3"/>
    <s v="P016"/>
    <x v="11"/>
    <x v="2"/>
    <x v="2"/>
    <n v="1"/>
    <n v="78.66"/>
    <n v="41.23"/>
    <n v="0"/>
    <n v="78.66"/>
    <n v="41.23"/>
    <n v="37.43"/>
    <x v="1566"/>
    <x v="0"/>
    <x v="0"/>
    <s v="tienda_fisica"/>
  </r>
  <r>
    <s v="V01527"/>
    <d v="2024-01-31T00:00:00"/>
    <x v="1"/>
    <n v="1"/>
    <s v="enero"/>
    <s v="T1"/>
    <s v="P012"/>
    <x v="13"/>
    <x v="1"/>
    <x v="1"/>
    <n v="3"/>
    <n v="8.34"/>
    <n v="5.59"/>
    <n v="0"/>
    <n v="25.02"/>
    <n v="16.77"/>
    <n v="8.25"/>
    <x v="1567"/>
    <x v="1"/>
    <x v="3"/>
    <s v="online"/>
  </r>
  <r>
    <s v="V01167"/>
    <d v="2024-01-15T00:00:00"/>
    <x v="1"/>
    <n v="1"/>
    <s v="enero"/>
    <s v="T1"/>
    <s v="P017"/>
    <x v="17"/>
    <x v="0"/>
    <x v="4"/>
    <n v="8"/>
    <n v="45.9"/>
    <n v="23.43"/>
    <n v="0"/>
    <n v="367.2"/>
    <n v="187.44"/>
    <n v="179.76"/>
    <x v="1568"/>
    <x v="0"/>
    <x v="6"/>
    <s v="online"/>
  </r>
  <r>
    <s v="V00051"/>
    <d v="2025-09-28T00:00:00"/>
    <x v="0"/>
    <n v="9"/>
    <s v="septiembre"/>
    <s v="T3"/>
    <s v="P001"/>
    <x v="9"/>
    <x v="2"/>
    <x v="3"/>
    <n v="4"/>
    <n v="116.68"/>
    <n v="85.99"/>
    <n v="0"/>
    <n v="466.72"/>
    <n v="343.96"/>
    <n v="122.76000000000005"/>
    <x v="1569"/>
    <x v="1"/>
    <x v="3"/>
    <s v="online"/>
  </r>
  <r>
    <s v="V01786"/>
    <d v="2025-01-23T00:00:00"/>
    <x v="0"/>
    <n v="1"/>
    <s v="enero"/>
    <s v="T1"/>
    <s v="P018"/>
    <x v="5"/>
    <x v="0"/>
    <x v="4"/>
    <n v="1"/>
    <n v="32.4"/>
    <n v="16.559999999999999"/>
    <n v="0"/>
    <n v="32.4"/>
    <n v="16.559999999999999"/>
    <n v="15.84"/>
    <x v="1570"/>
    <x v="0"/>
    <x v="4"/>
    <s v="tienda_fisica"/>
  </r>
  <r>
    <s v="V01869"/>
    <d v="2024-02-12T00:00:00"/>
    <x v="1"/>
    <n v="2"/>
    <s v="febrero"/>
    <s v="T1"/>
    <s v="P007"/>
    <x v="15"/>
    <x v="1"/>
    <x v="0"/>
    <n v="3"/>
    <n v="21.08"/>
    <n v="12.78"/>
    <n v="0"/>
    <n v="63.239999999999995"/>
    <n v="38.339999999999996"/>
    <n v="24.9"/>
    <x v="1571"/>
    <x v="0"/>
    <x v="5"/>
    <s v="tienda_fisica"/>
  </r>
  <r>
    <s v="V01106"/>
    <d v="2025-01-05T00:00:00"/>
    <x v="0"/>
    <n v="1"/>
    <s v="enero"/>
    <s v="T1"/>
    <s v="P003"/>
    <x v="7"/>
    <x v="2"/>
    <x v="3"/>
    <n v="2"/>
    <n v="179.69"/>
    <n v="97.27"/>
    <n v="0.18"/>
    <n v="294.69159999999999"/>
    <n v="194.54"/>
    <n v="100.1516"/>
    <x v="1572"/>
    <x v="1"/>
    <x v="4"/>
    <s v="tienda_fisica"/>
  </r>
  <r>
    <s v="V00704"/>
    <d v="2024-01-06T00:00:00"/>
    <x v="1"/>
    <n v="1"/>
    <s v="enero"/>
    <s v="T1"/>
    <s v="P002"/>
    <x v="3"/>
    <x v="2"/>
    <x v="3"/>
    <n v="1"/>
    <n v="72.28"/>
    <n v="49.44"/>
    <n v="0"/>
    <n v="72.28"/>
    <n v="49.44"/>
    <n v="22.840000000000003"/>
    <x v="1573"/>
    <x v="1"/>
    <x v="3"/>
    <s v="tienda_fisica"/>
  </r>
  <r>
    <s v="V00483"/>
    <d v="2025-01-23T00:00:00"/>
    <x v="0"/>
    <n v="1"/>
    <s v="enero"/>
    <s v="T1"/>
    <s v="P017"/>
    <x v="17"/>
    <x v="0"/>
    <x v="4"/>
    <n v="4"/>
    <n v="50.28"/>
    <n v="22.28"/>
    <n v="0.28999999999999998"/>
    <n v="142.79519999999999"/>
    <n v="89.12"/>
    <n v="53.67519999999999"/>
    <x v="1574"/>
    <x v="0"/>
    <x v="2"/>
    <s v="tienda_fisica"/>
  </r>
  <r>
    <s v="V01346"/>
    <d v="2025-04-10T00:00:00"/>
    <x v="0"/>
    <n v="4"/>
    <s v="abril"/>
    <s v="T2"/>
    <s v="P005"/>
    <x v="18"/>
    <x v="0"/>
    <x v="0"/>
    <n v="1"/>
    <n v="56.56"/>
    <n v="43.09"/>
    <n v="0"/>
    <n v="56.56"/>
    <n v="43.09"/>
    <n v="13.469999999999999"/>
    <x v="1575"/>
    <x v="1"/>
    <x v="0"/>
    <s v="online"/>
  </r>
  <r>
    <s v="V01146"/>
    <d v="2024-04-17T00:00:00"/>
    <x v="1"/>
    <n v="4"/>
    <s v="abril"/>
    <s v="T2"/>
    <s v="P003"/>
    <x v="7"/>
    <x v="2"/>
    <x v="3"/>
    <n v="3"/>
    <n v="169.11"/>
    <n v="97.67"/>
    <n v="0.27"/>
    <n v="370.35090000000002"/>
    <n v="293.01"/>
    <n v="77.340900000000033"/>
    <x v="1576"/>
    <x v="1"/>
    <x v="0"/>
    <s v="online"/>
  </r>
  <r>
    <s v="V01817"/>
    <d v="2025-01-10T00:00:00"/>
    <x v="0"/>
    <n v="1"/>
    <s v="enero"/>
    <s v="T1"/>
    <s v="P009"/>
    <x v="12"/>
    <x v="1"/>
    <x v="1"/>
    <n v="1"/>
    <n v="8.27"/>
    <n v="4.24"/>
    <n v="0"/>
    <n v="8.27"/>
    <n v="4.24"/>
    <n v="4.0299999999999994"/>
    <x v="1577"/>
    <x v="0"/>
    <x v="3"/>
    <s v="online"/>
  </r>
  <r>
    <s v="V00204"/>
    <d v="2025-04-09T00:00:00"/>
    <x v="0"/>
    <n v="4"/>
    <s v="abril"/>
    <s v="T2"/>
    <s v="P002"/>
    <x v="3"/>
    <x v="2"/>
    <x v="3"/>
    <n v="3"/>
    <n v="75.84"/>
    <n v="46.32"/>
    <n v="0.11"/>
    <n v="202.49280000000002"/>
    <n v="138.96"/>
    <n v="63.532800000000009"/>
    <x v="1578"/>
    <x v="1"/>
    <x v="3"/>
    <s v="online"/>
  </r>
  <r>
    <s v="V00067"/>
    <d v="2025-03-29T00:00:00"/>
    <x v="0"/>
    <n v="3"/>
    <s v="marzo"/>
    <s v="T1"/>
    <s v="P015"/>
    <x v="2"/>
    <x v="2"/>
    <x v="2"/>
    <n v="2"/>
    <n v="72.33"/>
    <n v="44.76"/>
    <n v="0"/>
    <n v="144.66"/>
    <n v="89.52"/>
    <n v="55.14"/>
    <x v="1579"/>
    <x v="0"/>
    <x v="3"/>
    <s v="tienda_fisica"/>
  </r>
  <r>
    <s v="V00847"/>
    <d v="2024-10-05T00:00:00"/>
    <x v="1"/>
    <n v="10"/>
    <s v="octubre"/>
    <s v="T4"/>
    <s v="P007"/>
    <x v="15"/>
    <x v="1"/>
    <x v="0"/>
    <n v="2"/>
    <n v="19.600000000000001"/>
    <n v="13.04"/>
    <n v="0"/>
    <n v="39.200000000000003"/>
    <n v="26.08"/>
    <n v="13.120000000000005"/>
    <x v="1580"/>
    <x v="1"/>
    <x v="5"/>
    <s v="tienda_fisica"/>
  </r>
  <r>
    <s v="V00734"/>
    <d v="2025-12-08T00:00:00"/>
    <x v="0"/>
    <n v="12"/>
    <s v="diciembre"/>
    <s v="T4"/>
    <s v="P010"/>
    <x v="1"/>
    <x v="1"/>
    <x v="1"/>
    <n v="1"/>
    <n v="16.62"/>
    <n v="11.44"/>
    <n v="0"/>
    <n v="16.62"/>
    <n v="11.44"/>
    <n v="5.1800000000000015"/>
    <x v="1581"/>
    <x v="1"/>
    <x v="2"/>
    <s v="tienda_fisica"/>
  </r>
  <r>
    <s v="V02162"/>
    <d v="2024-09-04T00:00:00"/>
    <x v="1"/>
    <n v="9"/>
    <s v="septiembre"/>
    <s v="T3"/>
    <s v="P001"/>
    <x v="9"/>
    <x v="2"/>
    <x v="3"/>
    <n v="1"/>
    <n v="116.52"/>
    <n v="83.49"/>
    <n v="0"/>
    <n v="116.52"/>
    <n v="83.49"/>
    <n v="33.03"/>
    <x v="1582"/>
    <x v="1"/>
    <x v="5"/>
    <s v="tienda_fisica"/>
  </r>
  <r>
    <s v="V00802"/>
    <d v="2024-08-03T00:00:00"/>
    <x v="1"/>
    <n v="8"/>
    <s v="agosto"/>
    <s v="T3"/>
    <s v="P011"/>
    <x v="10"/>
    <x v="1"/>
    <x v="1"/>
    <n v="7"/>
    <n v="23.03"/>
    <n v="11.94"/>
    <n v="0"/>
    <n v="161.21"/>
    <n v="83.58"/>
    <n v="77.63000000000001"/>
    <x v="1583"/>
    <x v="0"/>
    <x v="3"/>
    <s v="online"/>
  </r>
  <r>
    <s v="V01987"/>
    <d v="2025-06-10T00:00:00"/>
    <x v="0"/>
    <n v="6"/>
    <s v="junio"/>
    <s v="T2"/>
    <s v="P006"/>
    <x v="0"/>
    <x v="0"/>
    <x v="0"/>
    <n v="3"/>
    <n v="49.52"/>
    <n v="26.42"/>
    <n v="0.22"/>
    <n v="115.8768"/>
    <n v="79.260000000000005"/>
    <n v="36.616799999999998"/>
    <x v="1584"/>
    <x v="1"/>
    <x v="4"/>
    <s v="online"/>
  </r>
  <r>
    <s v="V01918"/>
    <d v="2024-12-03T00:00:00"/>
    <x v="1"/>
    <n v="12"/>
    <s v="diciembre"/>
    <s v="T4"/>
    <s v="P011"/>
    <x v="10"/>
    <x v="1"/>
    <x v="1"/>
    <n v="5"/>
    <n v="20.52"/>
    <n v="11.2"/>
    <n v="0"/>
    <n v="102.6"/>
    <n v="56"/>
    <n v="46.599999999999994"/>
    <x v="1585"/>
    <x v="0"/>
    <x v="0"/>
    <s v="online"/>
  </r>
  <r>
    <s v="V00908"/>
    <d v="2025-12-20T00:00:00"/>
    <x v="0"/>
    <n v="12"/>
    <s v="diciembre"/>
    <s v="T4"/>
    <s v="P014"/>
    <x v="16"/>
    <x v="1"/>
    <x v="2"/>
    <n v="13"/>
    <n v="15.09"/>
    <n v="9.76"/>
    <n v="0.16"/>
    <n v="164.78279999999998"/>
    <n v="126.88"/>
    <n v="37.902799999999985"/>
    <x v="1586"/>
    <x v="1"/>
    <x v="0"/>
    <s v="online"/>
  </r>
  <r>
    <s v="V00032"/>
    <d v="2024-10-12T00:00:00"/>
    <x v="1"/>
    <n v="10"/>
    <s v="octubre"/>
    <s v="T4"/>
    <s v="P003"/>
    <x v="7"/>
    <x v="2"/>
    <x v="3"/>
    <n v="4"/>
    <n v="172.92"/>
    <n v="89.74"/>
    <n v="0"/>
    <n v="691.68"/>
    <n v="358.96"/>
    <n v="332.71999999999997"/>
    <x v="1587"/>
    <x v="0"/>
    <x v="3"/>
    <s v="tienda_fisica"/>
  </r>
  <r>
    <s v="V00418"/>
    <d v="2024-09-26T00:00:00"/>
    <x v="1"/>
    <n v="9"/>
    <s v="septiembre"/>
    <s v="T3"/>
    <s v="P009"/>
    <x v="12"/>
    <x v="1"/>
    <x v="1"/>
    <n v="2"/>
    <n v="7.96"/>
    <n v="4.49"/>
    <n v="0.11"/>
    <n v="14.168800000000001"/>
    <n v="8.98"/>
    <n v="5.1888000000000005"/>
    <x v="1588"/>
    <x v="1"/>
    <x v="4"/>
    <s v="tienda_fisica"/>
  </r>
  <r>
    <s v="V00882"/>
    <d v="2025-04-13T00:00:00"/>
    <x v="0"/>
    <n v="4"/>
    <s v="abril"/>
    <s v="T2"/>
    <s v="P010"/>
    <x v="1"/>
    <x v="1"/>
    <x v="1"/>
    <n v="2"/>
    <n v="17.38"/>
    <n v="11.11"/>
    <n v="0"/>
    <n v="34.76"/>
    <n v="22.22"/>
    <n v="12.54"/>
    <x v="1589"/>
    <x v="1"/>
    <x v="1"/>
    <s v="tienda_fisica"/>
  </r>
  <r>
    <s v="V00633"/>
    <d v="2024-10-11T00:00:00"/>
    <x v="1"/>
    <n v="10"/>
    <s v="octubre"/>
    <s v="T4"/>
    <s v="P008"/>
    <x v="4"/>
    <x v="2"/>
    <x v="0"/>
    <n v="8"/>
    <n v="110.13"/>
    <n v="60.2"/>
    <n v="0"/>
    <n v="881.04"/>
    <n v="481.6"/>
    <n v="399.43999999999994"/>
    <x v="1590"/>
    <x v="0"/>
    <x v="3"/>
    <s v="online"/>
  </r>
  <r>
    <s v="V02004"/>
    <d v="2024-09-18T00:00:00"/>
    <x v="1"/>
    <n v="9"/>
    <s v="septiembre"/>
    <s v="T3"/>
    <s v="P016"/>
    <x v="11"/>
    <x v="2"/>
    <x v="2"/>
    <n v="1"/>
    <n v="75"/>
    <n v="41.45"/>
    <n v="0"/>
    <n v="75"/>
    <n v="41.45"/>
    <n v="33.549999999999997"/>
    <x v="1591"/>
    <x v="0"/>
    <x v="4"/>
    <s v="tienda_fisica"/>
  </r>
  <r>
    <s v="V01845"/>
    <d v="2025-01-17T00:00:00"/>
    <x v="0"/>
    <n v="1"/>
    <s v="enero"/>
    <s v="T1"/>
    <s v="P008"/>
    <x v="4"/>
    <x v="2"/>
    <x v="0"/>
    <n v="1"/>
    <n v="94.96"/>
    <n v="56.94"/>
    <n v="0"/>
    <n v="94.96"/>
    <n v="56.94"/>
    <n v="38.019999999999996"/>
    <x v="1592"/>
    <x v="0"/>
    <x v="4"/>
    <s v="online"/>
  </r>
  <r>
    <s v="V00065"/>
    <d v="2024-04-26T00:00:00"/>
    <x v="1"/>
    <n v="4"/>
    <s v="abril"/>
    <s v="T2"/>
    <s v="P016"/>
    <x v="11"/>
    <x v="2"/>
    <x v="2"/>
    <n v="1"/>
    <n v="73.239999999999995"/>
    <n v="39.57"/>
    <n v="0"/>
    <n v="73.239999999999995"/>
    <n v="39.57"/>
    <n v="33.669999999999995"/>
    <x v="1593"/>
    <x v="0"/>
    <x v="2"/>
    <s v="online"/>
  </r>
  <r>
    <s v="V01164"/>
    <d v="2025-01-13T00:00:00"/>
    <x v="0"/>
    <n v="1"/>
    <s v="enero"/>
    <s v="T1"/>
    <s v="P002"/>
    <x v="3"/>
    <x v="2"/>
    <x v="3"/>
    <n v="1"/>
    <n v="78.180000000000007"/>
    <n v="45.49"/>
    <n v="0"/>
    <n v="78.180000000000007"/>
    <n v="45.49"/>
    <n v="32.690000000000005"/>
    <x v="1594"/>
    <x v="0"/>
    <x v="3"/>
    <s v="tienda_fisica"/>
  </r>
  <r>
    <s v="V01430"/>
    <d v="2024-12-25T00:00:00"/>
    <x v="1"/>
    <n v="12"/>
    <s v="diciembre"/>
    <s v="T4"/>
    <s v="P020"/>
    <x v="19"/>
    <x v="0"/>
    <x v="4"/>
    <n v="1"/>
    <n v="56.38"/>
    <n v="33.78"/>
    <n v="0"/>
    <n v="56.38"/>
    <n v="33.78"/>
    <n v="22.6"/>
    <x v="1595"/>
    <x v="0"/>
    <x v="6"/>
    <s v="tienda_fisica"/>
  </r>
  <r>
    <s v="V00777"/>
    <d v="2024-03-24T00:00:00"/>
    <x v="1"/>
    <n v="3"/>
    <s v="marzo"/>
    <s v="T1"/>
    <s v="P018"/>
    <x v="5"/>
    <x v="0"/>
    <x v="4"/>
    <n v="8"/>
    <n v="31.76"/>
    <n v="17.059999999999999"/>
    <n v="0"/>
    <n v="254.08"/>
    <n v="136.47999999999999"/>
    <n v="117.60000000000002"/>
    <x v="1596"/>
    <x v="0"/>
    <x v="2"/>
    <s v="tienda_fisica"/>
  </r>
  <r>
    <s v="V00078"/>
    <d v="2025-03-24T00:00:00"/>
    <x v="0"/>
    <n v="3"/>
    <s v="marzo"/>
    <s v="T1"/>
    <s v="P010"/>
    <x v="1"/>
    <x v="1"/>
    <x v="1"/>
    <n v="1"/>
    <n v="17.12"/>
    <n v="11.68"/>
    <n v="0"/>
    <n v="17.12"/>
    <n v="11.68"/>
    <n v="5.4400000000000013"/>
    <x v="1597"/>
    <x v="1"/>
    <x v="5"/>
    <s v="tienda_fisica"/>
  </r>
  <r>
    <s v="V00492"/>
    <d v="2025-07-17T00:00:00"/>
    <x v="0"/>
    <n v="7"/>
    <s v="julio"/>
    <s v="T3"/>
    <s v="P013"/>
    <x v="8"/>
    <x v="2"/>
    <x v="2"/>
    <n v="2"/>
    <n v="82.75"/>
    <n v="48.08"/>
    <n v="0"/>
    <n v="165.5"/>
    <n v="96.16"/>
    <n v="69.34"/>
    <x v="1598"/>
    <x v="0"/>
    <x v="6"/>
    <s v="online"/>
  </r>
  <r>
    <s v="V01803"/>
    <d v="2025-11-23T00:00:00"/>
    <x v="0"/>
    <n v="11"/>
    <s v="noviembre"/>
    <s v="T4"/>
    <s v="P011"/>
    <x v="10"/>
    <x v="1"/>
    <x v="1"/>
    <n v="1"/>
    <n v="19.850000000000001"/>
    <n v="11.78"/>
    <n v="0"/>
    <n v="19.850000000000001"/>
    <n v="11.78"/>
    <n v="8.0700000000000021"/>
    <x v="1599"/>
    <x v="0"/>
    <x v="2"/>
    <s v="online"/>
  </r>
  <r>
    <s v="V01959"/>
    <d v="2024-07-06T00:00:00"/>
    <x v="1"/>
    <n v="7"/>
    <s v="julio"/>
    <s v="T3"/>
    <s v="P020"/>
    <x v="19"/>
    <x v="2"/>
    <x v="4"/>
    <n v="2"/>
    <n v="60.68"/>
    <n v="35.200000000000003"/>
    <n v="0"/>
    <n v="121.36"/>
    <n v="70.400000000000006"/>
    <n v="50.959999999999994"/>
    <x v="1600"/>
    <x v="0"/>
    <x v="6"/>
    <s v="online"/>
  </r>
  <r>
    <s v="V00533"/>
    <d v="2024-02-06T00:00:00"/>
    <x v="1"/>
    <n v="2"/>
    <s v="febrero"/>
    <s v="T1"/>
    <s v="P012"/>
    <x v="13"/>
    <x v="1"/>
    <x v="1"/>
    <n v="2"/>
    <n v="8.14"/>
    <n v="5.73"/>
    <n v="0"/>
    <n v="16.28"/>
    <n v="11.46"/>
    <n v="4.82"/>
    <x v="1601"/>
    <x v="1"/>
    <x v="3"/>
    <s v="online"/>
  </r>
  <r>
    <s v="V00066"/>
    <d v="2024-03-28T00:00:00"/>
    <x v="1"/>
    <n v="3"/>
    <s v="marzo"/>
    <s v="T1"/>
    <s v="P010"/>
    <x v="1"/>
    <x v="1"/>
    <x v="1"/>
    <n v="6"/>
    <n v="17.100000000000001"/>
    <n v="11.13"/>
    <n v="0"/>
    <n v="102.60000000000001"/>
    <n v="66.78"/>
    <n v="35.820000000000007"/>
    <x v="1602"/>
    <x v="1"/>
    <x v="6"/>
    <s v="online"/>
  </r>
  <r>
    <s v="V02112"/>
    <d v="2025-06-29T00:00:00"/>
    <x v="0"/>
    <n v="6"/>
    <s v="junio"/>
    <s v="T2"/>
    <s v="P009"/>
    <x v="12"/>
    <x v="1"/>
    <x v="1"/>
    <n v="5"/>
    <n v="7.63"/>
    <n v="4.5199999999999996"/>
    <n v="0"/>
    <n v="38.15"/>
    <n v="22.599999999999998"/>
    <n v="15.55"/>
    <x v="1603"/>
    <x v="0"/>
    <x v="2"/>
    <s v="online"/>
  </r>
  <r>
    <s v="V01436"/>
    <d v="2024-11-05T00:00:00"/>
    <x v="1"/>
    <n v="11"/>
    <s v="noviembre"/>
    <s v="T4"/>
    <s v="P002"/>
    <x v="3"/>
    <x v="2"/>
    <x v="3"/>
    <n v="4"/>
    <n v="70.599999999999994"/>
    <n v="46.97"/>
    <n v="0"/>
    <n v="282.39999999999998"/>
    <n v="187.88"/>
    <n v="94.519999999999982"/>
    <x v="1604"/>
    <x v="1"/>
    <x v="3"/>
    <s v="online"/>
  </r>
  <r>
    <s v="V01285"/>
    <d v="2024-01-12T00:00:00"/>
    <x v="1"/>
    <n v="1"/>
    <s v="enero"/>
    <s v="T1"/>
    <s v="P011"/>
    <x v="10"/>
    <x v="1"/>
    <x v="1"/>
    <n v="3"/>
    <n v="21.85"/>
    <n v="11.09"/>
    <n v="0"/>
    <n v="65.550000000000011"/>
    <n v="33.269999999999996"/>
    <n v="32.280000000000015"/>
    <x v="1605"/>
    <x v="0"/>
    <x v="4"/>
    <s v="tienda_fisica"/>
  </r>
  <r>
    <s v="V00297"/>
    <d v="2025-02-06T00:00:00"/>
    <x v="0"/>
    <n v="2"/>
    <s v="febrero"/>
    <s v="T1"/>
    <s v="P011"/>
    <x v="10"/>
    <x v="1"/>
    <x v="1"/>
    <n v="2"/>
    <n v="20.05"/>
    <n v="11.06"/>
    <n v="0"/>
    <n v="40.1"/>
    <n v="22.12"/>
    <n v="17.98"/>
    <x v="1606"/>
    <x v="0"/>
    <x v="4"/>
    <s v="tienda_fisica"/>
  </r>
  <r>
    <s v="V00592"/>
    <d v="2025-11-07T00:00:00"/>
    <x v="0"/>
    <n v="11"/>
    <s v="noviembre"/>
    <s v="T4"/>
    <s v="P013"/>
    <x v="8"/>
    <x v="2"/>
    <x v="2"/>
    <n v="2"/>
    <n v="78.44"/>
    <n v="48.74"/>
    <n v="0.1"/>
    <n v="141.19200000000001"/>
    <n v="97.48"/>
    <n v="43.712000000000003"/>
    <x v="1607"/>
    <x v="1"/>
    <x v="3"/>
    <s v="tienda_fisica"/>
  </r>
  <r>
    <s v="V01444"/>
    <d v="2024-05-29T00:00:00"/>
    <x v="1"/>
    <n v="5"/>
    <s v="mayo"/>
    <s v="T2"/>
    <s v="P003"/>
    <x v="7"/>
    <x v="2"/>
    <x v="3"/>
    <n v="1"/>
    <n v="177.09"/>
    <n v="98.8"/>
    <n v="0.09"/>
    <n v="161.15190000000001"/>
    <n v="98.8"/>
    <n v="62.351900000000015"/>
    <x v="1608"/>
    <x v="0"/>
    <x v="4"/>
    <s v="tienda_fisica"/>
  </r>
  <r>
    <s v="V00768"/>
    <d v="2024-02-23T00:00:00"/>
    <x v="1"/>
    <n v="2"/>
    <s v="febrero"/>
    <s v="T1"/>
    <s v="P004"/>
    <x v="6"/>
    <x v="2"/>
    <x v="3"/>
    <n v="3"/>
    <n v="168.34"/>
    <n v="108.77"/>
    <n v="7.0000000000000007E-2"/>
    <n v="469.66859999999997"/>
    <n v="326.31"/>
    <n v="143.35859999999997"/>
    <x v="1609"/>
    <x v="1"/>
    <x v="3"/>
    <s v="tienda_fisica"/>
  </r>
  <r>
    <s v="V02198"/>
    <d v="2024-11-08T00:00:00"/>
    <x v="1"/>
    <n v="11"/>
    <s v="noviembre"/>
    <s v="T4"/>
    <s v="P012"/>
    <x v="13"/>
    <x v="1"/>
    <x v="1"/>
    <n v="4"/>
    <n v="8.56"/>
    <n v="5.93"/>
    <n v="0"/>
    <n v="34.24"/>
    <n v="23.72"/>
    <n v="10.520000000000003"/>
    <x v="1610"/>
    <x v="1"/>
    <x v="6"/>
    <s v="tienda_fisica"/>
  </r>
  <r>
    <s v="V01286"/>
    <d v="2025-07-08T00:00:00"/>
    <x v="0"/>
    <n v="7"/>
    <s v="julio"/>
    <s v="T3"/>
    <s v="P004"/>
    <x v="6"/>
    <x v="2"/>
    <x v="3"/>
    <n v="1"/>
    <n v="172.44"/>
    <n v="108.28"/>
    <n v="0"/>
    <n v="172.44"/>
    <n v="108.28"/>
    <n v="64.16"/>
    <x v="1611"/>
    <x v="1"/>
    <x v="2"/>
    <s v="tienda_fisica"/>
  </r>
  <r>
    <s v="V00725"/>
    <d v="2025-01-04T00:00:00"/>
    <x v="0"/>
    <n v="1"/>
    <s v="enero"/>
    <s v="T1"/>
    <s v="P020"/>
    <x v="19"/>
    <x v="0"/>
    <x v="4"/>
    <n v="4"/>
    <n v="56.34"/>
    <n v="32.549999999999997"/>
    <n v="0.25"/>
    <n v="169.02"/>
    <n v="130.19999999999999"/>
    <n v="38.820000000000022"/>
    <x v="1612"/>
    <x v="1"/>
    <x v="4"/>
    <s v="tienda_fisica"/>
  </r>
  <r>
    <s v="V01826"/>
    <d v="2025-08-04T00:00:00"/>
    <x v="0"/>
    <n v="8"/>
    <s v="agosto"/>
    <s v="T3"/>
    <s v="P005"/>
    <x v="18"/>
    <x v="2"/>
    <x v="0"/>
    <n v="3"/>
    <n v="63.08"/>
    <n v="40.53"/>
    <n v="0"/>
    <n v="189.24"/>
    <n v="121.59"/>
    <n v="67.650000000000006"/>
    <x v="1613"/>
    <x v="1"/>
    <x v="0"/>
    <s v="online"/>
  </r>
  <r>
    <s v="V01306"/>
    <d v="2024-09-24T00:00:00"/>
    <x v="1"/>
    <n v="9"/>
    <s v="septiembre"/>
    <s v="T3"/>
    <s v="P013"/>
    <x v="8"/>
    <x v="2"/>
    <x v="2"/>
    <n v="2"/>
    <n v="82.18"/>
    <n v="46.76"/>
    <n v="0"/>
    <n v="164.36"/>
    <n v="93.52"/>
    <n v="70.840000000000018"/>
    <x v="1614"/>
    <x v="0"/>
    <x v="4"/>
    <s v="tienda_fisica"/>
  </r>
  <r>
    <s v="V00627"/>
    <d v="2024-10-19T00:00:00"/>
    <x v="1"/>
    <n v="10"/>
    <s v="octubre"/>
    <s v="T4"/>
    <s v="P018"/>
    <x v="5"/>
    <x v="0"/>
    <x v="4"/>
    <n v="5"/>
    <n v="32.369999999999997"/>
    <n v="16.72"/>
    <n v="0.3"/>
    <n v="113.29499999999999"/>
    <n v="83.6"/>
    <n v="29.694999999999993"/>
    <x v="1615"/>
    <x v="1"/>
    <x v="3"/>
    <s v="online"/>
  </r>
  <r>
    <s v="V01377"/>
    <d v="2025-08-05T00:00:00"/>
    <x v="0"/>
    <n v="8"/>
    <s v="agosto"/>
    <s v="T3"/>
    <s v="P003"/>
    <x v="7"/>
    <x v="2"/>
    <x v="3"/>
    <n v="2"/>
    <n v="177.16"/>
    <n v="94.19"/>
    <n v="0"/>
    <n v="354.32"/>
    <n v="188.38"/>
    <n v="165.94"/>
    <x v="1616"/>
    <x v="0"/>
    <x v="3"/>
    <s v="tienda_fisica"/>
  </r>
  <r>
    <s v="V01800"/>
    <d v="2025-10-08T00:00:00"/>
    <x v="0"/>
    <n v="10"/>
    <s v="octubre"/>
    <s v="T4"/>
    <s v="P017"/>
    <x v="17"/>
    <x v="0"/>
    <x v="4"/>
    <n v="3"/>
    <n v="46.88"/>
    <n v="22.43"/>
    <n v="0"/>
    <n v="140.64000000000001"/>
    <n v="67.289999999999992"/>
    <n v="73.350000000000023"/>
    <x v="1617"/>
    <x v="0"/>
    <x v="4"/>
    <s v="tienda_fisica"/>
  </r>
  <r>
    <s v="V00746"/>
    <d v="2025-06-24T00:00:00"/>
    <x v="0"/>
    <n v="6"/>
    <s v="junio"/>
    <s v="T2"/>
    <s v="P009"/>
    <x v="12"/>
    <x v="1"/>
    <x v="1"/>
    <n v="2"/>
    <n v="8.34"/>
    <n v="4.37"/>
    <n v="0"/>
    <n v="16.68"/>
    <n v="8.74"/>
    <n v="7.9399999999999995"/>
    <x v="1618"/>
    <x v="0"/>
    <x v="4"/>
    <s v="online"/>
  </r>
  <r>
    <s v="V01213"/>
    <d v="2024-11-28T00:00:00"/>
    <x v="1"/>
    <n v="11"/>
    <s v="noviembre"/>
    <s v="T4"/>
    <s v="P001"/>
    <x v="9"/>
    <x v="2"/>
    <x v="3"/>
    <n v="4"/>
    <n v="131.02000000000001"/>
    <n v="80.290000000000006"/>
    <n v="0"/>
    <n v="524.08000000000004"/>
    <n v="321.16000000000003"/>
    <n v="202.92000000000002"/>
    <x v="1619"/>
    <x v="0"/>
    <x v="4"/>
    <s v="online"/>
  </r>
  <r>
    <s v="V02057"/>
    <d v="2024-04-17T00:00:00"/>
    <x v="1"/>
    <n v="4"/>
    <s v="abril"/>
    <s v="T2"/>
    <s v="P002"/>
    <x v="3"/>
    <x v="2"/>
    <x v="3"/>
    <n v="1"/>
    <n v="68.400000000000006"/>
    <n v="46.63"/>
    <n v="0.1"/>
    <n v="61.560000000000009"/>
    <n v="46.63"/>
    <n v="14.930000000000007"/>
    <x v="1620"/>
    <x v="1"/>
    <x v="4"/>
    <s v="tienda_fisica"/>
  </r>
  <r>
    <s v="V00252"/>
    <d v="2024-11-03T00:00:00"/>
    <x v="1"/>
    <n v="11"/>
    <s v="noviembre"/>
    <s v="T4"/>
    <s v="P003"/>
    <x v="7"/>
    <x v="2"/>
    <x v="3"/>
    <n v="1"/>
    <n v="166.61"/>
    <n v="97.02"/>
    <n v="0"/>
    <n v="166.61"/>
    <n v="97.02"/>
    <n v="69.590000000000018"/>
    <x v="1621"/>
    <x v="0"/>
    <x v="3"/>
    <s v="tienda_fisica"/>
  </r>
  <r>
    <s v="V01895"/>
    <d v="2024-11-21T00:00:00"/>
    <x v="1"/>
    <n v="11"/>
    <s v="noviembre"/>
    <s v="T4"/>
    <s v="P009"/>
    <x v="12"/>
    <x v="1"/>
    <x v="1"/>
    <n v="1"/>
    <n v="8.0399999999999991"/>
    <n v="4.4000000000000004"/>
    <n v="0.17"/>
    <n v="6.6731999999999987"/>
    <n v="4.4000000000000004"/>
    <n v="2.2731999999999983"/>
    <x v="1622"/>
    <x v="1"/>
    <x v="3"/>
    <s v="online"/>
  </r>
  <r>
    <s v="V00477"/>
    <d v="2024-04-25T00:00:00"/>
    <x v="1"/>
    <n v="4"/>
    <s v="abril"/>
    <s v="T2"/>
    <s v="P007"/>
    <x v="15"/>
    <x v="1"/>
    <x v="0"/>
    <n v="1"/>
    <n v="20.12"/>
    <n v="12.77"/>
    <n v="0"/>
    <n v="20.12"/>
    <n v="12.77"/>
    <n v="7.3500000000000014"/>
    <x v="1623"/>
    <x v="1"/>
    <x v="3"/>
    <s v="tienda_fisica"/>
  </r>
  <r>
    <s v="V01539"/>
    <d v="2024-06-11T00:00:00"/>
    <x v="1"/>
    <n v="6"/>
    <s v="junio"/>
    <s v="T2"/>
    <s v="P009"/>
    <x v="12"/>
    <x v="1"/>
    <x v="1"/>
    <n v="1"/>
    <n v="7.94"/>
    <n v="4.4800000000000004"/>
    <n v="0"/>
    <n v="7.94"/>
    <n v="4.4800000000000004"/>
    <n v="3.46"/>
    <x v="1624"/>
    <x v="0"/>
    <x v="4"/>
    <s v="tienda_fisica"/>
  </r>
  <r>
    <s v="V01685"/>
    <d v="2025-05-16T00:00:00"/>
    <x v="0"/>
    <n v="5"/>
    <s v="mayo"/>
    <s v="T2"/>
    <s v="P009"/>
    <x v="12"/>
    <x v="1"/>
    <x v="1"/>
    <n v="2"/>
    <n v="7.43"/>
    <n v="4.3099999999999996"/>
    <n v="0"/>
    <n v="14.86"/>
    <n v="8.6199999999999992"/>
    <n v="6.24"/>
    <x v="1625"/>
    <x v="0"/>
    <x v="3"/>
    <s v="tienda_fisica"/>
  </r>
  <r>
    <s v="V02242"/>
    <d v="2024-04-05T00:00:00"/>
    <x v="1"/>
    <n v="4"/>
    <s v="abril"/>
    <s v="T2"/>
    <s v="P017"/>
    <x v="17"/>
    <x v="0"/>
    <x v="4"/>
    <n v="2"/>
    <n v="49.14"/>
    <n v="23.68"/>
    <n v="0"/>
    <n v="98.28"/>
    <n v="47.36"/>
    <n v="50.92"/>
    <x v="1626"/>
    <x v="0"/>
    <x v="3"/>
    <s v="online"/>
  </r>
  <r>
    <s v="V00983"/>
    <d v="2025-09-23T00:00:00"/>
    <x v="0"/>
    <n v="9"/>
    <s v="septiembre"/>
    <s v="T3"/>
    <s v="P019"/>
    <x v="14"/>
    <x v="2"/>
    <x v="4"/>
    <n v="7"/>
    <n v="62.51"/>
    <n v="33.44"/>
    <n v="0.27"/>
    <n v="319.42609999999996"/>
    <n v="234.07999999999998"/>
    <n v="85.346099999999979"/>
    <x v="1627"/>
    <x v="1"/>
    <x v="3"/>
    <s v="tienda_fisica"/>
  </r>
  <r>
    <s v="V00980"/>
    <d v="2024-10-03T00:00:00"/>
    <x v="1"/>
    <n v="10"/>
    <s v="octubre"/>
    <s v="T4"/>
    <s v="P014"/>
    <x v="16"/>
    <x v="1"/>
    <x v="2"/>
    <n v="1"/>
    <n v="13.15"/>
    <n v="9.94"/>
    <n v="0"/>
    <n v="13.15"/>
    <n v="9.94"/>
    <n v="3.2100000000000009"/>
    <x v="1628"/>
    <x v="1"/>
    <x v="3"/>
    <s v="online"/>
  </r>
  <r>
    <s v="V00707"/>
    <d v="2025-06-13T00:00:00"/>
    <x v="0"/>
    <n v="6"/>
    <s v="junio"/>
    <s v="T2"/>
    <s v="P009"/>
    <x v="12"/>
    <x v="1"/>
    <x v="1"/>
    <n v="2"/>
    <n v="8.18"/>
    <n v="4.17"/>
    <n v="0"/>
    <n v="16.36"/>
    <n v="8.34"/>
    <n v="8.02"/>
    <x v="1629"/>
    <x v="0"/>
    <x v="3"/>
    <s v="tienda_fisica"/>
  </r>
  <r>
    <s v="V00488"/>
    <d v="2024-09-29T00:00:00"/>
    <x v="1"/>
    <n v="9"/>
    <s v="septiembre"/>
    <s v="T3"/>
    <s v="P020"/>
    <x v="19"/>
    <x v="0"/>
    <x v="4"/>
    <n v="1"/>
    <n v="56.47"/>
    <n v="32.869999999999997"/>
    <n v="0"/>
    <n v="56.47"/>
    <n v="32.869999999999997"/>
    <n v="23.6"/>
    <x v="1630"/>
    <x v="0"/>
    <x v="0"/>
    <s v="tienda_fisica"/>
  </r>
  <r>
    <s v="V00274"/>
    <d v="2025-08-30T00:00:00"/>
    <x v="0"/>
    <n v="8"/>
    <s v="agosto"/>
    <s v="T3"/>
    <s v="P005"/>
    <x v="18"/>
    <x v="2"/>
    <x v="0"/>
    <n v="1"/>
    <n v="62.7"/>
    <n v="43.18"/>
    <n v="0"/>
    <n v="62.7"/>
    <n v="43.18"/>
    <n v="19.520000000000003"/>
    <x v="1631"/>
    <x v="1"/>
    <x v="3"/>
    <s v="tienda_fisica"/>
  </r>
  <r>
    <s v="V01929"/>
    <d v="2024-10-05T00:00:00"/>
    <x v="1"/>
    <n v="10"/>
    <s v="octubre"/>
    <s v="T4"/>
    <s v="P013"/>
    <x v="8"/>
    <x v="2"/>
    <x v="2"/>
    <n v="1"/>
    <n v="78.650000000000006"/>
    <n v="45.89"/>
    <n v="0"/>
    <n v="78.650000000000006"/>
    <n v="45.89"/>
    <n v="32.760000000000005"/>
    <x v="1632"/>
    <x v="0"/>
    <x v="4"/>
    <s v="tienda_fisica"/>
  </r>
  <r>
    <s v="V02097"/>
    <d v="2025-08-18T00:00:00"/>
    <x v="0"/>
    <n v="8"/>
    <s v="agosto"/>
    <s v="T3"/>
    <s v="P015"/>
    <x v="2"/>
    <x v="2"/>
    <x v="2"/>
    <n v="3"/>
    <n v="80.489999999999995"/>
    <n v="40.840000000000003"/>
    <n v="0.25"/>
    <n v="181.10249999999996"/>
    <n v="122.52000000000001"/>
    <n v="58.582499999999953"/>
    <x v="1633"/>
    <x v="1"/>
    <x v="4"/>
    <s v="tienda_fisica"/>
  </r>
  <r>
    <s v="V00964"/>
    <d v="2025-09-03T00:00:00"/>
    <x v="0"/>
    <n v="9"/>
    <s v="septiembre"/>
    <s v="T3"/>
    <s v="P007"/>
    <x v="15"/>
    <x v="1"/>
    <x v="0"/>
    <n v="1"/>
    <n v="21.21"/>
    <n v="12.9"/>
    <n v="0.19"/>
    <n v="17.180100000000003"/>
    <n v="12.9"/>
    <n v="4.2801000000000027"/>
    <x v="1634"/>
    <x v="1"/>
    <x v="3"/>
    <s v="tienda_fisica"/>
  </r>
  <r>
    <s v="V00878"/>
    <d v="2025-05-21T00:00:00"/>
    <x v="0"/>
    <n v="5"/>
    <s v="mayo"/>
    <s v="T2"/>
    <s v="P007"/>
    <x v="15"/>
    <x v="1"/>
    <x v="0"/>
    <n v="1"/>
    <n v="18.75"/>
    <n v="13.18"/>
    <n v="0"/>
    <n v="18.75"/>
    <n v="13.18"/>
    <n v="5.57"/>
    <x v="1635"/>
    <x v="1"/>
    <x v="3"/>
    <s v="tienda_fisica"/>
  </r>
  <r>
    <s v="V01793"/>
    <d v="2025-09-29T00:00:00"/>
    <x v="0"/>
    <n v="9"/>
    <s v="septiembre"/>
    <s v="T3"/>
    <s v="P013"/>
    <x v="8"/>
    <x v="2"/>
    <x v="2"/>
    <n v="3"/>
    <n v="72.569999999999993"/>
    <n v="49.46"/>
    <n v="0"/>
    <n v="217.70999999999998"/>
    <n v="148.38"/>
    <n v="69.329999999999984"/>
    <x v="1636"/>
    <x v="1"/>
    <x v="4"/>
    <s v="tienda_fisica"/>
  </r>
  <r>
    <s v="V02188"/>
    <d v="2024-08-22T00:00:00"/>
    <x v="1"/>
    <n v="8"/>
    <s v="agosto"/>
    <s v="T3"/>
    <s v="P015"/>
    <x v="2"/>
    <x v="2"/>
    <x v="2"/>
    <n v="1"/>
    <n v="78.209999999999994"/>
    <n v="41.8"/>
    <n v="0"/>
    <n v="78.209999999999994"/>
    <n v="41.8"/>
    <n v="36.409999999999997"/>
    <x v="1637"/>
    <x v="0"/>
    <x v="3"/>
    <s v="tienda_fisica"/>
  </r>
  <r>
    <s v="V02273"/>
    <d v="2025-05-23T00:00:00"/>
    <x v="0"/>
    <n v="5"/>
    <s v="mayo"/>
    <s v="T2"/>
    <s v="P003"/>
    <x v="7"/>
    <x v="2"/>
    <x v="3"/>
    <n v="1"/>
    <n v="179.87"/>
    <n v="94.19"/>
    <n v="0"/>
    <n v="179.87"/>
    <n v="94.19"/>
    <n v="85.68"/>
    <x v="1638"/>
    <x v="0"/>
    <x v="6"/>
    <s v="online"/>
  </r>
  <r>
    <s v="V00412"/>
    <d v="2024-03-18T00:00:00"/>
    <x v="1"/>
    <n v="3"/>
    <s v="marzo"/>
    <s v="T1"/>
    <s v="P003"/>
    <x v="7"/>
    <x v="2"/>
    <x v="3"/>
    <n v="4"/>
    <n v="179.96"/>
    <n v="96.73"/>
    <n v="0.06"/>
    <n v="676.64959999999996"/>
    <n v="386.92"/>
    <n v="289.72959999999995"/>
    <x v="1639"/>
    <x v="0"/>
    <x v="5"/>
    <s v="tienda_fisica"/>
  </r>
  <r>
    <s v="V02021"/>
    <d v="2024-02-27T00:00:00"/>
    <x v="1"/>
    <n v="2"/>
    <s v="febrero"/>
    <s v="T1"/>
    <s v="P020"/>
    <x v="19"/>
    <x v="0"/>
    <x v="4"/>
    <n v="1"/>
    <n v="56.38"/>
    <n v="35.03"/>
    <n v="0"/>
    <n v="56.38"/>
    <n v="35.03"/>
    <n v="21.35"/>
    <x v="1640"/>
    <x v="0"/>
    <x v="3"/>
    <s v="online"/>
  </r>
  <r>
    <s v="V01856"/>
    <d v="2025-03-05T00:00:00"/>
    <x v="0"/>
    <n v="3"/>
    <s v="marzo"/>
    <s v="T1"/>
    <s v="P008"/>
    <x v="4"/>
    <x v="2"/>
    <x v="0"/>
    <n v="7"/>
    <n v="96.73"/>
    <n v="56.72"/>
    <n v="0"/>
    <n v="677.11"/>
    <n v="397.03999999999996"/>
    <n v="280.07000000000005"/>
    <x v="1641"/>
    <x v="0"/>
    <x v="4"/>
    <s v="tienda_fisica"/>
  </r>
  <r>
    <s v="V01453"/>
    <d v="2025-11-16T00:00:00"/>
    <x v="0"/>
    <n v="11"/>
    <s v="noviembre"/>
    <s v="T4"/>
    <s v="P014"/>
    <x v="16"/>
    <x v="1"/>
    <x v="2"/>
    <n v="6"/>
    <n v="14.51"/>
    <n v="9.4499999999999993"/>
    <n v="0"/>
    <n v="87.06"/>
    <n v="56.699999999999996"/>
    <n v="30.360000000000007"/>
    <x v="1642"/>
    <x v="1"/>
    <x v="4"/>
    <s v="tienda_fisica"/>
  </r>
  <r>
    <s v="V00668"/>
    <d v="2024-09-26T00:00:00"/>
    <x v="1"/>
    <n v="9"/>
    <s v="septiembre"/>
    <s v="T3"/>
    <s v="P013"/>
    <x v="8"/>
    <x v="2"/>
    <x v="2"/>
    <n v="4"/>
    <n v="82.68"/>
    <n v="47.62"/>
    <n v="0.06"/>
    <n v="310.8768"/>
    <n v="190.48"/>
    <n v="120.39680000000001"/>
    <x v="1643"/>
    <x v="0"/>
    <x v="0"/>
    <s v="tienda_fisica"/>
  </r>
  <r>
    <s v="V01263"/>
    <d v="2024-01-17T00:00:00"/>
    <x v="1"/>
    <n v="1"/>
    <s v="enero"/>
    <s v="T1"/>
    <s v="P016"/>
    <x v="11"/>
    <x v="2"/>
    <x v="2"/>
    <n v="4"/>
    <n v="74.34"/>
    <n v="39.979999999999997"/>
    <n v="0"/>
    <n v="297.36"/>
    <n v="159.91999999999999"/>
    <n v="137.44000000000003"/>
    <x v="1644"/>
    <x v="0"/>
    <x v="6"/>
    <s v="online"/>
  </r>
  <r>
    <s v="V00150"/>
    <d v="2024-02-14T00:00:00"/>
    <x v="1"/>
    <n v="2"/>
    <s v="febrero"/>
    <s v="T1"/>
    <s v="P016"/>
    <x v="11"/>
    <x v="2"/>
    <x v="2"/>
    <n v="6"/>
    <n v="81.81"/>
    <n v="41.54"/>
    <n v="0"/>
    <n v="490.86"/>
    <n v="249.24"/>
    <n v="241.62"/>
    <x v="1645"/>
    <x v="0"/>
    <x v="4"/>
    <s v="tienda_fisica"/>
  </r>
  <r>
    <s v="V00645"/>
    <d v="2024-04-08T00:00:00"/>
    <x v="1"/>
    <n v="4"/>
    <s v="abril"/>
    <s v="T2"/>
    <s v="P012"/>
    <x v="13"/>
    <x v="1"/>
    <x v="1"/>
    <n v="1"/>
    <n v="8.43"/>
    <n v="5.93"/>
    <n v="0"/>
    <n v="8.43"/>
    <n v="5.93"/>
    <n v="2.5"/>
    <x v="1646"/>
    <x v="1"/>
    <x v="0"/>
    <s v="online"/>
  </r>
  <r>
    <s v="V02055"/>
    <d v="2024-02-13T00:00:00"/>
    <x v="1"/>
    <n v="2"/>
    <s v="febrero"/>
    <s v="T1"/>
    <s v="P020"/>
    <x v="19"/>
    <x v="2"/>
    <x v="4"/>
    <n v="1"/>
    <n v="65.11"/>
    <n v="34.29"/>
    <n v="0"/>
    <n v="65.11"/>
    <n v="34.29"/>
    <n v="30.82"/>
    <x v="1647"/>
    <x v="0"/>
    <x v="4"/>
    <s v="tienda_fisica"/>
  </r>
  <r>
    <s v="V00219"/>
    <d v="2025-05-05T00:00:00"/>
    <x v="0"/>
    <n v="5"/>
    <s v="mayo"/>
    <s v="T2"/>
    <s v="P004"/>
    <x v="6"/>
    <x v="2"/>
    <x v="3"/>
    <n v="5"/>
    <n v="155.06"/>
    <n v="108.07"/>
    <n v="0"/>
    <n v="775.3"/>
    <n v="540.34999999999991"/>
    <n v="234.95000000000005"/>
    <x v="1648"/>
    <x v="1"/>
    <x v="5"/>
    <s v="tienda_fisica"/>
  </r>
  <r>
    <s v="V00240"/>
    <d v="2025-08-08T00:00:00"/>
    <x v="0"/>
    <n v="8"/>
    <s v="agosto"/>
    <s v="T3"/>
    <s v="P008"/>
    <x v="4"/>
    <x v="2"/>
    <x v="0"/>
    <n v="1"/>
    <n v="98.82"/>
    <n v="55.44"/>
    <n v="0.12"/>
    <n v="86.96159999999999"/>
    <n v="55.44"/>
    <n v="31.521599999999992"/>
    <x v="1649"/>
    <x v="1"/>
    <x v="0"/>
    <s v="tienda_fisica"/>
  </r>
  <r>
    <s v="V01132"/>
    <d v="2024-07-30T00:00:00"/>
    <x v="1"/>
    <n v="7"/>
    <s v="julio"/>
    <s v="T3"/>
    <s v="P018"/>
    <x v="5"/>
    <x v="0"/>
    <x v="4"/>
    <n v="1"/>
    <n v="33.14"/>
    <n v="16.48"/>
    <n v="0"/>
    <n v="33.14"/>
    <n v="16.48"/>
    <n v="16.66"/>
    <x v="1650"/>
    <x v="0"/>
    <x v="2"/>
    <s v="online"/>
  </r>
  <r>
    <s v="V01217"/>
    <d v="2024-02-03T00:00:00"/>
    <x v="1"/>
    <n v="2"/>
    <s v="febrero"/>
    <s v="T1"/>
    <s v="P001"/>
    <x v="9"/>
    <x v="2"/>
    <x v="3"/>
    <n v="3"/>
    <n v="119.95"/>
    <n v="86.7"/>
    <n v="0"/>
    <n v="359.85"/>
    <n v="260.10000000000002"/>
    <n v="99.75"/>
    <x v="1651"/>
    <x v="1"/>
    <x v="4"/>
    <s v="online"/>
  </r>
  <r>
    <s v="V00793"/>
    <d v="2025-03-07T00:00:00"/>
    <x v="0"/>
    <n v="3"/>
    <s v="marzo"/>
    <s v="T1"/>
    <s v="P012"/>
    <x v="13"/>
    <x v="1"/>
    <x v="1"/>
    <n v="1"/>
    <n v="8.1"/>
    <n v="5.56"/>
    <n v="0"/>
    <n v="8.1"/>
    <n v="5.56"/>
    <n v="2.54"/>
    <x v="1652"/>
    <x v="1"/>
    <x v="0"/>
    <s v="tienda_fisica"/>
  </r>
  <r>
    <s v="V00192"/>
    <d v="2025-02-20T00:00:00"/>
    <x v="0"/>
    <n v="2"/>
    <s v="febrero"/>
    <s v="T1"/>
    <s v="P006"/>
    <x v="0"/>
    <x v="0"/>
    <x v="0"/>
    <n v="3"/>
    <n v="48.63"/>
    <n v="26.06"/>
    <n v="0"/>
    <n v="145.89000000000001"/>
    <n v="78.179999999999993"/>
    <n v="67.710000000000022"/>
    <x v="1653"/>
    <x v="0"/>
    <x v="4"/>
    <s v="tienda_fisica"/>
  </r>
  <r>
    <s v="V00334"/>
    <d v="2025-11-01T00:00:00"/>
    <x v="0"/>
    <n v="11"/>
    <s v="noviembre"/>
    <s v="T4"/>
    <s v="P013"/>
    <x v="8"/>
    <x v="2"/>
    <x v="2"/>
    <n v="1"/>
    <n v="72.430000000000007"/>
    <n v="48.14"/>
    <n v="0"/>
    <n v="72.430000000000007"/>
    <n v="48.14"/>
    <n v="24.290000000000006"/>
    <x v="1654"/>
    <x v="1"/>
    <x v="0"/>
    <s v="tienda_fisica"/>
  </r>
  <r>
    <s v="V01693"/>
    <d v="2024-11-23T00:00:00"/>
    <x v="1"/>
    <n v="11"/>
    <s v="noviembre"/>
    <s v="T4"/>
    <s v="P007"/>
    <x v="15"/>
    <x v="1"/>
    <x v="0"/>
    <n v="2"/>
    <n v="20.309999999999999"/>
    <n v="13.21"/>
    <n v="0"/>
    <n v="40.619999999999997"/>
    <n v="26.42"/>
    <n v="14.199999999999996"/>
    <x v="1655"/>
    <x v="1"/>
    <x v="4"/>
    <s v="online"/>
  </r>
  <r>
    <s v="V01697"/>
    <d v="2024-05-21T00:00:00"/>
    <x v="1"/>
    <n v="5"/>
    <s v="mayo"/>
    <s v="T2"/>
    <s v="P011"/>
    <x v="10"/>
    <x v="1"/>
    <x v="1"/>
    <n v="1"/>
    <n v="22.38"/>
    <n v="10.94"/>
    <n v="0"/>
    <n v="22.38"/>
    <n v="10.94"/>
    <n v="11.44"/>
    <x v="1656"/>
    <x v="0"/>
    <x v="4"/>
    <s v="tienda_fisica"/>
  </r>
  <r>
    <s v="V00963"/>
    <d v="2024-07-18T00:00:00"/>
    <x v="1"/>
    <n v="7"/>
    <s v="julio"/>
    <s v="T3"/>
    <s v="P014"/>
    <x v="16"/>
    <x v="1"/>
    <x v="2"/>
    <n v="2"/>
    <n v="13.72"/>
    <n v="9.33"/>
    <n v="0"/>
    <n v="27.44"/>
    <n v="18.66"/>
    <n v="8.7800000000000011"/>
    <x v="1657"/>
    <x v="1"/>
    <x v="3"/>
    <s v="online"/>
  </r>
  <r>
    <s v="V01840"/>
    <d v="2024-09-22T00:00:00"/>
    <x v="1"/>
    <n v="9"/>
    <s v="septiembre"/>
    <s v="T3"/>
    <s v="P019"/>
    <x v="14"/>
    <x v="0"/>
    <x v="4"/>
    <n v="2"/>
    <n v="55.08"/>
    <n v="33.770000000000003"/>
    <n v="0.16"/>
    <n v="92.534399999999991"/>
    <n v="67.540000000000006"/>
    <n v="24.994399999999985"/>
    <x v="1658"/>
    <x v="1"/>
    <x v="0"/>
    <s v="tienda_fisica"/>
  </r>
  <r>
    <s v="V01692"/>
    <d v="2024-05-27T00:00:00"/>
    <x v="1"/>
    <n v="5"/>
    <s v="mayo"/>
    <s v="T2"/>
    <s v="P018"/>
    <x v="5"/>
    <x v="1"/>
    <x v="4"/>
    <n v="4"/>
    <n v="29.65"/>
    <n v="17.440000000000001"/>
    <n v="0"/>
    <n v="118.6"/>
    <n v="69.760000000000005"/>
    <n v="48.839999999999989"/>
    <x v="1659"/>
    <x v="0"/>
    <x v="3"/>
    <s v="online"/>
  </r>
  <r>
    <s v="V02275"/>
    <d v="2025-04-15T00:00:00"/>
    <x v="0"/>
    <n v="4"/>
    <s v="abril"/>
    <s v="T2"/>
    <s v="P007"/>
    <x v="15"/>
    <x v="1"/>
    <x v="0"/>
    <n v="1"/>
    <n v="21.43"/>
    <n v="12.61"/>
    <n v="0"/>
    <n v="21.43"/>
    <n v="12.61"/>
    <n v="8.82"/>
    <x v="1660"/>
    <x v="0"/>
    <x v="3"/>
    <s v="online"/>
  </r>
  <r>
    <s v="V01041"/>
    <d v="2025-04-22T00:00:00"/>
    <x v="0"/>
    <n v="4"/>
    <s v="abril"/>
    <s v="T2"/>
    <s v="P005"/>
    <x v="18"/>
    <x v="0"/>
    <x v="0"/>
    <n v="1"/>
    <n v="56.45"/>
    <n v="41.12"/>
    <n v="0.12"/>
    <n v="49.676000000000002"/>
    <n v="41.12"/>
    <n v="8.5560000000000045"/>
    <x v="1661"/>
    <x v="1"/>
    <x v="4"/>
    <s v="tienda_fisica"/>
  </r>
  <r>
    <s v="V02185"/>
    <d v="2025-10-18T00:00:00"/>
    <x v="0"/>
    <n v="10"/>
    <s v="octubre"/>
    <s v="T4"/>
    <s v="P009"/>
    <x v="12"/>
    <x v="1"/>
    <x v="1"/>
    <n v="2"/>
    <n v="8.2200000000000006"/>
    <n v="4.3600000000000003"/>
    <n v="0"/>
    <n v="16.440000000000001"/>
    <n v="8.7200000000000006"/>
    <n v="7.7200000000000006"/>
    <x v="1662"/>
    <x v="0"/>
    <x v="3"/>
    <s v="online"/>
  </r>
  <r>
    <s v="V00776"/>
    <d v="2025-09-15T00:00:00"/>
    <x v="0"/>
    <n v="9"/>
    <s v="septiembre"/>
    <s v="T3"/>
    <s v="P001"/>
    <x v="9"/>
    <x v="2"/>
    <x v="3"/>
    <n v="4"/>
    <n v="129.91999999999999"/>
    <n v="86.02"/>
    <n v="0"/>
    <n v="519.67999999999995"/>
    <n v="344.08"/>
    <n v="175.59999999999997"/>
    <x v="1663"/>
    <x v="1"/>
    <x v="0"/>
    <s v="tienda_fisica"/>
  </r>
  <r>
    <s v="V00583"/>
    <d v="2025-08-31T00:00:00"/>
    <x v="0"/>
    <n v="8"/>
    <s v="agosto"/>
    <s v="T3"/>
    <s v="P002"/>
    <x v="3"/>
    <x v="2"/>
    <x v="3"/>
    <n v="5"/>
    <n v="78.010000000000005"/>
    <n v="45.48"/>
    <n v="0"/>
    <n v="390.05"/>
    <n v="227.39999999999998"/>
    <n v="162.65000000000003"/>
    <x v="1664"/>
    <x v="0"/>
    <x v="4"/>
    <s v="tienda_fisica"/>
  </r>
  <r>
    <s v="V02246"/>
    <d v="2024-03-31T00:00:00"/>
    <x v="1"/>
    <n v="3"/>
    <s v="marzo"/>
    <s v="T1"/>
    <s v="P009"/>
    <x v="12"/>
    <x v="1"/>
    <x v="1"/>
    <n v="2"/>
    <n v="7.36"/>
    <n v="4.3600000000000003"/>
    <n v="0"/>
    <n v="14.72"/>
    <n v="8.7200000000000006"/>
    <n v="6"/>
    <x v="1665"/>
    <x v="0"/>
    <x v="3"/>
    <s v="tienda_fisica"/>
  </r>
  <r>
    <s v="V01839"/>
    <d v="2024-03-21T00:00:00"/>
    <x v="1"/>
    <n v="3"/>
    <s v="marzo"/>
    <s v="T1"/>
    <s v="P002"/>
    <x v="3"/>
    <x v="2"/>
    <x v="3"/>
    <n v="9"/>
    <n v="78.599999999999994"/>
    <n v="46.51"/>
    <n v="0"/>
    <n v="707.4"/>
    <n v="418.59"/>
    <n v="288.81"/>
    <x v="1666"/>
    <x v="0"/>
    <x v="3"/>
    <s v="online"/>
  </r>
  <r>
    <s v="V00840"/>
    <d v="2025-01-26T00:00:00"/>
    <x v="0"/>
    <n v="1"/>
    <s v="enero"/>
    <s v="T1"/>
    <s v="P015"/>
    <x v="2"/>
    <x v="2"/>
    <x v="2"/>
    <n v="3"/>
    <n v="71.739999999999995"/>
    <n v="40.74"/>
    <n v="0"/>
    <n v="215.21999999999997"/>
    <n v="122.22"/>
    <n v="92.999999999999972"/>
    <x v="1667"/>
    <x v="0"/>
    <x v="0"/>
    <s v="tienda_fisica"/>
  </r>
  <r>
    <s v="V00628"/>
    <d v="2024-05-09T00:00:00"/>
    <x v="1"/>
    <n v="5"/>
    <s v="mayo"/>
    <s v="T2"/>
    <s v="P019"/>
    <x v="14"/>
    <x v="2"/>
    <x v="4"/>
    <n v="1"/>
    <n v="60.99"/>
    <n v="34.24"/>
    <n v="0.16"/>
    <n v="51.2316"/>
    <n v="34.24"/>
    <n v="16.991599999999998"/>
    <x v="1668"/>
    <x v="1"/>
    <x v="0"/>
    <s v="online "/>
  </r>
  <r>
    <s v="V02130"/>
    <d v="2024-04-29T00:00:00"/>
    <x v="1"/>
    <n v="4"/>
    <s v="abril"/>
    <s v="T2"/>
    <s v="P016"/>
    <x v="11"/>
    <x v="2"/>
    <x v="2"/>
    <n v="3"/>
    <n v="82.94"/>
    <n v="42.08"/>
    <n v="0"/>
    <n v="248.82"/>
    <n v="126.24"/>
    <n v="122.58"/>
    <x v="1669"/>
    <x v="0"/>
    <x v="3"/>
    <s v="tienda_fisica"/>
  </r>
  <r>
    <s v="V00324"/>
    <d v="2024-10-31T00:00:00"/>
    <x v="1"/>
    <n v="10"/>
    <s v="octubre"/>
    <s v="T4"/>
    <s v="P010"/>
    <x v="1"/>
    <x v="1"/>
    <x v="1"/>
    <n v="3"/>
    <n v="15.43"/>
    <n v="11.28"/>
    <n v="0"/>
    <n v="46.29"/>
    <n v="33.839999999999996"/>
    <n v="12.450000000000003"/>
    <x v="1670"/>
    <x v="1"/>
    <x v="3"/>
    <s v="online"/>
  </r>
  <r>
    <s v="V00296"/>
    <d v="2025-10-14T00:00:00"/>
    <x v="0"/>
    <n v="10"/>
    <s v="octubre"/>
    <s v="T4"/>
    <s v="P005"/>
    <x v="18"/>
    <x v="2"/>
    <x v="0"/>
    <n v="3"/>
    <n v="64.099999999999994"/>
    <n v="40.090000000000003"/>
    <n v="0"/>
    <n v="192.29999999999998"/>
    <n v="120.27000000000001"/>
    <n v="72.029999999999973"/>
    <x v="1671"/>
    <x v="1"/>
    <x v="2"/>
    <s v="online"/>
  </r>
  <r>
    <s v="V02249"/>
    <d v="2024-08-11T00:00:00"/>
    <x v="1"/>
    <n v="8"/>
    <s v="agosto"/>
    <s v="T3"/>
    <s v="P009"/>
    <x v="12"/>
    <x v="1"/>
    <x v="1"/>
    <n v="4"/>
    <n v="7.54"/>
    <n v="4.54"/>
    <n v="0"/>
    <n v="30.16"/>
    <n v="18.16"/>
    <n v="12"/>
    <x v="1672"/>
    <x v="0"/>
    <x v="3"/>
    <s v="tienda_fisica"/>
  </r>
  <r>
    <s v="V01161"/>
    <d v="2024-07-18T00:00:00"/>
    <x v="1"/>
    <n v="7"/>
    <s v="julio"/>
    <s v="T3"/>
    <s v="P017"/>
    <x v="17"/>
    <x v="0"/>
    <x v="4"/>
    <n v="1"/>
    <n v="47.39"/>
    <n v="23.65"/>
    <n v="0"/>
    <n v="47.39"/>
    <n v="23.65"/>
    <n v="23.740000000000002"/>
    <x v="1673"/>
    <x v="0"/>
    <x v="3"/>
    <s v="online"/>
  </r>
  <r>
    <s v="V00779"/>
    <d v="2024-10-14T00:00:00"/>
    <x v="1"/>
    <n v="10"/>
    <s v="octubre"/>
    <s v="T4"/>
    <s v="P001"/>
    <x v="9"/>
    <x v="2"/>
    <x v="3"/>
    <n v="1"/>
    <n v="124.64"/>
    <n v="86.91"/>
    <n v="0"/>
    <n v="124.64"/>
    <n v="86.91"/>
    <n v="37.730000000000004"/>
    <x v="1674"/>
    <x v="1"/>
    <x v="4"/>
    <s v="tienda_fisica"/>
  </r>
  <r>
    <s v="V01077"/>
    <d v="2024-02-12T00:00:00"/>
    <x v="1"/>
    <n v="2"/>
    <s v="febrero"/>
    <s v="T1"/>
    <s v="P009"/>
    <x v="12"/>
    <x v="1"/>
    <x v="1"/>
    <n v="1"/>
    <n v="7.82"/>
    <n v="4.4400000000000004"/>
    <n v="0"/>
    <n v="7.82"/>
    <n v="4.4400000000000004"/>
    <n v="3.38"/>
    <x v="1675"/>
    <x v="0"/>
    <x v="3"/>
    <s v="tienda_fisica"/>
  </r>
  <r>
    <s v="V00940"/>
    <d v="2024-07-04T00:00:00"/>
    <x v="1"/>
    <n v="7"/>
    <s v="julio"/>
    <s v="T3"/>
    <s v="P016"/>
    <x v="11"/>
    <x v="2"/>
    <x v="2"/>
    <n v="1"/>
    <n v="84.46"/>
    <n v="39.700000000000003"/>
    <n v="0"/>
    <n v="84.46"/>
    <n v="39.700000000000003"/>
    <n v="44.759999999999991"/>
    <x v="1676"/>
    <x v="0"/>
    <x v="0"/>
    <s v="tienda_fisica"/>
  </r>
  <r>
    <s v="V00438"/>
    <d v="2025-01-03T00:00:00"/>
    <x v="0"/>
    <n v="1"/>
    <s v="enero"/>
    <s v="T1"/>
    <s v="P002"/>
    <x v="3"/>
    <x v="2"/>
    <x v="3"/>
    <n v="1"/>
    <n v="77.099999999999994"/>
    <n v="46.54"/>
    <n v="0"/>
    <n v="77.099999999999994"/>
    <n v="46.54"/>
    <n v="30.559999999999995"/>
    <x v="1677"/>
    <x v="0"/>
    <x v="3"/>
    <s v="online"/>
  </r>
  <r>
    <s v="V00120"/>
    <d v="2024-02-23T00:00:00"/>
    <x v="1"/>
    <n v="2"/>
    <s v="febrero"/>
    <s v="T1"/>
    <s v="P003"/>
    <x v="7"/>
    <x v="2"/>
    <x v="3"/>
    <n v="2"/>
    <n v="177.72"/>
    <n v="93.38"/>
    <n v="0.18"/>
    <n v="291.46080000000001"/>
    <n v="186.76"/>
    <n v="104.70080000000002"/>
    <x v="1678"/>
    <x v="1"/>
    <x v="3"/>
    <s v="tienda_fisica"/>
  </r>
  <r>
    <s v="V01738"/>
    <d v="2025-11-07T00:00:00"/>
    <x v="0"/>
    <n v="11"/>
    <s v="noviembre"/>
    <s v="T4"/>
    <s v="P014"/>
    <x v="16"/>
    <x v="1"/>
    <x v="2"/>
    <n v="1"/>
    <n v="15"/>
    <n v="9.91"/>
    <n v="0.15"/>
    <n v="12.75"/>
    <n v="9.91"/>
    <n v="2.84"/>
    <x v="1679"/>
    <x v="1"/>
    <x v="3"/>
    <s v="online"/>
  </r>
  <r>
    <s v="V02005"/>
    <d v="2024-04-25T00:00:00"/>
    <x v="1"/>
    <n v="4"/>
    <s v="abril"/>
    <s v="T2"/>
    <s v="P010"/>
    <x v="1"/>
    <x v="1"/>
    <x v="1"/>
    <n v="8"/>
    <n v="16.68"/>
    <n v="11.1"/>
    <n v="0"/>
    <n v="133.44"/>
    <n v="88.8"/>
    <n v="44.64"/>
    <x v="1680"/>
    <x v="1"/>
    <x v="0"/>
    <s v="online"/>
  </r>
  <r>
    <s v="V01366"/>
    <d v="2025-02-20T00:00:00"/>
    <x v="0"/>
    <n v="2"/>
    <s v="febrero"/>
    <s v="T1"/>
    <s v="P014"/>
    <x v="16"/>
    <x v="1"/>
    <x v="2"/>
    <n v="2"/>
    <n v="13.4"/>
    <n v="9.3699999999999992"/>
    <n v="0.16"/>
    <n v="22.512"/>
    <n v="18.739999999999998"/>
    <n v="3.772000000000002"/>
    <x v="1681"/>
    <x v="1"/>
    <x v="4"/>
    <s v="online"/>
  </r>
  <r>
    <s v="V01027"/>
    <d v="2025-04-08T00:00:00"/>
    <x v="0"/>
    <n v="4"/>
    <s v="abril"/>
    <s v="T2"/>
    <s v="P017"/>
    <x v="17"/>
    <x v="0"/>
    <x v="4"/>
    <n v="3"/>
    <n v="47.06"/>
    <n v="22.46"/>
    <n v="0"/>
    <n v="141.18"/>
    <n v="67.38"/>
    <n v="73.800000000000011"/>
    <x v="1682"/>
    <x v="0"/>
    <x v="3"/>
    <s v="online"/>
  </r>
  <r>
    <s v="V01254"/>
    <d v="2025-02-15T00:00:00"/>
    <x v="0"/>
    <n v="2"/>
    <s v="febrero"/>
    <s v="T1"/>
    <s v="P001"/>
    <x v="9"/>
    <x v="2"/>
    <x v="3"/>
    <n v="1"/>
    <n v="117.48"/>
    <n v="81.97"/>
    <n v="0"/>
    <n v="117.48"/>
    <n v="81.97"/>
    <n v="35.510000000000005"/>
    <x v="1683"/>
    <x v="1"/>
    <x v="4"/>
    <s v="online"/>
  </r>
  <r>
    <s v="V01762"/>
    <d v="2024-11-30T00:00:00"/>
    <x v="1"/>
    <n v="11"/>
    <s v="noviembre"/>
    <s v="T4"/>
    <s v="P008"/>
    <x v="4"/>
    <x v="2"/>
    <x v="0"/>
    <n v="4"/>
    <n v="103.37"/>
    <n v="58.14"/>
    <n v="0"/>
    <n v="413.48"/>
    <n v="232.56"/>
    <n v="180.92000000000002"/>
    <x v="1684"/>
    <x v="0"/>
    <x v="4"/>
    <s v="tienda_fisica"/>
  </r>
  <r>
    <s v="V01381"/>
    <d v="2024-08-10T00:00:00"/>
    <x v="1"/>
    <n v="8"/>
    <s v="agosto"/>
    <s v="T3"/>
    <s v="P006"/>
    <x v="0"/>
    <x v="0"/>
    <x v="0"/>
    <n v="1"/>
    <n v="43.14"/>
    <n v="26.34"/>
    <n v="0"/>
    <n v="43.14"/>
    <n v="26.34"/>
    <n v="16.8"/>
    <x v="1685"/>
    <x v="0"/>
    <x v="3"/>
    <s v="online"/>
  </r>
  <r>
    <s v="V00077"/>
    <d v="2024-02-25T00:00:00"/>
    <x v="1"/>
    <n v="2"/>
    <s v="febrero"/>
    <s v="T1"/>
    <s v="P014"/>
    <x v="16"/>
    <x v="1"/>
    <x v="2"/>
    <n v="6"/>
    <n v="14.68"/>
    <n v="9.3000000000000007"/>
    <n v="0"/>
    <n v="88.08"/>
    <n v="55.800000000000004"/>
    <n v="32.279999999999994"/>
    <x v="1686"/>
    <x v="1"/>
    <x v="3"/>
    <s v="online"/>
  </r>
  <r>
    <s v="V01054"/>
    <d v="2024-04-09T00:00:00"/>
    <x v="1"/>
    <n v="4"/>
    <s v="abril"/>
    <s v="T2"/>
    <s v="P017"/>
    <x v="17"/>
    <x v="0"/>
    <x v="4"/>
    <n v="1"/>
    <n v="48.47"/>
    <n v="23.66"/>
    <n v="0"/>
    <n v="48.47"/>
    <n v="23.66"/>
    <n v="24.81"/>
    <x v="1687"/>
    <x v="0"/>
    <x v="3"/>
    <s v="online"/>
  </r>
  <r>
    <s v="V00901"/>
    <d v="2025-06-25T00:00:00"/>
    <x v="0"/>
    <n v="6"/>
    <s v="junio"/>
    <s v="T2"/>
    <s v="P004"/>
    <x v="6"/>
    <x v="2"/>
    <x v="3"/>
    <n v="1"/>
    <n v="151.43"/>
    <n v="105.06"/>
    <n v="0"/>
    <n v="151.43"/>
    <n v="105.06"/>
    <n v="46.370000000000005"/>
    <x v="1688"/>
    <x v="1"/>
    <x v="3"/>
    <s v="tienda_fisica"/>
  </r>
  <r>
    <s v="V00372"/>
    <d v="2025-07-25T00:00:00"/>
    <x v="0"/>
    <n v="7"/>
    <s v="julio"/>
    <s v="T3"/>
    <s v="P005"/>
    <x v="18"/>
    <x v="2"/>
    <x v="0"/>
    <n v="1"/>
    <n v="59.72"/>
    <n v="41.04"/>
    <n v="0"/>
    <n v="59.72"/>
    <n v="41.04"/>
    <n v="18.68"/>
    <x v="1689"/>
    <x v="1"/>
    <x v="5"/>
    <s v="tienda_fisica"/>
  </r>
  <r>
    <s v="V01205"/>
    <d v="2025-10-08T00:00:00"/>
    <x v="0"/>
    <n v="10"/>
    <s v="octubre"/>
    <s v="T4"/>
    <s v="P003"/>
    <x v="7"/>
    <x v="2"/>
    <x v="3"/>
    <n v="1"/>
    <n v="178.56"/>
    <n v="92.34"/>
    <n v="0"/>
    <n v="178.56"/>
    <n v="92.34"/>
    <n v="86.22"/>
    <x v="1690"/>
    <x v="0"/>
    <x v="0"/>
    <s v="tienda_fisica"/>
  </r>
  <r>
    <s v="V02186"/>
    <d v="2024-04-12T00:00:00"/>
    <x v="1"/>
    <n v="4"/>
    <s v="abril"/>
    <s v="T2"/>
    <s v="P008"/>
    <x v="4"/>
    <x v="2"/>
    <x v="0"/>
    <n v="2"/>
    <n v="108.45"/>
    <n v="56.17"/>
    <n v="0"/>
    <n v="216.9"/>
    <n v="112.34"/>
    <n v="104.56"/>
    <x v="1691"/>
    <x v="0"/>
    <x v="0"/>
    <s v="online"/>
  </r>
  <r>
    <s v="V00950"/>
    <d v="2024-09-28T00:00:00"/>
    <x v="1"/>
    <n v="9"/>
    <s v="septiembre"/>
    <s v="T3"/>
    <s v="P012"/>
    <x v="13"/>
    <x v="1"/>
    <x v="1"/>
    <n v="4"/>
    <n v="8.59"/>
    <n v="5.9"/>
    <n v="0"/>
    <n v="34.36"/>
    <n v="23.6"/>
    <n v="10.759999999999998"/>
    <x v="1692"/>
    <x v="1"/>
    <x v="2"/>
    <s v="tienda_fisica"/>
  </r>
  <r>
    <s v="V00942"/>
    <d v="2024-04-12T00:00:00"/>
    <x v="1"/>
    <n v="4"/>
    <s v="abril"/>
    <s v="T2"/>
    <s v="P013"/>
    <x v="8"/>
    <x v="2"/>
    <x v="2"/>
    <n v="1"/>
    <n v="72.02"/>
    <n v="45.3"/>
    <n v="0"/>
    <n v="72.02"/>
    <n v="45.3"/>
    <n v="26.72"/>
    <x v="1693"/>
    <x v="1"/>
    <x v="2"/>
    <s v="online"/>
  </r>
  <r>
    <s v="V00578"/>
    <d v="2024-02-25T00:00:00"/>
    <x v="1"/>
    <n v="2"/>
    <s v="febrero"/>
    <s v="T1"/>
    <s v="P012"/>
    <x v="13"/>
    <x v="1"/>
    <x v="1"/>
    <n v="1"/>
    <n v="8.6"/>
    <n v="5.66"/>
    <n v="0"/>
    <n v="8.6"/>
    <n v="5.66"/>
    <n v="2.9399999999999995"/>
    <x v="1694"/>
    <x v="1"/>
    <x v="4"/>
    <s v="tienda_fisica"/>
  </r>
  <r>
    <s v="V00820"/>
    <d v="2025-05-15T00:00:00"/>
    <x v="0"/>
    <n v="5"/>
    <s v="mayo"/>
    <s v="T2"/>
    <s v="P020"/>
    <x v="19"/>
    <x v="2"/>
    <x v="4"/>
    <n v="1"/>
    <n v="60.56"/>
    <n v="33.630000000000003"/>
    <n v="0"/>
    <n v="60.56"/>
    <n v="33.630000000000003"/>
    <n v="26.93"/>
    <x v="1695"/>
    <x v="0"/>
    <x v="3"/>
    <s v="online"/>
  </r>
  <r>
    <s v="V01997"/>
    <d v="2025-06-19T00:00:00"/>
    <x v="0"/>
    <n v="6"/>
    <s v="junio"/>
    <s v="T2"/>
    <s v="P018"/>
    <x v="5"/>
    <x v="0"/>
    <x v="4"/>
    <n v="1"/>
    <n v="31.51"/>
    <n v="17.25"/>
    <n v="0"/>
    <n v="31.51"/>
    <n v="17.25"/>
    <n v="14.260000000000002"/>
    <x v="1696"/>
    <x v="0"/>
    <x v="3"/>
    <s v="tienda_fisica"/>
  </r>
  <r>
    <s v="V02203"/>
    <d v="2025-08-17T00:00:00"/>
    <x v="0"/>
    <n v="8"/>
    <s v="agosto"/>
    <s v="T3"/>
    <s v="P002"/>
    <x v="3"/>
    <x v="2"/>
    <x v="3"/>
    <n v="1"/>
    <n v="75.540000000000006"/>
    <n v="44.96"/>
    <n v="0"/>
    <n v="75.540000000000006"/>
    <n v="44.96"/>
    <n v="30.580000000000005"/>
    <x v="1697"/>
    <x v="0"/>
    <x v="3"/>
    <s v="online "/>
  </r>
  <r>
    <s v="V02136"/>
    <d v="2025-10-10T00:00:00"/>
    <x v="0"/>
    <n v="10"/>
    <s v="octubre"/>
    <s v="T4"/>
    <s v="P019"/>
    <x v="14"/>
    <x v="0"/>
    <x v="4"/>
    <n v="3"/>
    <n v="56.55"/>
    <n v="32.15"/>
    <n v="0"/>
    <n v="169.64999999999998"/>
    <n v="96.449999999999989"/>
    <n v="73.199999999999989"/>
    <x v="1698"/>
    <x v="0"/>
    <x v="6"/>
    <s v=" online"/>
  </r>
  <r>
    <s v="V01584"/>
    <d v="2025-07-25T00:00:00"/>
    <x v="0"/>
    <n v="7"/>
    <s v="julio"/>
    <s v="T3"/>
    <s v="P020"/>
    <x v="19"/>
    <x v="2"/>
    <x v="4"/>
    <n v="6"/>
    <n v="63.76"/>
    <n v="33.869999999999997"/>
    <n v="7.0000000000000007E-2"/>
    <n v="355.7808"/>
    <n v="203.21999999999997"/>
    <n v="152.56080000000003"/>
    <x v="1699"/>
    <x v="0"/>
    <x v="0"/>
    <s v="online"/>
  </r>
  <r>
    <s v="V01846"/>
    <d v="2024-01-14T00:00:00"/>
    <x v="1"/>
    <n v="1"/>
    <s v="enero"/>
    <s v="T1"/>
    <s v="P019"/>
    <x v="14"/>
    <x v="2"/>
    <x v="4"/>
    <n v="2"/>
    <n v="62.5"/>
    <n v="31.24"/>
    <n v="0"/>
    <n v="125"/>
    <n v="62.48"/>
    <n v="62.52"/>
    <x v="1700"/>
    <x v="0"/>
    <x v="4"/>
    <s v="online"/>
  </r>
  <r>
    <s v="V01614"/>
    <d v="2025-09-12T00:00:00"/>
    <x v="0"/>
    <n v="9"/>
    <s v="septiembre"/>
    <s v="T3"/>
    <s v="P001"/>
    <x v="9"/>
    <x v="2"/>
    <x v="3"/>
    <n v="1"/>
    <n v="123.64"/>
    <n v="84.31"/>
    <n v="0"/>
    <n v="123.64"/>
    <n v="84.31"/>
    <n v="39.33"/>
    <x v="1701"/>
    <x v="1"/>
    <x v="2"/>
    <s v="tienda_fisica"/>
  </r>
  <r>
    <s v="V00887"/>
    <d v="2024-10-08T00:00:00"/>
    <x v="1"/>
    <n v="10"/>
    <s v="octubre"/>
    <s v="T4"/>
    <s v="P013"/>
    <x v="8"/>
    <x v="2"/>
    <x v="2"/>
    <n v="1"/>
    <n v="81.83"/>
    <n v="46.31"/>
    <n v="0"/>
    <n v="81.83"/>
    <n v="46.31"/>
    <n v="35.519999999999996"/>
    <x v="1702"/>
    <x v="0"/>
    <x v="4"/>
    <s v="tienda_fisica"/>
  </r>
  <r>
    <s v="V00969"/>
    <d v="2025-04-03T00:00:00"/>
    <x v="0"/>
    <n v="4"/>
    <s v="abril"/>
    <s v="T2"/>
    <s v="P011"/>
    <x v="10"/>
    <x v="1"/>
    <x v="1"/>
    <n v="2"/>
    <n v="21.27"/>
    <n v="11.85"/>
    <n v="0"/>
    <n v="42.54"/>
    <n v="23.7"/>
    <n v="18.84"/>
    <x v="1703"/>
    <x v="0"/>
    <x v="2"/>
    <s v="online"/>
  </r>
  <r>
    <s v="V02048"/>
    <d v="2024-03-22T00:00:00"/>
    <x v="1"/>
    <n v="3"/>
    <s v="marzo"/>
    <s v="T1"/>
    <s v="P019"/>
    <x v="14"/>
    <x v="2"/>
    <x v="4"/>
    <n v="3"/>
    <n v="64.03"/>
    <n v="32.049999999999997"/>
    <n v="0"/>
    <n v="192.09"/>
    <n v="96.149999999999991"/>
    <n v="95.940000000000012"/>
    <x v="1704"/>
    <x v="0"/>
    <x v="3"/>
    <s v="tienda_fisica"/>
  </r>
  <r>
    <s v="V00786"/>
    <d v="2024-08-19T00:00:00"/>
    <x v="1"/>
    <n v="8"/>
    <s v="agosto"/>
    <s v="T3"/>
    <s v="P001"/>
    <x v="9"/>
    <x v="2"/>
    <x v="3"/>
    <n v="1"/>
    <n v="115.63"/>
    <n v="82.71"/>
    <n v="0"/>
    <n v="115.63"/>
    <n v="82.71"/>
    <n v="32.92"/>
    <x v="1705"/>
    <x v="1"/>
    <x v="6"/>
    <s v="tienda_fisica"/>
  </r>
  <r>
    <s v="V01981"/>
    <d v="2024-05-16T00:00:00"/>
    <x v="1"/>
    <n v="5"/>
    <s v="mayo"/>
    <s v="T2"/>
    <s v="P010"/>
    <x v="1"/>
    <x v="1"/>
    <x v="1"/>
    <n v="1"/>
    <n v="16.52"/>
    <n v="11.44"/>
    <n v="0"/>
    <n v="16.52"/>
    <n v="11.44"/>
    <n v="5.08"/>
    <x v="1706"/>
    <x v="1"/>
    <x v="5"/>
    <s v="tienda_fisica"/>
  </r>
  <r>
    <s v="V02103"/>
    <d v="2025-09-03T00:00:00"/>
    <x v="0"/>
    <n v="9"/>
    <s v="septiembre"/>
    <s v="T3"/>
    <s v="P020"/>
    <x v="19"/>
    <x v="2"/>
    <x v="4"/>
    <n v="5"/>
    <n v="59.66"/>
    <n v="32.590000000000003"/>
    <n v="0.06"/>
    <n v="280.40199999999993"/>
    <n v="162.95000000000002"/>
    <n v="117.45199999999991"/>
    <x v="1707"/>
    <x v="0"/>
    <x v="3"/>
    <s v="tienda_fisica"/>
  </r>
  <r>
    <s v="V00850"/>
    <d v="2024-07-13T00:00:00"/>
    <x v="1"/>
    <n v="7"/>
    <s v="julio"/>
    <s v="T3"/>
    <s v="P005"/>
    <x v="18"/>
    <x v="2"/>
    <x v="0"/>
    <n v="5"/>
    <n v="58.76"/>
    <n v="40.82"/>
    <n v="0"/>
    <n v="293.8"/>
    <n v="204.1"/>
    <n v="89.700000000000017"/>
    <x v="1708"/>
    <x v="1"/>
    <x v="3"/>
    <s v="tienda_fisica"/>
  </r>
  <r>
    <s v="V00302"/>
    <d v="2024-05-13T00:00:00"/>
    <x v="1"/>
    <n v="5"/>
    <s v="mayo"/>
    <s v="T2"/>
    <s v="P008"/>
    <x v="4"/>
    <x v="2"/>
    <x v="0"/>
    <n v="5"/>
    <n v="95.79"/>
    <n v="57.96"/>
    <n v="0"/>
    <n v="478.95000000000005"/>
    <n v="289.8"/>
    <n v="189.15000000000003"/>
    <x v="1709"/>
    <x v="0"/>
    <x v="3"/>
    <s v="online"/>
  </r>
  <r>
    <s v="V00690"/>
    <d v="2025-07-01T00:00:00"/>
    <x v="0"/>
    <n v="7"/>
    <s v="julio"/>
    <s v="T3"/>
    <s v="P004"/>
    <x v="6"/>
    <x v="2"/>
    <x v="3"/>
    <n v="2"/>
    <n v="159.04"/>
    <n v="115.29"/>
    <n v="0"/>
    <n v="318.08"/>
    <n v="230.58"/>
    <n v="87.499999999999972"/>
    <x v="1710"/>
    <x v="1"/>
    <x v="5"/>
    <s v="tienda_fisica"/>
  </r>
  <r>
    <s v="V00813"/>
    <d v="2025-07-10T00:00:00"/>
    <x v="0"/>
    <n v="7"/>
    <s v="julio"/>
    <s v="T3"/>
    <s v="P005"/>
    <x v="18"/>
    <x v="2"/>
    <x v="0"/>
    <n v="1"/>
    <n v="62.37"/>
    <n v="40.770000000000003"/>
    <n v="0"/>
    <n v="62.37"/>
    <n v="40.770000000000003"/>
    <n v="21.599999999999994"/>
    <x v="1711"/>
    <x v="1"/>
    <x v="5"/>
    <s v="online"/>
  </r>
  <r>
    <s v="V01062"/>
    <d v="2025-01-20T00:00:00"/>
    <x v="0"/>
    <n v="1"/>
    <s v="enero"/>
    <s v="T1"/>
    <s v="P016"/>
    <x v="11"/>
    <x v="2"/>
    <x v="2"/>
    <n v="1"/>
    <n v="78.959999999999994"/>
    <n v="41.66"/>
    <n v="0"/>
    <n v="78.959999999999994"/>
    <n v="41.66"/>
    <n v="37.299999999999997"/>
    <x v="1712"/>
    <x v="0"/>
    <x v="6"/>
    <s v="tienda_fisica"/>
  </r>
  <r>
    <s v="V01378"/>
    <d v="2025-07-13T00:00:00"/>
    <x v="0"/>
    <n v="7"/>
    <s v="julio"/>
    <s v="T3"/>
    <s v="P011"/>
    <x v="10"/>
    <x v="1"/>
    <x v="1"/>
    <n v="3"/>
    <n v="21"/>
    <n v="11.36"/>
    <n v="0"/>
    <n v="63"/>
    <n v="34.08"/>
    <n v="28.92"/>
    <x v="1713"/>
    <x v="0"/>
    <x v="6"/>
    <s v="online"/>
  </r>
  <r>
    <s v="V01522"/>
    <d v="2025-01-05T00:00:00"/>
    <x v="0"/>
    <n v="1"/>
    <s v="enero"/>
    <s v="T1"/>
    <s v="P006"/>
    <x v="0"/>
    <x v="0"/>
    <x v="0"/>
    <n v="2"/>
    <n v="47.08"/>
    <n v="25.48"/>
    <n v="0"/>
    <n v="94.16"/>
    <n v="50.96"/>
    <n v="43.199999999999996"/>
    <x v="1714"/>
    <x v="0"/>
    <x v="1"/>
    <s v="tienda_fisica"/>
  </r>
  <r>
    <s v="V00237"/>
    <d v="2025-12-29T00:00:00"/>
    <x v="0"/>
    <n v="12"/>
    <s v="diciembre"/>
    <s v="T4"/>
    <s v="P013"/>
    <x v="8"/>
    <x v="2"/>
    <x v="2"/>
    <n v="2"/>
    <n v="71.790000000000006"/>
    <n v="49.73"/>
    <n v="0"/>
    <n v="143.58000000000001"/>
    <n v="99.46"/>
    <n v="44.120000000000019"/>
    <x v="1715"/>
    <x v="1"/>
    <x v="2"/>
    <s v="online"/>
  </r>
  <r>
    <s v="V02191"/>
    <d v="2025-05-11T00:00:00"/>
    <x v="0"/>
    <n v="5"/>
    <s v="mayo"/>
    <s v="T2"/>
    <s v="P015"/>
    <x v="2"/>
    <x v="2"/>
    <x v="2"/>
    <n v="1"/>
    <n v="83.7"/>
    <n v="42.25"/>
    <n v="0"/>
    <n v="83.7"/>
    <n v="42.25"/>
    <n v="41.45"/>
    <x v="1716"/>
    <x v="0"/>
    <x v="5"/>
    <s v="tienda_fisica"/>
  </r>
  <r>
    <s v="V01116"/>
    <d v="2025-03-16T00:00:00"/>
    <x v="0"/>
    <n v="3"/>
    <s v="marzo"/>
    <s v="T1"/>
    <s v="P007"/>
    <x v="15"/>
    <x v="1"/>
    <x v="0"/>
    <n v="4"/>
    <n v="19.170000000000002"/>
    <n v="12.41"/>
    <n v="0"/>
    <n v="76.680000000000007"/>
    <n v="49.64"/>
    <n v="27.040000000000006"/>
    <x v="1717"/>
    <x v="1"/>
    <x v="0"/>
    <s v=" tienda_fisica"/>
  </r>
  <r>
    <s v="V01734"/>
    <d v="2025-10-25T00:00:00"/>
    <x v="0"/>
    <n v="10"/>
    <s v="octubre"/>
    <s v="T4"/>
    <s v="P008"/>
    <x v="4"/>
    <x v="2"/>
    <x v="0"/>
    <n v="2"/>
    <n v="101.22"/>
    <n v="58.06"/>
    <n v="0"/>
    <n v="202.44"/>
    <n v="116.12"/>
    <n v="86.32"/>
    <x v="1718"/>
    <x v="0"/>
    <x v="3"/>
    <s v="tienda_fisica"/>
  </r>
  <r>
    <s v="V00500"/>
    <d v="2025-08-08T00:00:00"/>
    <x v="0"/>
    <n v="8"/>
    <s v="agosto"/>
    <s v="T3"/>
    <s v="P016"/>
    <x v="11"/>
    <x v="2"/>
    <x v="2"/>
    <n v="1"/>
    <n v="78.040000000000006"/>
    <n v="41.82"/>
    <n v="0"/>
    <n v="78.040000000000006"/>
    <n v="41.82"/>
    <n v="36.220000000000006"/>
    <x v="1719"/>
    <x v="0"/>
    <x v="2"/>
    <s v="tienda_fisica"/>
  </r>
  <r>
    <s v="V00823"/>
    <d v="2024-07-26T00:00:00"/>
    <x v="1"/>
    <n v="7"/>
    <s v="julio"/>
    <s v="T3"/>
    <s v="P019"/>
    <x v="14"/>
    <x v="0"/>
    <x v="4"/>
    <n v="1"/>
    <n v="58.46"/>
    <n v="33.69"/>
    <n v="0"/>
    <n v="58.46"/>
    <n v="33.69"/>
    <n v="24.770000000000003"/>
    <x v="1720"/>
    <x v="0"/>
    <x v="1"/>
    <s v="tienda_fisica"/>
  </r>
  <r>
    <s v="V01578"/>
    <d v="2025-11-19T00:00:00"/>
    <x v="0"/>
    <n v="11"/>
    <s v="noviembre"/>
    <s v="T4"/>
    <s v="P013"/>
    <x v="8"/>
    <x v="2"/>
    <x v="2"/>
    <n v="4"/>
    <n v="73.87"/>
    <n v="45.64"/>
    <n v="0"/>
    <n v="295.48"/>
    <n v="182.56"/>
    <n v="112.92000000000002"/>
    <x v="1721"/>
    <x v="0"/>
    <x v="3"/>
    <s v="tienda_fisica"/>
  </r>
  <r>
    <s v="V01080"/>
    <d v="2024-12-26T00:00:00"/>
    <x v="1"/>
    <n v="12"/>
    <s v="diciembre"/>
    <s v="T4"/>
    <s v="P012"/>
    <x v="13"/>
    <x v="1"/>
    <x v="1"/>
    <n v="1"/>
    <n v="8.86"/>
    <n v="5.61"/>
    <n v="0"/>
    <n v="8.86"/>
    <n v="5.61"/>
    <n v="3.2499999999999991"/>
    <x v="1722"/>
    <x v="1"/>
    <x v="3"/>
    <s v="tienda_fisica"/>
  </r>
  <r>
    <s v="V01327"/>
    <d v="2025-05-17T00:00:00"/>
    <x v="0"/>
    <n v="5"/>
    <s v="mayo"/>
    <s v="T2"/>
    <s v="P003"/>
    <x v="7"/>
    <x v="2"/>
    <x v="3"/>
    <n v="3"/>
    <n v="172.2"/>
    <n v="98.83"/>
    <n v="0"/>
    <n v="516.59999999999991"/>
    <n v="296.49"/>
    <n v="220.1099999999999"/>
    <x v="1723"/>
    <x v="0"/>
    <x v="3"/>
    <s v="online"/>
  </r>
  <r>
    <s v="V00795"/>
    <d v="2024-01-09T00:00:00"/>
    <x v="1"/>
    <n v="1"/>
    <s v="enero"/>
    <s v="T1"/>
    <s v="P012"/>
    <x v="13"/>
    <x v="1"/>
    <x v="1"/>
    <n v="1"/>
    <n v="9.19"/>
    <n v="5.8"/>
    <n v="0.14000000000000001"/>
    <n v="7.9033999999999995"/>
    <n v="5.8"/>
    <n v="2.1033999999999997"/>
    <x v="1724"/>
    <x v="1"/>
    <x v="0"/>
    <s v="tienda_fisica"/>
  </r>
  <r>
    <s v="V02259"/>
    <d v="2024-01-12T00:00:00"/>
    <x v="1"/>
    <n v="1"/>
    <s v="enero"/>
    <s v="T1"/>
    <s v="P005"/>
    <x v="18"/>
    <x v="0"/>
    <x v="0"/>
    <n v="3"/>
    <n v="56.7"/>
    <n v="40.53"/>
    <n v="0"/>
    <n v="170.10000000000002"/>
    <n v="121.59"/>
    <n v="48.510000000000019"/>
    <x v="1725"/>
    <x v="1"/>
    <x v="0"/>
    <s v="online"/>
  </r>
  <r>
    <s v="V01964"/>
    <d v="2025-04-10T00:00:00"/>
    <x v="0"/>
    <n v="4"/>
    <s v="abril"/>
    <s v="T2"/>
    <s v="P003"/>
    <x v="7"/>
    <x v="2"/>
    <x v="3"/>
    <n v="3"/>
    <n v="177.72"/>
    <n v="98.26"/>
    <n v="0"/>
    <n v="533.16"/>
    <n v="294.78000000000003"/>
    <n v="238.37999999999994"/>
    <x v="1726"/>
    <x v="0"/>
    <x v="5"/>
    <s v="tienda_fisica"/>
  </r>
  <r>
    <s v="V02264"/>
    <d v="2025-02-12T00:00:00"/>
    <x v="0"/>
    <n v="2"/>
    <s v="febrero"/>
    <s v="T1"/>
    <s v="P015"/>
    <x v="2"/>
    <x v="2"/>
    <x v="2"/>
    <n v="6"/>
    <n v="79.81"/>
    <n v="44.3"/>
    <n v="0"/>
    <n v="478.86"/>
    <n v="265.79999999999995"/>
    <n v="213.06000000000006"/>
    <x v="1727"/>
    <x v="0"/>
    <x v="3"/>
    <s v="tienda_fisica"/>
  </r>
  <r>
    <s v="V00991"/>
    <d v="2025-01-25T00:00:00"/>
    <x v="0"/>
    <n v="1"/>
    <s v="enero"/>
    <s v="T1"/>
    <s v="P018"/>
    <x v="5"/>
    <x v="0"/>
    <x v="4"/>
    <n v="6"/>
    <n v="32.93"/>
    <n v="17.559999999999999"/>
    <n v="0"/>
    <n v="197.57999999999998"/>
    <n v="105.35999999999999"/>
    <n v="92.22"/>
    <x v="1728"/>
    <x v="0"/>
    <x v="3"/>
    <s v="tienda_fisica"/>
  </r>
  <r>
    <s v="V01751"/>
    <d v="2024-09-11T00:00:00"/>
    <x v="1"/>
    <n v="9"/>
    <s v="septiembre"/>
    <s v="T3"/>
    <s v="P018"/>
    <x v="5"/>
    <x v="0"/>
    <x v="4"/>
    <n v="2"/>
    <n v="30.97"/>
    <n v="16.71"/>
    <n v="0"/>
    <n v="61.94"/>
    <n v="33.42"/>
    <n v="28.519999999999996"/>
    <x v="1729"/>
    <x v="0"/>
    <x v="2"/>
    <s v="tienda_fisica"/>
  </r>
  <r>
    <s v="V00935"/>
    <d v="2025-10-19T00:00:00"/>
    <x v="0"/>
    <n v="10"/>
    <s v="octubre"/>
    <s v="T4"/>
    <s v="P002"/>
    <x v="3"/>
    <x v="2"/>
    <x v="3"/>
    <n v="1"/>
    <n v="75.56"/>
    <n v="47.86"/>
    <n v="0"/>
    <n v="75.56"/>
    <n v="47.86"/>
    <n v="27.700000000000003"/>
    <x v="1730"/>
    <x v="1"/>
    <x v="6"/>
    <s v="tienda_fisica"/>
  </r>
  <r>
    <s v="V00388"/>
    <d v="2024-07-27T00:00:00"/>
    <x v="1"/>
    <n v="7"/>
    <s v="julio"/>
    <s v="T3"/>
    <s v="P010"/>
    <x v="1"/>
    <x v="1"/>
    <x v="1"/>
    <n v="9"/>
    <n v="17.29"/>
    <n v="11.72"/>
    <n v="0"/>
    <n v="155.60999999999999"/>
    <n v="105.48"/>
    <n v="50.129999999999981"/>
    <x v="1731"/>
    <x v="1"/>
    <x v="2"/>
    <s v="online"/>
  </r>
  <r>
    <s v="V01880"/>
    <d v="2025-12-13T00:00:00"/>
    <x v="0"/>
    <n v="12"/>
    <s v="diciembre"/>
    <s v="T4"/>
    <s v="P018"/>
    <x v="5"/>
    <x v="0"/>
    <x v="4"/>
    <n v="1"/>
    <n v="30.98"/>
    <n v="17.98"/>
    <n v="0.23"/>
    <n v="23.854600000000001"/>
    <n v="17.98"/>
    <n v="5.8746000000000009"/>
    <x v="1732"/>
    <x v="1"/>
    <x v="3"/>
    <s v="tienda_fisica"/>
  </r>
  <r>
    <s v="V00391"/>
    <d v="2025-08-25T00:00:00"/>
    <x v="0"/>
    <n v="8"/>
    <s v="agosto"/>
    <s v="T3"/>
    <s v="P012"/>
    <x v="13"/>
    <x v="1"/>
    <x v="1"/>
    <n v="6"/>
    <n v="8.4499999999999993"/>
    <n v="5.58"/>
    <n v="0"/>
    <n v="50.699999999999996"/>
    <n v="33.480000000000004"/>
    <n v="17.219999999999992"/>
    <x v="1733"/>
    <x v="1"/>
    <x v="0"/>
    <s v="tienda_fisica"/>
  </r>
  <r>
    <s v="V00744"/>
    <d v="2025-03-20T00:00:00"/>
    <x v="0"/>
    <n v="3"/>
    <s v="marzo"/>
    <s v="T1"/>
    <s v="P006"/>
    <x v="0"/>
    <x v="0"/>
    <x v="0"/>
    <n v="4"/>
    <n v="49.73"/>
    <n v="25.45"/>
    <n v="0"/>
    <n v="198.92"/>
    <n v="101.8"/>
    <n v="97.11999999999999"/>
    <x v="1734"/>
    <x v="0"/>
    <x v="3"/>
    <s v="tienda_fisica"/>
  </r>
  <r>
    <s v="V00353"/>
    <d v="2024-01-05T00:00:00"/>
    <x v="1"/>
    <n v="1"/>
    <s v="enero"/>
    <s v="T1"/>
    <s v="P002"/>
    <x v="3"/>
    <x v="2"/>
    <x v="3"/>
    <n v="6"/>
    <n v="69.77"/>
    <n v="48.58"/>
    <n v="0"/>
    <n v="418.62"/>
    <n v="291.48"/>
    <n v="127.13999999999999"/>
    <x v="1735"/>
    <x v="1"/>
    <x v="0"/>
    <s v="online"/>
  </r>
  <r>
    <s v="V01218"/>
    <d v="2024-05-03T00:00:00"/>
    <x v="1"/>
    <n v="5"/>
    <s v="mayo"/>
    <s v="T2"/>
    <s v="P018"/>
    <x v="5"/>
    <x v="1"/>
    <x v="4"/>
    <n v="2"/>
    <n v="28.73"/>
    <n v="17.850000000000001"/>
    <n v="0"/>
    <n v="57.46"/>
    <n v="35.700000000000003"/>
    <n v="21.759999999999998"/>
    <x v="1736"/>
    <x v="0"/>
    <x v="2"/>
    <s v="tienda_fisica"/>
  </r>
  <r>
    <s v="V00236"/>
    <d v="2025-03-18T00:00:00"/>
    <x v="0"/>
    <n v="3"/>
    <s v="marzo"/>
    <s v="T1"/>
    <s v="P013"/>
    <x v="8"/>
    <x v="2"/>
    <x v="2"/>
    <n v="2"/>
    <n v="74.3"/>
    <n v="46.41"/>
    <n v="0"/>
    <n v="148.6"/>
    <n v="92.82"/>
    <n v="55.78"/>
    <x v="1737"/>
    <x v="0"/>
    <x v="3"/>
    <s v="tienda_fisica"/>
  </r>
  <r>
    <s v="V02119"/>
    <d v="2025-04-29T00:00:00"/>
    <x v="0"/>
    <n v="4"/>
    <s v="abril"/>
    <s v="T2"/>
    <s v="P010"/>
    <x v="1"/>
    <x v="1"/>
    <x v="1"/>
    <n v="2"/>
    <n v="17.14"/>
    <n v="11.21"/>
    <n v="0"/>
    <n v="34.28"/>
    <n v="22.42"/>
    <n v="11.86"/>
    <x v="1738"/>
    <x v="1"/>
    <x v="0"/>
    <s v="online"/>
  </r>
  <r>
    <s v="V01719"/>
    <d v="2025-01-12T00:00:00"/>
    <x v="0"/>
    <n v="1"/>
    <s v="enero"/>
    <s v="T1"/>
    <s v="P015"/>
    <x v="2"/>
    <x v="2"/>
    <x v="2"/>
    <n v="4"/>
    <n v="78.92"/>
    <n v="43.98"/>
    <n v="0"/>
    <n v="315.68"/>
    <n v="175.92"/>
    <n v="139.76000000000002"/>
    <x v="1739"/>
    <x v="0"/>
    <x v="0"/>
    <s v="tienda_fisica"/>
  </r>
  <r>
    <s v="V00481"/>
    <d v="2024-10-28T00:00:00"/>
    <x v="1"/>
    <n v="10"/>
    <s v="octubre"/>
    <s v="T4"/>
    <s v="P018"/>
    <x v="5"/>
    <x v="0"/>
    <x v="4"/>
    <n v="3"/>
    <n v="30.04"/>
    <n v="17.260000000000002"/>
    <n v="0"/>
    <n v="90.12"/>
    <n v="51.78"/>
    <n v="38.340000000000003"/>
    <x v="1740"/>
    <x v="0"/>
    <x v="0"/>
    <s v="tienda_fisica"/>
  </r>
  <r>
    <s v="V00568"/>
    <d v="2025-03-11T00:00:00"/>
    <x v="0"/>
    <n v="3"/>
    <s v="marzo"/>
    <s v="T1"/>
    <s v="P020"/>
    <x v="19"/>
    <x v="2"/>
    <x v="4"/>
    <n v="2"/>
    <n v="59.21"/>
    <n v="32.85"/>
    <n v="0"/>
    <n v="118.42"/>
    <n v="65.7"/>
    <n v="52.72"/>
    <x v="1741"/>
    <x v="0"/>
    <x v="4"/>
    <s v="tienda_fisica"/>
  </r>
  <r>
    <s v="V01141"/>
    <d v="2025-04-08T00:00:00"/>
    <x v="0"/>
    <n v="4"/>
    <s v="abril"/>
    <s v="T2"/>
    <s v="P004"/>
    <x v="6"/>
    <x v="2"/>
    <x v="3"/>
    <n v="2"/>
    <n v="158.44"/>
    <n v="110.72"/>
    <n v="0"/>
    <n v="316.88"/>
    <n v="221.44"/>
    <n v="95.44"/>
    <x v="1742"/>
    <x v="1"/>
    <x v="3"/>
    <s v="tienda_fisica"/>
  </r>
  <r>
    <s v="V01633"/>
    <d v="2024-05-23T00:00:00"/>
    <x v="1"/>
    <n v="5"/>
    <s v="mayo"/>
    <s v="T2"/>
    <s v="P015"/>
    <x v="2"/>
    <x v="2"/>
    <x v="2"/>
    <n v="2"/>
    <n v="73.28"/>
    <n v="40.729999999999997"/>
    <n v="0"/>
    <n v="146.56"/>
    <n v="81.459999999999994"/>
    <n v="65.100000000000009"/>
    <x v="1743"/>
    <x v="0"/>
    <x v="2"/>
    <s v="tienda_fisica"/>
  </r>
  <r>
    <s v="V01678"/>
    <d v="2024-03-25T00:00:00"/>
    <x v="1"/>
    <n v="3"/>
    <s v="marzo"/>
    <s v="T1"/>
    <s v="P004"/>
    <x v="6"/>
    <x v="2"/>
    <x v="3"/>
    <n v="2"/>
    <n v="170.9"/>
    <n v="114.24"/>
    <n v="0.25"/>
    <n v="256.35000000000002"/>
    <n v="228.48"/>
    <n v="27.870000000000033"/>
    <x v="1744"/>
    <x v="1"/>
    <x v="2"/>
    <s v="tienda_fisica"/>
  </r>
  <r>
    <s v="V02104"/>
    <d v="2024-09-30T00:00:00"/>
    <x v="1"/>
    <n v="9"/>
    <s v="septiembre"/>
    <s v="T3"/>
    <s v="P005"/>
    <x v="18"/>
    <x v="2"/>
    <x v="0"/>
    <n v="7"/>
    <n v="60.04"/>
    <n v="39.49"/>
    <n v="0"/>
    <n v="420.28"/>
    <n v="276.43"/>
    <n v="143.84999999999997"/>
    <x v="1745"/>
    <x v="1"/>
    <x v="5"/>
    <s v="tienda_fisica"/>
  </r>
  <r>
    <s v="V00101"/>
    <d v="2024-04-28T00:00:00"/>
    <x v="1"/>
    <n v="4"/>
    <s v="abril"/>
    <s v="T2"/>
    <s v="P016"/>
    <x v="11"/>
    <x v="2"/>
    <x v="2"/>
    <n v="1"/>
    <n v="81.02"/>
    <n v="42.01"/>
    <n v="0"/>
    <n v="81.02"/>
    <n v="42.01"/>
    <n v="39.01"/>
    <x v="1746"/>
    <x v="0"/>
    <x v="3"/>
    <s v="tienda_fisica"/>
  </r>
  <r>
    <s v="V02014"/>
    <d v="2025-10-31T00:00:00"/>
    <x v="0"/>
    <n v="10"/>
    <s v="octubre"/>
    <s v="T4"/>
    <s v="P001"/>
    <x v="9"/>
    <x v="2"/>
    <x v="3"/>
    <n v="2"/>
    <n v="113.1"/>
    <n v="81.05"/>
    <n v="0"/>
    <n v="226.2"/>
    <n v="162.1"/>
    <n v="64.099999999999994"/>
    <x v="1747"/>
    <x v="1"/>
    <x v="3"/>
    <s v="tienda_fisica"/>
  </r>
  <r>
    <s v="V02009"/>
    <d v="2024-04-16T00:00:00"/>
    <x v="1"/>
    <n v="4"/>
    <s v="abril"/>
    <s v="T2"/>
    <s v="P017"/>
    <x v="17"/>
    <x v="0"/>
    <x v="4"/>
    <n v="1"/>
    <n v="45.71"/>
    <n v="22.65"/>
    <n v="0"/>
    <n v="45.71"/>
    <n v="22.65"/>
    <n v="23.060000000000002"/>
    <x v="1748"/>
    <x v="0"/>
    <x v="2"/>
    <s v="online"/>
  </r>
  <r>
    <s v="V00121"/>
    <d v="2025-03-16T00:00:00"/>
    <x v="0"/>
    <n v="3"/>
    <s v="marzo"/>
    <s v="T1"/>
    <s v="P012"/>
    <x v="13"/>
    <x v="1"/>
    <x v="1"/>
    <n v="3"/>
    <n v="8.4700000000000006"/>
    <n v="5.61"/>
    <n v="0"/>
    <n v="25.410000000000004"/>
    <n v="16.830000000000002"/>
    <n v="8.5800000000000018"/>
    <x v="1749"/>
    <x v="1"/>
    <x v="3"/>
    <s v="tienda_fisica"/>
  </r>
  <r>
    <s v="V01389"/>
    <d v="2025-01-28T00:00:00"/>
    <x v="0"/>
    <n v="1"/>
    <s v="enero"/>
    <s v="T1"/>
    <s v="P004"/>
    <x v="6"/>
    <x v="2"/>
    <x v="3"/>
    <n v="1"/>
    <n v="164.47"/>
    <n v="114.33"/>
    <n v="0"/>
    <n v="164.47"/>
    <n v="114.33"/>
    <n v="50.14"/>
    <x v="1750"/>
    <x v="1"/>
    <x v="1"/>
    <s v="tienda_fisica"/>
  </r>
  <r>
    <s v="V00491"/>
    <d v="2024-11-18T00:00:00"/>
    <x v="1"/>
    <n v="11"/>
    <s v="noviembre"/>
    <s v="T4"/>
    <s v="P012"/>
    <x v="13"/>
    <x v="1"/>
    <x v="1"/>
    <n v="4"/>
    <n v="8.49"/>
    <n v="5.62"/>
    <n v="0"/>
    <n v="33.96"/>
    <n v="22.48"/>
    <n v="11.48"/>
    <x v="1751"/>
    <x v="1"/>
    <x v="4"/>
    <s v="tienda_fisica"/>
  </r>
  <r>
    <s v="V01025"/>
    <d v="2025-01-07T00:00:00"/>
    <x v="0"/>
    <n v="1"/>
    <s v="enero"/>
    <s v="T1"/>
    <s v="P008"/>
    <x v="4"/>
    <x v="2"/>
    <x v="0"/>
    <n v="4"/>
    <n v="100.98"/>
    <n v="54.99"/>
    <n v="0"/>
    <n v="403.92"/>
    <n v="219.96"/>
    <n v="183.96"/>
    <x v="1752"/>
    <x v="0"/>
    <x v="0"/>
    <s v="tienda_fisica"/>
  </r>
  <r>
    <s v="V01087"/>
    <d v="2024-03-02T00:00:00"/>
    <x v="1"/>
    <n v="3"/>
    <s v="marzo"/>
    <s v="T1"/>
    <s v="P003"/>
    <x v="7"/>
    <x v="2"/>
    <x v="3"/>
    <n v="3"/>
    <n v="174.44"/>
    <n v="89.9"/>
    <n v="0"/>
    <n v="523.31999999999994"/>
    <n v="269.70000000000005"/>
    <n v="253.61999999999989"/>
    <x v="1753"/>
    <x v="0"/>
    <x v="3"/>
    <s v="tienda_fisica"/>
  </r>
  <r>
    <s v="V01273"/>
    <d v="2024-07-05T00:00:00"/>
    <x v="1"/>
    <n v="7"/>
    <s v="julio"/>
    <s v="T3"/>
    <s v="P007"/>
    <x v="15"/>
    <x v="1"/>
    <x v="0"/>
    <n v="2"/>
    <n v="19.79"/>
    <n v="13.36"/>
    <n v="0.27"/>
    <n v="28.8934"/>
    <n v="26.72"/>
    <n v="2.1734000000000009"/>
    <x v="1754"/>
    <x v="1"/>
    <x v="3"/>
    <s v="tienda_fisica"/>
  </r>
  <r>
    <s v="V01478"/>
    <d v="2024-10-21T00:00:00"/>
    <x v="1"/>
    <n v="10"/>
    <s v="octubre"/>
    <s v="T4"/>
    <s v="P001"/>
    <x v="9"/>
    <x v="2"/>
    <x v="3"/>
    <n v="4"/>
    <n v="123"/>
    <n v="83.5"/>
    <n v="0"/>
    <n v="492"/>
    <n v="334"/>
    <n v="158"/>
    <x v="1755"/>
    <x v="1"/>
    <x v="0"/>
    <s v="tienda_fisica"/>
  </r>
  <r>
    <s v="V00927"/>
    <d v="2025-01-28T00:00:00"/>
    <x v="0"/>
    <n v="1"/>
    <s v="enero"/>
    <s v="T1"/>
    <s v="P019"/>
    <x v="14"/>
    <x v="0"/>
    <x v="4"/>
    <n v="4"/>
    <n v="55.06"/>
    <n v="34.21"/>
    <n v="0"/>
    <n v="220.24"/>
    <n v="136.84"/>
    <n v="83.4"/>
    <x v="1756"/>
    <x v="0"/>
    <x v="3"/>
    <s v="online"/>
  </r>
  <r>
    <s v="V00516"/>
    <d v="2025-09-18T00:00:00"/>
    <x v="0"/>
    <n v="9"/>
    <s v="septiembre"/>
    <s v="T3"/>
    <s v="P001"/>
    <x v="9"/>
    <x v="2"/>
    <x v="3"/>
    <n v="4"/>
    <n v="116.93"/>
    <n v="80.31"/>
    <n v="0.24"/>
    <n v="355.46720000000005"/>
    <n v="321.24"/>
    <n v="34.227200000000039"/>
    <x v="1757"/>
    <x v="1"/>
    <x v="4"/>
    <s v="tienda_fisica"/>
  </r>
  <r>
    <s v="V01595"/>
    <d v="2024-07-28T00:00:00"/>
    <x v="1"/>
    <n v="7"/>
    <s v="julio"/>
    <s v="T3"/>
    <s v="P008"/>
    <x v="4"/>
    <x v="2"/>
    <x v="0"/>
    <n v="6"/>
    <n v="108.01"/>
    <n v="56.08"/>
    <n v="0"/>
    <n v="648.06000000000006"/>
    <n v="336.48"/>
    <n v="311.58000000000004"/>
    <x v="1758"/>
    <x v="0"/>
    <x v="5"/>
    <s v="online"/>
  </r>
  <r>
    <s v="V00224"/>
    <d v="2025-07-13T00:00:00"/>
    <x v="0"/>
    <n v="7"/>
    <s v="julio"/>
    <s v="T3"/>
    <s v="P005"/>
    <x v="18"/>
    <x v="0"/>
    <x v="0"/>
    <n v="3"/>
    <n v="55.46"/>
    <n v="39.25"/>
    <n v="0"/>
    <n v="166.38"/>
    <n v="117.75"/>
    <n v="48.629999999999995"/>
    <x v="1759"/>
    <x v="1"/>
    <x v="1"/>
    <s v="tienda_fisica"/>
  </r>
  <r>
    <s v="V01890"/>
    <d v="2025-02-10T00:00:00"/>
    <x v="0"/>
    <n v="2"/>
    <s v="febrero"/>
    <s v="T1"/>
    <s v="P013"/>
    <x v="8"/>
    <x v="2"/>
    <x v="2"/>
    <n v="1"/>
    <n v="70.83"/>
    <n v="49.38"/>
    <n v="0"/>
    <n v="70.83"/>
    <n v="49.38"/>
    <n v="21.449999999999996"/>
    <x v="1760"/>
    <x v="1"/>
    <x v="3"/>
    <s v="tienda_fisica"/>
  </r>
  <r>
    <s v="V00614"/>
    <d v="2025-04-08T00:00:00"/>
    <x v="0"/>
    <n v="4"/>
    <s v="abril"/>
    <s v="T2"/>
    <s v="P004"/>
    <x v="6"/>
    <x v="2"/>
    <x v="3"/>
    <n v="6"/>
    <n v="159.38999999999999"/>
    <n v="106.93"/>
    <n v="0"/>
    <n v="956.33999999999992"/>
    <n v="641.58000000000004"/>
    <n v="314.75999999999988"/>
    <x v="1761"/>
    <x v="1"/>
    <x v="0"/>
    <s v="online"/>
  </r>
  <r>
    <s v="V00844"/>
    <d v="2025-12-04T00:00:00"/>
    <x v="0"/>
    <n v="12"/>
    <s v="diciembre"/>
    <s v="T4"/>
    <s v="P008"/>
    <x v="4"/>
    <x v="2"/>
    <x v="0"/>
    <n v="1"/>
    <n v="95.47"/>
    <n v="57.42"/>
    <n v="0"/>
    <n v="95.47"/>
    <n v="57.42"/>
    <n v="38.049999999999997"/>
    <x v="1762"/>
    <x v="0"/>
    <x v="4"/>
    <s v="online"/>
  </r>
  <r>
    <s v="V01246"/>
    <d v="2024-11-28T00:00:00"/>
    <x v="1"/>
    <n v="11"/>
    <s v="noviembre"/>
    <s v="T4"/>
    <s v="P003"/>
    <x v="7"/>
    <x v="2"/>
    <x v="3"/>
    <n v="7"/>
    <n v="177.72"/>
    <n v="94.89"/>
    <n v="0"/>
    <n v="1244.04"/>
    <n v="664.23"/>
    <n v="579.80999999999995"/>
    <x v="1763"/>
    <x v="0"/>
    <x v="6"/>
    <s v="tienda_fisica"/>
  </r>
  <r>
    <s v="V01626"/>
    <d v="2024-11-17T00:00:00"/>
    <x v="1"/>
    <n v="11"/>
    <s v="noviembre"/>
    <s v="T4"/>
    <s v="P017"/>
    <x v="17"/>
    <x v="0"/>
    <x v="4"/>
    <n v="6"/>
    <n v="46.9"/>
    <n v="22.16"/>
    <n v="0"/>
    <n v="281.39999999999998"/>
    <n v="132.96"/>
    <n v="148.43999999999997"/>
    <x v="1764"/>
    <x v="0"/>
    <x v="4"/>
    <s v="tienda_fisica"/>
  </r>
  <r>
    <s v="V01953"/>
    <d v="2025-01-08T00:00:00"/>
    <x v="0"/>
    <n v="1"/>
    <s v="enero"/>
    <s v="T1"/>
    <s v="P015"/>
    <x v="2"/>
    <x v="2"/>
    <x v="2"/>
    <n v="3"/>
    <n v="80.92"/>
    <n v="42"/>
    <n v="0"/>
    <n v="242.76"/>
    <n v="126"/>
    <n v="116.75999999999999"/>
    <x v="1765"/>
    <x v="0"/>
    <x v="6"/>
    <s v="online"/>
  </r>
  <r>
    <s v="V01490"/>
    <d v="2024-09-18T00:00:00"/>
    <x v="1"/>
    <n v="9"/>
    <s v="septiembre"/>
    <s v="T3"/>
    <s v="P019"/>
    <x v="14"/>
    <x v="2"/>
    <x v="4"/>
    <n v="1"/>
    <n v="62.15"/>
    <n v="31.76"/>
    <n v="0"/>
    <n v="62.15"/>
    <n v="31.76"/>
    <n v="30.389999999999997"/>
    <x v="1766"/>
    <x v="0"/>
    <x v="6"/>
    <s v="online"/>
  </r>
  <r>
    <s v="V00053"/>
    <d v="2025-02-10T00:00:00"/>
    <x v="0"/>
    <n v="2"/>
    <s v="febrero"/>
    <s v="T1"/>
    <s v="P013"/>
    <x v="8"/>
    <x v="2"/>
    <x v="2"/>
    <n v="3"/>
    <n v="73.650000000000006"/>
    <n v="48.56"/>
    <n v="0"/>
    <n v="220.95000000000002"/>
    <n v="145.68"/>
    <n v="75.27000000000001"/>
    <x v="1767"/>
    <x v="1"/>
    <x v="6"/>
    <s v="online"/>
  </r>
  <r>
    <s v="V00530"/>
    <d v="2025-09-06T00:00:00"/>
    <x v="0"/>
    <n v="9"/>
    <s v="septiembre"/>
    <s v="T3"/>
    <s v="P020"/>
    <x v="19"/>
    <x v="2"/>
    <x v="4"/>
    <n v="1"/>
    <n v="63.41"/>
    <n v="32.79"/>
    <n v="0.06"/>
    <n v="59.605399999999996"/>
    <n v="32.79"/>
    <n v="26.815399999999997"/>
    <x v="1768"/>
    <x v="0"/>
    <x v="3"/>
    <s v="tienda_fisica"/>
  </r>
  <r>
    <s v="V00486"/>
    <d v="2025-09-30T00:00:00"/>
    <x v="0"/>
    <n v="9"/>
    <s v="septiembre"/>
    <s v="T3"/>
    <s v="P017"/>
    <x v="17"/>
    <x v="0"/>
    <x v="4"/>
    <n v="2"/>
    <n v="45.94"/>
    <n v="23.67"/>
    <n v="0.17"/>
    <n v="76.26039999999999"/>
    <n v="47.34"/>
    <n v="28.920399999999987"/>
    <x v="1769"/>
    <x v="0"/>
    <x v="4"/>
    <s v="online"/>
  </r>
  <r>
    <s v="V02251"/>
    <d v="2025-02-21T00:00:00"/>
    <x v="0"/>
    <n v="2"/>
    <s v="febrero"/>
    <s v="T1"/>
    <s v="P007"/>
    <x v="15"/>
    <x v="1"/>
    <x v="0"/>
    <n v="1"/>
    <n v="18.29"/>
    <n v="12.97"/>
    <n v="0"/>
    <n v="18.29"/>
    <n v="12.97"/>
    <n v="5.3199999999999985"/>
    <x v="1770"/>
    <x v="1"/>
    <x v="4"/>
    <s v="tienda_fisica"/>
  </r>
  <r>
    <s v="V00819"/>
    <d v="2025-08-06T00:00:00"/>
    <x v="0"/>
    <n v="8"/>
    <s v="agosto"/>
    <s v="T3"/>
    <s v="P011"/>
    <x v="10"/>
    <x v="1"/>
    <x v="1"/>
    <n v="1"/>
    <n v="22.11"/>
    <n v="11.03"/>
    <n v="0"/>
    <n v="22.11"/>
    <n v="11.03"/>
    <n v="11.08"/>
    <x v="1771"/>
    <x v="0"/>
    <x v="6"/>
    <s v="tienda_fisica"/>
  </r>
  <r>
    <s v="V02074"/>
    <d v="2025-09-28T00:00:00"/>
    <x v="0"/>
    <n v="9"/>
    <s v="septiembre"/>
    <s v="T3"/>
    <s v="P018"/>
    <x v="5"/>
    <x v="0"/>
    <x v="4"/>
    <n v="2"/>
    <n v="31.84"/>
    <n v="16.82"/>
    <n v="0"/>
    <n v="63.68"/>
    <n v="33.64"/>
    <n v="30.04"/>
    <x v="1772"/>
    <x v="0"/>
    <x v="3"/>
    <s v="online"/>
  </r>
  <r>
    <s v="V00156"/>
    <d v="2024-03-22T00:00:00"/>
    <x v="1"/>
    <n v="3"/>
    <s v="marzo"/>
    <s v="T1"/>
    <s v="P004"/>
    <x v="6"/>
    <x v="2"/>
    <x v="3"/>
    <n v="2"/>
    <n v="153.18"/>
    <n v="109.41"/>
    <n v="0"/>
    <n v="306.36"/>
    <n v="218.82"/>
    <n v="87.54000000000002"/>
    <x v="1773"/>
    <x v="1"/>
    <x v="3"/>
    <s v="online"/>
  </r>
  <r>
    <s v="V01367"/>
    <d v="2025-11-13T00:00:00"/>
    <x v="0"/>
    <n v="11"/>
    <s v="noviembre"/>
    <s v="T4"/>
    <s v="P003"/>
    <x v="7"/>
    <x v="2"/>
    <x v="3"/>
    <n v="1"/>
    <n v="170.41"/>
    <n v="91.15"/>
    <n v="0.19"/>
    <n v="138.03210000000001"/>
    <n v="91.15"/>
    <n v="46.882100000000008"/>
    <x v="1774"/>
    <x v="1"/>
    <x v="5"/>
    <s v="tienda_fisica"/>
  </r>
  <r>
    <s v="V00601"/>
    <d v="2024-10-17T00:00:00"/>
    <x v="1"/>
    <n v="10"/>
    <s v="octubre"/>
    <s v="T4"/>
    <s v="P019"/>
    <x v="14"/>
    <x v="0"/>
    <x v="4"/>
    <n v="6"/>
    <n v="56.63"/>
    <n v="33.14"/>
    <n v="0"/>
    <n v="339.78000000000003"/>
    <n v="198.84"/>
    <n v="140.94000000000003"/>
    <x v="1775"/>
    <x v="0"/>
    <x v="0"/>
    <s v="tienda_fisica"/>
  </r>
  <r>
    <s v="V02205"/>
    <d v="2024-04-05T00:00:00"/>
    <x v="1"/>
    <n v="4"/>
    <s v="abril"/>
    <s v="T2"/>
    <s v="P015"/>
    <x v="2"/>
    <x v="2"/>
    <x v="2"/>
    <n v="1"/>
    <n v="83.17"/>
    <n v="41.26"/>
    <n v="0"/>
    <n v="83.17"/>
    <n v="41.26"/>
    <n v="41.910000000000004"/>
    <x v="1776"/>
    <x v="0"/>
    <x v="3"/>
    <s v="tienda_fisica"/>
  </r>
  <r>
    <s v="V00249"/>
    <d v="2025-06-15T00:00:00"/>
    <x v="0"/>
    <n v="6"/>
    <s v="junio"/>
    <s v="T2"/>
    <s v="P017"/>
    <x v="17"/>
    <x v="0"/>
    <x v="4"/>
    <n v="1"/>
    <n v="49.04"/>
    <n v="23.1"/>
    <n v="0"/>
    <n v="49.04"/>
    <n v="23.1"/>
    <n v="25.939999999999998"/>
    <x v="1777"/>
    <x v="0"/>
    <x v="4"/>
    <s v="tienda_fisica"/>
  </r>
  <r>
    <s v="V00762"/>
    <d v="2025-08-08T00:00:00"/>
    <x v="0"/>
    <n v="8"/>
    <s v="agosto"/>
    <s v="T3"/>
    <s v="P001"/>
    <x v="9"/>
    <x v="2"/>
    <x v="3"/>
    <n v="2"/>
    <n v="125"/>
    <n v="80.81"/>
    <n v="0"/>
    <n v="250"/>
    <n v="161.62"/>
    <n v="88.38"/>
    <x v="1778"/>
    <x v="1"/>
    <x v="4"/>
    <s v="tienda_fisica"/>
  </r>
  <r>
    <s v="V01466"/>
    <d v="2024-12-16T00:00:00"/>
    <x v="1"/>
    <n v="12"/>
    <s v="diciembre"/>
    <s v="T4"/>
    <s v="P017"/>
    <x v="17"/>
    <x v="0"/>
    <x v="4"/>
    <n v="4"/>
    <n v="50.17"/>
    <n v="22.4"/>
    <n v="0"/>
    <n v="200.68"/>
    <n v="89.6"/>
    <n v="111.08000000000001"/>
    <x v="1779"/>
    <x v="0"/>
    <x v="3"/>
    <s v="tienda_fisica"/>
  </r>
  <r>
    <s v="V00589"/>
    <d v="2025-06-11T00:00:00"/>
    <x v="0"/>
    <n v="6"/>
    <s v="junio"/>
    <s v="T2"/>
    <s v="P001"/>
    <x v="9"/>
    <x v="2"/>
    <x v="3"/>
    <n v="3"/>
    <n v="126.64"/>
    <n v="86.94"/>
    <n v="0"/>
    <n v="379.92"/>
    <n v="260.82"/>
    <n v="119.10000000000002"/>
    <x v="1780"/>
    <x v="1"/>
    <x v="4"/>
    <s v="tienda_fisica"/>
  </r>
  <r>
    <s v="V01131"/>
    <d v="2024-10-01T00:00:00"/>
    <x v="1"/>
    <n v="10"/>
    <s v="octubre"/>
    <s v="T4"/>
    <s v="P002"/>
    <x v="3"/>
    <x v="2"/>
    <x v="3"/>
    <n v="4"/>
    <n v="73.180000000000007"/>
    <n v="45.91"/>
    <n v="0"/>
    <n v="292.72000000000003"/>
    <n v="183.64"/>
    <n v="109.08000000000004"/>
    <x v="1781"/>
    <x v="1"/>
    <x v="0"/>
    <s v="online"/>
  </r>
  <r>
    <s v="V00543"/>
    <d v="2025-12-23T00:00:00"/>
    <x v="0"/>
    <n v="12"/>
    <s v="diciembre"/>
    <s v="T4"/>
    <s v="P010"/>
    <x v="1"/>
    <x v="1"/>
    <x v="1"/>
    <n v="1"/>
    <n v="17.329999999999998"/>
    <n v="11.29"/>
    <n v="0"/>
    <n v="17.329999999999998"/>
    <n v="11.29"/>
    <n v="6.0399999999999991"/>
    <x v="1782"/>
    <x v="1"/>
    <x v="5"/>
    <s v="tienda_fisica"/>
  </r>
  <r>
    <s v="V00794"/>
    <d v="2025-10-29T00:00:00"/>
    <x v="0"/>
    <n v="10"/>
    <s v="octubre"/>
    <s v="T4"/>
    <s v="P017"/>
    <x v="17"/>
    <x v="0"/>
    <x v="4"/>
    <n v="10"/>
    <n v="46.55"/>
    <n v="22.26"/>
    <n v="0"/>
    <n v="465.5"/>
    <n v="222.60000000000002"/>
    <n v="242.89999999999998"/>
    <x v="1783"/>
    <x v="0"/>
    <x v="2"/>
    <s v="online "/>
  </r>
  <r>
    <s v="V01726"/>
    <d v="2024-07-05T00:00:00"/>
    <x v="1"/>
    <n v="7"/>
    <s v="julio"/>
    <s v="T3"/>
    <s v="P014"/>
    <x v="16"/>
    <x v="1"/>
    <x v="2"/>
    <n v="4"/>
    <n v="14.55"/>
    <n v="9.67"/>
    <n v="0"/>
    <n v="58.2"/>
    <n v="38.68"/>
    <n v="19.520000000000003"/>
    <x v="1784"/>
    <x v="1"/>
    <x v="3"/>
    <s v="tienda_fisica"/>
  </r>
  <r>
    <s v="V01142"/>
    <d v="2024-05-27T00:00:00"/>
    <x v="1"/>
    <n v="5"/>
    <s v="mayo"/>
    <s v="T2"/>
    <s v="P011"/>
    <x v="10"/>
    <x v="1"/>
    <x v="1"/>
    <n v="1"/>
    <n v="22.77"/>
    <n v="11.39"/>
    <n v="0"/>
    <n v="22.77"/>
    <n v="11.39"/>
    <n v="11.379999999999999"/>
    <x v="1785"/>
    <x v="0"/>
    <x v="2"/>
    <s v="tienda_fisica"/>
  </r>
  <r>
    <s v="V01865"/>
    <d v="2025-10-02T00:00:00"/>
    <x v="0"/>
    <n v="10"/>
    <s v="octubre"/>
    <s v="T4"/>
    <s v="P005"/>
    <x v="18"/>
    <x v="0"/>
    <x v="0"/>
    <n v="1"/>
    <n v="55.46"/>
    <n v="39.479999999999997"/>
    <n v="0"/>
    <n v="55.46"/>
    <n v="39.479999999999997"/>
    <n v="15.980000000000004"/>
    <x v="1786"/>
    <x v="1"/>
    <x v="6"/>
    <s v="tienda_fisica"/>
  </r>
  <r>
    <s v="V00629"/>
    <d v="2025-06-30T00:00:00"/>
    <x v="0"/>
    <n v="6"/>
    <s v="junio"/>
    <s v="T2"/>
    <s v="P006"/>
    <x v="0"/>
    <x v="0"/>
    <x v="0"/>
    <n v="2"/>
    <n v="44.07"/>
    <n v="26.52"/>
    <n v="0"/>
    <n v="88.14"/>
    <n v="53.04"/>
    <n v="35.1"/>
    <x v="1787"/>
    <x v="0"/>
    <x v="3"/>
    <s v="tienda_fisica"/>
  </r>
  <r>
    <s v="V00151"/>
    <d v="2024-05-16T00:00:00"/>
    <x v="1"/>
    <n v="5"/>
    <s v="mayo"/>
    <s v="T2"/>
    <s v="P011"/>
    <x v="10"/>
    <x v="1"/>
    <x v="1"/>
    <n v="6"/>
    <n v="22.18"/>
    <n v="11.55"/>
    <n v="0"/>
    <n v="133.07999999999998"/>
    <n v="69.300000000000011"/>
    <n v="63.779999999999973"/>
    <x v="1788"/>
    <x v="0"/>
    <x v="1"/>
    <s v="tienda_fisica"/>
  </r>
  <r>
    <s v="V02077"/>
    <d v="2024-12-13T00:00:00"/>
    <x v="1"/>
    <n v="12"/>
    <s v="diciembre"/>
    <s v="T4"/>
    <s v="P001"/>
    <x v="9"/>
    <x v="2"/>
    <x v="3"/>
    <n v="1"/>
    <n v="128.01"/>
    <n v="88.24"/>
    <n v="0.17"/>
    <n v="106.24829999999999"/>
    <n v="88.24"/>
    <n v="18.008299999999991"/>
    <x v="1789"/>
    <x v="1"/>
    <x v="0"/>
    <s v="tienda_fisica"/>
  </r>
  <r>
    <s v="V00292"/>
    <d v="2024-11-14T00:00:00"/>
    <x v="1"/>
    <n v="11"/>
    <s v="noviembre"/>
    <s v="T4"/>
    <s v="P010"/>
    <x v="1"/>
    <x v="1"/>
    <x v="1"/>
    <n v="3"/>
    <n v="16.66"/>
    <n v="11.4"/>
    <n v="0"/>
    <n v="49.980000000000004"/>
    <n v="34.200000000000003"/>
    <n v="15.780000000000001"/>
    <x v="1790"/>
    <x v="1"/>
    <x v="3"/>
    <s v="tienda_fisica"/>
  </r>
  <r>
    <s v="V01564"/>
    <d v="2024-07-21T00:00:00"/>
    <x v="1"/>
    <n v="7"/>
    <s v="julio"/>
    <s v="T3"/>
    <s v="P007"/>
    <x v="15"/>
    <x v="1"/>
    <x v="0"/>
    <n v="4"/>
    <n v="18.690000000000001"/>
    <n v="12.41"/>
    <n v="0"/>
    <n v="74.760000000000005"/>
    <n v="49.64"/>
    <n v="25.120000000000005"/>
    <x v="1791"/>
    <x v="1"/>
    <x v="3"/>
    <s v="tienda_fisica"/>
  </r>
  <r>
    <s v="V00382"/>
    <d v="2024-04-16T00:00:00"/>
    <x v="1"/>
    <n v="4"/>
    <s v="abril"/>
    <s v="T2"/>
    <s v="P005"/>
    <x v="18"/>
    <x v="2"/>
    <x v="0"/>
    <n v="2"/>
    <n v="63.64"/>
    <n v="42.25"/>
    <n v="0"/>
    <n v="127.28"/>
    <n v="84.5"/>
    <n v="42.78"/>
    <x v="1792"/>
    <x v="1"/>
    <x v="0"/>
    <s v="tienda_fisica"/>
  </r>
  <r>
    <s v="V00687"/>
    <d v="2025-05-17T00:00:00"/>
    <x v="0"/>
    <n v="5"/>
    <s v="mayo"/>
    <s v="T2"/>
    <s v="P002"/>
    <x v="3"/>
    <x v="2"/>
    <x v="3"/>
    <n v="1"/>
    <n v="73.5"/>
    <n v="46.03"/>
    <n v="0"/>
    <n v="73.5"/>
    <n v="46.03"/>
    <n v="27.47"/>
    <x v="1793"/>
    <x v="1"/>
    <x v="0"/>
    <s v="tienda_fisica"/>
  </r>
  <r>
    <s v="V01368"/>
    <d v="2024-03-30T00:00:00"/>
    <x v="1"/>
    <n v="3"/>
    <s v="marzo"/>
    <s v="T1"/>
    <s v="P008"/>
    <x v="4"/>
    <x v="2"/>
    <x v="0"/>
    <n v="1"/>
    <n v="108.7"/>
    <n v="58.15"/>
    <n v="0.21"/>
    <n v="85.873000000000005"/>
    <n v="58.15"/>
    <n v="27.723000000000006"/>
    <x v="1794"/>
    <x v="1"/>
    <x v="5"/>
    <s v="online"/>
  </r>
  <r>
    <s v="V01225"/>
    <d v="2025-06-04T00:00:00"/>
    <x v="0"/>
    <n v="6"/>
    <s v="junio"/>
    <s v="T2"/>
    <s v="P012"/>
    <x v="13"/>
    <x v="1"/>
    <x v="1"/>
    <n v="2"/>
    <n v="8.2799999999999994"/>
    <n v="5.68"/>
    <n v="0.26"/>
    <n v="12.254399999999999"/>
    <n v="11.36"/>
    <n v="0.8943999999999992"/>
    <x v="1795"/>
    <x v="1"/>
    <x v="2"/>
    <s v="tienda_fisica"/>
  </r>
  <r>
    <s v="V01621"/>
    <d v="2025-10-19T00:00:00"/>
    <x v="0"/>
    <n v="10"/>
    <s v="octubre"/>
    <s v="T4"/>
    <s v="P001"/>
    <x v="9"/>
    <x v="2"/>
    <x v="3"/>
    <n v="2"/>
    <n v="126.58"/>
    <n v="84.48"/>
    <n v="0"/>
    <n v="253.16"/>
    <n v="168.96"/>
    <n v="84.199999999999989"/>
    <x v="1796"/>
    <x v="1"/>
    <x v="0"/>
    <s v="tienda_fisica"/>
  </r>
  <r>
    <s v="V00898"/>
    <d v="2024-01-27T00:00:00"/>
    <x v="1"/>
    <n v="1"/>
    <s v="enero"/>
    <s v="T1"/>
    <s v="P013"/>
    <x v="8"/>
    <x v="2"/>
    <x v="2"/>
    <n v="1"/>
    <n v="79.069999999999993"/>
    <n v="47.18"/>
    <n v="0"/>
    <n v="79.069999999999993"/>
    <n v="47.18"/>
    <n v="31.889999999999993"/>
    <x v="1797"/>
    <x v="0"/>
    <x v="6"/>
    <s v="online"/>
  </r>
  <r>
    <s v="V02142"/>
    <d v="2024-07-21T00:00:00"/>
    <x v="1"/>
    <n v="7"/>
    <s v="julio"/>
    <s v="T3"/>
    <s v="P007"/>
    <x v="15"/>
    <x v="1"/>
    <x v="0"/>
    <n v="6"/>
    <n v="18.760000000000002"/>
    <n v="13.35"/>
    <n v="0"/>
    <n v="112.56"/>
    <n v="80.099999999999994"/>
    <n v="32.460000000000008"/>
    <x v="1798"/>
    <x v="1"/>
    <x v="3"/>
    <s v="tienda_fisica"/>
  </r>
  <r>
    <s v="V00855"/>
    <d v="2024-01-13T00:00:00"/>
    <x v="1"/>
    <n v="1"/>
    <s v="enero"/>
    <s v="T1"/>
    <s v="P006"/>
    <x v="0"/>
    <x v="0"/>
    <x v="0"/>
    <n v="5"/>
    <n v="48.26"/>
    <n v="27.89"/>
    <n v="0.28000000000000003"/>
    <n v="173.73599999999999"/>
    <n v="139.44999999999999"/>
    <n v="34.286000000000001"/>
    <x v="1799"/>
    <x v="1"/>
    <x v="3"/>
    <s v="online"/>
  </r>
  <r>
    <s v="V01072"/>
    <d v="2024-08-17T00:00:00"/>
    <x v="1"/>
    <n v="8"/>
    <s v="agosto"/>
    <s v="T3"/>
    <s v="P001"/>
    <x v="9"/>
    <x v="2"/>
    <x v="3"/>
    <n v="2"/>
    <n v="115.5"/>
    <n v="82.52"/>
    <n v="0"/>
    <n v="231"/>
    <n v="165.04"/>
    <n v="65.960000000000008"/>
    <x v="1800"/>
    <x v="1"/>
    <x v="2"/>
    <s v="online"/>
  </r>
  <r>
    <s v="V00555"/>
    <d v="2024-03-07T00:00:00"/>
    <x v="1"/>
    <n v="3"/>
    <s v="marzo"/>
    <s v="T1"/>
    <s v="P001"/>
    <x v="9"/>
    <x v="2"/>
    <x v="3"/>
    <n v="2"/>
    <n v="127.43"/>
    <n v="85.19"/>
    <n v="0.08"/>
    <n v="234.47120000000001"/>
    <n v="170.38"/>
    <n v="64.091200000000015"/>
    <x v="1801"/>
    <x v="1"/>
    <x v="0"/>
    <s v="online"/>
  </r>
  <r>
    <s v="V02169"/>
    <d v="2024-08-01T00:00:00"/>
    <x v="1"/>
    <n v="8"/>
    <s v="agosto"/>
    <s v="T3"/>
    <s v="P007"/>
    <x v="15"/>
    <x v="1"/>
    <x v="0"/>
    <n v="1"/>
    <n v="19.46"/>
    <n v="12.54"/>
    <n v="0"/>
    <n v="19.46"/>
    <n v="12.54"/>
    <n v="6.9200000000000017"/>
    <x v="1802"/>
    <x v="1"/>
    <x v="3"/>
    <s v="tienda_fisica"/>
  </r>
  <r>
    <s v="V00603"/>
    <d v="2024-12-22T00:00:00"/>
    <x v="1"/>
    <n v="12"/>
    <s v="diciembre"/>
    <s v="T4"/>
    <s v="P010"/>
    <x v="1"/>
    <x v="1"/>
    <x v="1"/>
    <n v="1"/>
    <n v="17.59"/>
    <n v="11.58"/>
    <n v="0"/>
    <n v="17.59"/>
    <n v="11.58"/>
    <n v="6.01"/>
    <x v="214"/>
    <x v="1"/>
    <x v="0"/>
    <s v="tienda_fisica"/>
  </r>
  <r>
    <s v="V01794"/>
    <d v="2024-11-09T00:00:00"/>
    <x v="1"/>
    <n v="11"/>
    <s v="noviembre"/>
    <s v="T4"/>
    <s v="P002"/>
    <x v="3"/>
    <x v="2"/>
    <x v="3"/>
    <n v="3"/>
    <n v="73.56"/>
    <n v="46.16"/>
    <n v="0"/>
    <n v="220.68"/>
    <n v="138.47999999999999"/>
    <n v="82.200000000000017"/>
    <x v="1803"/>
    <x v="1"/>
    <x v="6"/>
    <s v="online"/>
  </r>
  <r>
    <s v="V00866"/>
    <d v="2025-11-25T00:00:00"/>
    <x v="0"/>
    <n v="11"/>
    <s v="noviembre"/>
    <s v="T4"/>
    <s v="P011"/>
    <x v="10"/>
    <x v="1"/>
    <x v="1"/>
    <n v="2"/>
    <n v="20.07"/>
    <n v="11.32"/>
    <n v="0"/>
    <n v="40.14"/>
    <n v="22.64"/>
    <n v="17.5"/>
    <x v="1804"/>
    <x v="0"/>
    <x v="0"/>
    <s v="tienda_fisica"/>
  </r>
  <r>
    <s v="V02109"/>
    <d v="2025-08-01T00:00:00"/>
    <x v="0"/>
    <n v="8"/>
    <s v="agosto"/>
    <s v="T3"/>
    <s v="P012"/>
    <x v="13"/>
    <x v="1"/>
    <x v="1"/>
    <n v="1"/>
    <n v="8.2799999999999994"/>
    <n v="5.77"/>
    <n v="0"/>
    <n v="8.2799999999999994"/>
    <n v="5.77"/>
    <n v="2.5099999999999998"/>
    <x v="1805"/>
    <x v="1"/>
    <x v="3"/>
    <s v="tienda_fisica"/>
  </r>
  <r>
    <s v="V01530"/>
    <d v="2025-10-26T00:00:00"/>
    <x v="0"/>
    <n v="10"/>
    <s v="octubre"/>
    <s v="T4"/>
    <s v="P012"/>
    <x v="13"/>
    <x v="1"/>
    <x v="1"/>
    <n v="1"/>
    <n v="8.69"/>
    <n v="5.56"/>
    <n v="0"/>
    <n v="8.69"/>
    <n v="5.56"/>
    <n v="3.13"/>
    <x v="1806"/>
    <x v="1"/>
    <x v="3"/>
    <s v="tienda_fisica"/>
  </r>
  <r>
    <s v="V00892"/>
    <d v="2024-03-27T00:00:00"/>
    <x v="1"/>
    <n v="3"/>
    <s v="marzo"/>
    <s v="T1"/>
    <s v="P002"/>
    <x v="3"/>
    <x v="2"/>
    <x v="3"/>
    <n v="2"/>
    <n v="72.89"/>
    <n v="49.33"/>
    <n v="0.13"/>
    <n v="126.82859999999999"/>
    <n v="98.66"/>
    <n v="28.168599999999998"/>
    <x v="1807"/>
    <x v="1"/>
    <x v="6"/>
    <s v="tienda_fisica"/>
  </r>
  <r>
    <s v="V02147"/>
    <d v="2025-05-17T00:00:00"/>
    <x v="0"/>
    <n v="5"/>
    <s v="mayo"/>
    <s v="T2"/>
    <s v="P005"/>
    <x v="18"/>
    <x v="0"/>
    <x v="0"/>
    <n v="6"/>
    <n v="56.06"/>
    <n v="41.06"/>
    <n v="0"/>
    <n v="336.36"/>
    <n v="246.36"/>
    <n v="90"/>
    <x v="1808"/>
    <x v="1"/>
    <x v="0"/>
    <s v="tienda_fisica"/>
  </r>
  <r>
    <s v="V01720"/>
    <d v="2025-03-11T00:00:00"/>
    <x v="0"/>
    <n v="3"/>
    <s v="marzo"/>
    <s v="T1"/>
    <s v="P010"/>
    <x v="1"/>
    <x v="1"/>
    <x v="1"/>
    <n v="1"/>
    <n v="15.39"/>
    <n v="11.79"/>
    <n v="0"/>
    <n v="15.39"/>
    <n v="11.79"/>
    <n v="3.6000000000000014"/>
    <x v="1809"/>
    <x v="1"/>
    <x v="5"/>
    <s v="tienda_fisica"/>
  </r>
  <r>
    <s v="V00536"/>
    <d v="2024-09-22T00:00:00"/>
    <x v="1"/>
    <n v="9"/>
    <s v="septiembre"/>
    <s v="T3"/>
    <s v="P011"/>
    <x v="10"/>
    <x v="1"/>
    <x v="1"/>
    <n v="2"/>
    <n v="21.73"/>
    <n v="11.42"/>
    <n v="0"/>
    <n v="43.46"/>
    <n v="22.84"/>
    <n v="20.62"/>
    <x v="1810"/>
    <x v="0"/>
    <x v="0"/>
    <s v="tienda_fisica"/>
  </r>
  <r>
    <s v="V01365"/>
    <d v="2025-01-24T00:00:00"/>
    <x v="0"/>
    <n v="1"/>
    <s v="enero"/>
    <s v="T1"/>
    <s v="P016"/>
    <x v="11"/>
    <x v="2"/>
    <x v="2"/>
    <n v="1"/>
    <n v="77.19"/>
    <n v="41.06"/>
    <n v="0"/>
    <n v="77.19"/>
    <n v="41.06"/>
    <n v="36.129999999999995"/>
    <x v="1811"/>
    <x v="0"/>
    <x v="0"/>
    <s v="tienda_fisica"/>
  </r>
  <r>
    <s v="V02053"/>
    <d v="2024-04-02T00:00:00"/>
    <x v="1"/>
    <n v="4"/>
    <s v="abril"/>
    <s v="T2"/>
    <s v="P014"/>
    <x v="16"/>
    <x v="1"/>
    <x v="2"/>
    <n v="2"/>
    <n v="14.43"/>
    <n v="9.93"/>
    <n v="0"/>
    <n v="28.86"/>
    <n v="19.86"/>
    <n v="9"/>
    <x v="1812"/>
    <x v="1"/>
    <x v="3"/>
    <s v="tienda_fisica"/>
  </r>
  <r>
    <s v="V00616"/>
    <d v="2025-04-19T00:00:00"/>
    <x v="0"/>
    <n v="4"/>
    <s v="abril"/>
    <s v="T2"/>
    <s v="P015"/>
    <x v="2"/>
    <x v="2"/>
    <x v="2"/>
    <n v="2"/>
    <n v="76.19"/>
    <n v="42.64"/>
    <n v="0"/>
    <n v="152.38"/>
    <n v="85.28"/>
    <n v="67.099999999999994"/>
    <x v="1813"/>
    <x v="0"/>
    <x v="2"/>
    <s v="tienda_fisica"/>
  </r>
  <r>
    <s v="V00155"/>
    <d v="2025-06-15T00:00:00"/>
    <x v="0"/>
    <n v="6"/>
    <s v="junio"/>
    <s v="T2"/>
    <s v="P012"/>
    <x v="13"/>
    <x v="1"/>
    <x v="1"/>
    <n v="2"/>
    <n v="9.43"/>
    <n v="5.59"/>
    <n v="0.1"/>
    <n v="16.974"/>
    <n v="11.18"/>
    <n v="5.7940000000000005"/>
    <x v="1814"/>
    <x v="1"/>
    <x v="3"/>
    <s v="online"/>
  </r>
  <r>
    <s v="V01194"/>
    <d v="2024-02-21T00:00:00"/>
    <x v="1"/>
    <n v="2"/>
    <s v="febrero"/>
    <s v="T1"/>
    <s v="P012"/>
    <x v="13"/>
    <x v="1"/>
    <x v="1"/>
    <n v="1"/>
    <n v="8.4499999999999993"/>
    <n v="5.95"/>
    <n v="0"/>
    <n v="8.4499999999999993"/>
    <n v="5.95"/>
    <n v="2.4999999999999991"/>
    <x v="1815"/>
    <x v="1"/>
    <x v="5"/>
    <s v="tienda_fisica"/>
  </r>
  <r>
    <s v="V01914"/>
    <d v="2024-08-29T00:00:00"/>
    <x v="1"/>
    <n v="8"/>
    <s v="agosto"/>
    <s v="T3"/>
    <s v="P004"/>
    <x v="6"/>
    <x v="2"/>
    <x v="3"/>
    <n v="1"/>
    <n v="156.76"/>
    <n v="105.87"/>
    <n v="0"/>
    <n v="156.76"/>
    <n v="105.87"/>
    <n v="50.889999999999986"/>
    <x v="1816"/>
    <x v="1"/>
    <x v="3"/>
    <s v="tienda_fisica"/>
  </r>
  <r>
    <s v="V02123"/>
    <d v="2024-05-06T00:00:00"/>
    <x v="1"/>
    <n v="5"/>
    <s v="mayo"/>
    <s v="T2"/>
    <s v="P003"/>
    <x v="7"/>
    <x v="2"/>
    <x v="3"/>
    <n v="3"/>
    <n v="179.15"/>
    <n v="94.48"/>
    <n v="0"/>
    <n v="537.45000000000005"/>
    <n v="283.44"/>
    <n v="254.01000000000005"/>
    <x v="1817"/>
    <x v="0"/>
    <x v="3"/>
    <s v="tienda_fisica"/>
  </r>
  <r>
    <s v="V02298"/>
    <d v="2024-09-29T00:00:00"/>
    <x v="1"/>
    <n v="9"/>
    <s v="septiembre"/>
    <s v="T3"/>
    <s v="P014"/>
    <x v="16"/>
    <x v="1"/>
    <x v="2"/>
    <n v="1"/>
    <n v="14.78"/>
    <n v="9.33"/>
    <n v="0.14000000000000001"/>
    <n v="12.710799999999999"/>
    <n v="9.33"/>
    <n v="3.3807999999999989"/>
    <x v="1818"/>
    <x v="1"/>
    <x v="5"/>
    <s v="tienda_fisica"/>
  </r>
  <r>
    <s v="V02158"/>
    <d v="2025-05-01T00:00:00"/>
    <x v="0"/>
    <n v="5"/>
    <s v="mayo"/>
    <s v="T2"/>
    <s v="P017"/>
    <x v="17"/>
    <x v="0"/>
    <x v="4"/>
    <n v="1"/>
    <n v="49.51"/>
    <n v="22.45"/>
    <n v="0"/>
    <n v="49.51"/>
    <n v="22.45"/>
    <n v="27.06"/>
    <x v="1819"/>
    <x v="0"/>
    <x v="4"/>
    <s v="online"/>
  </r>
  <r>
    <s v="V00323"/>
    <d v="2024-02-24T00:00:00"/>
    <x v="1"/>
    <n v="2"/>
    <s v="febrero"/>
    <s v="T1"/>
    <s v="P006"/>
    <x v="0"/>
    <x v="0"/>
    <x v="0"/>
    <n v="1"/>
    <n v="48.38"/>
    <n v="27.24"/>
    <n v="0"/>
    <n v="48.38"/>
    <n v="27.24"/>
    <n v="21.140000000000004"/>
    <x v="1820"/>
    <x v="0"/>
    <x v="3"/>
    <s v="online"/>
  </r>
  <r>
    <s v="V01989"/>
    <d v="2024-07-02T00:00:00"/>
    <x v="1"/>
    <n v="7"/>
    <s v="julio"/>
    <s v="T3"/>
    <s v="P011"/>
    <x v="10"/>
    <x v="1"/>
    <x v="1"/>
    <n v="1"/>
    <n v="22.16"/>
    <n v="11.88"/>
    <n v="0"/>
    <n v="22.16"/>
    <n v="11.88"/>
    <n v="10.28"/>
    <x v="1821"/>
    <x v="0"/>
    <x v="3"/>
    <s v="tienda_fisica"/>
  </r>
  <r>
    <s v="V01988"/>
    <d v="2025-12-24T00:00:00"/>
    <x v="0"/>
    <n v="12"/>
    <s v="diciembre"/>
    <s v="T4"/>
    <s v="P006"/>
    <x v="0"/>
    <x v="0"/>
    <x v="0"/>
    <n v="3"/>
    <n v="45.94"/>
    <n v="27.62"/>
    <n v="0.21"/>
    <n v="108.87779999999999"/>
    <n v="82.86"/>
    <n v="26.017799999999994"/>
    <x v="1822"/>
    <x v="1"/>
    <x v="3"/>
    <s v="online"/>
  </r>
  <r>
    <s v="V01283"/>
    <d v="2024-05-27T00:00:00"/>
    <x v="1"/>
    <n v="5"/>
    <s v="mayo"/>
    <s v="T2"/>
    <s v="P005"/>
    <x v="18"/>
    <x v="2"/>
    <x v="0"/>
    <n v="1"/>
    <n v="60.54"/>
    <n v="40.130000000000003"/>
    <n v="0"/>
    <n v="60.54"/>
    <n v="40.130000000000003"/>
    <n v="20.409999999999997"/>
    <x v="1823"/>
    <x v="1"/>
    <x v="0"/>
    <s v="online"/>
  </r>
  <r>
    <s v="V01799"/>
    <d v="2024-07-08T00:00:00"/>
    <x v="1"/>
    <n v="7"/>
    <s v="julio"/>
    <s v="T3"/>
    <s v="P001"/>
    <x v="9"/>
    <x v="2"/>
    <x v="3"/>
    <n v="1"/>
    <n v="119.96"/>
    <n v="83.75"/>
    <n v="0.28000000000000003"/>
    <n v="86.371199999999988"/>
    <n v="83.75"/>
    <n v="2.6211999999999875"/>
    <x v="1824"/>
    <x v="1"/>
    <x v="3"/>
    <s v="tienda_fisica"/>
  </r>
  <r>
    <s v="V00083"/>
    <d v="2025-08-08T00:00:00"/>
    <x v="0"/>
    <n v="8"/>
    <s v="agosto"/>
    <s v="T3"/>
    <s v="P008"/>
    <x v="4"/>
    <x v="2"/>
    <x v="0"/>
    <n v="2"/>
    <n v="102.18"/>
    <n v="59.85"/>
    <n v="0"/>
    <n v="204.36"/>
    <n v="119.7"/>
    <n v="84.660000000000011"/>
    <x v="1825"/>
    <x v="0"/>
    <x v="0"/>
    <s v="tienda_fisica"/>
  </r>
  <r>
    <s v="V00513"/>
    <d v="2024-05-21T00:00:00"/>
    <x v="1"/>
    <n v="5"/>
    <s v="mayo"/>
    <s v="T2"/>
    <s v="P007"/>
    <x v="15"/>
    <x v="1"/>
    <x v="0"/>
    <n v="3"/>
    <n v="21.42"/>
    <n v="27.85"/>
    <n v="0.28000000000000003"/>
    <n v="46.267200000000003"/>
    <n v="83.550000000000011"/>
    <n v="-37.282800000000009"/>
    <x v="1826"/>
    <x v="1"/>
    <x v="3"/>
    <s v="tienda_fisica"/>
  </r>
  <r>
    <s v="V01489"/>
    <d v="2025-02-07T00:00:00"/>
    <x v="0"/>
    <n v="2"/>
    <s v="febrero"/>
    <s v="T1"/>
    <s v="P009"/>
    <x v="12"/>
    <x v="1"/>
    <x v="1"/>
    <n v="2"/>
    <n v="8.23"/>
    <n v="4.32"/>
    <n v="0"/>
    <n v="16.46"/>
    <n v="8.64"/>
    <n v="7.82"/>
    <x v="1827"/>
    <x v="0"/>
    <x v="3"/>
    <s v="online"/>
  </r>
  <r>
    <s v="V01960"/>
    <d v="2024-12-13T00:00:00"/>
    <x v="1"/>
    <n v="12"/>
    <s v="diciembre"/>
    <s v="T4"/>
    <s v="P005"/>
    <x v="18"/>
    <x v="0"/>
    <x v="0"/>
    <n v="1"/>
    <n v="55.28"/>
    <n v="43.05"/>
    <n v="0"/>
    <n v="55.28"/>
    <n v="43.05"/>
    <n v="12.230000000000004"/>
    <x v="1828"/>
    <x v="1"/>
    <x v="0"/>
    <s v="tienda_fisica"/>
  </r>
  <r>
    <s v="V01905"/>
    <d v="2024-12-28T00:00:00"/>
    <x v="1"/>
    <n v="12"/>
    <s v="diciembre"/>
    <s v="T4"/>
    <s v="P008"/>
    <x v="4"/>
    <x v="2"/>
    <x v="0"/>
    <n v="2"/>
    <n v="110.37"/>
    <n v="57.29"/>
    <n v="0.06"/>
    <n v="207.4956"/>
    <n v="114.58"/>
    <n v="92.915599999999998"/>
    <x v="1829"/>
    <x v="0"/>
    <x v="3"/>
    <s v="online"/>
  </r>
  <r>
    <s v="V01575"/>
    <d v="2024-12-11T00:00:00"/>
    <x v="1"/>
    <n v="12"/>
    <s v="diciembre"/>
    <s v="T4"/>
    <s v="P009"/>
    <x v="12"/>
    <x v="1"/>
    <x v="1"/>
    <n v="6"/>
    <n v="8.09"/>
    <n v="4.4800000000000004"/>
    <n v="0"/>
    <n v="48.54"/>
    <n v="26.880000000000003"/>
    <n v="21.659999999999997"/>
    <x v="1830"/>
    <x v="0"/>
    <x v="3"/>
    <s v="tienda_fisica"/>
  </r>
  <r>
    <s v="V00930"/>
    <d v="2024-12-21T00:00:00"/>
    <x v="1"/>
    <n v="12"/>
    <s v="diciembre"/>
    <s v="T4"/>
    <s v="P018"/>
    <x v="5"/>
    <x v="1"/>
    <x v="4"/>
    <n v="5"/>
    <n v="28.77"/>
    <n v="17.170000000000002"/>
    <n v="0"/>
    <n v="143.85"/>
    <n v="85.850000000000009"/>
    <n v="57.999999999999986"/>
    <x v="1831"/>
    <x v="0"/>
    <x v="1"/>
    <s v="tienda_fisica"/>
  </r>
  <r>
    <s v="V00676"/>
    <d v="2024-11-03T00:00:00"/>
    <x v="1"/>
    <n v="11"/>
    <s v="noviembre"/>
    <s v="T4"/>
    <s v="P017"/>
    <x v="17"/>
    <x v="0"/>
    <x v="4"/>
    <n v="1"/>
    <n v="50.32"/>
    <n v="22.58"/>
    <n v="0"/>
    <n v="50.32"/>
    <n v="22.58"/>
    <n v="27.740000000000002"/>
    <x v="1832"/>
    <x v="0"/>
    <x v="0"/>
    <s v="tienda_fisica"/>
  </r>
  <r>
    <s v="V01358"/>
    <d v="2025-11-10T00:00:00"/>
    <x v="0"/>
    <n v="11"/>
    <s v="noviembre"/>
    <s v="T4"/>
    <s v="P004"/>
    <x v="6"/>
    <x v="2"/>
    <x v="3"/>
    <n v="3"/>
    <n v="164.04"/>
    <n v="115.4"/>
    <n v="0"/>
    <n v="492.12"/>
    <n v="346.20000000000005"/>
    <n v="145.91999999999996"/>
    <x v="1833"/>
    <x v="1"/>
    <x v="6"/>
    <s v="tienda_fisica"/>
  </r>
  <r>
    <s v="V00011"/>
    <d v="2024-06-18T00:00:00"/>
    <x v="1"/>
    <n v="6"/>
    <s v="junio"/>
    <s v="T2"/>
    <s v="P018"/>
    <x v="5"/>
    <x v="0"/>
    <x v="4"/>
    <n v="2"/>
    <n v="31.1"/>
    <n v="17.309999999999999"/>
    <n v="0.13"/>
    <n v="54.114000000000004"/>
    <n v="34.619999999999997"/>
    <n v="19.494000000000007"/>
    <x v="1834"/>
    <x v="1"/>
    <x v="3"/>
    <s v="tienda_fisica"/>
  </r>
  <r>
    <s v="V02208"/>
    <d v="2024-07-21T00:00:00"/>
    <x v="1"/>
    <n v="7"/>
    <s v="julio"/>
    <s v="T3"/>
    <s v="P007"/>
    <x v="15"/>
    <x v="1"/>
    <x v="0"/>
    <n v="4"/>
    <n v="19.079999999999998"/>
    <n v="13.17"/>
    <n v="0"/>
    <n v="76.319999999999993"/>
    <n v="52.68"/>
    <n v="23.639999999999993"/>
    <x v="1835"/>
    <x v="1"/>
    <x v="2"/>
    <s v="online"/>
  </r>
  <r>
    <s v="V01495"/>
    <d v="2024-04-10T00:00:00"/>
    <x v="1"/>
    <n v="4"/>
    <s v="abril"/>
    <s v="T2"/>
    <s v="P005"/>
    <x v="18"/>
    <x v="2"/>
    <x v="0"/>
    <n v="2"/>
    <n v="60.31"/>
    <n v="40.340000000000003"/>
    <n v="0"/>
    <n v="120.62"/>
    <n v="80.680000000000007"/>
    <n v="39.94"/>
    <x v="1836"/>
    <x v="1"/>
    <x v="4"/>
    <s v="tienda_fisica"/>
  </r>
  <r>
    <s v="V00832"/>
    <d v="2024-08-09T00:00:00"/>
    <x v="1"/>
    <n v="8"/>
    <s v="agosto"/>
    <s v="T3"/>
    <s v="P018"/>
    <x v="5"/>
    <x v="0"/>
    <x v="4"/>
    <n v="4"/>
    <n v="31.71"/>
    <n v="17.59"/>
    <n v="0.22"/>
    <n v="98.935200000000009"/>
    <n v="70.36"/>
    <n v="28.575200000000009"/>
    <x v="1837"/>
    <x v="1"/>
    <x v="0"/>
    <s v="online"/>
  </r>
  <r>
    <s v="V00033"/>
    <d v="2024-07-01T00:00:00"/>
    <x v="1"/>
    <n v="7"/>
    <s v="julio"/>
    <s v="T3"/>
    <s v="P009"/>
    <x v="12"/>
    <x v="1"/>
    <x v="1"/>
    <n v="1"/>
    <n v="7.66"/>
    <n v="4.4400000000000004"/>
    <n v="0"/>
    <n v="7.66"/>
    <n v="4.4400000000000004"/>
    <n v="3.2199999999999998"/>
    <x v="1838"/>
    <x v="0"/>
    <x v="4"/>
    <s v="tienda_fisica"/>
  </r>
  <r>
    <s v="V01940"/>
    <d v="2024-11-05T00:00:00"/>
    <x v="1"/>
    <n v="11"/>
    <s v="noviembre"/>
    <s v="T4"/>
    <s v="P002"/>
    <x v="3"/>
    <x v="2"/>
    <x v="3"/>
    <n v="1"/>
    <n v="69.650000000000006"/>
    <n v="47.75"/>
    <n v="0"/>
    <n v="69.650000000000006"/>
    <n v="47.75"/>
    <n v="21.900000000000006"/>
    <x v="1839"/>
    <x v="1"/>
    <x v="3"/>
    <s v="tienda_fisica"/>
  </r>
  <r>
    <s v="V00414"/>
    <d v="2024-05-17T00:00:00"/>
    <x v="1"/>
    <n v="5"/>
    <s v="mayo"/>
    <s v="T2"/>
    <s v="P010"/>
    <x v="1"/>
    <x v="1"/>
    <x v="1"/>
    <n v="2"/>
    <n v="16.77"/>
    <n v="11.84"/>
    <n v="0"/>
    <n v="33.54"/>
    <n v="23.68"/>
    <n v="9.86"/>
    <x v="1840"/>
    <x v="1"/>
    <x v="0"/>
    <s v="tienda_fisica"/>
  </r>
  <r>
    <s v="V00581"/>
    <d v="2025-11-19T00:00:00"/>
    <x v="0"/>
    <n v="11"/>
    <s v="noviembre"/>
    <s v="T4"/>
    <s v="P008"/>
    <x v="4"/>
    <x v="2"/>
    <x v="0"/>
    <n v="2"/>
    <n v="97.36"/>
    <n v="57.74"/>
    <n v="0"/>
    <n v="194.72"/>
    <n v="115.48"/>
    <n v="79.239999999999995"/>
    <x v="1841"/>
    <x v="0"/>
    <x v="4"/>
    <s v="online"/>
  </r>
  <r>
    <s v="V01407"/>
    <d v="2025-12-07T00:00:00"/>
    <x v="0"/>
    <n v="12"/>
    <s v="diciembre"/>
    <s v="T4"/>
    <s v="P010"/>
    <x v="1"/>
    <x v="1"/>
    <x v="1"/>
    <n v="1"/>
    <n v="16.510000000000002"/>
    <n v="11.88"/>
    <n v="0"/>
    <n v="16.510000000000002"/>
    <n v="11.88"/>
    <n v="4.6300000000000008"/>
    <x v="1842"/>
    <x v="1"/>
    <x v="1"/>
    <s v="tienda_fisica"/>
  </r>
  <r>
    <s v="V01818"/>
    <d v="2024-01-03T00:00:00"/>
    <x v="1"/>
    <n v="1"/>
    <s v="enero"/>
    <s v="T1"/>
    <s v="P005"/>
    <x v="18"/>
    <x v="0"/>
    <x v="0"/>
    <n v="8"/>
    <n v="55.07"/>
    <n v="42.13"/>
    <n v="0.15"/>
    <n v="374.476"/>
    <n v="337.04"/>
    <n v="37.435999999999979"/>
    <x v="1843"/>
    <x v="1"/>
    <x v="5"/>
    <s v="online"/>
  </r>
  <r>
    <s v="V01992"/>
    <d v="2024-08-07T00:00:00"/>
    <x v="1"/>
    <n v="8"/>
    <s v="agosto"/>
    <s v="T3"/>
    <s v="P007"/>
    <x v="15"/>
    <x v="1"/>
    <x v="0"/>
    <n v="5"/>
    <n v="20.28"/>
    <n v="13.39"/>
    <n v="0"/>
    <n v="101.4"/>
    <n v="66.95"/>
    <n v="34.450000000000003"/>
    <x v="1844"/>
    <x v="1"/>
    <x v="2"/>
    <s v="online"/>
  </r>
  <r>
    <s v="V01912"/>
    <d v="2024-02-28T00:00:00"/>
    <x v="1"/>
    <n v="2"/>
    <s v="febrero"/>
    <s v="T1"/>
    <s v="P013"/>
    <x v="8"/>
    <x v="2"/>
    <x v="2"/>
    <n v="4"/>
    <n v="73.260000000000005"/>
    <n v="48.36"/>
    <n v="0"/>
    <n v="293.04000000000002"/>
    <n v="193.44"/>
    <n v="99.600000000000023"/>
    <x v="1845"/>
    <x v="1"/>
    <x v="3"/>
    <s v="tienda_fisica"/>
  </r>
  <r>
    <s v="V00108"/>
    <d v="2024-04-26T00:00:00"/>
    <x v="1"/>
    <n v="4"/>
    <s v="abril"/>
    <s v="T2"/>
    <s v="P017"/>
    <x v="17"/>
    <x v="0"/>
    <x v="4"/>
    <n v="6"/>
    <n v="46.24"/>
    <n v="22.7"/>
    <n v="0"/>
    <n v="277.44"/>
    <n v="136.19999999999999"/>
    <n v="141.24"/>
    <x v="1846"/>
    <x v="0"/>
    <x v="2"/>
    <s v="tienda_fisica"/>
  </r>
  <r>
    <s v="V00615"/>
    <d v="2025-10-25T00:00:00"/>
    <x v="0"/>
    <n v="10"/>
    <s v="octubre"/>
    <s v="T4"/>
    <s v="P008"/>
    <x v="4"/>
    <x v="2"/>
    <x v="0"/>
    <n v="4"/>
    <n v="101.95"/>
    <n v="57.87"/>
    <n v="0"/>
    <n v="407.8"/>
    <n v="231.48"/>
    <n v="176.32000000000002"/>
    <x v="1847"/>
    <x v="0"/>
    <x v="6"/>
    <s v="online"/>
  </r>
  <r>
    <s v="V01046"/>
    <d v="2025-08-15T00:00:00"/>
    <x v="0"/>
    <n v="8"/>
    <s v="agosto"/>
    <s v="T3"/>
    <s v="P011"/>
    <x v="10"/>
    <x v="1"/>
    <x v="1"/>
    <n v="1"/>
    <n v="20.48"/>
    <n v="11.18"/>
    <n v="0"/>
    <n v="20.48"/>
    <n v="11.18"/>
    <n v="9.3000000000000007"/>
    <x v="1848"/>
    <x v="0"/>
    <x v="3"/>
    <s v="tienda_fisica"/>
  </r>
  <r>
    <s v="V01403"/>
    <d v="2025-08-19T00:00:00"/>
    <x v="0"/>
    <n v="8"/>
    <s v="agosto"/>
    <s v="T3"/>
    <s v="P008"/>
    <x v="4"/>
    <x v="2"/>
    <x v="0"/>
    <n v="1"/>
    <n v="102.77"/>
    <n v="59.36"/>
    <n v="0"/>
    <n v="102.77"/>
    <n v="59.36"/>
    <n v="43.41"/>
    <x v="1849"/>
    <x v="0"/>
    <x v="0"/>
    <s v="online"/>
  </r>
  <r>
    <s v="V01015"/>
    <d v="2024-12-11T00:00:00"/>
    <x v="1"/>
    <n v="12"/>
    <s v="diciembre"/>
    <s v="T4"/>
    <s v="P002"/>
    <x v="3"/>
    <x v="2"/>
    <x v="3"/>
    <n v="1"/>
    <n v="76.44"/>
    <n v="46.17"/>
    <n v="0"/>
    <n v="76.44"/>
    <n v="46.17"/>
    <n v="30.269999999999996"/>
    <x v="1850"/>
    <x v="0"/>
    <x v="4"/>
    <s v="online"/>
  </r>
  <r>
    <s v="V00090"/>
    <d v="2025-04-15T00:00:00"/>
    <x v="0"/>
    <n v="4"/>
    <s v="abril"/>
    <s v="T2"/>
    <s v="P009"/>
    <x v="12"/>
    <x v="1"/>
    <x v="1"/>
    <n v="7"/>
    <n v="8.07"/>
    <n v="4.17"/>
    <n v="0"/>
    <n v="56.49"/>
    <n v="29.189999999999998"/>
    <n v="27.300000000000004"/>
    <x v="1851"/>
    <x v="0"/>
    <x v="3"/>
    <s v="online"/>
  </r>
  <r>
    <s v="V01010"/>
    <d v="2024-11-17T00:00:00"/>
    <x v="1"/>
    <n v="11"/>
    <s v="noviembre"/>
    <s v="T4"/>
    <s v="P005"/>
    <x v="18"/>
    <x v="2"/>
    <x v="0"/>
    <n v="1"/>
    <n v="59.34"/>
    <n v="42.39"/>
    <n v="0"/>
    <n v="59.34"/>
    <n v="42.39"/>
    <n v="16.950000000000003"/>
    <x v="1852"/>
    <x v="1"/>
    <x v="3"/>
    <s v="online"/>
  </r>
  <r>
    <s v="V01951"/>
    <d v="2024-06-05T00:00:00"/>
    <x v="1"/>
    <n v="6"/>
    <s v="junio"/>
    <s v="T2"/>
    <s v="P017"/>
    <x v="17"/>
    <x v="0"/>
    <x v="4"/>
    <n v="1"/>
    <n v="48.55"/>
    <n v="23.81"/>
    <n v="0.27"/>
    <n v="35.441499999999998"/>
    <n v="23.81"/>
    <n v="11.631499999999999"/>
    <x v="1853"/>
    <x v="1"/>
    <x v="4"/>
    <s v="online"/>
  </r>
  <r>
    <s v="V00602"/>
    <d v="2024-09-01T00:00:00"/>
    <x v="1"/>
    <n v="9"/>
    <s v="septiembre"/>
    <s v="T3"/>
    <s v="P014"/>
    <x v="16"/>
    <x v="1"/>
    <x v="2"/>
    <n v="1"/>
    <n v="14.09"/>
    <n v="10.01"/>
    <n v="0"/>
    <n v="14.09"/>
    <n v="10.01"/>
    <n v="4.08"/>
    <x v="1854"/>
    <x v="1"/>
    <x v="6"/>
    <s v="tienda_fisica"/>
  </r>
  <r>
    <s v="V01238"/>
    <d v="2024-04-15T00:00:00"/>
    <x v="1"/>
    <n v="4"/>
    <s v="abril"/>
    <s v="T2"/>
    <s v="P016"/>
    <x v="11"/>
    <x v="2"/>
    <x v="2"/>
    <n v="1"/>
    <n v="76.650000000000006"/>
    <n v="39.75"/>
    <n v="0"/>
    <n v="76.650000000000006"/>
    <n v="39.75"/>
    <n v="36.900000000000006"/>
    <x v="1855"/>
    <x v="0"/>
    <x v="4"/>
    <s v="tienda_fisica"/>
  </r>
  <r>
    <s v="V01858"/>
    <d v="2024-08-19T00:00:00"/>
    <x v="1"/>
    <n v="8"/>
    <s v="agosto"/>
    <s v="T3"/>
    <s v="P006"/>
    <x v="0"/>
    <x v="0"/>
    <x v="0"/>
    <n v="1"/>
    <n v="50.14"/>
    <n v="25.56"/>
    <n v="0"/>
    <n v="50.14"/>
    <n v="25.56"/>
    <n v="24.580000000000002"/>
    <x v="1856"/>
    <x v="0"/>
    <x v="2"/>
    <s v="tienda_fisica"/>
  </r>
  <r>
    <s v="V02197"/>
    <d v="2024-05-18T00:00:00"/>
    <x v="1"/>
    <n v="5"/>
    <s v="mayo"/>
    <s v="T2"/>
    <s v="P016"/>
    <x v="11"/>
    <x v="2"/>
    <x v="2"/>
    <n v="5"/>
    <n v="78.650000000000006"/>
    <n v="41.66"/>
    <n v="0"/>
    <n v="393.25"/>
    <n v="208.29999999999998"/>
    <n v="184.95000000000002"/>
    <x v="1857"/>
    <x v="0"/>
    <x v="0"/>
    <s v="online"/>
  </r>
  <r>
    <s v="V00134"/>
    <d v="2025-11-26T00:00:00"/>
    <x v="0"/>
    <n v="11"/>
    <s v="noviembre"/>
    <s v="T4"/>
    <s v="P011"/>
    <x v="10"/>
    <x v="1"/>
    <x v="1"/>
    <n v="4"/>
    <n v="20.11"/>
    <n v="11.6"/>
    <n v="0"/>
    <n v="80.44"/>
    <n v="46.4"/>
    <n v="34.04"/>
    <x v="1858"/>
    <x v="0"/>
    <x v="4"/>
    <s v="tienda_fisica"/>
  </r>
  <r>
    <s v="V01371"/>
    <d v="2024-07-16T00:00:00"/>
    <x v="1"/>
    <n v="7"/>
    <s v="julio"/>
    <s v="T3"/>
    <s v="P017"/>
    <x v="17"/>
    <x v="0"/>
    <x v="4"/>
    <n v="1"/>
    <n v="50.72"/>
    <n v="23.52"/>
    <n v="0.1"/>
    <n v="45.648000000000003"/>
    <n v="23.52"/>
    <n v="22.128000000000004"/>
    <x v="1859"/>
    <x v="0"/>
    <x v="0"/>
    <s v="online"/>
  </r>
  <r>
    <s v="V00556"/>
    <d v="2024-11-29T00:00:00"/>
    <x v="1"/>
    <n v="11"/>
    <s v="noviembre"/>
    <s v="T4"/>
    <s v="P004"/>
    <x v="6"/>
    <x v="2"/>
    <x v="3"/>
    <n v="1"/>
    <n v="164.15"/>
    <n v="107.15"/>
    <n v="0"/>
    <n v="164.15"/>
    <n v="107.15"/>
    <n v="57"/>
    <x v="1860"/>
    <x v="1"/>
    <x v="4"/>
    <s v="online"/>
  </r>
  <r>
    <s v="V01032"/>
    <d v="2025-05-03T00:00:00"/>
    <x v="0"/>
    <n v="5"/>
    <s v="mayo"/>
    <s v="T2"/>
    <s v="P020"/>
    <x v="19"/>
    <x v="2"/>
    <x v="4"/>
    <n v="5"/>
    <n v="62.07"/>
    <n v="32.65"/>
    <n v="0"/>
    <n v="310.35000000000002"/>
    <n v="163.25"/>
    <n v="147.10000000000002"/>
    <x v="1861"/>
    <x v="0"/>
    <x v="2"/>
    <s v="tienda_fisica"/>
  </r>
  <r>
    <s v="V02052"/>
    <d v="2025-08-04T00:00:00"/>
    <x v="0"/>
    <n v="8"/>
    <s v="agosto"/>
    <s v="T3"/>
    <s v="P013"/>
    <x v="8"/>
    <x v="2"/>
    <x v="2"/>
    <n v="1"/>
    <n v="74.62"/>
    <n v="49.4"/>
    <n v="0"/>
    <n v="74.62"/>
    <n v="49.4"/>
    <n v="25.220000000000006"/>
    <x v="1862"/>
    <x v="1"/>
    <x v="3"/>
    <s v="online"/>
  </r>
  <r>
    <s v="V00321"/>
    <d v="2024-06-15T00:00:00"/>
    <x v="1"/>
    <n v="6"/>
    <s v="junio"/>
    <s v="T2"/>
    <s v="P008"/>
    <x v="4"/>
    <x v="2"/>
    <x v="0"/>
    <n v="1"/>
    <n v="100.02"/>
    <n v="59.7"/>
    <n v="7.0000000000000007E-2"/>
    <n v="93.018599999999992"/>
    <n v="59.7"/>
    <n v="33.318599999999989"/>
    <x v="1863"/>
    <x v="1"/>
    <x v="0"/>
    <s v="tienda_fisica"/>
  </r>
  <r>
    <s v="V00256"/>
    <d v="2025-10-16T00:00:00"/>
    <x v="0"/>
    <n v="10"/>
    <s v="octubre"/>
    <s v="T4"/>
    <s v="P017"/>
    <x v="17"/>
    <x v="0"/>
    <x v="4"/>
    <n v="2"/>
    <n v="48.16"/>
    <n v="22.59"/>
    <n v="0.22"/>
    <n v="75.129599999999996"/>
    <n v="45.18"/>
    <n v="29.949599999999997"/>
    <x v="1864"/>
    <x v="0"/>
    <x v="3"/>
    <s v="online"/>
  </r>
  <r>
    <s v="V01212"/>
    <d v="2025-10-13T00:00:00"/>
    <x v="0"/>
    <n v="10"/>
    <s v="octubre"/>
    <s v="T4"/>
    <s v="P007"/>
    <x v="15"/>
    <x v="1"/>
    <x v="0"/>
    <n v="4"/>
    <n v="18.52"/>
    <n v="12.99"/>
    <n v="0"/>
    <n v="74.08"/>
    <n v="51.96"/>
    <n v="22.119999999999997"/>
    <x v="1865"/>
    <x v="1"/>
    <x v="3"/>
    <s v="online"/>
  </r>
  <r>
    <s v="V02141"/>
    <d v="2024-04-01T00:00:00"/>
    <x v="1"/>
    <n v="4"/>
    <s v="abril"/>
    <s v="T2"/>
    <s v="P005"/>
    <x v="18"/>
    <x v="2"/>
    <x v="0"/>
    <n v="8"/>
    <n v="62.76"/>
    <n v="40.71"/>
    <n v="0"/>
    <n v="502.08"/>
    <n v="325.68"/>
    <n v="176.39999999999998"/>
    <x v="1866"/>
    <x v="1"/>
    <x v="3"/>
    <s v="tienda_fisica"/>
  </r>
  <r>
    <s v="V00635"/>
    <d v="2025-01-16T00:00:00"/>
    <x v="0"/>
    <n v="1"/>
    <s v="enero"/>
    <s v="T1"/>
    <s v="P013"/>
    <x v="8"/>
    <x v="2"/>
    <x v="2"/>
    <n v="2"/>
    <n v="77.56"/>
    <n v="46.27"/>
    <n v="0"/>
    <n v="155.12"/>
    <n v="92.54"/>
    <n v="62.58"/>
    <x v="1867"/>
    <x v="0"/>
    <x v="3"/>
    <s v="online"/>
  </r>
  <r>
    <s v="V00553"/>
    <d v="2025-08-04T00:00:00"/>
    <x v="0"/>
    <n v="8"/>
    <s v="agosto"/>
    <s v="T3"/>
    <s v="P015"/>
    <x v="2"/>
    <x v="2"/>
    <x v="2"/>
    <n v="2"/>
    <n v="80.42"/>
    <n v="42.64"/>
    <n v="0"/>
    <n v="160.84"/>
    <n v="85.28"/>
    <n v="75.56"/>
    <x v="1868"/>
    <x v="0"/>
    <x v="3"/>
    <s v="tienda_fisica"/>
  </r>
  <r>
    <s v="V01329"/>
    <d v="2025-07-01T00:00:00"/>
    <x v="0"/>
    <n v="7"/>
    <s v="julio"/>
    <s v="T3"/>
    <s v="P002"/>
    <x v="3"/>
    <x v="2"/>
    <x v="3"/>
    <n v="2"/>
    <n v="74.25"/>
    <n v="48.76"/>
    <n v="0"/>
    <n v="148.5"/>
    <n v="97.52"/>
    <n v="50.980000000000004"/>
    <x v="1869"/>
    <x v="1"/>
    <x v="3"/>
    <s v="tienda_fisica"/>
  </r>
  <r>
    <s v="V01056"/>
    <d v="2024-05-29T00:00:00"/>
    <x v="1"/>
    <n v="5"/>
    <s v="mayo"/>
    <s v="T2"/>
    <s v="P014"/>
    <x v="16"/>
    <x v="1"/>
    <x v="2"/>
    <n v="7"/>
    <n v="13.35"/>
    <n v="9.81"/>
    <n v="0"/>
    <n v="93.45"/>
    <n v="68.67"/>
    <n v="24.78"/>
    <x v="1870"/>
    <x v="1"/>
    <x v="4"/>
    <s v="online"/>
  </r>
  <r>
    <s v="V02256"/>
    <d v="2025-02-24T00:00:00"/>
    <x v="0"/>
    <n v="2"/>
    <s v="febrero"/>
    <s v="T1"/>
    <s v="P013"/>
    <x v="8"/>
    <x v="2"/>
    <x v="2"/>
    <n v="1"/>
    <n v="75.349999999999994"/>
    <n v="49.08"/>
    <n v="0"/>
    <n v="75.349999999999994"/>
    <n v="49.08"/>
    <n v="26.269999999999996"/>
    <x v="1871"/>
    <x v="1"/>
    <x v="3"/>
    <s v="online"/>
  </r>
  <r>
    <s v="V01709"/>
    <d v="2025-04-11T00:00:00"/>
    <x v="0"/>
    <n v="4"/>
    <s v="abril"/>
    <s v="T2"/>
    <s v="P006"/>
    <x v="0"/>
    <x v="0"/>
    <x v="0"/>
    <n v="1"/>
    <n v="44.1"/>
    <n v="27.39"/>
    <n v="7.0000000000000007E-2"/>
    <n v="41.012999999999998"/>
    <n v="27.39"/>
    <n v="13.622999999999998"/>
    <x v="1872"/>
    <x v="1"/>
    <x v="4"/>
    <s v="tienda_fisica"/>
  </r>
  <r>
    <s v="V00797"/>
    <d v="2025-08-15T00:00:00"/>
    <x v="0"/>
    <n v="8"/>
    <s v="agosto"/>
    <s v="T3"/>
    <s v="P011"/>
    <x v="10"/>
    <x v="1"/>
    <x v="1"/>
    <n v="1"/>
    <n v="20.149999999999999"/>
    <n v="11.83"/>
    <n v="0"/>
    <n v="20.149999999999999"/>
    <n v="11.83"/>
    <n v="8.3199999999999985"/>
    <x v="1873"/>
    <x v="0"/>
    <x v="4"/>
    <s v="online"/>
  </r>
  <r>
    <s v="V02091"/>
    <d v="2024-07-25T00:00:00"/>
    <x v="1"/>
    <n v="7"/>
    <s v="julio"/>
    <s v="T3"/>
    <s v="P017"/>
    <x v="17"/>
    <x v="0"/>
    <x v="4"/>
    <n v="4"/>
    <n v="51.58"/>
    <n v="23.78"/>
    <n v="0"/>
    <n v="206.32"/>
    <n v="95.12"/>
    <n v="111.19999999999999"/>
    <x v="1874"/>
    <x v="0"/>
    <x v="0"/>
    <s v="tienda_fisica"/>
  </r>
  <r>
    <s v="V01752"/>
    <d v="2025-07-28T00:00:00"/>
    <x v="0"/>
    <n v="7"/>
    <s v="julio"/>
    <s v="T3"/>
    <s v="P005"/>
    <x v="18"/>
    <x v="2"/>
    <x v="0"/>
    <n v="1"/>
    <n v="60.43"/>
    <n v="40.11"/>
    <n v="0"/>
    <n v="60.43"/>
    <n v="40.11"/>
    <n v="20.32"/>
    <x v="1875"/>
    <x v="1"/>
    <x v="3"/>
    <s v="online"/>
  </r>
  <r>
    <s v="V01265"/>
    <d v="2025-03-05T00:00:00"/>
    <x v="0"/>
    <n v="3"/>
    <s v="marzo"/>
    <s v="T1"/>
    <s v="P006"/>
    <x v="0"/>
    <x v="0"/>
    <x v="0"/>
    <n v="1"/>
    <n v="45.27"/>
    <n v="26.96"/>
    <n v="0"/>
    <n v="45.27"/>
    <n v="26.96"/>
    <n v="18.310000000000002"/>
    <x v="1876"/>
    <x v="0"/>
    <x v="3"/>
    <s v="tienda_fisica"/>
  </r>
  <r>
    <s v="V02122"/>
    <d v="2024-06-16T00:00:00"/>
    <x v="1"/>
    <n v="6"/>
    <s v="junio"/>
    <s v="T2"/>
    <s v="P012"/>
    <x v="13"/>
    <x v="1"/>
    <x v="1"/>
    <n v="1"/>
    <n v="8.9600000000000009"/>
    <n v="11.65"/>
    <n v="0"/>
    <n v="8.9600000000000009"/>
    <n v="11.65"/>
    <n v="-2.6899999999999995"/>
    <x v="1877"/>
    <x v="1"/>
    <x v="3"/>
    <s v="tienda_fisica"/>
  </r>
  <r>
    <s v="V00175"/>
    <d v="2024-11-16T00:00:00"/>
    <x v="1"/>
    <n v="11"/>
    <s v="noviembre"/>
    <s v="T4"/>
    <s v="P019"/>
    <x v="14"/>
    <x v="2"/>
    <x v="4"/>
    <n v="1"/>
    <n v="59.01"/>
    <n v="31.83"/>
    <n v="0"/>
    <n v="59.01"/>
    <n v="31.83"/>
    <n v="27.18"/>
    <x v="1878"/>
    <x v="0"/>
    <x v="3"/>
    <s v="online"/>
  </r>
  <r>
    <s v="V00767"/>
    <d v="2024-01-28T00:00:00"/>
    <x v="1"/>
    <n v="1"/>
    <s v="enero"/>
    <s v="T1"/>
    <s v="P006"/>
    <x v="0"/>
    <x v="0"/>
    <x v="0"/>
    <n v="1"/>
    <n v="49.66"/>
    <n v="25.99"/>
    <n v="0"/>
    <n v="49.66"/>
    <n v="25.99"/>
    <n v="23.669999999999998"/>
    <x v="1879"/>
    <x v="0"/>
    <x v="2"/>
    <s v="online"/>
  </r>
  <r>
    <s v="V01797"/>
    <d v="2024-04-15T00:00:00"/>
    <x v="1"/>
    <n v="4"/>
    <s v="abril"/>
    <s v="T2"/>
    <s v="P019"/>
    <x v="14"/>
    <x v="0"/>
    <x v="4"/>
    <n v="4"/>
    <n v="54.95"/>
    <n v="34.049999999999997"/>
    <n v="0.27"/>
    <n v="160.45400000000001"/>
    <n v="136.19999999999999"/>
    <n v="24.254000000000019"/>
    <x v="1880"/>
    <x v="1"/>
    <x v="3"/>
    <s v="online"/>
  </r>
  <r>
    <s v="V00246"/>
    <d v="2025-11-05T00:00:00"/>
    <x v="0"/>
    <n v="11"/>
    <s v="noviembre"/>
    <s v="T4"/>
    <s v="P009"/>
    <x v="12"/>
    <x v="1"/>
    <x v="1"/>
    <n v="2"/>
    <n v="7.97"/>
    <n v="4.3600000000000003"/>
    <n v="0"/>
    <n v="15.94"/>
    <n v="8.7200000000000006"/>
    <n v="7.2199999999999989"/>
    <x v="1881"/>
    <x v="0"/>
    <x v="3"/>
    <s v="tienda_fisica"/>
  </r>
  <r>
    <s v="V01081"/>
    <d v="2025-08-04T00:00:00"/>
    <x v="0"/>
    <n v="8"/>
    <s v="agosto"/>
    <s v="T3"/>
    <s v="P018"/>
    <x v="5"/>
    <x v="1"/>
    <x v="4"/>
    <n v="2"/>
    <n v="29.99"/>
    <n v="17.489999999999998"/>
    <n v="0"/>
    <n v="59.98"/>
    <n v="34.979999999999997"/>
    <n v="25"/>
    <x v="1882"/>
    <x v="0"/>
    <x v="3"/>
    <s v="tienda_fisica"/>
  </r>
  <r>
    <s v="V01655"/>
    <d v="2024-01-27T00:00:00"/>
    <x v="1"/>
    <n v="1"/>
    <s v="enero"/>
    <s v="T1"/>
    <s v="P006"/>
    <x v="0"/>
    <x v="0"/>
    <x v="0"/>
    <n v="2"/>
    <n v="47.57"/>
    <n v="27.21"/>
    <n v="0"/>
    <n v="95.14"/>
    <n v="54.42"/>
    <n v="40.72"/>
    <x v="1883"/>
    <x v="0"/>
    <x v="6"/>
    <s v="tienda_fisica"/>
  </r>
  <r>
    <s v="V02274"/>
    <d v="2025-12-12T00:00:00"/>
    <x v="0"/>
    <n v="12"/>
    <s v="diciembre"/>
    <s v="T4"/>
    <s v="P005"/>
    <x v="18"/>
    <x v="0"/>
    <x v="0"/>
    <n v="8"/>
    <n v="55.57"/>
    <n v="39.93"/>
    <n v="0"/>
    <n v="444.56"/>
    <n v="319.44"/>
    <n v="125.12"/>
    <x v="1884"/>
    <x v="1"/>
    <x v="3"/>
    <s v="tienda_fisica"/>
  </r>
  <r>
    <s v="V00145"/>
    <d v="2024-03-24T00:00:00"/>
    <x v="1"/>
    <n v="3"/>
    <s v="marzo"/>
    <s v="T1"/>
    <s v="P013"/>
    <x v="8"/>
    <x v="2"/>
    <x v="2"/>
    <n v="4"/>
    <n v="72.36"/>
    <n v="46.61"/>
    <n v="0"/>
    <n v="289.44"/>
    <n v="186.44"/>
    <n v="103"/>
    <x v="1885"/>
    <x v="1"/>
    <x v="3"/>
    <s v="online"/>
  </r>
  <r>
    <s v="V00146"/>
    <d v="2025-12-23T00:00:00"/>
    <x v="0"/>
    <n v="12"/>
    <s v="diciembre"/>
    <s v="T4"/>
    <s v="P005"/>
    <x v="18"/>
    <x v="2"/>
    <x v="0"/>
    <n v="1"/>
    <n v="63.87"/>
    <n v="41.62"/>
    <n v="0"/>
    <n v="63.87"/>
    <n v="41.62"/>
    <n v="22.25"/>
    <x v="1886"/>
    <x v="1"/>
    <x v="0"/>
    <s v="tienda_fisica"/>
  </r>
  <r>
    <s v="V00091"/>
    <d v="2025-08-24T00:00:00"/>
    <x v="0"/>
    <n v="8"/>
    <s v="agosto"/>
    <s v="T3"/>
    <s v="P012"/>
    <x v="13"/>
    <x v="1"/>
    <x v="1"/>
    <n v="5"/>
    <n v="8.4600000000000009"/>
    <n v="6.06"/>
    <n v="0"/>
    <n v="42.300000000000004"/>
    <n v="30.299999999999997"/>
    <n v="12.000000000000007"/>
    <x v="1887"/>
    <x v="1"/>
    <x v="3"/>
    <s v="tienda_fisica"/>
  </r>
  <r>
    <s v="V01703"/>
    <d v="2025-11-10T00:00:00"/>
    <x v="0"/>
    <n v="11"/>
    <s v="noviembre"/>
    <s v="T4"/>
    <s v="P012"/>
    <x v="13"/>
    <x v="1"/>
    <x v="1"/>
    <n v="3"/>
    <n v="9.07"/>
    <n v="5.59"/>
    <n v="0"/>
    <n v="27.21"/>
    <n v="16.77"/>
    <n v="10.440000000000001"/>
    <x v="1888"/>
    <x v="0"/>
    <x v="3"/>
    <s v="online"/>
  </r>
  <r>
    <s v="V01417"/>
    <d v="2024-10-20T00:00:00"/>
    <x v="1"/>
    <n v="10"/>
    <s v="octubre"/>
    <s v="T4"/>
    <s v="P002"/>
    <x v="3"/>
    <x v="2"/>
    <x v="3"/>
    <n v="2"/>
    <n v="69.83"/>
    <n v="47.98"/>
    <n v="0"/>
    <n v="139.66"/>
    <n v="95.96"/>
    <n v="43.7"/>
    <x v="1889"/>
    <x v="1"/>
    <x v="3"/>
    <s v="tienda_fisica"/>
  </r>
  <r>
    <s v="V02217"/>
    <d v="2025-10-30T00:00:00"/>
    <x v="0"/>
    <n v="10"/>
    <s v="octubre"/>
    <s v="T4"/>
    <s v="P003"/>
    <x v="7"/>
    <x v="2"/>
    <x v="3"/>
    <n v="4"/>
    <n v="177.72"/>
    <n v="95.38"/>
    <n v="0"/>
    <n v="710.88"/>
    <n v="381.52"/>
    <n v="329.36"/>
    <x v="1890"/>
    <x v="0"/>
    <x v="3"/>
    <s v="tienda_fisica"/>
  </r>
  <r>
    <s v="V00683"/>
    <d v="2024-01-21T00:00:00"/>
    <x v="1"/>
    <n v="1"/>
    <s v="enero"/>
    <s v="T1"/>
    <s v="P016"/>
    <x v="11"/>
    <x v="2"/>
    <x v="2"/>
    <n v="2"/>
    <n v="73.36"/>
    <n v="42.88"/>
    <n v="0"/>
    <n v="146.72"/>
    <n v="85.76"/>
    <n v="60.959999999999994"/>
    <x v="1891"/>
    <x v="0"/>
    <x v="3"/>
    <s v="tienda_fisica"/>
  </r>
  <r>
    <s v="V00311"/>
    <d v="2025-08-28T00:00:00"/>
    <x v="0"/>
    <n v="8"/>
    <s v="agosto"/>
    <s v="T3"/>
    <s v="P012"/>
    <x v="13"/>
    <x v="1"/>
    <x v="1"/>
    <n v="3"/>
    <n v="9.42"/>
    <n v="5.99"/>
    <n v="0.13500000000000001"/>
    <n v="24.444899999999997"/>
    <n v="17.97"/>
    <n v="6.4748999999999981"/>
    <x v="1892"/>
    <x v="1"/>
    <x v="3"/>
    <s v="tienda_fisica"/>
  </r>
  <r>
    <s v="V01898"/>
    <d v="2025-10-23T00:00:00"/>
    <x v="0"/>
    <n v="10"/>
    <s v="octubre"/>
    <s v="T4"/>
    <s v="P002"/>
    <x v="3"/>
    <x v="2"/>
    <x v="3"/>
    <n v="4"/>
    <n v="69.7"/>
    <n v="46.94"/>
    <n v="0"/>
    <n v="278.8"/>
    <n v="187.76"/>
    <n v="91.04000000000002"/>
    <x v="1893"/>
    <x v="1"/>
    <x v="2"/>
    <s v="tienda_fisica"/>
  </r>
  <r>
    <s v="V01384"/>
    <d v="2025-03-02T00:00:00"/>
    <x v="0"/>
    <n v="3"/>
    <s v="marzo"/>
    <s v="T1"/>
    <s v="P007"/>
    <x v="15"/>
    <x v="1"/>
    <x v="0"/>
    <n v="4"/>
    <n v="19.25"/>
    <n v="13.05"/>
    <n v="0"/>
    <n v="77"/>
    <n v="52.2"/>
    <n v="24.799999999999997"/>
    <x v="1894"/>
    <x v="1"/>
    <x v="0"/>
    <s v="tienda_fisica"/>
  </r>
  <r>
    <s v="V00094"/>
    <d v="2024-08-12T00:00:00"/>
    <x v="1"/>
    <n v="8"/>
    <s v="agosto"/>
    <s v="T3"/>
    <s v="P012"/>
    <x v="13"/>
    <x v="1"/>
    <x v="1"/>
    <n v="4"/>
    <n v="8.9600000000000009"/>
    <n v="5.97"/>
    <n v="0"/>
    <n v="35.840000000000003"/>
    <n v="23.88"/>
    <n v="11.960000000000004"/>
    <x v="1895"/>
    <x v="1"/>
    <x v="4"/>
    <s v="tienda_fisica"/>
  </r>
  <r>
    <s v="V02016"/>
    <d v="2025-02-06T00:00:00"/>
    <x v="0"/>
    <n v="2"/>
    <s v="febrero"/>
    <s v="T1"/>
    <s v="P002"/>
    <x v="3"/>
    <x v="2"/>
    <x v="3"/>
    <n v="2"/>
    <n v="68.349999999999994"/>
    <n v="45.54"/>
    <n v="0"/>
    <n v="136.69999999999999"/>
    <n v="91.08"/>
    <n v="45.61999999999999"/>
    <x v="1896"/>
    <x v="1"/>
    <x v="0"/>
    <s v="tienda_fisica"/>
  </r>
  <r>
    <s v="V00925"/>
    <d v="2025-03-17T00:00:00"/>
    <x v="0"/>
    <n v="3"/>
    <s v="marzo"/>
    <s v="T1"/>
    <s v="P004"/>
    <x v="6"/>
    <x v="2"/>
    <x v="3"/>
    <n v="2"/>
    <n v="151.37"/>
    <n v="104.68"/>
    <n v="0"/>
    <n v="302.74"/>
    <n v="209.36"/>
    <n v="93.38"/>
    <x v="1897"/>
    <x v="1"/>
    <x v="3"/>
    <s v="tienda_fisica"/>
  </r>
  <r>
    <s v="V00407"/>
    <d v="2024-02-25T00:00:00"/>
    <x v="1"/>
    <n v="2"/>
    <s v="febrero"/>
    <s v="T1"/>
    <s v="P019"/>
    <x v="14"/>
    <x v="0"/>
    <x v="4"/>
    <n v="3"/>
    <n v="55.31"/>
    <n v="31.37"/>
    <n v="0"/>
    <n v="165.93"/>
    <n v="94.11"/>
    <n v="71.820000000000007"/>
    <x v="1898"/>
    <x v="0"/>
    <x v="5"/>
    <s v="tienda_fisica"/>
  </r>
  <r>
    <s v="V01910"/>
    <d v="2024-08-02T00:00:00"/>
    <x v="1"/>
    <n v="8"/>
    <s v="agosto"/>
    <s v="T3"/>
    <s v="P005"/>
    <x v="18"/>
    <x v="2"/>
    <x v="0"/>
    <n v="1"/>
    <n v="61.69"/>
    <n v="39.18"/>
    <n v="0.2"/>
    <n v="49.352000000000004"/>
    <n v="39.18"/>
    <n v="10.172000000000004"/>
    <x v="1899"/>
    <x v="1"/>
    <x v="6"/>
    <s v="tienda_fisica"/>
  </r>
  <r>
    <s v="V01036"/>
    <d v="2025-07-12T00:00:00"/>
    <x v="0"/>
    <n v="7"/>
    <s v="julio"/>
    <s v="T3"/>
    <s v="P012"/>
    <x v="13"/>
    <x v="1"/>
    <x v="1"/>
    <n v="2"/>
    <n v="9.2899999999999991"/>
    <n v="5.93"/>
    <n v="0"/>
    <n v="18.579999999999998"/>
    <n v="11.86"/>
    <n v="6.7199999999999989"/>
    <x v="1900"/>
    <x v="1"/>
    <x v="3"/>
    <s v="tienda_fisica"/>
  </r>
  <r>
    <s v="V01401"/>
    <d v="2025-05-05T00:00:00"/>
    <x v="0"/>
    <n v="5"/>
    <s v="mayo"/>
    <s v="T2"/>
    <s v="P008"/>
    <x v="4"/>
    <x v="2"/>
    <x v="0"/>
    <n v="1"/>
    <n v="108.7"/>
    <n v="57.47"/>
    <n v="0"/>
    <n v="108.7"/>
    <n v="57.47"/>
    <n v="51.230000000000004"/>
    <x v="1901"/>
    <x v="0"/>
    <x v="3"/>
    <s v="online"/>
  </r>
  <r>
    <s v="V00244"/>
    <d v="2025-01-08T00:00:00"/>
    <x v="0"/>
    <n v="1"/>
    <s v="enero"/>
    <s v="T1"/>
    <s v="P013"/>
    <x v="8"/>
    <x v="2"/>
    <x v="2"/>
    <n v="3"/>
    <n v="79.040000000000006"/>
    <n v="47.86"/>
    <n v="0"/>
    <n v="237.12"/>
    <n v="143.57999999999998"/>
    <n v="93.54000000000002"/>
    <x v="1902"/>
    <x v="0"/>
    <x v="3"/>
    <s v="tienda_fisica"/>
  </r>
  <r>
    <s v="V01501"/>
    <d v="2025-11-13T00:00:00"/>
    <x v="0"/>
    <n v="11"/>
    <s v="noviembre"/>
    <s v="T4"/>
    <s v="P012"/>
    <x v="13"/>
    <x v="1"/>
    <x v="1"/>
    <n v="1"/>
    <n v="9.42"/>
    <n v="5.84"/>
    <n v="0"/>
    <n v="9.42"/>
    <n v="5.84"/>
    <n v="3.58"/>
    <x v="1903"/>
    <x v="0"/>
    <x v="4"/>
    <s v="online"/>
  </r>
  <r>
    <s v="V01112"/>
    <d v="2025-03-22T00:00:00"/>
    <x v="0"/>
    <n v="3"/>
    <s v="marzo"/>
    <s v="T1"/>
    <s v="P015"/>
    <x v="2"/>
    <x v="2"/>
    <x v="2"/>
    <n v="1"/>
    <n v="81.11"/>
    <n v="42.79"/>
    <n v="0"/>
    <n v="81.11"/>
    <n v="42.79"/>
    <n v="38.32"/>
    <x v="1904"/>
    <x v="0"/>
    <x v="3"/>
    <s v="tienda_fisica"/>
  </r>
  <r>
    <s v="V00215"/>
    <d v="2025-02-22T00:00:00"/>
    <x v="0"/>
    <n v="2"/>
    <s v="febrero"/>
    <s v="T1"/>
    <s v="P014"/>
    <x v="16"/>
    <x v="1"/>
    <x v="2"/>
    <n v="6"/>
    <n v="14.88"/>
    <n v="9.39"/>
    <n v="0"/>
    <n v="89.28"/>
    <n v="56.34"/>
    <n v="32.94"/>
    <x v="1905"/>
    <x v="1"/>
    <x v="3"/>
    <s v="online"/>
  </r>
  <r>
    <s v="V01469"/>
    <d v="2025-02-02T00:00:00"/>
    <x v="0"/>
    <n v="2"/>
    <s v="febrero"/>
    <s v="T1"/>
    <s v="P001"/>
    <x v="9"/>
    <x v="2"/>
    <x v="3"/>
    <n v="1"/>
    <n v="121.12"/>
    <n v="83.67"/>
    <n v="0"/>
    <n v="121.12"/>
    <n v="83.67"/>
    <n v="37.450000000000003"/>
    <x v="1906"/>
    <x v="1"/>
    <x v="4"/>
    <s v="online"/>
  </r>
  <r>
    <s v="V01881"/>
    <d v="2025-12-04T00:00:00"/>
    <x v="0"/>
    <n v="12"/>
    <s v="diciembre"/>
    <s v="T4"/>
    <s v="P020"/>
    <x v="19"/>
    <x v="2"/>
    <x v="4"/>
    <n v="1"/>
    <n v="63.41"/>
    <n v="32.380000000000003"/>
    <n v="0"/>
    <n v="63.41"/>
    <n v="32.380000000000003"/>
    <n v="31.029999999999994"/>
    <x v="1907"/>
    <x v="0"/>
    <x v="4"/>
    <s v="tienda_fisica"/>
  </r>
  <r>
    <s v="V01198"/>
    <d v="2025-01-26T00:00:00"/>
    <x v="0"/>
    <n v="1"/>
    <s v="enero"/>
    <s v="T1"/>
    <s v="P004"/>
    <x v="6"/>
    <x v="2"/>
    <x v="3"/>
    <n v="2"/>
    <n v="156.68"/>
    <n v="108.94"/>
    <n v="0.24"/>
    <n v="238.15360000000001"/>
    <n v="217.88"/>
    <n v="20.273600000000016"/>
    <x v="1908"/>
    <x v="1"/>
    <x v="0"/>
    <s v="tienda_fisica"/>
  </r>
  <r>
    <s v="V00999"/>
    <d v="2025-11-06T00:00:00"/>
    <x v="0"/>
    <n v="11"/>
    <s v="noviembre"/>
    <s v="T4"/>
    <s v="P009"/>
    <x v="12"/>
    <x v="1"/>
    <x v="1"/>
    <n v="1"/>
    <n v="7.38"/>
    <n v="4.17"/>
    <n v="0"/>
    <n v="7.38"/>
    <n v="4.17"/>
    <n v="3.21"/>
    <x v="1909"/>
    <x v="0"/>
    <x v="3"/>
    <s v="online"/>
  </r>
  <r>
    <s v="V00854"/>
    <d v="2025-12-15T00:00:00"/>
    <x v="0"/>
    <n v="12"/>
    <s v="diciembre"/>
    <s v="T4"/>
    <s v="P001"/>
    <x v="9"/>
    <x v="2"/>
    <x v="3"/>
    <n v="4"/>
    <n v="115.3"/>
    <n v="82.18"/>
    <n v="0"/>
    <n v="461.2"/>
    <n v="328.72"/>
    <n v="132.47999999999996"/>
    <x v="1910"/>
    <x v="1"/>
    <x v="4"/>
    <s v="online"/>
  </r>
  <r>
    <s v="V01828"/>
    <d v="2025-07-05T00:00:00"/>
    <x v="0"/>
    <n v="7"/>
    <s v="julio"/>
    <s v="T3"/>
    <s v="P010"/>
    <x v="1"/>
    <x v="1"/>
    <x v="1"/>
    <n v="1"/>
    <n v="15.95"/>
    <n v="11.51"/>
    <n v="0"/>
    <n v="15.95"/>
    <n v="11.51"/>
    <n v="4.4399999999999995"/>
    <x v="1911"/>
    <x v="1"/>
    <x v="1"/>
    <s v="tienda_fisica"/>
  </r>
  <r>
    <s v="V00426"/>
    <d v="2025-12-01T00:00:00"/>
    <x v="0"/>
    <n v="12"/>
    <s v="diciembre"/>
    <s v="T4"/>
    <s v="P017"/>
    <x v="17"/>
    <x v="0"/>
    <x v="4"/>
    <n v="1"/>
    <n v="50.24"/>
    <n v="21.64"/>
    <n v="0"/>
    <n v="50.24"/>
    <n v="21.64"/>
    <n v="28.6"/>
    <x v="1912"/>
    <x v="0"/>
    <x v="0"/>
    <s v="online"/>
  </r>
  <r>
    <s v="V02214"/>
    <d v="2024-03-20T00:00:00"/>
    <x v="1"/>
    <n v="3"/>
    <s v="marzo"/>
    <s v="T1"/>
    <s v="P009"/>
    <x v="12"/>
    <x v="1"/>
    <x v="1"/>
    <n v="1"/>
    <n v="7.64"/>
    <n v="4.1900000000000004"/>
    <n v="0"/>
    <n v="7.64"/>
    <n v="4.1900000000000004"/>
    <n v="3.4499999999999993"/>
    <x v="1913"/>
    <x v="0"/>
    <x v="2"/>
    <s v="online"/>
  </r>
  <r>
    <s v="V01143"/>
    <d v="2025-02-16T00:00:00"/>
    <x v="0"/>
    <n v="2"/>
    <s v="febrero"/>
    <s v="T1"/>
    <s v="P005"/>
    <x v="18"/>
    <x v="0"/>
    <x v="0"/>
    <n v="5"/>
    <n v="57.12"/>
    <n v="42.27"/>
    <n v="0"/>
    <n v="285.59999999999997"/>
    <n v="211.35000000000002"/>
    <n v="74.249999999999943"/>
    <x v="1914"/>
    <x v="1"/>
    <x v="4"/>
    <s v="tienda_fisica"/>
  </r>
  <r>
    <s v="V01144"/>
    <d v="2024-12-11T00:00:00"/>
    <x v="1"/>
    <n v="12"/>
    <s v="diciembre"/>
    <s v="T4"/>
    <s v="P010"/>
    <x v="1"/>
    <x v="1"/>
    <x v="1"/>
    <n v="5"/>
    <n v="17.309999999999999"/>
    <n v="11.17"/>
    <n v="0.19"/>
    <n v="70.105500000000006"/>
    <n v="55.85"/>
    <n v="14.255500000000005"/>
    <x v="1915"/>
    <x v="1"/>
    <x v="5"/>
    <s v="online"/>
  </r>
  <r>
    <s v="V01700"/>
    <d v="2025-10-14T00:00:00"/>
    <x v="0"/>
    <n v="10"/>
    <s v="octubre"/>
    <s v="T4"/>
    <s v="P008"/>
    <x v="4"/>
    <x v="2"/>
    <x v="0"/>
    <n v="7"/>
    <n v="107.39"/>
    <n v="59.27"/>
    <n v="0.05"/>
    <n v="714.14350000000002"/>
    <n v="414.89000000000004"/>
    <n v="299.25349999999997"/>
    <x v="1916"/>
    <x v="0"/>
    <x v="0"/>
    <s v="tienda_fisica"/>
  </r>
  <r>
    <s v="V00227"/>
    <d v="2025-07-02T00:00:00"/>
    <x v="0"/>
    <n v="7"/>
    <s v="julio"/>
    <s v="T3"/>
    <s v="P009"/>
    <x v="12"/>
    <x v="1"/>
    <x v="1"/>
    <n v="7"/>
    <n v="8.23"/>
    <n v="4.5"/>
    <n v="7.0000000000000007E-2"/>
    <n v="53.577299999999994"/>
    <n v="31.5"/>
    <n v="22.077299999999994"/>
    <x v="1917"/>
    <x v="0"/>
    <x v="6"/>
    <s v="online"/>
  </r>
  <r>
    <s v="V02066"/>
    <d v="2024-08-15T00:00:00"/>
    <x v="1"/>
    <n v="8"/>
    <s v="agosto"/>
    <s v="T3"/>
    <s v="P017"/>
    <x v="17"/>
    <x v="0"/>
    <x v="4"/>
    <n v="1"/>
    <n v="45.49"/>
    <n v="22.13"/>
    <n v="0"/>
    <n v="45.49"/>
    <n v="22.13"/>
    <n v="23.360000000000003"/>
    <x v="1918"/>
    <x v="0"/>
    <x v="2"/>
    <s v="online"/>
  </r>
  <r>
    <s v="V00001"/>
    <d v="2024-02-16T00:00:00"/>
    <x v="1"/>
    <n v="2"/>
    <s v="febrero"/>
    <s v="T1"/>
    <s v="P003"/>
    <x v="7"/>
    <x v="2"/>
    <x v="3"/>
    <n v="2"/>
    <n v="168.13"/>
    <n v="92.83"/>
    <n v="0"/>
    <n v="336.26"/>
    <n v="185.66"/>
    <n v="150.6"/>
    <x v="1919"/>
    <x v="0"/>
    <x v="4"/>
    <s v="tienda_fisica"/>
  </r>
  <r>
    <s v="V01419"/>
    <d v="2024-05-31T00:00:00"/>
    <x v="1"/>
    <n v="5"/>
    <s v="mayo"/>
    <s v="T2"/>
    <s v="P010"/>
    <x v="1"/>
    <x v="1"/>
    <x v="1"/>
    <n v="3"/>
    <n v="15.97"/>
    <n v="11.36"/>
    <n v="0"/>
    <n v="47.910000000000004"/>
    <n v="34.08"/>
    <n v="13.830000000000005"/>
    <x v="1920"/>
    <x v="1"/>
    <x v="2"/>
    <s v="tienda_fisica"/>
  </r>
  <r>
    <s v="V00402"/>
    <d v="2024-03-05T00:00:00"/>
    <x v="1"/>
    <n v="3"/>
    <s v="marzo"/>
    <s v="T1"/>
    <s v="P020"/>
    <x v="19"/>
    <x v="0"/>
    <x v="4"/>
    <n v="6"/>
    <n v="56.33"/>
    <n v="33.78"/>
    <n v="0"/>
    <n v="337.98"/>
    <n v="202.68"/>
    <n v="135.30000000000001"/>
    <x v="1921"/>
    <x v="0"/>
    <x v="2"/>
    <s v="tienda_fisica"/>
  </r>
  <r>
    <s v="V01429"/>
    <d v="2025-05-26T00:00:00"/>
    <x v="0"/>
    <n v="5"/>
    <s v="mayo"/>
    <s v="T2"/>
    <s v="P002"/>
    <x v="3"/>
    <x v="2"/>
    <x v="3"/>
    <n v="5"/>
    <n v="72.430000000000007"/>
    <n v="47.41"/>
    <n v="0"/>
    <n v="362.15000000000003"/>
    <n v="237.04999999999998"/>
    <n v="125.10000000000005"/>
    <x v="1922"/>
    <x v="1"/>
    <x v="3"/>
    <s v="online"/>
  </r>
  <r>
    <s v="V01104"/>
    <d v="2025-09-13T00:00:00"/>
    <x v="0"/>
    <n v="9"/>
    <s v="septiembre"/>
    <s v="T3"/>
    <s v="P002"/>
    <x v="3"/>
    <x v="2"/>
    <x v="3"/>
    <n v="3"/>
    <n v="77.77"/>
    <n v="46.25"/>
    <n v="0"/>
    <n v="233.31"/>
    <n v="138.75"/>
    <n v="94.56"/>
    <x v="1923"/>
    <x v="0"/>
    <x v="0"/>
    <s v="tienda_fisica"/>
  </r>
  <r>
    <s v="V00085"/>
    <d v="2024-03-17T00:00:00"/>
    <x v="1"/>
    <n v="3"/>
    <s v="marzo"/>
    <s v="T1"/>
    <s v="P005"/>
    <x v="18"/>
    <x v="2"/>
    <x v="0"/>
    <n v="2"/>
    <n v="61.1"/>
    <n v="42.62"/>
    <n v="0"/>
    <n v="122.2"/>
    <n v="85.24"/>
    <n v="36.960000000000008"/>
    <x v="1924"/>
    <x v="1"/>
    <x v="0"/>
    <s v="tienda_fisica"/>
  </r>
  <r>
    <s v="V00163"/>
    <d v="2025-01-05T00:00:00"/>
    <x v="0"/>
    <n v="1"/>
    <s v="enero"/>
    <s v="T1"/>
    <s v="P006"/>
    <x v="0"/>
    <x v="0"/>
    <x v="0"/>
    <n v="1"/>
    <n v="48.89"/>
    <n v="25.37"/>
    <n v="0"/>
    <n v="48.89"/>
    <n v="25.37"/>
    <n v="23.52"/>
    <x v="1925"/>
    <x v="0"/>
    <x v="0"/>
    <s v="online"/>
  </r>
  <r>
    <s v="V02210"/>
    <d v="2024-07-01T00:00:00"/>
    <x v="1"/>
    <n v="7"/>
    <s v="julio"/>
    <s v="T3"/>
    <s v="P015"/>
    <x v="2"/>
    <x v="2"/>
    <x v="2"/>
    <n v="2"/>
    <n v="83.41"/>
    <n v="44.48"/>
    <n v="0"/>
    <n v="166.82"/>
    <n v="88.96"/>
    <n v="77.86"/>
    <x v="1926"/>
    <x v="0"/>
    <x v="0"/>
    <s v="tienda_fisica"/>
  </r>
  <r>
    <s v="V00115"/>
    <d v="2024-02-22T00:00:00"/>
    <x v="1"/>
    <n v="2"/>
    <s v="febrero"/>
    <s v="T1"/>
    <s v="P014"/>
    <x v="16"/>
    <x v="1"/>
    <x v="2"/>
    <n v="2"/>
    <n v="13.44"/>
    <n v="9.73"/>
    <n v="0"/>
    <n v="26.88"/>
    <n v="19.46"/>
    <n v="7.4199999999999982"/>
    <x v="1927"/>
    <x v="1"/>
    <x v="6"/>
    <s v="tienda_fisica"/>
  </r>
  <r>
    <s v="V00671"/>
    <d v="2024-12-11T00:00:00"/>
    <x v="1"/>
    <n v="12"/>
    <s v="diciembre"/>
    <s v="T4"/>
    <s v="P004"/>
    <x v="6"/>
    <x v="2"/>
    <x v="3"/>
    <n v="1"/>
    <n v="159.80000000000001"/>
    <n v="110.19"/>
    <n v="0"/>
    <n v="159.80000000000001"/>
    <n v="110.19"/>
    <n v="49.610000000000014"/>
    <x v="1928"/>
    <x v="1"/>
    <x v="3"/>
    <s v="tienda_fisica"/>
  </r>
  <r>
    <s v="V01175"/>
    <d v="2024-07-31T00:00:00"/>
    <x v="1"/>
    <n v="7"/>
    <s v="julio"/>
    <s v="T3"/>
    <s v="P010"/>
    <x v="1"/>
    <x v="1"/>
    <x v="1"/>
    <n v="3"/>
    <n v="15.74"/>
    <n v="11.46"/>
    <n v="0"/>
    <n v="47.22"/>
    <n v="34.380000000000003"/>
    <n v="12.839999999999996"/>
    <x v="1929"/>
    <x v="1"/>
    <x v="3"/>
    <s v="tienda_fisica"/>
  </r>
  <r>
    <s v="V01962"/>
    <d v="2025-10-04T00:00:00"/>
    <x v="0"/>
    <n v="10"/>
    <s v="octubre"/>
    <s v="T4"/>
    <s v="P008"/>
    <x v="4"/>
    <x v="2"/>
    <x v="0"/>
    <n v="1"/>
    <n v="110.49"/>
    <n v="55.28"/>
    <n v="0"/>
    <n v="110.49"/>
    <n v="55.28"/>
    <n v="55.209999999999994"/>
    <x v="1930"/>
    <x v="0"/>
    <x v="3"/>
    <s v="tienda_fisica"/>
  </r>
  <r>
    <s v="V01944"/>
    <d v="2024-09-22T00:00:00"/>
    <x v="1"/>
    <n v="9"/>
    <s v="septiembre"/>
    <s v="T3"/>
    <s v="P007"/>
    <x v="15"/>
    <x v="1"/>
    <x v="0"/>
    <n v="1"/>
    <n v="21.23"/>
    <n v="12.97"/>
    <n v="0.1"/>
    <n v="19.106999999999999"/>
    <n v="12.97"/>
    <n v="6.1369999999999987"/>
    <x v="1931"/>
    <x v="1"/>
    <x v="4"/>
    <s v="online"/>
  </r>
  <r>
    <s v="V01586"/>
    <d v="2025-10-21T00:00:00"/>
    <x v="0"/>
    <n v="10"/>
    <s v="octubre"/>
    <s v="T4"/>
    <s v="P009"/>
    <x v="12"/>
    <x v="1"/>
    <x v="1"/>
    <n v="3"/>
    <n v="7.87"/>
    <n v="4.2699999999999996"/>
    <n v="0"/>
    <n v="23.61"/>
    <n v="12.809999999999999"/>
    <n v="10.8"/>
    <x v="1932"/>
    <x v="0"/>
    <x v="3"/>
    <s v="tienda_fisica"/>
  </r>
  <r>
    <s v="V01393"/>
    <d v="2024-09-11T00:00:00"/>
    <x v="1"/>
    <n v="9"/>
    <s v="septiembre"/>
    <s v="T3"/>
    <s v="P010"/>
    <x v="1"/>
    <x v="1"/>
    <x v="1"/>
    <n v="1"/>
    <n v="15.1"/>
    <n v="11.61"/>
    <n v="0"/>
    <n v="15.1"/>
    <n v="11.61"/>
    <n v="3.49"/>
    <x v="1933"/>
    <x v="1"/>
    <x v="2"/>
    <s v="tienda_fisica"/>
  </r>
  <r>
    <s v="V01568"/>
    <d v="2025-08-28T00:00:00"/>
    <x v="0"/>
    <n v="8"/>
    <s v="agosto"/>
    <s v="T3"/>
    <s v="P017"/>
    <x v="17"/>
    <x v="0"/>
    <x v="4"/>
    <n v="1"/>
    <n v="49.59"/>
    <n v="22.84"/>
    <n v="0"/>
    <n v="49.59"/>
    <n v="22.84"/>
    <n v="26.750000000000004"/>
    <x v="1934"/>
    <x v="0"/>
    <x v="5"/>
    <s v="tienda_fisica"/>
  </r>
  <r>
    <s v="V00890"/>
    <d v="2025-12-31T00:00:00"/>
    <x v="0"/>
    <n v="12"/>
    <s v="diciembre"/>
    <s v="T4"/>
    <s v="P018"/>
    <x v="5"/>
    <x v="0"/>
    <x v="4"/>
    <n v="6"/>
    <n v="31.69"/>
    <n v="16.649999999999999"/>
    <n v="0"/>
    <n v="190.14000000000001"/>
    <n v="99.899999999999991"/>
    <n v="90.240000000000023"/>
    <x v="1935"/>
    <x v="0"/>
    <x v="2"/>
    <s v="tienda_fisica"/>
  </r>
  <r>
    <s v="V01502"/>
    <d v="2024-06-23T00:00:00"/>
    <x v="1"/>
    <n v="6"/>
    <s v="junio"/>
    <s v="T2"/>
    <s v="P007"/>
    <x v="15"/>
    <x v="1"/>
    <x v="0"/>
    <n v="3"/>
    <n v="19.190000000000001"/>
    <n v="13.33"/>
    <n v="0.2"/>
    <n v="46.056000000000012"/>
    <n v="39.99"/>
    <n v="6.0660000000000096"/>
    <x v="1936"/>
    <x v="1"/>
    <x v="5"/>
    <s v="tienda_fisica"/>
  </r>
  <r>
    <s v="V01661"/>
    <d v="2024-05-23T00:00:00"/>
    <x v="1"/>
    <n v="5"/>
    <s v="mayo"/>
    <s v="T2"/>
    <s v="P007"/>
    <x v="15"/>
    <x v="1"/>
    <x v="0"/>
    <n v="1"/>
    <n v="20.28"/>
    <n v="12.43"/>
    <n v="0"/>
    <n v="20.28"/>
    <n v="12.43"/>
    <n v="7.8500000000000014"/>
    <x v="1937"/>
    <x v="0"/>
    <x v="3"/>
    <s v="tienda_fisica"/>
  </r>
  <r>
    <s v="V01557"/>
    <d v="2024-04-15T00:00:00"/>
    <x v="1"/>
    <n v="4"/>
    <s v="abril"/>
    <s v="T2"/>
    <s v="P003"/>
    <x v="7"/>
    <x v="2"/>
    <x v="3"/>
    <n v="2"/>
    <n v="176.78"/>
    <n v="94.52"/>
    <n v="0"/>
    <n v="353.56"/>
    <n v="189.04"/>
    <n v="164.52"/>
    <x v="1938"/>
    <x v="0"/>
    <x v="4"/>
    <s v="online"/>
  </r>
  <r>
    <s v="V00626"/>
    <d v="2025-01-15T00:00:00"/>
    <x v="0"/>
    <n v="1"/>
    <s v="enero"/>
    <s v="T1"/>
    <s v="P016"/>
    <x v="11"/>
    <x v="2"/>
    <x v="2"/>
    <n v="1"/>
    <n v="78.31"/>
    <n v="39.64"/>
    <n v="0"/>
    <n v="78.31"/>
    <n v="39.64"/>
    <n v="38.67"/>
    <x v="1939"/>
    <x v="0"/>
    <x v="6"/>
    <s v="tienda_fisica"/>
  </r>
  <r>
    <s v="V02111"/>
    <d v="2024-07-24T00:00:00"/>
    <x v="1"/>
    <n v="7"/>
    <s v="julio"/>
    <s v="T3"/>
    <s v="P006"/>
    <x v="0"/>
    <x v="0"/>
    <x v="0"/>
    <n v="5"/>
    <n v="46.18"/>
    <n v="26.23"/>
    <n v="0"/>
    <n v="230.9"/>
    <n v="131.15"/>
    <n v="99.75"/>
    <x v="1940"/>
    <x v="0"/>
    <x v="6"/>
    <s v="online"/>
  </r>
  <r>
    <s v="V01537"/>
    <d v="2025-12-08T00:00:00"/>
    <x v="0"/>
    <n v="12"/>
    <s v="diciembre"/>
    <s v="T4"/>
    <s v="P019"/>
    <x v="14"/>
    <x v="2"/>
    <x v="4"/>
    <n v="4"/>
    <n v="58.5"/>
    <n v="34.090000000000003"/>
    <n v="0"/>
    <n v="234"/>
    <n v="136.36000000000001"/>
    <n v="97.639999999999986"/>
    <x v="1941"/>
    <x v="0"/>
    <x v="0"/>
    <s v="tienda_fisica"/>
  </r>
  <r>
    <s v="V01965"/>
    <d v="2024-04-16T00:00:00"/>
    <x v="1"/>
    <n v="4"/>
    <s v="abril"/>
    <s v="T2"/>
    <s v="P012"/>
    <x v="13"/>
    <x v="1"/>
    <x v="1"/>
    <n v="1"/>
    <n v="8.8800000000000008"/>
    <n v="5.91"/>
    <n v="0"/>
    <n v="8.8800000000000008"/>
    <n v="5.91"/>
    <n v="2.9700000000000006"/>
    <x v="1942"/>
    <x v="1"/>
    <x v="4"/>
    <s v="tienda_fisica"/>
  </r>
  <r>
    <s v="V01886"/>
    <d v="2025-08-23T00:00:00"/>
    <x v="0"/>
    <n v="8"/>
    <s v="agosto"/>
    <s v="T3"/>
    <s v="P013"/>
    <x v="8"/>
    <x v="2"/>
    <x v="2"/>
    <n v="2"/>
    <n v="82.55"/>
    <n v="47.32"/>
    <n v="0"/>
    <n v="165.1"/>
    <n v="94.64"/>
    <n v="70.459999999999994"/>
    <x v="1943"/>
    <x v="0"/>
    <x v="2"/>
    <s v="tienda_fisica"/>
  </r>
  <r>
    <s v="V01097"/>
    <d v="2024-09-22T00:00:00"/>
    <x v="1"/>
    <n v="9"/>
    <s v="septiembre"/>
    <s v="T3"/>
    <s v="P002"/>
    <x v="3"/>
    <x v="2"/>
    <x v="3"/>
    <n v="8"/>
    <n v="74.28"/>
    <n v="45.08"/>
    <n v="0"/>
    <n v="594.24"/>
    <n v="360.64"/>
    <n v="233.60000000000002"/>
    <x v="1944"/>
    <x v="0"/>
    <x v="6"/>
    <s v="online"/>
  </r>
  <r>
    <s v="V01867"/>
    <d v="2025-08-14T00:00:00"/>
    <x v="0"/>
    <n v="8"/>
    <s v="agosto"/>
    <s v="T3"/>
    <s v="P012"/>
    <x v="13"/>
    <x v="1"/>
    <x v="1"/>
    <n v="1"/>
    <n v="8.11"/>
    <n v="6.02"/>
    <n v="0"/>
    <n v="8.11"/>
    <n v="6.02"/>
    <n v="2.09"/>
    <x v="1945"/>
    <x v="1"/>
    <x v="4"/>
    <s v="online"/>
  </r>
  <r>
    <s v="V00953"/>
    <d v="2025-05-24T00:00:00"/>
    <x v="0"/>
    <n v="5"/>
    <s v="mayo"/>
    <s v="T2"/>
    <s v="P018"/>
    <x v="5"/>
    <x v="1"/>
    <x v="4"/>
    <n v="3"/>
    <n v="28.85"/>
    <n v="17.68"/>
    <n v="0"/>
    <n v="86.550000000000011"/>
    <n v="53.04"/>
    <n v="33.510000000000012"/>
    <x v="1946"/>
    <x v="0"/>
    <x v="0"/>
    <s v="tienda_fisica"/>
  </r>
  <r>
    <s v="V00808"/>
    <d v="2024-08-11T00:00:00"/>
    <x v="1"/>
    <n v="8"/>
    <s v="agosto"/>
    <s v="T3"/>
    <s v="P013"/>
    <x v="8"/>
    <x v="2"/>
    <x v="2"/>
    <n v="3"/>
    <n v="75.260000000000005"/>
    <n v="47.86"/>
    <n v="7.0000000000000007E-2"/>
    <n v="209.97540000000001"/>
    <n v="143.57999999999998"/>
    <n v="66.395400000000024"/>
    <x v="1947"/>
    <x v="1"/>
    <x v="3"/>
    <s v="tienda_fisica"/>
  </r>
  <r>
    <s v="V00259"/>
    <d v="2024-05-23T00:00:00"/>
    <x v="1"/>
    <n v="5"/>
    <s v="mayo"/>
    <s v="T2"/>
    <s v="P010"/>
    <x v="1"/>
    <x v="1"/>
    <x v="1"/>
    <n v="4"/>
    <n v="17.52"/>
    <n v="11.42"/>
    <n v="0.15"/>
    <n v="59.567999999999998"/>
    <n v="45.68"/>
    <n v="13.887999999999998"/>
    <x v="1948"/>
    <x v="1"/>
    <x v="1"/>
    <s v="tienda_fisica"/>
  </r>
  <r>
    <s v="V00625"/>
    <d v="2025-05-12T00:00:00"/>
    <x v="0"/>
    <n v="5"/>
    <s v="mayo"/>
    <s v="T2"/>
    <s v="P011"/>
    <x v="10"/>
    <x v="1"/>
    <x v="1"/>
    <n v="1"/>
    <n v="22.51"/>
    <n v="11.03"/>
    <n v="0"/>
    <n v="22.51"/>
    <n v="11.03"/>
    <n v="11.480000000000002"/>
    <x v="1949"/>
    <x v="0"/>
    <x v="4"/>
    <s v="tienda_fisica"/>
  </r>
  <r>
    <s v="V00827"/>
    <d v="2025-05-20T00:00:00"/>
    <x v="0"/>
    <n v="5"/>
    <s v="mayo"/>
    <s v="T2"/>
    <s v="P007"/>
    <x v="15"/>
    <x v="1"/>
    <x v="0"/>
    <n v="1"/>
    <n v="20.66"/>
    <n v="12.91"/>
    <n v="0"/>
    <n v="20.66"/>
    <n v="12.91"/>
    <n v="7.75"/>
    <x v="1950"/>
    <x v="0"/>
    <x v="0"/>
    <s v="tienda_fisica"/>
  </r>
  <r>
    <s v="V00235"/>
    <d v="2025-02-10T00:00:00"/>
    <x v="0"/>
    <n v="2"/>
    <s v="febrero"/>
    <s v="T1"/>
    <s v="P020"/>
    <x v="19"/>
    <x v="2"/>
    <x v="4"/>
    <n v="4"/>
    <n v="59.84"/>
    <n v="32.86"/>
    <n v="0"/>
    <n v="239.36"/>
    <n v="131.44"/>
    <n v="107.92000000000002"/>
    <x v="1951"/>
    <x v="0"/>
    <x v="6"/>
    <s v="online"/>
  </r>
  <r>
    <s v="V00136"/>
    <d v="2025-12-26T00:00:00"/>
    <x v="0"/>
    <n v="12"/>
    <s v="diciembre"/>
    <s v="T4"/>
    <s v="P020"/>
    <x v="19"/>
    <x v="2"/>
    <x v="4"/>
    <n v="2"/>
    <n v="63.34"/>
    <n v="34.35"/>
    <n v="0"/>
    <n v="126.68"/>
    <n v="68.7"/>
    <n v="57.980000000000004"/>
    <x v="1952"/>
    <x v="0"/>
    <x v="6"/>
    <s v="online"/>
  </r>
  <r>
    <s v="V00617"/>
    <d v="2025-01-29T00:00:00"/>
    <x v="0"/>
    <n v="1"/>
    <s v="enero"/>
    <s v="T1"/>
    <s v="P003"/>
    <x v="7"/>
    <x v="2"/>
    <x v="3"/>
    <n v="1"/>
    <n v="171.17"/>
    <n v="98.39"/>
    <n v="0"/>
    <n v="171.17"/>
    <n v="98.39"/>
    <n v="72.779999999999987"/>
    <x v="1953"/>
    <x v="0"/>
    <x v="5"/>
    <s v="online"/>
  </r>
  <r>
    <s v="V01541"/>
    <d v="2025-11-28T00:00:00"/>
    <x v="0"/>
    <n v="11"/>
    <s v="noviembre"/>
    <s v="T4"/>
    <s v="P001"/>
    <x v="9"/>
    <x v="2"/>
    <x v="3"/>
    <n v="6"/>
    <n v="116.08"/>
    <n v="84.71"/>
    <n v="0"/>
    <n v="696.48"/>
    <n v="508.26"/>
    <n v="188.22000000000003"/>
    <x v="1954"/>
    <x v="1"/>
    <x v="0"/>
    <s v="online"/>
  </r>
  <r>
    <s v="V02281"/>
    <d v="2025-04-29T00:00:00"/>
    <x v="0"/>
    <n v="4"/>
    <s v="abril"/>
    <s v="T2"/>
    <s v="P016"/>
    <x v="11"/>
    <x v="2"/>
    <x v="2"/>
    <n v="3"/>
    <n v="82.67"/>
    <n v="41.9"/>
    <n v="0"/>
    <n v="248.01"/>
    <n v="125.69999999999999"/>
    <n v="122.31"/>
    <x v="1955"/>
    <x v="0"/>
    <x v="3"/>
    <s v="online"/>
  </r>
  <r>
    <s v="V00837"/>
    <d v="2025-10-27T00:00:00"/>
    <x v="0"/>
    <n v="10"/>
    <s v="octubre"/>
    <s v="T4"/>
    <s v="P009"/>
    <x v="12"/>
    <x v="1"/>
    <x v="1"/>
    <n v="6"/>
    <n v="8.4700000000000006"/>
    <n v="4.41"/>
    <n v="0"/>
    <n v="50.820000000000007"/>
    <n v="26.46"/>
    <n v="24.360000000000007"/>
    <x v="1956"/>
    <x v="0"/>
    <x v="1"/>
    <s v="online"/>
  </r>
  <r>
    <s v="V00843"/>
    <d v="2025-10-25T00:00:00"/>
    <x v="0"/>
    <n v="10"/>
    <s v="octubre"/>
    <s v="T4"/>
    <s v="P014"/>
    <x v="16"/>
    <x v="1"/>
    <x v="2"/>
    <n v="1"/>
    <n v="13.74"/>
    <n v="9.3000000000000007"/>
    <n v="0.28000000000000003"/>
    <n v="9.8927999999999994"/>
    <n v="9.3000000000000007"/>
    <n v="0.59279999999999866"/>
    <x v="1957"/>
    <x v="1"/>
    <x v="2"/>
    <s v="tienda_fisica"/>
  </r>
  <r>
    <s v="V00960"/>
    <d v="2025-11-27T00:00:00"/>
    <x v="0"/>
    <n v="11"/>
    <s v="noviembre"/>
    <s v="T4"/>
    <s v="P014"/>
    <x v="16"/>
    <x v="1"/>
    <x v="2"/>
    <n v="5"/>
    <n v="14.25"/>
    <n v="9.39"/>
    <n v="0"/>
    <n v="71.25"/>
    <n v="46.95"/>
    <n v="24.299999999999997"/>
    <x v="1958"/>
    <x v="1"/>
    <x v="6"/>
    <s v="tienda_fisica"/>
  </r>
  <r>
    <s v="V01827"/>
    <d v="2025-04-28T00:00:00"/>
    <x v="0"/>
    <n v="4"/>
    <s v="abril"/>
    <s v="T2"/>
    <s v="P009"/>
    <x v="12"/>
    <x v="1"/>
    <x v="1"/>
    <n v="5"/>
    <n v="8.2200000000000006"/>
    <n v="4.32"/>
    <n v="0.17"/>
    <n v="34.113"/>
    <n v="21.6"/>
    <n v="12.512999999999998"/>
    <x v="1959"/>
    <x v="1"/>
    <x v="2"/>
    <s v="online"/>
  </r>
  <r>
    <s v="V01876"/>
    <d v="2025-01-27T00:00:00"/>
    <x v="0"/>
    <n v="1"/>
    <s v="enero"/>
    <s v="T1"/>
    <s v="P002"/>
    <x v="3"/>
    <x v="2"/>
    <x v="3"/>
    <n v="1"/>
    <n v="77.39"/>
    <n v="46.58"/>
    <n v="0.2"/>
    <n v="61.912000000000006"/>
    <n v="46.58"/>
    <n v="15.332000000000008"/>
    <x v="1960"/>
    <x v="1"/>
    <x v="3"/>
    <s v="online"/>
  </r>
  <r>
    <s v="V02178"/>
    <d v="2024-07-30T00:00:00"/>
    <x v="1"/>
    <n v="7"/>
    <s v="julio"/>
    <s v="T3"/>
    <s v="P008"/>
    <x v="4"/>
    <x v="2"/>
    <x v="0"/>
    <n v="1"/>
    <n v="96.94"/>
    <n v="56.75"/>
    <n v="0"/>
    <n v="96.94"/>
    <n v="56.75"/>
    <n v="40.19"/>
    <x v="1961"/>
    <x v="0"/>
    <x v="3"/>
    <s v="tienda_fisica"/>
  </r>
  <r>
    <s v="V00593"/>
    <d v="2024-09-01T00:00:00"/>
    <x v="1"/>
    <n v="9"/>
    <s v="septiembre"/>
    <s v="T3"/>
    <s v="P019"/>
    <x v="14"/>
    <x v="2"/>
    <x v="4"/>
    <n v="3"/>
    <n v="59.74"/>
    <n v="33.770000000000003"/>
    <n v="0"/>
    <n v="179.22"/>
    <n v="101.31"/>
    <n v="77.91"/>
    <x v="1962"/>
    <x v="0"/>
    <x v="0"/>
    <s v="online"/>
  </r>
  <r>
    <s v="V01315"/>
    <d v="2024-07-04T00:00:00"/>
    <x v="1"/>
    <n v="7"/>
    <s v="julio"/>
    <s v="T3"/>
    <s v="P006"/>
    <x v="0"/>
    <x v="0"/>
    <x v="0"/>
    <n v="5"/>
    <n v="43.69"/>
    <n v="26.37"/>
    <n v="0"/>
    <n v="218.45"/>
    <n v="131.85"/>
    <n v="86.6"/>
    <x v="1963"/>
    <x v="0"/>
    <x v="3"/>
    <s v="tienda_fisica"/>
  </r>
  <r>
    <s v="V01526"/>
    <d v="2024-03-05T00:00:00"/>
    <x v="1"/>
    <n v="3"/>
    <s v="marzo"/>
    <s v="T1"/>
    <s v="P003"/>
    <x v="7"/>
    <x v="2"/>
    <x v="3"/>
    <n v="3"/>
    <n v="169.02"/>
    <n v="98.82"/>
    <n v="0"/>
    <n v="507.06000000000006"/>
    <n v="296.45999999999998"/>
    <n v="210.60000000000008"/>
    <x v="1964"/>
    <x v="0"/>
    <x v="3"/>
    <s v="online"/>
  </r>
  <r>
    <s v="V01563"/>
    <d v="2024-04-09T00:00:00"/>
    <x v="1"/>
    <n v="4"/>
    <s v="abril"/>
    <s v="T2"/>
    <s v="P001"/>
    <x v="9"/>
    <x v="2"/>
    <x v="3"/>
    <n v="4"/>
    <n v="128.49"/>
    <n v="82.07"/>
    <n v="0.09"/>
    <n v="467.70360000000005"/>
    <n v="328.28"/>
    <n v="139.42360000000008"/>
    <x v="1965"/>
    <x v="1"/>
    <x v="6"/>
    <s v="tienda_fisica"/>
  </r>
  <r>
    <s v="V01292"/>
    <d v="2024-02-13T00:00:00"/>
    <x v="1"/>
    <n v="2"/>
    <s v="febrero"/>
    <s v="T1"/>
    <s v="P013"/>
    <x v="8"/>
    <x v="2"/>
    <x v="2"/>
    <n v="6"/>
    <n v="77.739999999999995"/>
    <n v="45.8"/>
    <n v="0"/>
    <n v="466.43999999999994"/>
    <n v="274.79999999999995"/>
    <n v="191.64"/>
    <x v="1966"/>
    <x v="0"/>
    <x v="4"/>
    <s v="tienda_fisica"/>
  </r>
  <r>
    <s v="V01753"/>
    <d v="2025-07-09T00:00:00"/>
    <x v="0"/>
    <n v="7"/>
    <s v="julio"/>
    <s v="T3"/>
    <s v="P009"/>
    <x v="12"/>
    <x v="1"/>
    <x v="1"/>
    <n v="2"/>
    <n v="7.51"/>
    <n v="4.12"/>
    <n v="0"/>
    <n v="15.02"/>
    <n v="8.24"/>
    <n v="6.7799999999999994"/>
    <x v="1967"/>
    <x v="0"/>
    <x v="0"/>
    <s v="online"/>
  </r>
  <r>
    <s v="V01606"/>
    <d v="2024-05-13T00:00:00"/>
    <x v="1"/>
    <n v="5"/>
    <s v="mayo"/>
    <s v="T2"/>
    <s v="P010"/>
    <x v="1"/>
    <x v="1"/>
    <x v="1"/>
    <n v="5"/>
    <n v="16.68"/>
    <n v="11.76"/>
    <n v="0"/>
    <n v="83.4"/>
    <n v="58.8"/>
    <n v="24.600000000000009"/>
    <x v="1968"/>
    <x v="1"/>
    <x v="0"/>
    <s v="online"/>
  </r>
  <r>
    <s v="V00344"/>
    <d v="2025-04-15T00:00:00"/>
    <x v="0"/>
    <n v="4"/>
    <s v="abril"/>
    <s v="T2"/>
    <s v="P012"/>
    <x v="13"/>
    <x v="1"/>
    <x v="1"/>
    <n v="4"/>
    <n v="8.6"/>
    <n v="5.54"/>
    <n v="0"/>
    <n v="34.4"/>
    <n v="22.16"/>
    <n v="12.239999999999998"/>
    <x v="1969"/>
    <x v="1"/>
    <x v="3"/>
    <s v="tienda_fisica"/>
  </r>
  <r>
    <s v="V02083"/>
    <d v="2024-05-25T00:00:00"/>
    <x v="1"/>
    <n v="5"/>
    <s v="mayo"/>
    <s v="T2"/>
    <s v="P003"/>
    <x v="7"/>
    <x v="2"/>
    <x v="3"/>
    <n v="1"/>
    <n v="176.19"/>
    <n v="97.42"/>
    <n v="0"/>
    <n v="176.19"/>
    <n v="97.42"/>
    <n v="78.77"/>
    <x v="1970"/>
    <x v="0"/>
    <x v="6"/>
    <s v="tienda_fisica"/>
  </r>
  <r>
    <s v="V02024"/>
    <d v="2025-11-28T00:00:00"/>
    <x v="0"/>
    <n v="11"/>
    <s v="noviembre"/>
    <s v="T4"/>
    <s v="P006"/>
    <x v="0"/>
    <x v="0"/>
    <x v="0"/>
    <n v="1"/>
    <n v="46.64"/>
    <n v="26.94"/>
    <n v="0"/>
    <n v="46.64"/>
    <n v="26.94"/>
    <n v="19.7"/>
    <x v="1971"/>
    <x v="0"/>
    <x v="5"/>
    <s v="online"/>
  </r>
  <r>
    <s v="V00294"/>
    <d v="2024-11-10T00:00:00"/>
    <x v="1"/>
    <n v="11"/>
    <s v="noviembre"/>
    <s v="T4"/>
    <s v="P013"/>
    <x v="8"/>
    <x v="2"/>
    <x v="2"/>
    <n v="1"/>
    <n v="71.400000000000006"/>
    <n v="49.99"/>
    <n v="0"/>
    <n v="71.400000000000006"/>
    <n v="49.99"/>
    <n v="21.410000000000004"/>
    <x v="1972"/>
    <x v="1"/>
    <x v="3"/>
    <s v="tienda_fisica"/>
  </r>
  <r>
    <s v="V00365"/>
    <d v="2024-10-24T00:00:00"/>
    <x v="1"/>
    <n v="10"/>
    <s v="octubre"/>
    <s v="T4"/>
    <s v="P002"/>
    <x v="3"/>
    <x v="2"/>
    <x v="3"/>
    <n v="2"/>
    <n v="77.95"/>
    <n v="49.07"/>
    <n v="0.08"/>
    <n v="143.428"/>
    <n v="98.14"/>
    <n v="45.287999999999997"/>
    <x v="1973"/>
    <x v="1"/>
    <x v="3"/>
    <s v="tienda_fisica"/>
  </r>
  <r>
    <s v="V00179"/>
    <d v="2025-01-09T00:00:00"/>
    <x v="0"/>
    <n v="1"/>
    <s v="enero"/>
    <s v="T1"/>
    <s v="P018"/>
    <x v="5"/>
    <x v="1"/>
    <x v="4"/>
    <n v="3"/>
    <n v="28.66"/>
    <n v="16.68"/>
    <n v="0"/>
    <n v="85.98"/>
    <n v="50.04"/>
    <n v="35.940000000000005"/>
    <x v="1974"/>
    <x v="0"/>
    <x v="2"/>
    <s v="online"/>
  </r>
  <r>
    <s v="V00660"/>
    <d v="2024-06-21T00:00:00"/>
    <x v="1"/>
    <n v="6"/>
    <s v="junio"/>
    <s v="T2"/>
    <s v="P004"/>
    <x v="6"/>
    <x v="2"/>
    <x v="3"/>
    <n v="2"/>
    <n v="174.51"/>
    <n v="105.88"/>
    <n v="0"/>
    <n v="349.02"/>
    <n v="211.76"/>
    <n v="137.26"/>
    <x v="1975"/>
    <x v="0"/>
    <x v="3"/>
    <s v="tienda_fisica "/>
  </r>
  <r>
    <s v="V00997"/>
    <d v="2024-01-29T00:00:00"/>
    <x v="1"/>
    <n v="1"/>
    <s v="enero"/>
    <s v="T1"/>
    <s v="P005"/>
    <x v="18"/>
    <x v="2"/>
    <x v="0"/>
    <n v="1"/>
    <n v="64.290000000000006"/>
    <n v="41.72"/>
    <n v="0"/>
    <n v="64.290000000000006"/>
    <n v="41.72"/>
    <n v="22.570000000000007"/>
    <x v="1976"/>
    <x v="1"/>
    <x v="4"/>
    <s v="tienda_fisica"/>
  </r>
  <r>
    <s v="V00015"/>
    <d v="2024-03-03T00:00:00"/>
    <x v="1"/>
    <n v="3"/>
    <s v="marzo"/>
    <s v="T1"/>
    <s v="P004"/>
    <x v="6"/>
    <x v="2"/>
    <x v="3"/>
    <n v="1"/>
    <n v="159.79"/>
    <n v="107.59"/>
    <n v="0"/>
    <n v="159.79"/>
    <n v="107.59"/>
    <n v="52.199999999999989"/>
    <x v="1977"/>
    <x v="1"/>
    <x v="0"/>
    <s v="online"/>
  </r>
  <r>
    <s v="V01711"/>
    <d v="2025-09-02T00:00:00"/>
    <x v="0"/>
    <n v="9"/>
    <s v="septiembre"/>
    <s v="T3"/>
    <s v="P005"/>
    <x v="18"/>
    <x v="2"/>
    <x v="0"/>
    <n v="8"/>
    <n v="61.59"/>
    <n v="40.619999999999997"/>
    <n v="0"/>
    <n v="492.72"/>
    <n v="324.95999999999998"/>
    <n v="167.76000000000005"/>
    <x v="1978"/>
    <x v="1"/>
    <x v="3"/>
    <s v="online"/>
  </r>
  <r>
    <s v="V01111"/>
    <d v="2025-09-15T00:00:00"/>
    <x v="0"/>
    <n v="9"/>
    <s v="septiembre"/>
    <s v="T3"/>
    <s v="P019"/>
    <x v="14"/>
    <x v="0"/>
    <x v="4"/>
    <n v="1"/>
    <n v="58.04"/>
    <n v="32.51"/>
    <n v="0"/>
    <n v="58.04"/>
    <n v="32.51"/>
    <n v="25.53"/>
    <x v="1979"/>
    <x v="0"/>
    <x v="4"/>
    <s v="tienda_fisica"/>
  </r>
  <r>
    <s v="V01395"/>
    <d v="2024-10-07T00:00:00"/>
    <x v="1"/>
    <n v="10"/>
    <s v="octubre"/>
    <s v="T4"/>
    <s v="P004"/>
    <x v="6"/>
    <x v="2"/>
    <x v="3"/>
    <n v="4"/>
    <n v="164.05"/>
    <n v="108.08"/>
    <n v="0.06"/>
    <n v="616.82799999999997"/>
    <n v="432.32"/>
    <n v="184.50799999999998"/>
    <x v="1980"/>
    <x v="1"/>
    <x v="0"/>
    <s v="online"/>
  </r>
  <r>
    <s v="V00166"/>
    <d v="2024-05-11T00:00:00"/>
    <x v="1"/>
    <n v="5"/>
    <s v="mayo"/>
    <s v="T2"/>
    <s v="P012"/>
    <x v="13"/>
    <x v="1"/>
    <x v="1"/>
    <n v="4"/>
    <n v="9.39"/>
    <n v="5.73"/>
    <n v="0"/>
    <n v="37.56"/>
    <n v="22.92"/>
    <n v="14.64"/>
    <x v="1981"/>
    <x v="0"/>
    <x v="5"/>
    <s v="tienda_fisica"/>
  </r>
  <r>
    <s v="V02225"/>
    <d v="2025-03-30T00:00:00"/>
    <x v="0"/>
    <n v="3"/>
    <s v="marzo"/>
    <s v="T1"/>
    <s v="P008"/>
    <x v="4"/>
    <x v="2"/>
    <x v="0"/>
    <n v="3"/>
    <n v="100.92"/>
    <n v="58.3"/>
    <n v="0"/>
    <n v="302.76"/>
    <n v="174.89999999999998"/>
    <n v="127.86000000000001"/>
    <x v="1982"/>
    <x v="0"/>
    <x v="3"/>
    <s v="tienda_fisica"/>
  </r>
  <r>
    <s v="V01360"/>
    <d v="2025-01-13T00:00:00"/>
    <x v="0"/>
    <n v="1"/>
    <s v="enero"/>
    <s v="T1"/>
    <s v="P003"/>
    <x v="7"/>
    <x v="2"/>
    <x v="3"/>
    <n v="1"/>
    <n v="167.75"/>
    <n v="98.83"/>
    <n v="0"/>
    <n v="167.75"/>
    <n v="98.83"/>
    <n v="68.92"/>
    <x v="1983"/>
    <x v="0"/>
    <x v="3"/>
    <s v="online"/>
  </r>
  <r>
    <s v="V00060"/>
    <d v="2024-10-28T00:00:00"/>
    <x v="1"/>
    <n v="10"/>
    <s v="octubre"/>
    <s v="T4"/>
    <s v="P003"/>
    <x v="7"/>
    <x v="2"/>
    <x v="3"/>
    <n v="1"/>
    <n v="176.96"/>
    <n v="94.48"/>
    <n v="0"/>
    <n v="176.96"/>
    <n v="94.48"/>
    <n v="82.48"/>
    <x v="1984"/>
    <x v="0"/>
    <x v="3"/>
    <s v="tienda_fisica"/>
  </r>
  <r>
    <s v="V00710"/>
    <d v="2024-10-17T00:00:00"/>
    <x v="1"/>
    <n v="10"/>
    <s v="octubre"/>
    <s v="T4"/>
    <s v="P007"/>
    <x v="15"/>
    <x v="1"/>
    <x v="0"/>
    <n v="3"/>
    <n v="21.09"/>
    <n v="13.01"/>
    <n v="0"/>
    <n v="63.269999999999996"/>
    <n v="39.03"/>
    <n v="24.239999999999995"/>
    <x v="1985"/>
    <x v="0"/>
    <x v="3"/>
    <s v="online"/>
  </r>
  <r>
    <s v="V01879"/>
    <d v="2024-03-31T00:00:00"/>
    <x v="1"/>
    <n v="3"/>
    <s v="marzo"/>
    <s v="T1"/>
    <s v="P004"/>
    <x v="6"/>
    <x v="2"/>
    <x v="3"/>
    <n v="1"/>
    <n v="152.41999999999999"/>
    <n v="113.65"/>
    <n v="0"/>
    <n v="152.41999999999999"/>
    <n v="113.65"/>
    <n v="38.769999999999982"/>
    <x v="1986"/>
    <x v="1"/>
    <x v="3"/>
    <s v="online"/>
  </r>
  <r>
    <s v="V00677"/>
    <d v="2024-01-20T00:00:00"/>
    <x v="1"/>
    <n v="1"/>
    <s v="enero"/>
    <s v="T1"/>
    <s v="P006"/>
    <x v="0"/>
    <x v="0"/>
    <x v="0"/>
    <n v="1"/>
    <n v="47.92"/>
    <n v="27.49"/>
    <n v="0"/>
    <n v="47.92"/>
    <n v="27.49"/>
    <n v="20.430000000000003"/>
    <x v="1987"/>
    <x v="0"/>
    <x v="4"/>
    <s v="tienda_fisica"/>
  </r>
  <r>
    <s v="V01379"/>
    <d v="2025-04-19T00:00:00"/>
    <x v="0"/>
    <n v="4"/>
    <s v="abril"/>
    <s v="T2"/>
    <s v="P013"/>
    <x v="8"/>
    <x v="2"/>
    <x v="2"/>
    <n v="1"/>
    <n v="75.400000000000006"/>
    <n v="49.76"/>
    <n v="0"/>
    <n v="75.400000000000006"/>
    <n v="49.76"/>
    <n v="25.640000000000008"/>
    <x v="1988"/>
    <x v="1"/>
    <x v="5"/>
    <s v="tienda_fisica"/>
  </r>
  <r>
    <s v="V00781"/>
    <d v="2024-10-11T00:00:00"/>
    <x v="1"/>
    <n v="10"/>
    <s v="octubre"/>
    <s v="T4"/>
    <s v="P004"/>
    <x v="6"/>
    <x v="2"/>
    <x v="3"/>
    <n v="3"/>
    <n v="163.51"/>
    <n v="112.04"/>
    <n v="0"/>
    <n v="490.53"/>
    <n v="336.12"/>
    <n v="154.40999999999997"/>
    <x v="1989"/>
    <x v="1"/>
    <x v="4"/>
    <s v="tienda_fisica"/>
  </r>
  <r>
    <s v="V00425"/>
    <d v="2024-06-20T00:00:00"/>
    <x v="1"/>
    <n v="6"/>
    <s v="junio"/>
    <s v="T2"/>
    <s v="P009"/>
    <x v="12"/>
    <x v="1"/>
    <x v="1"/>
    <n v="2"/>
    <n v="7.51"/>
    <n v="4.2699999999999996"/>
    <n v="0.1"/>
    <n v="13.518000000000001"/>
    <n v="8.5399999999999991"/>
    <n v="4.9780000000000015"/>
    <x v="1990"/>
    <x v="1"/>
    <x v="2"/>
    <s v="online"/>
  </r>
  <r>
    <s v="V00293"/>
    <d v="2024-07-19T00:00:00"/>
    <x v="1"/>
    <n v="7"/>
    <s v="julio"/>
    <s v="T3"/>
    <s v="P016"/>
    <x v="11"/>
    <x v="2"/>
    <x v="2"/>
    <n v="3"/>
    <n v="81.31"/>
    <n v="39"/>
    <n v="0"/>
    <n v="243.93"/>
    <n v="117"/>
    <n v="126.93"/>
    <x v="1991"/>
    <x v="0"/>
    <x v="2"/>
    <s v="tienda_fisica"/>
  </r>
  <r>
    <s v="V01066"/>
    <d v="2025-10-08T00:00:00"/>
    <x v="0"/>
    <n v="10"/>
    <s v="octubre"/>
    <s v="T4"/>
    <s v="P020"/>
    <x v="19"/>
    <x v="2"/>
    <x v="4"/>
    <n v="2"/>
    <n v="59.14"/>
    <n v="35.43"/>
    <n v="0"/>
    <n v="118.28"/>
    <n v="70.86"/>
    <n v="47.42"/>
    <x v="1992"/>
    <x v="0"/>
    <x v="5"/>
    <s v="tienda_fisica"/>
  </r>
  <r>
    <s v="V02165"/>
    <d v="2025-07-10T00:00:00"/>
    <x v="0"/>
    <n v="7"/>
    <s v="julio"/>
    <s v="T3"/>
    <s v="P020"/>
    <x v="19"/>
    <x v="0"/>
    <x v="4"/>
    <n v="3"/>
    <n v="57.19"/>
    <n v="32.44"/>
    <n v="0"/>
    <n v="171.57"/>
    <n v="97.32"/>
    <n v="74.25"/>
    <x v="1993"/>
    <x v="0"/>
    <x v="3"/>
    <s v="online"/>
  </r>
  <r>
    <s v="V00330"/>
    <d v="2025-11-24T00:00:00"/>
    <x v="0"/>
    <n v="11"/>
    <s v="noviembre"/>
    <s v="T4"/>
    <s v="P019"/>
    <x v="14"/>
    <x v="0"/>
    <x v="4"/>
    <n v="1"/>
    <n v="55.07"/>
    <n v="31.3"/>
    <n v="0"/>
    <n v="55.07"/>
    <n v="31.3"/>
    <n v="23.77"/>
    <x v="1994"/>
    <x v="0"/>
    <x v="6"/>
    <s v="online"/>
  </r>
  <r>
    <s v="V01639"/>
    <d v="2025-08-15T00:00:00"/>
    <x v="0"/>
    <n v="8"/>
    <s v="agosto"/>
    <s v="T3"/>
    <s v="P006"/>
    <x v="0"/>
    <x v="0"/>
    <x v="0"/>
    <n v="2"/>
    <n v="50.26"/>
    <n v="25.55"/>
    <n v="0"/>
    <n v="100.52"/>
    <n v="51.1"/>
    <n v="49.419999999999995"/>
    <x v="1995"/>
    <x v="0"/>
    <x v="3"/>
    <s v="online"/>
  </r>
  <r>
    <s v="V00430"/>
    <d v="2024-07-12T00:00:00"/>
    <x v="1"/>
    <n v="7"/>
    <s v="julio"/>
    <s v="T3"/>
    <s v="P009"/>
    <x v="12"/>
    <x v="1"/>
    <x v="1"/>
    <n v="1"/>
    <n v="7.87"/>
    <n v="4.2699999999999996"/>
    <n v="0.25"/>
    <n v="5.9024999999999999"/>
    <n v="4.2699999999999996"/>
    <n v="1.6325000000000003"/>
    <x v="1996"/>
    <x v="1"/>
    <x v="3"/>
    <s v="tienda_fisica"/>
  </r>
  <r>
    <s v="V01013"/>
    <d v="2024-02-17T00:00:00"/>
    <x v="1"/>
    <n v="2"/>
    <s v="febrero"/>
    <s v="T1"/>
    <s v="P016"/>
    <x v="11"/>
    <x v="2"/>
    <x v="2"/>
    <n v="1"/>
    <n v="76.69"/>
    <n v="40.53"/>
    <n v="0"/>
    <n v="76.69"/>
    <n v="40.53"/>
    <n v="36.159999999999997"/>
    <x v="1997"/>
    <x v="0"/>
    <x v="1"/>
    <s v="tienda_fisica"/>
  </r>
  <r>
    <s v="V00080"/>
    <d v="2025-04-28T00:00:00"/>
    <x v="0"/>
    <n v="4"/>
    <s v="abril"/>
    <s v="T2"/>
    <s v="P016"/>
    <x v="11"/>
    <x v="2"/>
    <x v="2"/>
    <n v="2"/>
    <n v="78.97"/>
    <n v="42.57"/>
    <n v="0"/>
    <n v="157.94"/>
    <n v="85.14"/>
    <n v="72.8"/>
    <x v="1998"/>
    <x v="0"/>
    <x v="3"/>
    <s v="tienda_fisica"/>
  </r>
  <r>
    <s v="V01718"/>
    <d v="2024-02-03T00:00:00"/>
    <x v="1"/>
    <n v="2"/>
    <s v="febrero"/>
    <s v="T1"/>
    <s v="P010"/>
    <x v="1"/>
    <x v="1"/>
    <x v="1"/>
    <n v="4"/>
    <n v="16.09"/>
    <n v="11.44"/>
    <n v="0"/>
    <n v="64.36"/>
    <n v="45.76"/>
    <n v="18.600000000000001"/>
    <x v="1999"/>
    <x v="1"/>
    <x v="3"/>
    <s v="online"/>
  </r>
  <r>
    <s v="V01053"/>
    <d v="2024-11-04T00:00:00"/>
    <x v="1"/>
    <n v="11"/>
    <s v="noviembre"/>
    <s v="T4"/>
    <s v="P005"/>
    <x v="18"/>
    <x v="0"/>
    <x v="0"/>
    <n v="4"/>
    <n v="55.54"/>
    <n v="39.74"/>
    <n v="0"/>
    <n v="222.16"/>
    <n v="158.96"/>
    <n v="63.199999999999989"/>
    <x v="2000"/>
    <x v="1"/>
    <x v="4"/>
    <s v="tienda_fisica"/>
  </r>
  <r>
    <s v="V00938"/>
    <d v="2024-04-18T00:00:00"/>
    <x v="1"/>
    <n v="4"/>
    <s v="abril"/>
    <s v="T2"/>
    <s v="P019"/>
    <x v="14"/>
    <x v="0"/>
    <x v="4"/>
    <n v="4"/>
    <n v="56.63"/>
    <n v="32.49"/>
    <n v="0"/>
    <n v="226.52"/>
    <n v="129.96"/>
    <n v="96.56"/>
    <x v="2001"/>
    <x v="0"/>
    <x v="2"/>
    <s v="tienda_fisica"/>
  </r>
  <r>
    <s v="V01732"/>
    <d v="2024-01-04T00:00:00"/>
    <x v="1"/>
    <n v="1"/>
    <s v="enero"/>
    <s v="T1"/>
    <s v="P019"/>
    <x v="14"/>
    <x v="0"/>
    <x v="4"/>
    <n v="5"/>
    <n v="56.3"/>
    <n v="31.88"/>
    <n v="0"/>
    <n v="281.5"/>
    <n v="159.4"/>
    <n v="122.1"/>
    <x v="2002"/>
    <x v="0"/>
    <x v="3"/>
    <s v="tienda_fisica"/>
  </r>
  <r>
    <s v="V01917"/>
    <d v="2025-10-03T00:00:00"/>
    <x v="0"/>
    <n v="10"/>
    <s v="octubre"/>
    <s v="T4"/>
    <s v="P006"/>
    <x v="0"/>
    <x v="0"/>
    <x v="0"/>
    <n v="2"/>
    <n v="43.52"/>
    <n v="26.81"/>
    <n v="0"/>
    <n v="87.04"/>
    <n v="53.62"/>
    <n v="33.420000000000009"/>
    <x v="2003"/>
    <x v="0"/>
    <x v="4"/>
    <s v="online"/>
  </r>
  <r>
    <s v="V01943"/>
    <d v="2025-03-16T00:00:00"/>
    <x v="0"/>
    <n v="3"/>
    <s v="marzo"/>
    <s v="T1"/>
    <s v="P018"/>
    <x v="5"/>
    <x v="1"/>
    <x v="4"/>
    <n v="3"/>
    <n v="28.78"/>
    <n v="17.670000000000002"/>
    <n v="0"/>
    <n v="86.34"/>
    <n v="53.010000000000005"/>
    <n v="33.33"/>
    <x v="2004"/>
    <x v="0"/>
    <x v="6"/>
    <s v="online"/>
  </r>
  <r>
    <s v="V00835"/>
    <d v="2024-06-20T00:00:00"/>
    <x v="1"/>
    <n v="6"/>
    <s v="junio"/>
    <s v="T2"/>
    <s v="P006"/>
    <x v="0"/>
    <x v="0"/>
    <x v="0"/>
    <n v="4"/>
    <n v="49.97"/>
    <n v="26.35"/>
    <n v="0"/>
    <n v="199.88"/>
    <n v="105.4"/>
    <n v="94.47999999999999"/>
    <x v="2005"/>
    <x v="0"/>
    <x v="3"/>
    <s v="tienda_fisica"/>
  </r>
  <r>
    <s v="V00750"/>
    <d v="2025-01-16T00:00:00"/>
    <x v="0"/>
    <n v="1"/>
    <s v="enero"/>
    <s v="T1"/>
    <s v="P002"/>
    <x v="3"/>
    <x v="2"/>
    <x v="3"/>
    <n v="1"/>
    <n v="79.010000000000005"/>
    <n v="46.99"/>
    <n v="0"/>
    <n v="79.010000000000005"/>
    <n v="46.99"/>
    <n v="32.020000000000003"/>
    <x v="2006"/>
    <x v="0"/>
    <x v="3"/>
    <s v="tienda_fisica"/>
  </r>
  <r>
    <s v="V00891"/>
    <d v="2024-01-06T00:00:00"/>
    <x v="1"/>
    <n v="1"/>
    <s v="enero"/>
    <s v="T1"/>
    <s v="P006"/>
    <x v="0"/>
    <x v="0"/>
    <x v="0"/>
    <n v="1"/>
    <n v="44.52"/>
    <n v="25.73"/>
    <n v="0"/>
    <n v="44.52"/>
    <n v="25.73"/>
    <n v="18.790000000000003"/>
    <x v="2007"/>
    <x v="0"/>
    <x v="4"/>
    <s v="tienda_fisica"/>
  </r>
  <r>
    <s v="V00255"/>
    <d v="2025-08-14T00:00:00"/>
    <x v="0"/>
    <n v="8"/>
    <s v="agosto"/>
    <s v="T3"/>
    <s v="P003"/>
    <x v="7"/>
    <x v="2"/>
    <x v="3"/>
    <n v="1"/>
    <n v="176.51"/>
    <n v="91.95"/>
    <n v="0"/>
    <n v="176.51"/>
    <n v="91.95"/>
    <n v="84.559999999999988"/>
    <x v="2008"/>
    <x v="0"/>
    <x v="3"/>
    <s v="tienda_fisica"/>
  </r>
  <r>
    <s v="V01185"/>
    <d v="2025-11-21T00:00:00"/>
    <x v="0"/>
    <n v="11"/>
    <s v="noviembre"/>
    <s v="T4"/>
    <s v="P010"/>
    <x v="1"/>
    <x v="1"/>
    <x v="1"/>
    <n v="2"/>
    <n v="16.309999999999999"/>
    <n v="11.72"/>
    <n v="0"/>
    <n v="32.619999999999997"/>
    <n v="23.44"/>
    <n v="9.1799999999999962"/>
    <x v="2009"/>
    <x v="1"/>
    <x v="2"/>
    <s v="tienda_fisica"/>
  </r>
  <r>
    <s v="V01483"/>
    <d v="2025-04-19T00:00:00"/>
    <x v="0"/>
    <n v="4"/>
    <s v="abril"/>
    <s v="T2"/>
    <s v="P007"/>
    <x v="15"/>
    <x v="1"/>
    <x v="0"/>
    <n v="1"/>
    <n v="20.29"/>
    <n v="12.39"/>
    <n v="0"/>
    <n v="20.29"/>
    <n v="12.39"/>
    <n v="7.8999999999999986"/>
    <x v="2010"/>
    <x v="0"/>
    <x v="3"/>
    <s v="tienda_fisica"/>
  </r>
  <r>
    <s v="V02280"/>
    <d v="2024-09-23T00:00:00"/>
    <x v="1"/>
    <n v="9"/>
    <s v="septiembre"/>
    <s v="T3"/>
    <s v="P015"/>
    <x v="2"/>
    <x v="2"/>
    <x v="2"/>
    <n v="2"/>
    <n v="79.069999999999993"/>
    <n v="41.15"/>
    <n v="0"/>
    <n v="158.13999999999999"/>
    <n v="82.3"/>
    <n v="75.839999999999989"/>
    <x v="2011"/>
    <x v="0"/>
    <x v="3"/>
    <s v="tienda_fisica"/>
  </r>
  <r>
    <s v="V01408"/>
    <d v="2024-01-25T00:00:00"/>
    <x v="1"/>
    <n v="1"/>
    <s v="enero"/>
    <s v="T1"/>
    <s v="P017"/>
    <x v="17"/>
    <x v="0"/>
    <x v="4"/>
    <n v="1"/>
    <n v="49.33"/>
    <n v="23.19"/>
    <n v="0"/>
    <n v="49.33"/>
    <n v="23.19"/>
    <n v="26.139999999999997"/>
    <x v="2012"/>
    <x v="0"/>
    <x v="3"/>
    <s v="online"/>
  </r>
  <r>
    <s v="V01338"/>
    <d v="2024-07-24T00:00:00"/>
    <x v="1"/>
    <n v="7"/>
    <s v="julio"/>
    <s v="T3"/>
    <s v="P016"/>
    <x v="11"/>
    <x v="2"/>
    <x v="2"/>
    <n v="2"/>
    <n v="75.45"/>
    <n v="42.38"/>
    <n v="0.24"/>
    <n v="114.68400000000001"/>
    <n v="84.76"/>
    <n v="29.924000000000007"/>
    <x v="2013"/>
    <x v="1"/>
    <x v="3"/>
    <s v="tienda_fisica"/>
  </r>
  <r>
    <s v="V01109"/>
    <d v="2025-12-29T00:00:00"/>
    <x v="0"/>
    <n v="12"/>
    <s v="diciembre"/>
    <s v="T4"/>
    <s v="P018"/>
    <x v="5"/>
    <x v="0"/>
    <x v="4"/>
    <n v="2"/>
    <n v="33.33"/>
    <n v="16.670000000000002"/>
    <n v="0"/>
    <n v="66.66"/>
    <n v="33.340000000000003"/>
    <n v="33.319999999999993"/>
    <x v="2014"/>
    <x v="0"/>
    <x v="6"/>
    <s v="tienda_fisica"/>
  </r>
  <r>
    <s v="V01599"/>
    <d v="2025-02-20T00:00:00"/>
    <x v="0"/>
    <n v="2"/>
    <s v="febrero"/>
    <s v="T1"/>
    <s v="P017"/>
    <x v="17"/>
    <x v="0"/>
    <x v="4"/>
    <n v="3"/>
    <n v="52.58"/>
    <n v="22.69"/>
    <n v="0.25"/>
    <n v="118.30500000000001"/>
    <n v="68.070000000000007"/>
    <n v="50.234999999999999"/>
    <x v="2015"/>
    <x v="0"/>
    <x v="2"/>
    <s v="tienda_fisica"/>
  </r>
  <r>
    <s v="V02228"/>
    <d v="2024-12-03T00:00:00"/>
    <x v="1"/>
    <n v="12"/>
    <s v="diciembre"/>
    <s v="T4"/>
    <s v="P017"/>
    <x v="17"/>
    <x v="0"/>
    <x v="4"/>
    <n v="1"/>
    <n v="47"/>
    <n v="22.5"/>
    <n v="0"/>
    <n v="47"/>
    <n v="22.5"/>
    <n v="24.5"/>
    <x v="2016"/>
    <x v="0"/>
    <x v="4"/>
    <s v="tienda_fisica"/>
  </r>
  <r>
    <s v="V00137"/>
    <d v="2024-04-05T00:00:00"/>
    <x v="1"/>
    <n v="4"/>
    <s v="abril"/>
    <s v="T2"/>
    <s v="P017"/>
    <x v="17"/>
    <x v="0"/>
    <x v="4"/>
    <n v="2"/>
    <n v="46.81"/>
    <n v="22.04"/>
    <n v="0"/>
    <n v="93.62"/>
    <n v="44.08"/>
    <n v="49.540000000000006"/>
    <x v="2017"/>
    <x v="0"/>
    <x v="1"/>
    <s v="tienda_fisica"/>
  </r>
  <r>
    <s v="V01136"/>
    <d v="2024-10-05T00:00:00"/>
    <x v="1"/>
    <n v="10"/>
    <s v="octubre"/>
    <s v="T4"/>
    <s v="P002"/>
    <x v="3"/>
    <x v="2"/>
    <x v="3"/>
    <n v="2"/>
    <n v="77.56"/>
    <n v="47.23"/>
    <n v="0"/>
    <n v="155.12"/>
    <n v="94.46"/>
    <n v="60.660000000000011"/>
    <x v="2018"/>
    <x v="0"/>
    <x v="2"/>
    <s v="tienda_fisica"/>
  </r>
  <r>
    <s v="V01219"/>
    <d v="2025-01-07T00:00:00"/>
    <x v="0"/>
    <n v="1"/>
    <s v="enero"/>
    <s v="T1"/>
    <s v="P002"/>
    <x v="3"/>
    <x v="2"/>
    <x v="3"/>
    <n v="4"/>
    <n v="77.19"/>
    <n v="45.36"/>
    <n v="0"/>
    <n v="308.76"/>
    <n v="181.44"/>
    <n v="127.32"/>
    <x v="2019"/>
    <x v="0"/>
    <x v="0"/>
    <s v="tienda_fisica"/>
  </r>
  <r>
    <s v="V00853"/>
    <d v="2025-12-14T00:00:00"/>
    <x v="0"/>
    <n v="12"/>
    <s v="diciembre"/>
    <s v="T4"/>
    <s v="P012"/>
    <x v="13"/>
    <x v="1"/>
    <x v="1"/>
    <n v="2"/>
    <n v="8.7100000000000009"/>
    <n v="6.01"/>
    <n v="0"/>
    <n v="17.420000000000002"/>
    <n v="12.02"/>
    <n v="5.4000000000000021"/>
    <x v="2020"/>
    <x v="1"/>
    <x v="3"/>
    <s v="online"/>
  </r>
  <r>
    <s v="V01203"/>
    <d v="2025-03-06T00:00:00"/>
    <x v="0"/>
    <n v="3"/>
    <s v="marzo"/>
    <s v="T1"/>
    <s v="P019"/>
    <x v="14"/>
    <x v="0"/>
    <x v="4"/>
    <n v="2"/>
    <n v="54.79"/>
    <n v="32.159999999999997"/>
    <n v="0"/>
    <n v="109.58"/>
    <n v="64.319999999999993"/>
    <n v="45.260000000000005"/>
    <x v="2021"/>
    <x v="0"/>
    <x v="4"/>
    <s v="online"/>
  </r>
  <r>
    <s v="V01580"/>
    <d v="2025-09-28T00:00:00"/>
    <x v="0"/>
    <n v="9"/>
    <s v="septiembre"/>
    <s v="T3"/>
    <s v="P017"/>
    <x v="17"/>
    <x v="0"/>
    <x v="4"/>
    <n v="2"/>
    <n v="49.07"/>
    <n v="21.66"/>
    <n v="0.22"/>
    <n v="76.549199999999999"/>
    <n v="43.32"/>
    <n v="33.229199999999999"/>
    <x v="2022"/>
    <x v="0"/>
    <x v="2"/>
    <s v="online"/>
  </r>
  <r>
    <s v="V00724"/>
    <d v="2025-11-02T00:00:00"/>
    <x v="0"/>
    <n v="11"/>
    <s v="noviembre"/>
    <s v="T4"/>
    <s v="P006"/>
    <x v="0"/>
    <x v="0"/>
    <x v="0"/>
    <n v="9"/>
    <n v="47.48"/>
    <n v="26.59"/>
    <n v="0"/>
    <n v="427.32"/>
    <n v="239.31"/>
    <n v="188.01"/>
    <x v="2023"/>
    <x v="0"/>
    <x v="0"/>
    <s v="tienda_fisica"/>
  </r>
  <r>
    <s v="V00860"/>
    <d v="2024-09-22T00:00:00"/>
    <x v="1"/>
    <n v="9"/>
    <s v="septiembre"/>
    <s v="T3"/>
    <s v="P007"/>
    <x v="15"/>
    <x v="1"/>
    <x v="0"/>
    <n v="2"/>
    <n v="18.61"/>
    <n v="13.08"/>
    <n v="7.0000000000000007E-2"/>
    <n v="34.614599999999996"/>
    <n v="26.16"/>
    <n v="8.4545999999999957"/>
    <x v="2024"/>
    <x v="1"/>
    <x v="6"/>
    <s v="tienda_fisica"/>
  </r>
  <r>
    <s v="V00970"/>
    <d v="2024-09-01T00:00:00"/>
    <x v="1"/>
    <n v="9"/>
    <s v="septiembre"/>
    <s v="T3"/>
    <s v="P013"/>
    <x v="8"/>
    <x v="2"/>
    <x v="2"/>
    <n v="1"/>
    <n v="78.38"/>
    <n v="47.61"/>
    <n v="0"/>
    <n v="78.38"/>
    <n v="47.61"/>
    <n v="30.769999999999996"/>
    <x v="2025"/>
    <x v="0"/>
    <x v="3"/>
    <s v="tienda_fisica"/>
  </r>
  <r>
    <s v="V00497"/>
    <d v="2025-03-20T00:00:00"/>
    <x v="0"/>
    <n v="3"/>
    <s v="marzo"/>
    <s v="T1"/>
    <s v="P012"/>
    <x v="13"/>
    <x v="1"/>
    <x v="1"/>
    <n v="4"/>
    <n v="8.06"/>
    <n v="5.93"/>
    <n v="0"/>
    <n v="32.24"/>
    <n v="23.72"/>
    <n v="8.5200000000000031"/>
    <x v="2026"/>
    <x v="1"/>
    <x v="0"/>
    <s v="tienda_fisica"/>
  </r>
  <r>
    <s v="V00951"/>
    <d v="2024-03-09T00:00:00"/>
    <x v="1"/>
    <n v="3"/>
    <s v="marzo"/>
    <s v="T1"/>
    <s v="P016"/>
    <x v="11"/>
    <x v="2"/>
    <x v="2"/>
    <n v="2"/>
    <n v="82.25"/>
    <n v="40.409999999999997"/>
    <n v="0"/>
    <n v="164.5"/>
    <n v="80.819999999999993"/>
    <n v="83.68"/>
    <x v="2027"/>
    <x v="0"/>
    <x v="3"/>
    <s v="tienda_fisica"/>
  </r>
  <r>
    <s v="V00806"/>
    <d v="2025-01-18T00:00:00"/>
    <x v="0"/>
    <n v="1"/>
    <s v="enero"/>
    <s v="T1"/>
    <s v="P017"/>
    <x v="17"/>
    <x v="0"/>
    <x v="4"/>
    <n v="2"/>
    <n v="50.87"/>
    <n v="23.18"/>
    <n v="0"/>
    <n v="101.74"/>
    <n v="46.36"/>
    <n v="55.379999999999995"/>
    <x v="2028"/>
    <x v="0"/>
    <x v="0"/>
    <s v="tienda_fisica"/>
  </r>
  <r>
    <s v="V01830"/>
    <d v="2024-09-04T00:00:00"/>
    <x v="1"/>
    <n v="9"/>
    <s v="septiembre"/>
    <s v="T3"/>
    <s v="P017"/>
    <x v="17"/>
    <x v="0"/>
    <x v="4"/>
    <n v="2"/>
    <n v="52.19"/>
    <n v="23.78"/>
    <n v="0"/>
    <n v="104.38"/>
    <n v="47.56"/>
    <n v="56.819999999999993"/>
    <x v="2029"/>
    <x v="0"/>
    <x v="3"/>
    <s v="tienda_fisica"/>
  </r>
  <r>
    <s v="V00130"/>
    <d v="2024-02-28T00:00:00"/>
    <x v="1"/>
    <n v="2"/>
    <s v="febrero"/>
    <s v="T1"/>
    <s v="P002"/>
    <x v="3"/>
    <x v="2"/>
    <x v="3"/>
    <n v="4"/>
    <n v="68.959999999999994"/>
    <n v="47.67"/>
    <n v="0"/>
    <n v="275.83999999999997"/>
    <n v="190.68"/>
    <n v="85.159999999999968"/>
    <x v="2030"/>
    <x v="1"/>
    <x v="3"/>
    <s v="online"/>
  </r>
  <r>
    <s v="V01740"/>
    <d v="2024-08-28T00:00:00"/>
    <x v="1"/>
    <n v="8"/>
    <s v="agosto"/>
    <s v="T3"/>
    <s v="P003"/>
    <x v="7"/>
    <x v="2"/>
    <x v="3"/>
    <n v="4"/>
    <n v="177.85"/>
    <n v="98.83"/>
    <n v="0"/>
    <n v="711.4"/>
    <n v="395.32"/>
    <n v="316.08"/>
    <x v="2031"/>
    <x v="0"/>
    <x v="3"/>
    <s v="tienda_fisica"/>
  </r>
  <r>
    <s v="V00338"/>
    <d v="2024-01-30T00:00:00"/>
    <x v="1"/>
    <n v="1"/>
    <s v="enero"/>
    <s v="T1"/>
    <s v="P019"/>
    <x v="14"/>
    <x v="0"/>
    <x v="4"/>
    <n v="1"/>
    <n v="54.98"/>
    <n v="31.21"/>
    <n v="0"/>
    <n v="54.98"/>
    <n v="31.21"/>
    <n v="23.769999999999996"/>
    <x v="2032"/>
    <x v="0"/>
    <x v="3"/>
    <s v="tienda_fisica"/>
  </r>
  <r>
    <s v="V00731"/>
    <d v="2024-04-29T00:00:00"/>
    <x v="1"/>
    <n v="4"/>
    <s v="abril"/>
    <s v="T2"/>
    <s v="P016"/>
    <x v="11"/>
    <x v="2"/>
    <x v="2"/>
    <n v="2"/>
    <n v="72.819999999999993"/>
    <n v="40.14"/>
    <n v="0"/>
    <n v="145.63999999999999"/>
    <n v="80.28"/>
    <n v="65.359999999999985"/>
    <x v="2033"/>
    <x v="0"/>
    <x v="0"/>
    <s v="tienda_fisica"/>
  </r>
  <r>
    <s v="V00609"/>
    <d v="2024-07-01T00:00:00"/>
    <x v="1"/>
    <n v="7"/>
    <s v="julio"/>
    <s v="T3"/>
    <s v="P015"/>
    <x v="2"/>
    <x v="2"/>
    <x v="2"/>
    <n v="5"/>
    <n v="83.72"/>
    <n v="41.52"/>
    <n v="0.22"/>
    <n v="326.50800000000004"/>
    <n v="207.60000000000002"/>
    <n v="118.90800000000002"/>
    <x v="2034"/>
    <x v="1"/>
    <x v="0"/>
    <s v="online"/>
  </r>
  <r>
    <s v="V01149"/>
    <d v="2025-06-15T00:00:00"/>
    <x v="0"/>
    <n v="6"/>
    <s v="junio"/>
    <s v="T2"/>
    <s v="P012"/>
    <x v="13"/>
    <x v="1"/>
    <x v="1"/>
    <n v="1"/>
    <n v="9.09"/>
    <n v="6.06"/>
    <n v="0"/>
    <n v="9.09"/>
    <n v="6.06"/>
    <n v="3.0300000000000002"/>
    <x v="2035"/>
    <x v="1"/>
    <x v="4"/>
    <s v="tienda_fisica"/>
  </r>
  <r>
    <s v="V00196"/>
    <d v="2025-04-14T00:00:00"/>
    <x v="0"/>
    <n v="4"/>
    <s v="abril"/>
    <s v="T2"/>
    <s v="P006"/>
    <x v="0"/>
    <x v="0"/>
    <x v="0"/>
    <n v="1"/>
    <n v="45.19"/>
    <n v="27.09"/>
    <n v="0.2"/>
    <n v="36.152000000000001"/>
    <n v="27.09"/>
    <n v="9.0620000000000012"/>
    <x v="2036"/>
    <x v="1"/>
    <x v="4"/>
    <s v="tienda_fisica"/>
  </r>
  <r>
    <s v="V01251"/>
    <d v="2024-12-07T00:00:00"/>
    <x v="1"/>
    <n v="12"/>
    <s v="diciembre"/>
    <s v="T4"/>
    <s v="P019"/>
    <x v="14"/>
    <x v="2"/>
    <x v="4"/>
    <n v="3"/>
    <n v="62.09"/>
    <n v="32.78"/>
    <n v="0"/>
    <n v="186.27"/>
    <n v="98.34"/>
    <n v="87.93"/>
    <x v="2037"/>
    <x v="0"/>
    <x v="4"/>
    <s v="tienda_fisica"/>
  </r>
  <r>
    <s v="V01714"/>
    <d v="2024-11-30T00:00:00"/>
    <x v="1"/>
    <n v="11"/>
    <s v="noviembre"/>
    <s v="T4"/>
    <s v="P018"/>
    <x v="5"/>
    <x v="1"/>
    <x v="4"/>
    <n v="1"/>
    <n v="29.21"/>
    <n v="16.690000000000001"/>
    <n v="0"/>
    <n v="29.21"/>
    <n v="16.690000000000001"/>
    <n v="12.52"/>
    <x v="2038"/>
    <x v="0"/>
    <x v="0"/>
    <s v="online"/>
  </r>
  <r>
    <s v="V02290"/>
    <d v="2025-07-28T00:00:00"/>
    <x v="0"/>
    <n v="7"/>
    <s v="julio"/>
    <s v="T3"/>
    <s v="P011"/>
    <x v="10"/>
    <x v="1"/>
    <x v="1"/>
    <n v="2"/>
    <n v="20.2"/>
    <n v="11.51"/>
    <n v="0"/>
    <n v="40.4"/>
    <n v="23.02"/>
    <n v="17.38"/>
    <x v="2039"/>
    <x v="0"/>
    <x v="3"/>
    <s v="online"/>
  </r>
  <r>
    <s v="V00910"/>
    <d v="2025-01-17T00:00:00"/>
    <x v="0"/>
    <n v="1"/>
    <s v="enero"/>
    <s v="T1"/>
    <s v="P006"/>
    <x v="0"/>
    <x v="0"/>
    <x v="0"/>
    <n v="4"/>
    <n v="49.34"/>
    <n v="27.58"/>
    <n v="0"/>
    <n v="197.36"/>
    <n v="110.32"/>
    <n v="87.04000000000002"/>
    <x v="2040"/>
    <x v="0"/>
    <x v="6"/>
    <s v="online"/>
  </r>
  <r>
    <s v="V02011"/>
    <d v="2024-01-15T00:00:00"/>
    <x v="1"/>
    <n v="1"/>
    <s v="enero"/>
    <s v="T1"/>
    <s v="P008"/>
    <x v="4"/>
    <x v="2"/>
    <x v="0"/>
    <n v="6"/>
    <n v="95.19"/>
    <n v="55.82"/>
    <n v="0"/>
    <n v="571.14"/>
    <n v="334.92"/>
    <n v="236.21999999999997"/>
    <x v="2041"/>
    <x v="0"/>
    <x v="3"/>
    <s v="tienda_fisica"/>
  </r>
  <r>
    <s v="V01811"/>
    <d v="2025-01-06T00:00:00"/>
    <x v="0"/>
    <n v="1"/>
    <s v="enero"/>
    <s v="T1"/>
    <s v="P006"/>
    <x v="0"/>
    <x v="0"/>
    <x v="0"/>
    <n v="2"/>
    <n v="48.16"/>
    <n v="25.93"/>
    <n v="7.0000000000000007E-2"/>
    <n v="89.57759999999999"/>
    <n v="51.86"/>
    <n v="37.71759999999999"/>
    <x v="2042"/>
    <x v="0"/>
    <x v="0"/>
    <s v="online"/>
  </r>
  <r>
    <s v="V01995"/>
    <d v="2024-07-10T00:00:00"/>
    <x v="1"/>
    <n v="7"/>
    <s v="julio"/>
    <s v="T3"/>
    <s v="P012"/>
    <x v="13"/>
    <x v="1"/>
    <x v="1"/>
    <n v="2"/>
    <n v="9.07"/>
    <n v="5.89"/>
    <n v="0"/>
    <n v="18.14"/>
    <n v="11.78"/>
    <n v="6.3600000000000012"/>
    <x v="2043"/>
    <x v="1"/>
    <x v="0"/>
    <s v="tienda_fisica"/>
  </r>
  <r>
    <s v="V00720"/>
    <d v="2025-08-05T00:00:00"/>
    <x v="0"/>
    <n v="8"/>
    <s v="agosto"/>
    <s v="T3"/>
    <s v="P010"/>
    <x v="1"/>
    <x v="1"/>
    <x v="1"/>
    <n v="1"/>
    <n v="16.14"/>
    <n v="10.98"/>
    <n v="0"/>
    <n v="16.14"/>
    <n v="10.98"/>
    <n v="5.16"/>
    <x v="2044"/>
    <x v="1"/>
    <x v="3"/>
    <s v="online "/>
  </r>
  <r>
    <s v="V01570"/>
    <d v="2024-07-19T00:00:00"/>
    <x v="1"/>
    <n v="7"/>
    <s v="julio"/>
    <s v="T3"/>
    <s v="P001"/>
    <x v="9"/>
    <x v="2"/>
    <x v="3"/>
    <n v="3"/>
    <n v="129.52000000000001"/>
    <n v="81.069999999999993"/>
    <n v="0"/>
    <n v="388.56000000000006"/>
    <n v="243.20999999999998"/>
    <n v="145.35000000000008"/>
    <x v="2045"/>
    <x v="1"/>
    <x v="0"/>
    <s v="online"/>
  </r>
  <r>
    <s v="V00435"/>
    <d v="2025-09-06T00:00:00"/>
    <x v="0"/>
    <n v="9"/>
    <s v="septiembre"/>
    <s v="T3"/>
    <s v="P016"/>
    <x v="11"/>
    <x v="2"/>
    <x v="2"/>
    <n v="1"/>
    <n v="73.040000000000006"/>
    <n v="40.54"/>
    <n v="0"/>
    <n v="73.040000000000006"/>
    <n v="40.54"/>
    <n v="32.500000000000007"/>
    <x v="2046"/>
    <x v="0"/>
    <x v="0"/>
    <s v="online"/>
  </r>
  <r>
    <s v="V01300"/>
    <d v="2025-03-24T00:00:00"/>
    <x v="0"/>
    <n v="3"/>
    <s v="marzo"/>
    <s v="T1"/>
    <s v="P011"/>
    <x v="10"/>
    <x v="1"/>
    <x v="1"/>
    <n v="1"/>
    <n v="22.92"/>
    <n v="11.63"/>
    <n v="0"/>
    <n v="22.92"/>
    <n v="11.63"/>
    <n v="11.290000000000001"/>
    <x v="2047"/>
    <x v="0"/>
    <x v="5"/>
    <s v="tienda_fisica"/>
  </r>
  <r>
    <s v="V00406"/>
    <d v="2024-08-04T00:00:00"/>
    <x v="1"/>
    <n v="8"/>
    <s v="agosto"/>
    <s v="T3"/>
    <s v="P012"/>
    <x v="13"/>
    <x v="1"/>
    <x v="1"/>
    <n v="3"/>
    <n v="8.35"/>
    <n v="5.96"/>
    <n v="0.1"/>
    <n v="22.544999999999998"/>
    <n v="17.88"/>
    <n v="4.6649999999999991"/>
    <x v="2048"/>
    <x v="1"/>
    <x v="0"/>
    <s v="tienda_fisica"/>
  </r>
  <r>
    <s v="V00822"/>
    <d v="2024-07-30T00:00:00"/>
    <x v="1"/>
    <n v="7"/>
    <s v="julio"/>
    <s v="T3"/>
    <s v="P013"/>
    <x v="8"/>
    <x v="2"/>
    <x v="2"/>
    <n v="2"/>
    <n v="76.5"/>
    <n v="48.11"/>
    <n v="0"/>
    <n v="153"/>
    <n v="96.22"/>
    <n v="56.78"/>
    <x v="2049"/>
    <x v="1"/>
    <x v="3"/>
    <s v="online"/>
  </r>
  <r>
    <s v="V01790"/>
    <d v="2024-10-12T00:00:00"/>
    <x v="1"/>
    <n v="10"/>
    <s v="octubre"/>
    <s v="T4"/>
    <s v="P006"/>
    <x v="0"/>
    <x v="0"/>
    <x v="0"/>
    <n v="2"/>
    <n v="44.55"/>
    <n v="26.72"/>
    <n v="0"/>
    <n v="89.1"/>
    <n v="53.44"/>
    <n v="35.659999999999997"/>
    <x v="2050"/>
    <x v="0"/>
    <x v="3"/>
    <s v="tienda_fisica"/>
  </r>
  <r>
    <s v="V01859"/>
    <d v="2024-03-10T00:00:00"/>
    <x v="1"/>
    <n v="3"/>
    <s v="marzo"/>
    <s v="T1"/>
    <s v="P006"/>
    <x v="0"/>
    <x v="0"/>
    <x v="0"/>
    <n v="6"/>
    <n v="49.78"/>
    <n v="27.22"/>
    <n v="0"/>
    <n v="298.68"/>
    <n v="163.32"/>
    <n v="135.36000000000001"/>
    <x v="2051"/>
    <x v="0"/>
    <x v="3"/>
    <s v="tienda_fisica"/>
  </r>
  <r>
    <s v="V01558"/>
    <d v="2025-11-28T00:00:00"/>
    <x v="0"/>
    <n v="11"/>
    <s v="noviembre"/>
    <s v="T4"/>
    <s v="P004"/>
    <x v="6"/>
    <x v="2"/>
    <x v="3"/>
    <n v="5"/>
    <n v="154.41999999999999"/>
    <n v="108.61"/>
    <n v="0.05"/>
    <n v="733.49499999999989"/>
    <n v="543.04999999999995"/>
    <n v="190.44499999999994"/>
    <x v="2052"/>
    <x v="1"/>
    <x v="6"/>
    <s v="tienda_fisica"/>
  </r>
  <r>
    <s v="V00546"/>
    <d v="2025-06-12T00:00:00"/>
    <x v="0"/>
    <n v="6"/>
    <s v="junio"/>
    <s v="T2"/>
    <s v="P004"/>
    <x v="6"/>
    <x v="2"/>
    <x v="3"/>
    <n v="5"/>
    <n v="167.34"/>
    <n v="110.28"/>
    <n v="0"/>
    <n v="836.7"/>
    <n v="551.4"/>
    <n v="285.30000000000007"/>
    <x v="2053"/>
    <x v="1"/>
    <x v="4"/>
    <s v="online"/>
  </r>
  <r>
    <s v="V00213"/>
    <d v="2024-08-30T00:00:00"/>
    <x v="1"/>
    <n v="8"/>
    <s v="agosto"/>
    <s v="T3"/>
    <s v="P011"/>
    <x v="10"/>
    <x v="1"/>
    <x v="1"/>
    <n v="4"/>
    <n v="20.82"/>
    <n v="10.9"/>
    <n v="0"/>
    <n v="83.28"/>
    <n v="43.6"/>
    <n v="39.68"/>
    <x v="2054"/>
    <x v="0"/>
    <x v="3"/>
    <s v="online"/>
  </r>
  <r>
    <s v="V00897"/>
    <d v="2025-01-16T00:00:00"/>
    <x v="0"/>
    <n v="1"/>
    <s v="enero"/>
    <s v="T1"/>
    <s v="P007"/>
    <x v="15"/>
    <x v="1"/>
    <x v="0"/>
    <n v="3"/>
    <n v="20.87"/>
    <n v="12.66"/>
    <n v="0"/>
    <n v="62.61"/>
    <n v="37.980000000000004"/>
    <n v="24.629999999999995"/>
    <x v="2055"/>
    <x v="0"/>
    <x v="4"/>
    <s v="tienda_fisica"/>
  </r>
  <r>
    <s v="V01942"/>
    <d v="2024-12-30T00:00:00"/>
    <x v="1"/>
    <n v="12"/>
    <s v="diciembre"/>
    <s v="T4"/>
    <s v="P013"/>
    <x v="8"/>
    <x v="2"/>
    <x v="2"/>
    <n v="1"/>
    <n v="78.38"/>
    <n v="49.24"/>
    <n v="0"/>
    <n v="78.38"/>
    <n v="49.24"/>
    <n v="29.139999999999993"/>
    <x v="2056"/>
    <x v="1"/>
    <x v="0"/>
    <s v="tienda_fisica"/>
  </r>
  <r>
    <s v="V01892"/>
    <d v="2025-10-28T00:00:00"/>
    <x v="0"/>
    <n v="10"/>
    <s v="octubre"/>
    <s v="T4"/>
    <s v="P009"/>
    <x v="12"/>
    <x v="1"/>
    <x v="1"/>
    <n v="2"/>
    <n v="8.1999999999999993"/>
    <n v="4.49"/>
    <n v="0.25"/>
    <n v="12.299999999999999"/>
    <n v="8.98"/>
    <n v="3.3199999999999985"/>
    <x v="2057"/>
    <x v="1"/>
    <x v="0"/>
    <s v="online"/>
  </r>
  <r>
    <s v="V00917"/>
    <d v="2025-05-22T00:00:00"/>
    <x v="0"/>
    <n v="5"/>
    <s v="mayo"/>
    <s v="T2"/>
    <s v="P018"/>
    <x v="5"/>
    <x v="0"/>
    <x v="4"/>
    <n v="2"/>
    <n v="32.799999999999997"/>
    <n v="17.309999999999999"/>
    <n v="0"/>
    <n v="65.599999999999994"/>
    <n v="34.619999999999997"/>
    <n v="30.979999999999997"/>
    <x v="2058"/>
    <x v="0"/>
    <x v="2"/>
    <s v="tienda_fisica"/>
  </r>
  <r>
    <s v="V01290"/>
    <d v="2025-03-05T00:00:00"/>
    <x v="0"/>
    <n v="3"/>
    <s v="marzo"/>
    <s v="T1"/>
    <s v="P011"/>
    <x v="10"/>
    <x v="1"/>
    <x v="1"/>
    <n v="5"/>
    <n v="21.81"/>
    <n v="11.08"/>
    <n v="0"/>
    <n v="109.05"/>
    <n v="55.4"/>
    <n v="53.65"/>
    <x v="2059"/>
    <x v="0"/>
    <x v="4"/>
    <s v="online"/>
  </r>
  <r>
    <s v="V00815"/>
    <d v="2025-04-17T00:00:00"/>
    <x v="0"/>
    <n v="4"/>
    <s v="abril"/>
    <s v="T2"/>
    <s v="P015"/>
    <x v="2"/>
    <x v="2"/>
    <x v="2"/>
    <n v="2"/>
    <n v="71.95"/>
    <n v="41.25"/>
    <n v="0"/>
    <n v="143.9"/>
    <n v="82.5"/>
    <n v="61.400000000000006"/>
    <x v="2060"/>
    <x v="0"/>
    <x v="3"/>
    <s v="online"/>
  </r>
  <r>
    <s v="V01266"/>
    <d v="2025-09-28T00:00:00"/>
    <x v="0"/>
    <n v="9"/>
    <s v="septiembre"/>
    <s v="T3"/>
    <s v="P009"/>
    <x v="12"/>
    <x v="1"/>
    <x v="1"/>
    <n v="2"/>
    <n v="7.26"/>
    <n v="4.4800000000000004"/>
    <n v="0"/>
    <n v="14.52"/>
    <n v="8.9600000000000009"/>
    <n v="5.5599999999999987"/>
    <x v="2061"/>
    <x v="0"/>
    <x v="3"/>
    <s v="tienda_fisica"/>
  </r>
  <r>
    <s v="V00343"/>
    <d v="2024-08-17T00:00:00"/>
    <x v="1"/>
    <n v="8"/>
    <s v="agosto"/>
    <s v="T3"/>
    <s v="P001"/>
    <x v="9"/>
    <x v="2"/>
    <x v="3"/>
    <n v="1"/>
    <n v="124.98"/>
    <n v="83.67"/>
    <n v="0"/>
    <n v="124.98"/>
    <n v="83.67"/>
    <n v="41.31"/>
    <x v="2062"/>
    <x v="1"/>
    <x v="3"/>
    <s v="tienda_fisica"/>
  </r>
  <r>
    <s v="V01411"/>
    <d v="2025-03-31T00:00:00"/>
    <x v="0"/>
    <n v="3"/>
    <s v="marzo"/>
    <s v="T1"/>
    <s v="P010"/>
    <x v="1"/>
    <x v="1"/>
    <x v="1"/>
    <n v="1"/>
    <n v="16.14"/>
    <n v="11.87"/>
    <n v="0.15"/>
    <n v="13.718999999999999"/>
    <n v="11.87"/>
    <n v="1.8490000000000002"/>
    <x v="2063"/>
    <x v="1"/>
    <x v="0"/>
    <s v="tienda_fisica"/>
  </r>
  <r>
    <s v="V01215"/>
    <d v="2024-02-01T00:00:00"/>
    <x v="1"/>
    <n v="2"/>
    <s v="febrero"/>
    <s v="T1"/>
    <s v="P003"/>
    <x v="7"/>
    <x v="2"/>
    <x v="3"/>
    <n v="1"/>
    <n v="177.72"/>
    <n v="96.99"/>
    <n v="0"/>
    <n v="177.72"/>
    <n v="96.99"/>
    <n v="80.73"/>
    <x v="2064"/>
    <x v="0"/>
    <x v="3"/>
    <s v="tienda_fisica"/>
  </r>
  <r>
    <s v="V00967"/>
    <d v="2025-05-03T00:00:00"/>
    <x v="0"/>
    <n v="5"/>
    <s v="mayo"/>
    <s v="T2"/>
    <s v="P013"/>
    <x v="8"/>
    <x v="2"/>
    <x v="2"/>
    <n v="1"/>
    <n v="76.36"/>
    <n v="49.45"/>
    <n v="0.23"/>
    <n v="58.797200000000004"/>
    <n v="49.45"/>
    <n v="9.3472000000000008"/>
    <x v="2065"/>
    <x v="1"/>
    <x v="4"/>
    <s v="tienda_fisica"/>
  </r>
  <r>
    <s v="V01231"/>
    <d v="2024-04-03T00:00:00"/>
    <x v="1"/>
    <n v="4"/>
    <s v="abril"/>
    <s v="T2"/>
    <s v="P009"/>
    <x v="12"/>
    <x v="1"/>
    <x v="1"/>
    <n v="12"/>
    <n v="7.39"/>
    <n v="4.2300000000000004"/>
    <n v="0"/>
    <n v="88.679999999999993"/>
    <n v="50.760000000000005"/>
    <n v="37.919999999999987"/>
    <x v="2066"/>
    <x v="0"/>
    <x v="2"/>
    <s v="tienda_fisica"/>
  </r>
  <r>
    <s v="V00696"/>
    <d v="2024-10-15T00:00:00"/>
    <x v="1"/>
    <n v="10"/>
    <s v="octubre"/>
    <s v="T4"/>
    <s v="P011"/>
    <x v="10"/>
    <x v="1"/>
    <x v="1"/>
    <n v="1"/>
    <n v="23.04"/>
    <n v="11.84"/>
    <n v="0"/>
    <n v="23.04"/>
    <n v="11.84"/>
    <n v="11.2"/>
    <x v="2067"/>
    <x v="0"/>
    <x v="3"/>
    <s v="online"/>
  </r>
  <r>
    <s v="V00606"/>
    <d v="2024-02-14T00:00:00"/>
    <x v="1"/>
    <n v="2"/>
    <s v="febrero"/>
    <s v="T1"/>
    <s v="P015"/>
    <x v="2"/>
    <x v="2"/>
    <x v="2"/>
    <n v="3"/>
    <n v="71.94"/>
    <n v="42.85"/>
    <n v="0.11"/>
    <n v="192.07980000000001"/>
    <n v="128.55000000000001"/>
    <n v="63.529799999999994"/>
    <x v="2068"/>
    <x v="1"/>
    <x v="3"/>
    <s v="online"/>
  </r>
  <r>
    <s v="V00105"/>
    <d v="2024-05-08T00:00:00"/>
    <x v="1"/>
    <n v="5"/>
    <s v="mayo"/>
    <s v="T2"/>
    <s v="P008"/>
    <x v="4"/>
    <x v="2"/>
    <x v="0"/>
    <n v="7"/>
    <n v="104.04"/>
    <n v="59.27"/>
    <n v="0"/>
    <n v="728.28000000000009"/>
    <n v="414.89000000000004"/>
    <n v="313.39000000000004"/>
    <x v="2069"/>
    <x v="0"/>
    <x v="2"/>
    <s v="online"/>
  </r>
  <r>
    <s v="V00646"/>
    <d v="2024-04-14T00:00:00"/>
    <x v="1"/>
    <n v="4"/>
    <s v="abril"/>
    <s v="T2"/>
    <s v="P006"/>
    <x v="0"/>
    <x v="0"/>
    <x v="0"/>
    <n v="8"/>
    <n v="47.16"/>
    <n v="27.14"/>
    <n v="0"/>
    <n v="377.28"/>
    <n v="217.12"/>
    <n v="160.15999999999997"/>
    <x v="2070"/>
    <x v="0"/>
    <x v="3"/>
    <s v="tienda_fisica"/>
  </r>
  <r>
    <s v="V01405"/>
    <d v="2024-09-19T00:00:00"/>
    <x v="1"/>
    <n v="9"/>
    <s v="septiembre"/>
    <s v="T3"/>
    <s v="P020"/>
    <x v="19"/>
    <x v="0"/>
    <x v="4"/>
    <n v="1"/>
    <n v="58.25"/>
    <n v="32.19"/>
    <n v="0"/>
    <n v="58.25"/>
    <n v="32.19"/>
    <n v="26.060000000000002"/>
    <x v="2071"/>
    <x v="0"/>
    <x v="3"/>
    <s v="online"/>
  </r>
  <r>
    <s v="V00495"/>
    <d v="2024-04-04T00:00:00"/>
    <x v="1"/>
    <n v="4"/>
    <s v="abril"/>
    <s v="T2"/>
    <s v="P010"/>
    <x v="1"/>
    <x v="1"/>
    <x v="1"/>
    <n v="1"/>
    <n v="15.88"/>
    <n v="11.42"/>
    <n v="0"/>
    <n v="15.88"/>
    <n v="11.42"/>
    <n v="4.4600000000000009"/>
    <x v="2072"/>
    <x v="1"/>
    <x v="4"/>
    <s v="tienda_fisica"/>
  </r>
  <r>
    <s v="V01020"/>
    <d v="2025-08-20T00:00:00"/>
    <x v="0"/>
    <n v="8"/>
    <s v="agosto"/>
    <s v="T3"/>
    <s v="P005"/>
    <x v="18"/>
    <x v="2"/>
    <x v="0"/>
    <n v="9"/>
    <n v="63.37"/>
    <n v="43.09"/>
    <n v="0"/>
    <n v="570.32999999999993"/>
    <n v="387.81000000000006"/>
    <n v="182.51999999999987"/>
    <x v="2073"/>
    <x v="1"/>
    <x v="0"/>
    <s v="online"/>
  </r>
  <r>
    <s v="V00092"/>
    <d v="2024-08-30T00:00:00"/>
    <x v="1"/>
    <n v="8"/>
    <s v="agosto"/>
    <s v="T3"/>
    <s v="P004"/>
    <x v="6"/>
    <x v="2"/>
    <x v="3"/>
    <n v="1"/>
    <n v="149.43"/>
    <n v="113.66"/>
    <n v="0"/>
    <n v="149.43"/>
    <n v="113.66"/>
    <n v="35.77000000000001"/>
    <x v="2074"/>
    <x v="1"/>
    <x v="0"/>
    <s v="online"/>
  </r>
  <r>
    <s v="V01113"/>
    <d v="2024-06-04T00:00:00"/>
    <x v="1"/>
    <n v="6"/>
    <s v="junio"/>
    <s v="T2"/>
    <s v="P003"/>
    <x v="7"/>
    <x v="2"/>
    <x v="3"/>
    <n v="2"/>
    <n v="174.29"/>
    <n v="93.61"/>
    <n v="0"/>
    <n v="348.58"/>
    <n v="187.22"/>
    <n v="161.35999999999999"/>
    <x v="2075"/>
    <x v="0"/>
    <x v="5"/>
    <s v="tienda_fisica"/>
  </r>
  <r>
    <s v="V00909"/>
    <d v="2025-11-21T00:00:00"/>
    <x v="0"/>
    <n v="11"/>
    <s v="noviembre"/>
    <s v="T4"/>
    <s v="P006"/>
    <x v="0"/>
    <x v="0"/>
    <x v="0"/>
    <n v="2"/>
    <n v="45.62"/>
    <n v="25.43"/>
    <n v="0"/>
    <n v="91.24"/>
    <n v="50.86"/>
    <n v="40.379999999999995"/>
    <x v="2076"/>
    <x v="0"/>
    <x v="6"/>
    <s v="tienda_fisica"/>
  </r>
  <r>
    <s v="V01475"/>
    <d v="2024-07-02T00:00:00"/>
    <x v="1"/>
    <n v="7"/>
    <s v="julio"/>
    <s v="T3"/>
    <s v="P012"/>
    <x v="13"/>
    <x v="1"/>
    <x v="1"/>
    <n v="8"/>
    <n v="8.76"/>
    <n v="5.49"/>
    <n v="0"/>
    <n v="70.08"/>
    <n v="43.92"/>
    <n v="26.159999999999997"/>
    <x v="2077"/>
    <x v="1"/>
    <x v="3"/>
    <s v="tienda_fisica"/>
  </r>
  <r>
    <s v="V01742"/>
    <d v="2024-02-01T00:00:00"/>
    <x v="1"/>
    <n v="2"/>
    <s v="febrero"/>
    <s v="T1"/>
    <s v="P017"/>
    <x v="17"/>
    <x v="0"/>
    <x v="4"/>
    <n v="1"/>
    <n v="48.95"/>
    <n v="22.69"/>
    <n v="0"/>
    <n v="48.95"/>
    <n v="22.69"/>
    <n v="26.26"/>
    <x v="2078"/>
    <x v="0"/>
    <x v="2"/>
    <s v="tienda_fisica"/>
  </r>
  <r>
    <s v="V00239"/>
    <d v="2025-09-03T00:00:00"/>
    <x v="0"/>
    <n v="9"/>
    <s v="septiembre"/>
    <s v="T3"/>
    <s v="P003"/>
    <x v="7"/>
    <x v="2"/>
    <x v="3"/>
    <n v="2"/>
    <n v="174.53"/>
    <n v="90.28"/>
    <n v="0"/>
    <n v="349.06"/>
    <n v="180.56"/>
    <n v="168.5"/>
    <x v="2079"/>
    <x v="0"/>
    <x v="4"/>
    <s v="online"/>
  </r>
  <r>
    <s v="V00943"/>
    <d v="2024-05-15T00:00:00"/>
    <x v="1"/>
    <n v="5"/>
    <s v="mayo"/>
    <s v="T2"/>
    <s v="P002"/>
    <x v="3"/>
    <x v="2"/>
    <x v="3"/>
    <n v="1"/>
    <n v="68.06"/>
    <n v="49.43"/>
    <n v="0"/>
    <n v="68.06"/>
    <n v="49.43"/>
    <n v="18.630000000000003"/>
    <x v="2080"/>
    <x v="1"/>
    <x v="3"/>
    <s v="online"/>
  </r>
  <r>
    <s v="V01271"/>
    <d v="2024-12-02T00:00:00"/>
    <x v="1"/>
    <n v="12"/>
    <s v="diciembre"/>
    <s v="T4"/>
    <s v="P010"/>
    <x v="1"/>
    <x v="1"/>
    <x v="1"/>
    <n v="3"/>
    <n v="17.61"/>
    <n v="11.17"/>
    <n v="0"/>
    <n v="52.83"/>
    <n v="33.51"/>
    <n v="19.32"/>
    <x v="2081"/>
    <x v="1"/>
    <x v="2"/>
    <s v="tienda_fisica"/>
  </r>
  <r>
    <s v="V00939"/>
    <d v="2025-08-18T00:00:00"/>
    <x v="0"/>
    <n v="8"/>
    <s v="agosto"/>
    <s v="T3"/>
    <s v="P007"/>
    <x v="15"/>
    <x v="1"/>
    <x v="0"/>
    <n v="2"/>
    <n v="20.58"/>
    <n v="12.81"/>
    <n v="0.17"/>
    <n v="34.162799999999997"/>
    <n v="25.62"/>
    <n v="8.5427999999999962"/>
    <x v="2082"/>
    <x v="1"/>
    <x v="4"/>
    <s v="tienda_fisica"/>
  </r>
  <r>
    <s v="V01425"/>
    <d v="2024-01-01T00:00:00"/>
    <x v="1"/>
    <n v="1"/>
    <s v="enero"/>
    <s v="T1"/>
    <s v="P007"/>
    <x v="15"/>
    <x v="1"/>
    <x v="0"/>
    <n v="7"/>
    <n v="21.17"/>
    <n v="13.15"/>
    <n v="0"/>
    <n v="148.19"/>
    <n v="92.05"/>
    <n v="56.14"/>
    <x v="2083"/>
    <x v="0"/>
    <x v="5"/>
    <s v="tienda_fisica"/>
  </r>
  <r>
    <s v="V01863"/>
    <d v="2025-06-04T00:00:00"/>
    <x v="0"/>
    <n v="6"/>
    <s v="junio"/>
    <s v="T2"/>
    <s v="P005"/>
    <x v="18"/>
    <x v="0"/>
    <x v="0"/>
    <n v="1"/>
    <n v="58.06"/>
    <n v="42.74"/>
    <n v="0"/>
    <n v="58.06"/>
    <n v="42.74"/>
    <n v="15.32"/>
    <x v="2084"/>
    <x v="1"/>
    <x v="5"/>
    <s v="tienda_fisica"/>
  </r>
  <r>
    <s v="V01670"/>
    <d v="2024-08-09T00:00:00"/>
    <x v="1"/>
    <n v="8"/>
    <s v="agosto"/>
    <s v="T3"/>
    <s v="P004"/>
    <x v="6"/>
    <x v="2"/>
    <x v="3"/>
    <n v="10"/>
    <n v="161.18"/>
    <n v="113.84"/>
    <n v="0"/>
    <n v="1611.8000000000002"/>
    <n v="1138.4000000000001"/>
    <n v="473.40000000000009"/>
    <x v="2085"/>
    <x v="1"/>
    <x v="2"/>
    <s v="online"/>
  </r>
  <r>
    <s v="V00006"/>
    <d v="2025-06-25T00:00:00"/>
    <x v="0"/>
    <n v="6"/>
    <s v="junio"/>
    <s v="T2"/>
    <s v="P015"/>
    <x v="2"/>
    <x v="2"/>
    <x v="2"/>
    <n v="1"/>
    <n v="80.92"/>
    <n v="43.94"/>
    <n v="0"/>
    <n v="80.92"/>
    <n v="43.94"/>
    <n v="36.980000000000004"/>
    <x v="2086"/>
    <x v="0"/>
    <x v="3"/>
    <s v="tienda_fisica"/>
  </r>
  <r>
    <s v="V00248"/>
    <d v="2024-06-19T00:00:00"/>
    <x v="1"/>
    <n v="6"/>
    <s v="junio"/>
    <s v="T2"/>
    <s v="P012"/>
    <x v="13"/>
    <x v="1"/>
    <x v="1"/>
    <n v="2"/>
    <n v="9.39"/>
    <n v="5.73"/>
    <n v="0.11"/>
    <n v="16.714200000000002"/>
    <n v="11.46"/>
    <n v="5.2542000000000009"/>
    <x v="2087"/>
    <x v="1"/>
    <x v="4"/>
    <s v="online"/>
  </r>
  <r>
    <s v="V00019"/>
    <d v="2024-03-03T00:00:00"/>
    <x v="1"/>
    <n v="3"/>
    <s v="marzo"/>
    <s v="T1"/>
    <s v="P018"/>
    <x v="5"/>
    <x v="0"/>
    <x v="4"/>
    <n v="3"/>
    <n v="32.65"/>
    <n v="16.72"/>
    <n v="0"/>
    <n v="97.949999999999989"/>
    <n v="50.16"/>
    <n v="47.789999999999992"/>
    <x v="2088"/>
    <x v="0"/>
    <x v="1"/>
    <s v="online"/>
  </r>
  <r>
    <s v="V01971"/>
    <d v="2025-02-10T00:00:00"/>
    <x v="0"/>
    <n v="2"/>
    <s v="febrero"/>
    <s v="T1"/>
    <s v="P006"/>
    <x v="0"/>
    <x v="0"/>
    <x v="0"/>
    <n v="1"/>
    <n v="48.52"/>
    <n v="26.4"/>
    <n v="0"/>
    <n v="48.52"/>
    <n v="26.4"/>
    <n v="22.120000000000005"/>
    <x v="2089"/>
    <x v="0"/>
    <x v="0"/>
    <s v="tienda_fisica"/>
  </r>
  <r>
    <s v="V00812"/>
    <d v="2024-07-20T00:00:00"/>
    <x v="1"/>
    <n v="7"/>
    <s v="julio"/>
    <s v="T3"/>
    <s v="P011"/>
    <x v="10"/>
    <x v="1"/>
    <x v="1"/>
    <n v="5"/>
    <n v="22.7"/>
    <n v="11.05"/>
    <n v="0"/>
    <n v="113.5"/>
    <n v="55.25"/>
    <n v="58.25"/>
    <x v="2090"/>
    <x v="0"/>
    <x v="4"/>
    <s v="online"/>
  </r>
  <r>
    <s v="V01301"/>
    <d v="2025-07-05T00:00:00"/>
    <x v="0"/>
    <n v="7"/>
    <s v="julio"/>
    <s v="T3"/>
    <s v="P018"/>
    <x v="5"/>
    <x v="0"/>
    <x v="4"/>
    <n v="1"/>
    <n v="31.96"/>
    <n v="18.03"/>
    <n v="0"/>
    <n v="31.96"/>
    <n v="18.03"/>
    <n v="13.93"/>
    <x v="2091"/>
    <x v="0"/>
    <x v="3"/>
    <s v="tienda_fisica"/>
  </r>
  <r>
    <s v="V01336"/>
    <d v="2025-05-15T00:00:00"/>
    <x v="0"/>
    <n v="5"/>
    <s v="mayo"/>
    <s v="T2"/>
    <s v="P006"/>
    <x v="0"/>
    <x v="0"/>
    <x v="0"/>
    <n v="1"/>
    <n v="50.12"/>
    <n v="26.63"/>
    <n v="0"/>
    <n v="50.12"/>
    <n v="26.63"/>
    <n v="23.49"/>
    <x v="2092"/>
    <x v="0"/>
    <x v="3"/>
    <s v="tienda_fisica"/>
  </r>
  <r>
    <s v="V02219"/>
    <d v="2025-06-30T00:00:00"/>
    <x v="0"/>
    <n v="6"/>
    <s v="junio"/>
    <s v="T2"/>
    <s v="P016"/>
    <x v="11"/>
    <x v="2"/>
    <x v="2"/>
    <n v="1"/>
    <n v="80.73"/>
    <n v="40.64"/>
    <n v="0"/>
    <n v="80.73"/>
    <n v="40.64"/>
    <n v="40.090000000000003"/>
    <x v="2093"/>
    <x v="0"/>
    <x v="3"/>
    <s v="tienda_fisica"/>
  </r>
  <r>
    <s v="V00261"/>
    <d v="2024-10-26T00:00:00"/>
    <x v="1"/>
    <n v="10"/>
    <s v="octubre"/>
    <s v="T4"/>
    <s v="P008"/>
    <x v="4"/>
    <x v="2"/>
    <x v="0"/>
    <n v="1"/>
    <n v="103.7"/>
    <n v="59.04"/>
    <n v="0"/>
    <n v="103.7"/>
    <n v="59.04"/>
    <n v="44.660000000000004"/>
    <x v="2094"/>
    <x v="0"/>
    <x v="1"/>
    <s v="online"/>
  </r>
  <r>
    <s v="V01805"/>
    <d v="2025-03-19T00:00:00"/>
    <x v="0"/>
    <n v="3"/>
    <s v="marzo"/>
    <s v="T1"/>
    <s v="P014"/>
    <x v="16"/>
    <x v="1"/>
    <x v="2"/>
    <n v="2"/>
    <n v="12.99"/>
    <n v="9.58"/>
    <n v="0"/>
    <n v="25.98"/>
    <n v="19.16"/>
    <n v="6.82"/>
    <x v="2095"/>
    <x v="1"/>
    <x v="6"/>
    <s v="tienda_fisica"/>
  </r>
  <r>
    <s v="V01571"/>
    <d v="2024-08-23T00:00:00"/>
    <x v="1"/>
    <n v="8"/>
    <s v="agosto"/>
    <s v="T3"/>
    <s v="P002"/>
    <x v="3"/>
    <x v="2"/>
    <x v="3"/>
    <n v="2"/>
    <n v="76.31"/>
    <n v="48.73"/>
    <n v="0.09"/>
    <n v="138.88420000000002"/>
    <n v="97.46"/>
    <n v="41.424200000000027"/>
    <x v="2096"/>
    <x v="1"/>
    <x v="2"/>
    <s v="tienda_fisica"/>
  </r>
  <r>
    <s v="V00185"/>
    <d v="2025-04-27T00:00:00"/>
    <x v="0"/>
    <n v="4"/>
    <s v="abril"/>
    <s v="T2"/>
    <s v="P020"/>
    <x v="19"/>
    <x v="0"/>
    <x v="4"/>
    <n v="1"/>
    <n v="57.5"/>
    <n v="33.19"/>
    <n v="0"/>
    <n v="57.5"/>
    <n v="33.19"/>
    <n v="24.310000000000002"/>
    <x v="2097"/>
    <x v="0"/>
    <x v="5"/>
    <s v="tienda_fisica"/>
  </r>
  <r>
    <s v="V01744"/>
    <d v="2025-07-07T00:00:00"/>
    <x v="0"/>
    <n v="7"/>
    <s v="julio"/>
    <s v="T3"/>
    <s v="P009"/>
    <x v="12"/>
    <x v="1"/>
    <x v="1"/>
    <n v="3"/>
    <n v="8.2799999999999994"/>
    <n v="4.47"/>
    <n v="0"/>
    <n v="24.839999999999996"/>
    <n v="13.41"/>
    <n v="11.429999999999996"/>
    <x v="475"/>
    <x v="0"/>
    <x v="3"/>
    <s v="tienda_fisica"/>
  </r>
  <r>
    <s v="V01631"/>
    <d v="2025-04-09T00:00:00"/>
    <x v="0"/>
    <n v="4"/>
    <s v="abril"/>
    <s v="T2"/>
    <s v="P002"/>
    <x v="3"/>
    <x v="2"/>
    <x v="3"/>
    <n v="4"/>
    <n v="74.77"/>
    <n v="46.96"/>
    <n v="0"/>
    <n v="299.08"/>
    <n v="187.84"/>
    <n v="111.23999999999998"/>
    <x v="2098"/>
    <x v="1"/>
    <x v="0"/>
    <s v="online"/>
  </r>
  <r>
    <s v="V01717"/>
    <d v="2024-12-16T00:00:00"/>
    <x v="1"/>
    <n v="12"/>
    <s v="diciembre"/>
    <s v="T4"/>
    <s v="P004"/>
    <x v="6"/>
    <x v="2"/>
    <x v="3"/>
    <n v="1"/>
    <n v="165.22"/>
    <n v="104.61"/>
    <n v="0"/>
    <n v="165.22"/>
    <n v="104.61"/>
    <n v="60.61"/>
    <x v="2099"/>
    <x v="1"/>
    <x v="3"/>
    <s v="tienda_fisica"/>
  </r>
  <r>
    <s v="V00521"/>
    <d v="2024-02-13T00:00:00"/>
    <x v="1"/>
    <n v="2"/>
    <s v="febrero"/>
    <s v="T1"/>
    <s v="P015"/>
    <x v="2"/>
    <x v="2"/>
    <x v="2"/>
    <n v="3"/>
    <n v="72.06"/>
    <n v="42.31"/>
    <n v="0"/>
    <n v="216.18"/>
    <n v="126.93"/>
    <n v="89.25"/>
    <x v="2100"/>
    <x v="0"/>
    <x v="5"/>
    <s v="online"/>
  </r>
  <r>
    <s v="V02017"/>
    <d v="2024-11-27T00:00:00"/>
    <x v="1"/>
    <n v="11"/>
    <s v="noviembre"/>
    <s v="T4"/>
    <s v="P004"/>
    <x v="6"/>
    <x v="2"/>
    <x v="3"/>
    <n v="2"/>
    <n v="157.03"/>
    <n v="109.21"/>
    <n v="0.28000000000000003"/>
    <n v="226.1232"/>
    <n v="218.42"/>
    <n v="7.7032000000000096"/>
    <x v="2101"/>
    <x v="1"/>
    <x v="1"/>
    <s v="tienda_fisica"/>
  </r>
  <r>
    <s v="V01659"/>
    <d v="2025-02-03T00:00:00"/>
    <x v="0"/>
    <n v="2"/>
    <s v="febrero"/>
    <s v="T1"/>
    <s v="P012"/>
    <x v="13"/>
    <x v="1"/>
    <x v="1"/>
    <n v="5"/>
    <n v="8.08"/>
    <n v="5.55"/>
    <n v="0"/>
    <n v="40.4"/>
    <n v="27.75"/>
    <n v="12.649999999999999"/>
    <x v="23"/>
    <x v="1"/>
    <x v="0"/>
    <s v="tienda_fisica"/>
  </r>
  <r>
    <s v="V01613"/>
    <d v="2024-02-17T00:00:00"/>
    <x v="1"/>
    <n v="2"/>
    <s v="febrero"/>
    <s v="T1"/>
    <s v="P014"/>
    <x v="16"/>
    <x v="1"/>
    <x v="2"/>
    <n v="4"/>
    <n v="13.19"/>
    <n v="9.4600000000000009"/>
    <n v="0"/>
    <n v="52.76"/>
    <n v="37.840000000000003"/>
    <n v="14.919999999999995"/>
    <x v="2102"/>
    <x v="1"/>
    <x v="3"/>
    <s v="tienda_fisica"/>
  </r>
  <r>
    <s v="V02288"/>
    <d v="2025-09-05T00:00:00"/>
    <x v="0"/>
    <n v="9"/>
    <s v="septiembre"/>
    <s v="T3"/>
    <s v="P004"/>
    <x v="6"/>
    <x v="2"/>
    <x v="3"/>
    <n v="8"/>
    <n v="165.15"/>
    <n v="110.03"/>
    <n v="0"/>
    <n v="1321.2"/>
    <n v="880.24"/>
    <n v="440.96000000000004"/>
    <x v="2103"/>
    <x v="1"/>
    <x v="4"/>
    <s v="online"/>
  </r>
  <r>
    <s v="V00608"/>
    <d v="2025-02-26T00:00:00"/>
    <x v="0"/>
    <n v="2"/>
    <s v="febrero"/>
    <s v="T1"/>
    <s v="P008"/>
    <x v="4"/>
    <x v="2"/>
    <x v="0"/>
    <n v="1"/>
    <n v="102.36"/>
    <n v="59.71"/>
    <n v="0"/>
    <n v="102.36"/>
    <n v="59.71"/>
    <n v="42.65"/>
    <x v="2104"/>
    <x v="0"/>
    <x v="5"/>
    <s v="online"/>
  </r>
  <r>
    <s v="V00231"/>
    <d v="2025-06-24T00:00:00"/>
    <x v="0"/>
    <n v="6"/>
    <s v="junio"/>
    <s v="T2"/>
    <s v="P004"/>
    <x v="6"/>
    <x v="2"/>
    <x v="3"/>
    <n v="3"/>
    <n v="172.79"/>
    <n v="112.06"/>
    <n v="0"/>
    <n v="518.37"/>
    <n v="336.18"/>
    <n v="182.19"/>
    <x v="2105"/>
    <x v="1"/>
    <x v="5"/>
    <s v="online"/>
  </r>
  <r>
    <s v="V00332"/>
    <d v="2024-11-29T00:00:00"/>
    <x v="1"/>
    <n v="11"/>
    <s v="noviembre"/>
    <s v="T4"/>
    <s v="P018"/>
    <x v="5"/>
    <x v="0"/>
    <x v="4"/>
    <n v="5"/>
    <n v="32.299999999999997"/>
    <n v="16.64"/>
    <n v="0.19"/>
    <n v="130.815"/>
    <n v="83.2"/>
    <n v="47.614999999999995"/>
    <x v="2106"/>
    <x v="1"/>
    <x v="5"/>
    <s v="tienda_fisica"/>
  </r>
  <r>
    <s v="V01441"/>
    <d v="2025-07-27T00:00:00"/>
    <x v="0"/>
    <n v="7"/>
    <s v="julio"/>
    <s v="T3"/>
    <s v="P004"/>
    <x v="6"/>
    <x v="2"/>
    <x v="3"/>
    <n v="1"/>
    <n v="158.97999999999999"/>
    <n v="108.62"/>
    <n v="0"/>
    <n v="158.97999999999999"/>
    <n v="108.62"/>
    <n v="50.359999999999985"/>
    <x v="2107"/>
    <x v="1"/>
    <x v="3"/>
    <s v="online"/>
  </r>
  <r>
    <s v="V01928"/>
    <d v="2024-04-01T00:00:00"/>
    <x v="1"/>
    <n v="4"/>
    <s v="abril"/>
    <s v="T2"/>
    <s v="P010"/>
    <x v="1"/>
    <x v="1"/>
    <x v="1"/>
    <n v="1"/>
    <n v="15.61"/>
    <n v="11.1"/>
    <n v="0"/>
    <n v="15.61"/>
    <n v="11.1"/>
    <n v="4.51"/>
    <x v="2108"/>
    <x v="1"/>
    <x v="0"/>
    <s v="online"/>
  </r>
  <r>
    <s v="V01092"/>
    <d v="2025-08-07T00:00:00"/>
    <x v="0"/>
    <n v="8"/>
    <s v="agosto"/>
    <s v="T3"/>
    <s v="P011"/>
    <x v="10"/>
    <x v="1"/>
    <x v="1"/>
    <n v="2"/>
    <n v="22.48"/>
    <n v="11.75"/>
    <n v="0"/>
    <n v="44.96"/>
    <n v="23.5"/>
    <n v="21.46"/>
    <x v="2109"/>
    <x v="0"/>
    <x v="0"/>
    <s v="tienda_fisica"/>
  </r>
  <r>
    <s v="V01102"/>
    <d v="2025-08-19T00:00:00"/>
    <x v="0"/>
    <n v="8"/>
    <s v="agosto"/>
    <s v="T3"/>
    <s v="P013"/>
    <x v="8"/>
    <x v="2"/>
    <x v="2"/>
    <n v="2"/>
    <n v="71.63"/>
    <n v="45.61"/>
    <n v="0"/>
    <n v="143.26"/>
    <n v="91.22"/>
    <n v="52.039999999999992"/>
    <x v="2110"/>
    <x v="1"/>
    <x v="3"/>
    <s v="tienda_fisica"/>
  </r>
  <r>
    <s v="V01130"/>
    <d v="2024-03-03T00:00:00"/>
    <x v="1"/>
    <n v="3"/>
    <s v="marzo"/>
    <s v="T1"/>
    <s v="P014"/>
    <x v="16"/>
    <x v="1"/>
    <x v="2"/>
    <n v="4"/>
    <n v="14.79"/>
    <n v="9.51"/>
    <n v="0"/>
    <n v="59.16"/>
    <n v="38.04"/>
    <n v="21.119999999999997"/>
    <x v="2111"/>
    <x v="1"/>
    <x v="4"/>
    <s v="online"/>
  </r>
  <r>
    <s v="V00462"/>
    <d v="2024-03-27T00:00:00"/>
    <x v="1"/>
    <n v="3"/>
    <s v="marzo"/>
    <s v="T1"/>
    <s v="P005"/>
    <x v="18"/>
    <x v="0"/>
    <x v="0"/>
    <n v="2"/>
    <n v="57.61"/>
    <n v="41.69"/>
    <n v="0.26"/>
    <n v="85.262799999999999"/>
    <n v="83.38"/>
    <n v="1.8828000000000031"/>
    <x v="2112"/>
    <x v="1"/>
    <x v="4"/>
    <s v="tienda_fisica"/>
  </r>
  <r>
    <s v="V00959"/>
    <d v="2025-02-25T00:00:00"/>
    <x v="0"/>
    <n v="2"/>
    <s v="febrero"/>
    <s v="T1"/>
    <s v="P016"/>
    <x v="11"/>
    <x v="2"/>
    <x v="2"/>
    <n v="4"/>
    <n v="74.75"/>
    <n v="39.619999999999997"/>
    <n v="0"/>
    <n v="299"/>
    <n v="158.47999999999999"/>
    <n v="140.52000000000001"/>
    <x v="2113"/>
    <x v="0"/>
    <x v="2"/>
    <s v="tienda_fisica"/>
  </r>
  <r>
    <s v="V01663"/>
    <d v="2024-12-14T00:00:00"/>
    <x v="1"/>
    <n v="12"/>
    <s v="diciembre"/>
    <s v="T4"/>
    <s v="P004"/>
    <x v="6"/>
    <x v="2"/>
    <x v="3"/>
    <n v="5"/>
    <n v="153.69999999999999"/>
    <n v="112.91"/>
    <n v="0"/>
    <n v="768.5"/>
    <n v="564.54999999999995"/>
    <n v="203.95000000000005"/>
    <x v="2114"/>
    <x v="1"/>
    <x v="0"/>
    <s v="online"/>
  </r>
  <r>
    <s v="V00560"/>
    <d v="2024-12-01T00:00:00"/>
    <x v="1"/>
    <n v="12"/>
    <s v="diciembre"/>
    <s v="T4"/>
    <s v="P013"/>
    <x v="8"/>
    <x v="2"/>
    <x v="2"/>
    <n v="1"/>
    <n v="81.569999999999993"/>
    <n v="49.54"/>
    <n v="0"/>
    <n v="81.569999999999993"/>
    <n v="49.54"/>
    <n v="32.029999999999994"/>
    <x v="2115"/>
    <x v="0"/>
    <x v="0"/>
    <s v="tienda_fisica"/>
  </r>
  <r>
    <s v="V02152"/>
    <d v="2024-05-05T00:00:00"/>
    <x v="1"/>
    <n v="5"/>
    <s v="mayo"/>
    <s v="T2"/>
    <s v="P015"/>
    <x v="2"/>
    <x v="2"/>
    <x v="2"/>
    <n v="6"/>
    <n v="83.96"/>
    <n v="43.87"/>
    <n v="0"/>
    <n v="503.76"/>
    <n v="263.21999999999997"/>
    <n v="240.54000000000002"/>
    <x v="2116"/>
    <x v="0"/>
    <x v="3"/>
    <s v="tienda_fisica"/>
  </r>
  <r>
    <s v="V01520"/>
    <d v="2024-12-02T00:00:00"/>
    <x v="1"/>
    <n v="12"/>
    <s v="diciembre"/>
    <s v="T4"/>
    <s v="P018"/>
    <x v="5"/>
    <x v="0"/>
    <x v="4"/>
    <n v="1"/>
    <n v="30.06"/>
    <n v="16.87"/>
    <n v="0"/>
    <n v="30.06"/>
    <n v="16.87"/>
    <n v="13.189999999999998"/>
    <x v="2117"/>
    <x v="0"/>
    <x v="3"/>
    <s v="tienda_fisica"/>
  </r>
  <r>
    <s v="V02218"/>
    <d v="2024-06-27T00:00:00"/>
    <x v="1"/>
    <n v="6"/>
    <s v="junio"/>
    <s v="T2"/>
    <s v="P009"/>
    <x v="12"/>
    <x v="1"/>
    <x v="1"/>
    <n v="1"/>
    <n v="7.98"/>
    <n v="4.46"/>
    <n v="0.25"/>
    <n v="5.9850000000000003"/>
    <n v="4.46"/>
    <n v="1.5250000000000004"/>
    <x v="2118"/>
    <x v="1"/>
    <x v="3"/>
    <s v="tienda_fisica"/>
  </r>
  <r>
    <s v="V02033"/>
    <d v="2024-12-30T00:00:00"/>
    <x v="1"/>
    <n v="12"/>
    <s v="diciembre"/>
    <s v="T4"/>
    <s v="P004"/>
    <x v="6"/>
    <x v="2"/>
    <x v="3"/>
    <n v="1"/>
    <n v="161.72"/>
    <n v="112.62"/>
    <n v="0"/>
    <n v="161.72"/>
    <n v="112.62"/>
    <n v="49.099999999999994"/>
    <x v="2119"/>
    <x v="1"/>
    <x v="0"/>
    <s v="tienda_fisica"/>
  </r>
  <r>
    <s v="V02299"/>
    <d v="2025-09-14T00:00:00"/>
    <x v="0"/>
    <n v="9"/>
    <s v="septiembre"/>
    <s v="T3"/>
    <s v="P001"/>
    <x v="9"/>
    <x v="2"/>
    <x v="3"/>
    <n v="1"/>
    <n v="127.21"/>
    <n v="84.89"/>
    <n v="0"/>
    <n v="127.21"/>
    <n v="84.89"/>
    <n v="42.319999999999993"/>
    <x v="2120"/>
    <x v="1"/>
    <x v="3"/>
    <s v="online"/>
  </r>
  <r>
    <s v="V02098"/>
    <d v="2024-11-03T00:00:00"/>
    <x v="1"/>
    <n v="11"/>
    <s v="noviembre"/>
    <s v="T4"/>
    <s v="P011"/>
    <x v="10"/>
    <x v="1"/>
    <x v="1"/>
    <n v="1"/>
    <n v="22.92"/>
    <n v="11.31"/>
    <n v="0"/>
    <n v="22.92"/>
    <n v="11.31"/>
    <n v="11.610000000000001"/>
    <x v="2121"/>
    <x v="0"/>
    <x v="0"/>
    <s v="tienda_fisica"/>
  </r>
  <r>
    <s v="V02173"/>
    <d v="2025-07-30T00:00:00"/>
    <x v="0"/>
    <n v="7"/>
    <s v="julio"/>
    <s v="T3"/>
    <s v="P010"/>
    <x v="1"/>
    <x v="1"/>
    <x v="1"/>
    <n v="8"/>
    <n v="16.22"/>
    <n v="11.61"/>
    <n v="0"/>
    <n v="129.76"/>
    <n v="92.88"/>
    <n v="36.879999999999995"/>
    <x v="1338"/>
    <x v="1"/>
    <x v="2"/>
    <s v="online"/>
  </r>
  <r>
    <s v="V00070"/>
    <d v="2025-11-08T00:00:00"/>
    <x v="0"/>
    <n v="11"/>
    <s v="noviembre"/>
    <s v="T4"/>
    <s v="P019"/>
    <x v="14"/>
    <x v="0"/>
    <x v="4"/>
    <n v="1"/>
    <n v="56.08"/>
    <n v="31.91"/>
    <n v="0.06"/>
    <n v="52.715199999999996"/>
    <n v="31.91"/>
    <n v="20.805199999999996"/>
    <x v="2122"/>
    <x v="0"/>
    <x v="2"/>
    <s v="online"/>
  </r>
  <r>
    <s v="V01573"/>
    <d v="2024-05-19T00:00:00"/>
    <x v="1"/>
    <n v="5"/>
    <s v="mayo"/>
    <s v="T2"/>
    <s v="P018"/>
    <x v="5"/>
    <x v="1"/>
    <x v="4"/>
    <n v="3"/>
    <n v="29.13"/>
    <n v="17.809999999999999"/>
    <n v="0"/>
    <n v="87.39"/>
    <n v="53.429999999999993"/>
    <n v="33.960000000000008"/>
    <x v="2123"/>
    <x v="0"/>
    <x v="2"/>
    <s v="online"/>
  </r>
  <r>
    <s v="V00809"/>
    <d v="2025-06-15T00:00:00"/>
    <x v="0"/>
    <n v="6"/>
    <s v="junio"/>
    <s v="T2"/>
    <s v="P015"/>
    <x v="2"/>
    <x v="2"/>
    <x v="2"/>
    <n v="2"/>
    <n v="76.88"/>
    <n v="42.65"/>
    <n v="0"/>
    <n v="153.76"/>
    <n v="85.3"/>
    <n v="68.459999999999994"/>
    <x v="2124"/>
    <x v="0"/>
    <x v="3"/>
    <s v="tienda_fisica"/>
  </r>
  <r>
    <s v="V00012"/>
    <d v="2025-03-24T00:00:00"/>
    <x v="0"/>
    <n v="3"/>
    <s v="marzo"/>
    <s v="T1"/>
    <s v="P012"/>
    <x v="13"/>
    <x v="1"/>
    <x v="1"/>
    <n v="1"/>
    <n v="8.07"/>
    <n v="5.8"/>
    <n v="0"/>
    <n v="8.07"/>
    <n v="5.8"/>
    <n v="2.2700000000000005"/>
    <x v="2125"/>
    <x v="1"/>
    <x v="5"/>
    <s v="tienda_fisica"/>
  </r>
  <r>
    <s v="V02026"/>
    <d v="2025-04-27T00:00:00"/>
    <x v="0"/>
    <n v="4"/>
    <s v="abril"/>
    <s v="T2"/>
    <s v="P009"/>
    <x v="12"/>
    <x v="1"/>
    <x v="1"/>
    <n v="1"/>
    <n v="7.6"/>
    <n v="4.4800000000000004"/>
    <n v="0"/>
    <n v="7.6"/>
    <n v="4.4800000000000004"/>
    <n v="3.1199999999999992"/>
    <x v="2126"/>
    <x v="0"/>
    <x v="3"/>
    <s v="online"/>
  </r>
  <r>
    <s v="V00918"/>
    <d v="2024-05-14T00:00:00"/>
    <x v="1"/>
    <n v="5"/>
    <s v="mayo"/>
    <s v="T2"/>
    <s v="P013"/>
    <x v="8"/>
    <x v="2"/>
    <x v="2"/>
    <n v="1"/>
    <n v="76.81"/>
    <n v="48.89"/>
    <n v="0"/>
    <n v="76.81"/>
    <n v="48.89"/>
    <n v="27.92"/>
    <x v="2127"/>
    <x v="1"/>
    <x v="3"/>
    <s v="online"/>
  </r>
  <r>
    <s v="V01452"/>
    <d v="2024-09-02T00:00:00"/>
    <x v="1"/>
    <n v="9"/>
    <s v="septiembre"/>
    <s v="T3"/>
    <s v="P011"/>
    <x v="10"/>
    <x v="1"/>
    <x v="1"/>
    <n v="1"/>
    <n v="21.57"/>
    <n v="11.3"/>
    <n v="0"/>
    <n v="21.57"/>
    <n v="11.3"/>
    <n v="10.27"/>
    <x v="2128"/>
    <x v="0"/>
    <x v="4"/>
    <s v="online"/>
  </r>
  <r>
    <s v="V00177"/>
    <d v="2025-01-09T00:00:00"/>
    <x v="0"/>
    <n v="1"/>
    <s v="enero"/>
    <s v="T1"/>
    <s v="P009"/>
    <x v="12"/>
    <x v="1"/>
    <x v="1"/>
    <n v="2"/>
    <n v="7.47"/>
    <n v="4.34"/>
    <n v="0"/>
    <n v="14.94"/>
    <n v="8.68"/>
    <n v="6.26"/>
    <x v="2129"/>
    <x v="0"/>
    <x v="2"/>
    <s v="online"/>
  </r>
  <r>
    <s v="V00995"/>
    <d v="2025-02-16T00:00:00"/>
    <x v="0"/>
    <n v="2"/>
    <s v="febrero"/>
    <s v="T1"/>
    <s v="P006"/>
    <x v="0"/>
    <x v="0"/>
    <x v="0"/>
    <n v="2"/>
    <n v="48.97"/>
    <n v="26.64"/>
    <n v="0"/>
    <n v="97.94"/>
    <n v="53.28"/>
    <n v="44.66"/>
    <x v="2130"/>
    <x v="0"/>
    <x v="5"/>
    <s v="tienda_fisica"/>
  </r>
  <r>
    <s v="V01256"/>
    <d v="2024-07-12T00:00:00"/>
    <x v="1"/>
    <n v="7"/>
    <s v="julio"/>
    <s v="T3"/>
    <s v="P005"/>
    <x v="18"/>
    <x v="2"/>
    <x v="0"/>
    <n v="4"/>
    <n v="62.34"/>
    <n v="41.33"/>
    <n v="0"/>
    <n v="249.36"/>
    <n v="165.32"/>
    <n v="84.04000000000002"/>
    <x v="2131"/>
    <x v="1"/>
    <x v="2"/>
    <s v="online"/>
  </r>
  <r>
    <s v="V01665"/>
    <d v="2024-12-17T00:00:00"/>
    <x v="1"/>
    <n v="12"/>
    <s v="diciembre"/>
    <s v="T4"/>
    <s v="P008"/>
    <x v="4"/>
    <x v="2"/>
    <x v="0"/>
    <n v="2"/>
    <n v="110.69"/>
    <n v="57.5"/>
    <n v="0"/>
    <n v="221.38"/>
    <n v="115"/>
    <n v="106.38"/>
    <x v="2132"/>
    <x v="0"/>
    <x v="0"/>
    <s v="tienda_fisica"/>
  </r>
  <r>
    <s v="V01108"/>
    <d v="2025-08-12T00:00:00"/>
    <x v="0"/>
    <n v="8"/>
    <s v="agosto"/>
    <s v="T3"/>
    <s v="P005"/>
    <x v="18"/>
    <x v="2"/>
    <x v="0"/>
    <n v="1"/>
    <n v="59.23"/>
    <n v="39.799999999999997"/>
    <n v="0"/>
    <n v="59.23"/>
    <n v="39.799999999999997"/>
    <n v="19.43"/>
    <x v="2133"/>
    <x v="1"/>
    <x v="0"/>
    <s v="tienda_fisica"/>
  </r>
  <r>
    <s v="V01791"/>
    <d v="2025-05-01T00:00:00"/>
    <x v="0"/>
    <n v="5"/>
    <s v="mayo"/>
    <s v="T2"/>
    <s v="P003"/>
    <x v="7"/>
    <x v="2"/>
    <x v="3"/>
    <n v="5"/>
    <n v="163.95"/>
    <n v="95.94"/>
    <n v="0"/>
    <n v="819.75"/>
    <n v="479.7"/>
    <n v="340.05"/>
    <x v="2134"/>
    <x v="0"/>
    <x v="4"/>
    <s v="online"/>
  </r>
  <r>
    <s v="V00157"/>
    <d v="2025-09-21T00:00:00"/>
    <x v="0"/>
    <n v="9"/>
    <s v="septiembre"/>
    <s v="T3"/>
    <s v="P012"/>
    <x v="13"/>
    <x v="1"/>
    <x v="1"/>
    <n v="1"/>
    <n v="8.5500000000000007"/>
    <n v="5.94"/>
    <n v="0"/>
    <n v="8.5500000000000007"/>
    <n v="5.94"/>
    <n v="2.6100000000000003"/>
    <x v="2135"/>
    <x v="1"/>
    <x v="6"/>
    <s v="online"/>
  </r>
  <r>
    <s v="V01461"/>
    <d v="2024-09-30T00:00:00"/>
    <x v="1"/>
    <n v="9"/>
    <s v="septiembre"/>
    <s v="T3"/>
    <s v="P019"/>
    <x v="14"/>
    <x v="0"/>
    <x v="4"/>
    <n v="3"/>
    <n v="56.3"/>
    <n v="34.200000000000003"/>
    <n v="0"/>
    <n v="168.89999999999998"/>
    <n v="102.60000000000001"/>
    <n v="66.299999999999969"/>
    <x v="2136"/>
    <x v="0"/>
    <x v="6"/>
    <s v="online"/>
  </r>
  <r>
    <s v="V02047"/>
    <d v="2025-04-20T00:00:00"/>
    <x v="0"/>
    <n v="4"/>
    <s v="abril"/>
    <s v="T2"/>
    <s v="P001"/>
    <x v="9"/>
    <x v="2"/>
    <x v="3"/>
    <n v="1"/>
    <n v="127"/>
    <n v="81.12"/>
    <n v="0"/>
    <n v="127"/>
    <n v="81.12"/>
    <n v="45.879999999999995"/>
    <x v="2137"/>
    <x v="1"/>
    <x v="6"/>
    <s v="online"/>
  </r>
  <r>
    <s v="V01851"/>
    <d v="2025-12-20T00:00:00"/>
    <x v="0"/>
    <n v="12"/>
    <s v="diciembre"/>
    <s v="T4"/>
    <s v="P019"/>
    <x v="14"/>
    <x v="0"/>
    <x v="4"/>
    <n v="1"/>
    <n v="55.57"/>
    <n v="31.1"/>
    <n v="0"/>
    <n v="55.57"/>
    <n v="31.1"/>
    <n v="24.47"/>
    <x v="2138"/>
    <x v="0"/>
    <x v="2"/>
    <s v="online"/>
  </r>
  <r>
    <s v="V02006"/>
    <d v="2025-06-30T00:00:00"/>
    <x v="0"/>
    <n v="6"/>
    <s v="junio"/>
    <s v="T2"/>
    <s v="P018"/>
    <x v="5"/>
    <x v="1"/>
    <x v="4"/>
    <n v="6"/>
    <n v="29.75"/>
    <n v="16.989999999999998"/>
    <n v="0"/>
    <n v="178.5"/>
    <n v="101.94"/>
    <n v="76.56"/>
    <x v="2139"/>
    <x v="0"/>
    <x v="3"/>
    <s v="online"/>
  </r>
  <r>
    <s v="V01186"/>
    <d v="2025-09-15T00:00:00"/>
    <x v="0"/>
    <n v="9"/>
    <s v="septiembre"/>
    <s v="T3"/>
    <s v="P008"/>
    <x v="4"/>
    <x v="2"/>
    <x v="0"/>
    <n v="2"/>
    <n v="94.44"/>
    <n v="58.04"/>
    <n v="0"/>
    <n v="188.88"/>
    <n v="116.08"/>
    <n v="72.8"/>
    <x v="2140"/>
    <x v="0"/>
    <x v="3"/>
    <s v="online"/>
  </r>
  <r>
    <s v="V01007"/>
    <d v="2025-03-09T00:00:00"/>
    <x v="0"/>
    <n v="3"/>
    <s v="marzo"/>
    <s v="T1"/>
    <s v="P015"/>
    <x v="2"/>
    <x v="2"/>
    <x v="2"/>
    <n v="2"/>
    <n v="76.34"/>
    <n v="41.51"/>
    <n v="0"/>
    <n v="152.68"/>
    <n v="83.02"/>
    <n v="69.660000000000011"/>
    <x v="2141"/>
    <x v="0"/>
    <x v="1"/>
    <s v="online"/>
  </r>
  <r>
    <s v="V00561"/>
    <d v="2024-05-30T00:00:00"/>
    <x v="1"/>
    <n v="5"/>
    <s v="mayo"/>
    <s v="T2"/>
    <s v="P001"/>
    <x v="9"/>
    <x v="2"/>
    <x v="3"/>
    <n v="1"/>
    <n v="121.16"/>
    <n v="81.83"/>
    <n v="0"/>
    <n v="121.16"/>
    <n v="81.83"/>
    <n v="39.33"/>
    <x v="2142"/>
    <x v="1"/>
    <x v="4"/>
    <s v="tienda_fisica"/>
  </r>
  <r>
    <s v="V00911"/>
    <d v="2024-10-27T00:00:00"/>
    <x v="1"/>
    <n v="10"/>
    <s v="octubre"/>
    <s v="T4"/>
    <s v="P016"/>
    <x v="11"/>
    <x v="2"/>
    <x v="2"/>
    <n v="4"/>
    <n v="84.21"/>
    <n v="42.77"/>
    <n v="0"/>
    <n v="336.84"/>
    <n v="171.08"/>
    <n v="165.75999999999996"/>
    <x v="2143"/>
    <x v="0"/>
    <x v="3"/>
    <s v="online"/>
  </r>
  <r>
    <s v="V01312"/>
    <d v="2024-08-08T00:00:00"/>
    <x v="1"/>
    <n v="8"/>
    <s v="agosto"/>
    <s v="T3"/>
    <s v="P013"/>
    <x v="8"/>
    <x v="2"/>
    <x v="2"/>
    <n v="5"/>
    <n v="73.52"/>
    <n v="49.04"/>
    <n v="0"/>
    <n v="367.59999999999997"/>
    <n v="245.2"/>
    <n v="122.39999999999998"/>
    <x v="2144"/>
    <x v="1"/>
    <x v="4"/>
    <s v="online"/>
  </r>
  <r>
    <s v="V02050"/>
    <d v="2024-10-17T00:00:00"/>
    <x v="1"/>
    <n v="10"/>
    <s v="octubre"/>
    <s v="T4"/>
    <s v="P002"/>
    <x v="3"/>
    <x v="2"/>
    <x v="3"/>
    <n v="1"/>
    <n v="70.34"/>
    <n v="45.2"/>
    <n v="0"/>
    <n v="70.34"/>
    <n v="45.2"/>
    <n v="25.14"/>
    <x v="2145"/>
    <x v="1"/>
    <x v="3"/>
    <s v="tienda_fisica"/>
  </r>
  <r>
    <s v="V00270"/>
    <d v="2024-03-05T00:00:00"/>
    <x v="1"/>
    <n v="3"/>
    <s v="marzo"/>
    <s v="T1"/>
    <s v="P012"/>
    <x v="13"/>
    <x v="1"/>
    <x v="1"/>
    <n v="3"/>
    <n v="8.44"/>
    <n v="5.8"/>
    <n v="0"/>
    <n v="25.32"/>
    <n v="17.399999999999999"/>
    <n v="7.9200000000000017"/>
    <x v="2146"/>
    <x v="1"/>
    <x v="2"/>
    <s v="online"/>
  </r>
  <r>
    <s v="V01994"/>
    <d v="2024-06-09T00:00:00"/>
    <x v="1"/>
    <n v="6"/>
    <s v="junio"/>
    <s v="T2"/>
    <s v="P017"/>
    <x v="17"/>
    <x v="0"/>
    <x v="4"/>
    <n v="4"/>
    <n v="49.65"/>
    <n v="22.71"/>
    <n v="0"/>
    <n v="198.6"/>
    <n v="90.84"/>
    <n v="107.75999999999999"/>
    <x v="2147"/>
    <x v="0"/>
    <x v="3"/>
    <s v="online"/>
  </r>
  <r>
    <s v="V00266"/>
    <d v="2024-10-23T00:00:00"/>
    <x v="1"/>
    <n v="10"/>
    <s v="octubre"/>
    <s v="T4"/>
    <s v="P010"/>
    <x v="1"/>
    <x v="1"/>
    <x v="1"/>
    <n v="3"/>
    <n v="17.16"/>
    <n v="11.02"/>
    <n v="0"/>
    <n v="51.480000000000004"/>
    <n v="33.06"/>
    <n v="18.420000000000002"/>
    <x v="2148"/>
    <x v="1"/>
    <x v="4"/>
    <s v="tienda_fisica"/>
  </r>
  <r>
    <s v="V00915"/>
    <d v="2025-11-03T00:00:00"/>
    <x v="0"/>
    <n v="11"/>
    <s v="noviembre"/>
    <s v="T4"/>
    <s v="P015"/>
    <x v="2"/>
    <x v="2"/>
    <x v="2"/>
    <n v="2"/>
    <n v="76.05"/>
    <n v="44.38"/>
    <n v="0.1"/>
    <n v="136.88999999999999"/>
    <n v="88.76"/>
    <n v="48.129999999999981"/>
    <x v="2149"/>
    <x v="1"/>
    <x v="5"/>
    <s v="online"/>
  </r>
  <r>
    <s v="V02287"/>
    <d v="2025-05-14T00:00:00"/>
    <x v="0"/>
    <n v="5"/>
    <s v="mayo"/>
    <s v="T2"/>
    <s v="P014"/>
    <x v="16"/>
    <x v="1"/>
    <x v="2"/>
    <n v="4"/>
    <n v="15.15"/>
    <n v="9.67"/>
    <n v="0.22"/>
    <n v="47.268000000000001"/>
    <n v="38.68"/>
    <n v="8.588000000000001"/>
    <x v="2150"/>
    <x v="1"/>
    <x v="3"/>
    <s v="tienda_fisica"/>
  </r>
  <r>
    <s v="V00874"/>
    <d v="2025-01-11T00:00:00"/>
    <x v="0"/>
    <n v="1"/>
    <s v="enero"/>
    <s v="T1"/>
    <s v="P019"/>
    <x v="14"/>
    <x v="0"/>
    <x v="4"/>
    <n v="2"/>
    <n v="57.62"/>
    <n v="32.97"/>
    <n v="0.15"/>
    <n v="97.953999999999994"/>
    <n v="65.94"/>
    <n v="32.013999999999996"/>
    <x v="2151"/>
    <x v="1"/>
    <x v="3"/>
    <s v="online"/>
  </r>
  <r>
    <s v="V02094"/>
    <d v="2024-12-02T00:00:00"/>
    <x v="1"/>
    <n v="12"/>
    <s v="diciembre"/>
    <s v="T4"/>
    <s v="P012"/>
    <x v="13"/>
    <x v="1"/>
    <x v="1"/>
    <n v="1"/>
    <n v="8.07"/>
    <n v="5.78"/>
    <n v="0"/>
    <n v="8.07"/>
    <n v="5.78"/>
    <n v="2.29"/>
    <x v="2152"/>
    <x v="1"/>
    <x v="3"/>
    <s v="online"/>
  </r>
  <r>
    <s v="V00476"/>
    <d v="2024-06-11T00:00:00"/>
    <x v="1"/>
    <n v="6"/>
    <s v="junio"/>
    <s v="T2"/>
    <s v="P011"/>
    <x v="10"/>
    <x v="1"/>
    <x v="1"/>
    <n v="1"/>
    <n v="20.47"/>
    <n v="11.84"/>
    <n v="0"/>
    <n v="20.47"/>
    <n v="11.84"/>
    <n v="8.629999999999999"/>
    <x v="2153"/>
    <x v="0"/>
    <x v="4"/>
    <s v="online"/>
  </r>
  <r>
    <s v="V01653"/>
    <d v="2025-10-24T00:00:00"/>
    <x v="0"/>
    <n v="10"/>
    <s v="octubre"/>
    <s v="T4"/>
    <s v="P003"/>
    <x v="7"/>
    <x v="2"/>
    <x v="3"/>
    <n v="4"/>
    <n v="177.72"/>
    <n v="96.56"/>
    <n v="0.21"/>
    <n v="561.59519999999998"/>
    <n v="386.24"/>
    <n v="175.35519999999997"/>
    <x v="2154"/>
    <x v="1"/>
    <x v="3"/>
    <s v="online"/>
  </r>
  <r>
    <s v="V01961"/>
    <d v="2025-01-29T00:00:00"/>
    <x v="0"/>
    <n v="1"/>
    <s v="enero"/>
    <s v="T1"/>
    <s v="P011"/>
    <x v="10"/>
    <x v="1"/>
    <x v="1"/>
    <n v="5"/>
    <n v="22.28"/>
    <n v="11"/>
    <n v="0"/>
    <n v="111.4"/>
    <n v="55"/>
    <n v="56.400000000000006"/>
    <x v="2155"/>
    <x v="0"/>
    <x v="0"/>
    <s v="tienda_fisica"/>
  </r>
  <r>
    <s v="V00046"/>
    <d v="2025-08-12T00:00:00"/>
    <x v="0"/>
    <n v="8"/>
    <s v="agosto"/>
    <s v="T3"/>
    <s v="P001"/>
    <x v="9"/>
    <x v="2"/>
    <x v="3"/>
    <n v="2"/>
    <n v="129.1"/>
    <n v="88.13"/>
    <n v="0"/>
    <n v="258.2"/>
    <n v="176.26"/>
    <n v="81.94"/>
    <x v="2156"/>
    <x v="1"/>
    <x v="0"/>
    <s v="online"/>
  </r>
  <r>
    <s v="V00162"/>
    <d v="2024-03-30T00:00:00"/>
    <x v="1"/>
    <n v="3"/>
    <s v="marzo"/>
    <s v="T1"/>
    <s v="P015"/>
    <x v="2"/>
    <x v="2"/>
    <x v="2"/>
    <n v="5"/>
    <n v="75.19"/>
    <n v="41.93"/>
    <n v="0.23"/>
    <n v="289.48149999999998"/>
    <n v="209.65"/>
    <n v="79.831499999999977"/>
    <x v="2157"/>
    <x v="1"/>
    <x v="2"/>
    <s v="tienda_fisica"/>
  </r>
  <r>
    <s v="V00289"/>
    <d v="2025-08-10T00:00:00"/>
    <x v="0"/>
    <n v="8"/>
    <s v="agosto"/>
    <s v="T3"/>
    <s v="P004"/>
    <x v="6"/>
    <x v="2"/>
    <x v="3"/>
    <n v="1"/>
    <n v="172.69"/>
    <n v="106.5"/>
    <n v="0"/>
    <n v="172.69"/>
    <n v="106.5"/>
    <n v="66.19"/>
    <x v="2158"/>
    <x v="0"/>
    <x v="4"/>
    <s v="online"/>
  </r>
  <r>
    <s v="V01949"/>
    <d v="2024-10-19T00:00:00"/>
    <x v="1"/>
    <n v="10"/>
    <s v="octubre"/>
    <s v="T4"/>
    <s v="P015"/>
    <x v="2"/>
    <x v="2"/>
    <x v="2"/>
    <n v="1"/>
    <n v="81.97"/>
    <n v="44.7"/>
    <n v="0.25"/>
    <n v="61.477499999999999"/>
    <n v="44.7"/>
    <n v="16.777499999999996"/>
    <x v="2159"/>
    <x v="1"/>
    <x v="3"/>
    <s v="online"/>
  </r>
  <r>
    <s v="V00576"/>
    <d v="2024-09-24T00:00:00"/>
    <x v="1"/>
    <n v="9"/>
    <s v="septiembre"/>
    <s v="T3"/>
    <s v="P006"/>
    <x v="0"/>
    <x v="0"/>
    <x v="0"/>
    <n v="1"/>
    <n v="43.23"/>
    <n v="27.92"/>
    <n v="0"/>
    <n v="43.23"/>
    <n v="27.92"/>
    <n v="15.309999999999995"/>
    <x v="2160"/>
    <x v="1"/>
    <x v="2"/>
    <s v="online"/>
  </r>
  <r>
    <s v="V00851"/>
    <d v="2025-01-28T00:00:00"/>
    <x v="0"/>
    <n v="1"/>
    <s v="enero"/>
    <s v="T1"/>
    <s v="P012"/>
    <x v="13"/>
    <x v="1"/>
    <x v="1"/>
    <n v="3"/>
    <n v="8.1"/>
    <n v="6.01"/>
    <n v="0"/>
    <n v="24.299999999999997"/>
    <n v="18.03"/>
    <n v="6.269999999999996"/>
    <x v="2161"/>
    <x v="1"/>
    <x v="0"/>
    <s v="tienda_fisica"/>
  </r>
  <r>
    <s v="V00912"/>
    <d v="2024-02-06T00:00:00"/>
    <x v="1"/>
    <n v="2"/>
    <s v="febrero"/>
    <s v="T1"/>
    <s v="P017"/>
    <x v="17"/>
    <x v="0"/>
    <x v="4"/>
    <n v="1"/>
    <n v="47.74"/>
    <n v="22.69"/>
    <n v="0"/>
    <n v="47.74"/>
    <n v="22.69"/>
    <n v="25.05"/>
    <x v="2162"/>
    <x v="0"/>
    <x v="6"/>
    <s v="tienda_fisica"/>
  </r>
  <r>
    <s v="V01255"/>
    <d v="2025-06-29T00:00:00"/>
    <x v="0"/>
    <n v="6"/>
    <s v="junio"/>
    <s v="T2"/>
    <s v="P011"/>
    <x v="10"/>
    <x v="1"/>
    <x v="1"/>
    <n v="6"/>
    <n v="21.01"/>
    <n v="11.83"/>
    <n v="0"/>
    <n v="126.06"/>
    <n v="70.98"/>
    <n v="55.08"/>
    <x v="2163"/>
    <x v="0"/>
    <x v="0"/>
    <s v="tienda_fisica"/>
  </r>
  <r>
    <s v="V01834"/>
    <d v="2024-07-29T00:00:00"/>
    <x v="1"/>
    <n v="7"/>
    <s v="julio"/>
    <s v="T3"/>
    <s v="P006"/>
    <x v="0"/>
    <x v="0"/>
    <x v="0"/>
    <n v="2"/>
    <n v="47.68"/>
    <n v="26.12"/>
    <n v="0"/>
    <n v="95.36"/>
    <n v="52.24"/>
    <n v="43.12"/>
    <x v="2164"/>
    <x v="0"/>
    <x v="4"/>
    <s v="tienda_fisica"/>
  </r>
  <r>
    <s v="V01723"/>
    <d v="2025-11-17T00:00:00"/>
    <x v="0"/>
    <n v="11"/>
    <s v="noviembre"/>
    <s v="T4"/>
    <s v="P004"/>
    <x v="6"/>
    <x v="2"/>
    <x v="3"/>
    <n v="3"/>
    <n v="151.66999999999999"/>
    <n v="108.3"/>
    <n v="7.0000000000000007E-2"/>
    <n v="423.15929999999997"/>
    <n v="324.89999999999998"/>
    <n v="98.259299999999996"/>
    <x v="2165"/>
    <x v="1"/>
    <x v="3"/>
    <s v="online"/>
  </r>
  <r>
    <s v="V02134"/>
    <d v="2025-06-19T00:00:00"/>
    <x v="0"/>
    <n v="6"/>
    <s v="junio"/>
    <s v="T2"/>
    <s v="P015"/>
    <x v="2"/>
    <x v="2"/>
    <x v="2"/>
    <n v="6"/>
    <n v="72.28"/>
    <n v="41.62"/>
    <n v="0.15"/>
    <n v="368.62799999999999"/>
    <n v="249.71999999999997"/>
    <n v="118.90800000000002"/>
    <x v="2166"/>
    <x v="1"/>
    <x v="2"/>
    <s v="tienda_fisica"/>
  </r>
  <r>
    <s v="V01736"/>
    <d v="2024-08-26T00:00:00"/>
    <x v="1"/>
    <n v="8"/>
    <s v="agosto"/>
    <s v="T3"/>
    <s v="P008"/>
    <x v="4"/>
    <x v="2"/>
    <x v="0"/>
    <n v="2"/>
    <n v="105.72"/>
    <n v="57.56"/>
    <n v="0"/>
    <n v="211.44"/>
    <n v="115.12"/>
    <n v="96.32"/>
    <x v="2167"/>
    <x v="0"/>
    <x v="5"/>
    <s v="tienda_fisica"/>
  </r>
  <r>
    <s v="V00933"/>
    <d v="2025-06-09T00:00:00"/>
    <x v="0"/>
    <n v="6"/>
    <s v="junio"/>
    <s v="T2"/>
    <s v="P001"/>
    <x v="9"/>
    <x v="2"/>
    <x v="3"/>
    <n v="3"/>
    <n v="116.72"/>
    <n v="86.07"/>
    <n v="0"/>
    <n v="350.15999999999997"/>
    <n v="258.20999999999998"/>
    <n v="91.949999999999989"/>
    <x v="2168"/>
    <x v="1"/>
    <x v="0"/>
    <s v="tienda_fisica"/>
  </r>
  <r>
    <s v="V01101"/>
    <d v="2025-09-15T00:00:00"/>
    <x v="0"/>
    <n v="9"/>
    <s v="septiembre"/>
    <s v="T3"/>
    <s v="P004"/>
    <x v="6"/>
    <x v="2"/>
    <x v="3"/>
    <n v="5"/>
    <n v="169.15"/>
    <n v="112.37"/>
    <n v="0"/>
    <n v="845.75"/>
    <n v="561.85"/>
    <n v="283.89999999999998"/>
    <x v="2169"/>
    <x v="1"/>
    <x v="3"/>
    <s v="online"/>
  </r>
  <r>
    <s v="V01208"/>
    <d v="2024-04-23T00:00:00"/>
    <x v="1"/>
    <n v="4"/>
    <s v="abril"/>
    <s v="T2"/>
    <s v="P007"/>
    <x v="15"/>
    <x v="1"/>
    <x v="0"/>
    <n v="1"/>
    <n v="20.59"/>
    <n v="12.77"/>
    <n v="0"/>
    <n v="20.59"/>
    <n v="12.77"/>
    <n v="7.82"/>
    <x v="2170"/>
    <x v="0"/>
    <x v="4"/>
    <s v="online"/>
  </r>
  <r>
    <s v="V01844"/>
    <d v="2024-08-14T00:00:00"/>
    <x v="1"/>
    <n v="8"/>
    <s v="agosto"/>
    <s v="T3"/>
    <s v="P004"/>
    <x v="6"/>
    <x v="2"/>
    <x v="3"/>
    <n v="4"/>
    <n v="173.72"/>
    <n v="108.48"/>
    <n v="0"/>
    <n v="694.88"/>
    <n v="433.92"/>
    <n v="260.95999999999998"/>
    <x v="2171"/>
    <x v="0"/>
    <x v="6"/>
    <s v="online"/>
  </r>
  <r>
    <s v="V01849"/>
    <d v="2025-01-21T00:00:00"/>
    <x v="0"/>
    <n v="1"/>
    <s v="enero"/>
    <s v="T1"/>
    <s v="P015"/>
    <x v="2"/>
    <x v="2"/>
    <x v="2"/>
    <n v="1"/>
    <n v="71.709999999999994"/>
    <n v="42.76"/>
    <n v="0"/>
    <n v="71.709999999999994"/>
    <n v="42.76"/>
    <n v="28.949999999999996"/>
    <x v="2172"/>
    <x v="0"/>
    <x v="2"/>
    <s v="tienda_fisica"/>
  </r>
  <r>
    <s v="V01695"/>
    <d v="2024-07-03T00:00:00"/>
    <x v="1"/>
    <n v="7"/>
    <s v="julio"/>
    <s v="T3"/>
    <s v="P004"/>
    <x v="6"/>
    <x v="2"/>
    <x v="3"/>
    <n v="8"/>
    <n v="148.93"/>
    <n v="110.03"/>
    <n v="0"/>
    <n v="1191.44"/>
    <n v="880.24"/>
    <n v="311.20000000000005"/>
    <x v="2173"/>
    <x v="1"/>
    <x v="5"/>
    <s v="tienda_fisica"/>
  </r>
  <r>
    <s v="V00086"/>
    <d v="2025-01-24T00:00:00"/>
    <x v="0"/>
    <n v="1"/>
    <s v="enero"/>
    <s v="T1"/>
    <s v="P018"/>
    <x v="5"/>
    <x v="1"/>
    <x v="4"/>
    <n v="3"/>
    <n v="29.6"/>
    <n v="17.63"/>
    <n v="0"/>
    <n v="88.800000000000011"/>
    <n v="52.89"/>
    <n v="35.910000000000011"/>
    <x v="2174"/>
    <x v="0"/>
    <x v="6"/>
    <s v="tienda_fisica"/>
  </r>
  <r>
    <s v="V00470"/>
    <d v="2024-07-11T00:00:00"/>
    <x v="1"/>
    <n v="7"/>
    <s v="julio"/>
    <s v="T3"/>
    <s v="P014"/>
    <x v="16"/>
    <x v="1"/>
    <x v="2"/>
    <n v="1"/>
    <n v="14.36"/>
    <n v="9.58"/>
    <n v="0"/>
    <n v="14.36"/>
    <n v="9.58"/>
    <n v="4.7799999999999994"/>
    <x v="1144"/>
    <x v="1"/>
    <x v="5"/>
    <s v="online"/>
  </r>
  <r>
    <s v="V00234"/>
    <d v="2025-05-27T00:00:00"/>
    <x v="0"/>
    <n v="5"/>
    <s v="mayo"/>
    <s v="T2"/>
    <s v="P003"/>
    <x v="7"/>
    <x v="2"/>
    <x v="3"/>
    <n v="1"/>
    <n v="165.66"/>
    <n v="95.18"/>
    <n v="0"/>
    <n v="165.66"/>
    <n v="95.18"/>
    <n v="70.47999999999999"/>
    <x v="2175"/>
    <x v="0"/>
    <x v="2"/>
    <s v="online"/>
  </r>
  <r>
    <s v="V02266"/>
    <d v="2025-04-26T00:00:00"/>
    <x v="0"/>
    <n v="4"/>
    <s v="abril"/>
    <s v="T2"/>
    <s v="P018"/>
    <x v="5"/>
    <x v="0"/>
    <x v="4"/>
    <n v="3"/>
    <n v="32.56"/>
    <n v="17.11"/>
    <n v="0"/>
    <n v="97.68"/>
    <n v="51.33"/>
    <n v="46.350000000000009"/>
    <x v="2176"/>
    <x v="0"/>
    <x v="3"/>
    <s v="tienda_fisica"/>
  </r>
  <r>
    <s v="V01712"/>
    <d v="2024-03-08T00:00:00"/>
    <x v="1"/>
    <n v="3"/>
    <s v="marzo"/>
    <s v="T1"/>
    <s v="P013"/>
    <x v="8"/>
    <x v="2"/>
    <x v="2"/>
    <n v="1"/>
    <n v="79.459999999999994"/>
    <n v="47.95"/>
    <n v="0"/>
    <n v="79.459999999999994"/>
    <n v="47.95"/>
    <n v="31.509999999999991"/>
    <x v="2177"/>
    <x v="0"/>
    <x v="2"/>
    <s v="tienda_fisica"/>
  </r>
  <r>
    <s v="V00183"/>
    <d v="2025-08-14T00:00:00"/>
    <x v="0"/>
    <n v="8"/>
    <s v="agosto"/>
    <s v="T3"/>
    <s v="P019"/>
    <x v="14"/>
    <x v="2"/>
    <x v="4"/>
    <n v="3"/>
    <n v="61.52"/>
    <n v="33.58"/>
    <n v="0"/>
    <n v="184.56"/>
    <n v="100.74"/>
    <n v="83.820000000000007"/>
    <x v="2178"/>
    <x v="0"/>
    <x v="3"/>
    <s v="online"/>
  </r>
  <r>
    <s v="V00989"/>
    <d v="2024-03-30T00:00:00"/>
    <x v="1"/>
    <n v="3"/>
    <s v="marzo"/>
    <s v="T1"/>
    <s v="P004"/>
    <x v="6"/>
    <x v="2"/>
    <x v="3"/>
    <n v="4"/>
    <n v="159.51"/>
    <n v="109.99"/>
    <n v="0"/>
    <n v="638.04"/>
    <n v="439.96"/>
    <n v="198.07999999999998"/>
    <x v="2179"/>
    <x v="1"/>
    <x v="2"/>
    <s v="online"/>
  </r>
  <r>
    <s v="V01001"/>
    <d v="2025-12-04T00:00:00"/>
    <x v="0"/>
    <n v="12"/>
    <s v="diciembre"/>
    <s v="T4"/>
    <s v="P007"/>
    <x v="15"/>
    <x v="1"/>
    <x v="0"/>
    <n v="4"/>
    <n v="18.77"/>
    <n v="12.64"/>
    <n v="0"/>
    <n v="75.08"/>
    <n v="50.56"/>
    <n v="24.519999999999996"/>
    <x v="2180"/>
    <x v="1"/>
    <x v="0"/>
    <s v="tienda_fisica"/>
  </r>
  <r>
    <s v="V01642"/>
    <d v="2024-04-14T00:00:00"/>
    <x v="1"/>
    <n v="4"/>
    <s v="abril"/>
    <s v="T2"/>
    <s v="P006"/>
    <x v="0"/>
    <x v="0"/>
    <x v="0"/>
    <n v="3"/>
    <n v="49.18"/>
    <n v="27.39"/>
    <n v="0"/>
    <n v="147.54"/>
    <n v="82.17"/>
    <n v="65.36999999999999"/>
    <x v="2181"/>
    <x v="0"/>
    <x v="4"/>
    <s v="online"/>
  </r>
  <r>
    <s v="V01357"/>
    <d v="2025-09-25T00:00:00"/>
    <x v="0"/>
    <n v="9"/>
    <s v="septiembre"/>
    <s v="T3"/>
    <s v="P018"/>
    <x v="5"/>
    <x v="1"/>
    <x v="4"/>
    <n v="4"/>
    <n v="29.83"/>
    <n v="17.91"/>
    <n v="0"/>
    <n v="119.32"/>
    <n v="71.64"/>
    <n v="47.679999999999993"/>
    <x v="2182"/>
    <x v="0"/>
    <x v="0"/>
    <s v="tienda_fisica"/>
  </r>
  <r>
    <s v="V01463"/>
    <d v="2024-08-14T00:00:00"/>
    <x v="1"/>
    <n v="8"/>
    <s v="agosto"/>
    <s v="T3"/>
    <s v="P014"/>
    <x v="16"/>
    <x v="1"/>
    <x v="2"/>
    <n v="10"/>
    <n v="13.59"/>
    <n v="9.1"/>
    <n v="0"/>
    <n v="135.9"/>
    <n v="91"/>
    <n v="44.900000000000006"/>
    <x v="2183"/>
    <x v="1"/>
    <x v="3"/>
    <s v="tienda_fisica"/>
  </r>
  <r>
    <s v="V00050"/>
    <d v="2024-09-15T00:00:00"/>
    <x v="1"/>
    <n v="9"/>
    <s v="septiembre"/>
    <s v="T3"/>
    <s v="P014"/>
    <x v="16"/>
    <x v="1"/>
    <x v="2"/>
    <n v="1"/>
    <n v="13.05"/>
    <n v="9.1300000000000008"/>
    <n v="0"/>
    <n v="13.05"/>
    <n v="9.1300000000000008"/>
    <n v="3.92"/>
    <x v="2184"/>
    <x v="1"/>
    <x v="5"/>
    <s v="tienda_fisica"/>
  </r>
  <r>
    <s v="V01259"/>
    <d v="2025-01-24T00:00:00"/>
    <x v="0"/>
    <n v="1"/>
    <s v="enero"/>
    <s v="T1"/>
    <s v="P007"/>
    <x v="15"/>
    <x v="1"/>
    <x v="0"/>
    <n v="1"/>
    <n v="20.14"/>
    <n v="12.42"/>
    <n v="0"/>
    <n v="20.14"/>
    <n v="12.42"/>
    <n v="7.7200000000000006"/>
    <x v="2185"/>
    <x v="0"/>
    <x v="3"/>
    <s v="tienda_fisica"/>
  </r>
  <r>
    <s v="V00487"/>
    <d v="2025-04-24T00:00:00"/>
    <x v="0"/>
    <n v="4"/>
    <s v="abril"/>
    <s v="T2"/>
    <s v="P003"/>
    <x v="7"/>
    <x v="2"/>
    <x v="3"/>
    <n v="3"/>
    <n v="175.33"/>
    <n v="92.96"/>
    <n v="0"/>
    <n v="525.99"/>
    <n v="278.88"/>
    <n v="247.11"/>
    <x v="2186"/>
    <x v="0"/>
    <x v="2"/>
    <s v="online"/>
  </r>
  <r>
    <s v="V02276"/>
    <d v="2025-09-15T00:00:00"/>
    <x v="0"/>
    <n v="9"/>
    <s v="septiembre"/>
    <s v="T3"/>
    <s v="P018"/>
    <x v="5"/>
    <x v="0"/>
    <x v="4"/>
    <n v="2"/>
    <n v="33.18"/>
    <n v="43.13"/>
    <n v="0.11"/>
    <n v="59.060400000000001"/>
    <n v="86.26"/>
    <n v="-27.199600000000004"/>
    <x v="2187"/>
    <x v="1"/>
    <x v="3"/>
    <s v="online"/>
  </r>
  <r>
    <s v="V01909"/>
    <d v="2025-12-25T00:00:00"/>
    <x v="0"/>
    <n v="12"/>
    <s v="diciembre"/>
    <s v="T4"/>
    <s v="P014"/>
    <x v="16"/>
    <x v="1"/>
    <x v="2"/>
    <n v="1"/>
    <n v="13.41"/>
    <n v="9.5299999999999994"/>
    <n v="0"/>
    <n v="13.41"/>
    <n v="9.5299999999999994"/>
    <n v="3.8800000000000008"/>
    <x v="2188"/>
    <x v="1"/>
    <x v="2"/>
    <s v="tienda_fisica"/>
  </r>
  <r>
    <s v="V00107"/>
    <d v="2024-05-14T00:00:00"/>
    <x v="1"/>
    <n v="5"/>
    <s v="mayo"/>
    <s v="T2"/>
    <s v="P001"/>
    <x v="9"/>
    <x v="2"/>
    <x v="3"/>
    <n v="1"/>
    <n v="115.82"/>
    <n v="80.540000000000006"/>
    <n v="0"/>
    <n v="115.82"/>
    <n v="80.540000000000006"/>
    <n v="35.279999999999987"/>
    <x v="2189"/>
    <x v="1"/>
    <x v="3"/>
    <s v="tienda_fisica"/>
  </r>
  <r>
    <s v="V00444"/>
    <d v="2025-02-26T00:00:00"/>
    <x v="0"/>
    <n v="2"/>
    <s v="febrero"/>
    <s v="T1"/>
    <s v="P011"/>
    <x v="10"/>
    <x v="1"/>
    <x v="1"/>
    <n v="1"/>
    <n v="20.64"/>
    <n v="10.94"/>
    <n v="0"/>
    <n v="20.64"/>
    <n v="10.94"/>
    <n v="9.7000000000000011"/>
    <x v="2190"/>
    <x v="0"/>
    <x v="6"/>
    <s v="tienda_fisica"/>
  </r>
  <r>
    <s v="V01955"/>
    <d v="2025-05-14T00:00:00"/>
    <x v="0"/>
    <n v="5"/>
    <s v="mayo"/>
    <s v="T2"/>
    <s v="P009"/>
    <x v="12"/>
    <x v="1"/>
    <x v="1"/>
    <n v="1"/>
    <n v="8.2200000000000006"/>
    <n v="4.12"/>
    <n v="0"/>
    <n v="8.2200000000000006"/>
    <n v="4.12"/>
    <n v="4.1000000000000005"/>
    <x v="2191"/>
    <x v="0"/>
    <x v="3"/>
    <s v="online"/>
  </r>
  <r>
    <s v="V00647"/>
    <d v="2025-12-30T00:00:00"/>
    <x v="0"/>
    <n v="12"/>
    <s v="diciembre"/>
    <s v="T4"/>
    <s v="P018"/>
    <x v="5"/>
    <x v="1"/>
    <x v="4"/>
    <n v="1"/>
    <n v="28.82"/>
    <n v="17.86"/>
    <n v="0"/>
    <n v="28.82"/>
    <n v="17.86"/>
    <n v="10.96"/>
    <x v="2192"/>
    <x v="0"/>
    <x v="4"/>
    <s v="tienda_fisica"/>
  </r>
  <r>
    <s v="V01763"/>
    <d v="2025-12-16T00:00:00"/>
    <x v="0"/>
    <n v="12"/>
    <s v="diciembre"/>
    <s v="T4"/>
    <s v="P008"/>
    <x v="4"/>
    <x v="2"/>
    <x v="0"/>
    <n v="4"/>
    <n v="109.69"/>
    <n v="56.79"/>
    <n v="0"/>
    <n v="438.76"/>
    <n v="227.16"/>
    <n v="211.6"/>
    <x v="2193"/>
    <x v="0"/>
    <x v="6"/>
    <s v="online"/>
  </r>
  <r>
    <s v="V00727"/>
    <d v="2024-05-31T00:00:00"/>
    <x v="1"/>
    <n v="5"/>
    <s v="mayo"/>
    <s v="T2"/>
    <s v="P015"/>
    <x v="2"/>
    <x v="2"/>
    <x v="2"/>
    <n v="1"/>
    <n v="80.319999999999993"/>
    <n v="44.77"/>
    <n v="0"/>
    <n v="80.319999999999993"/>
    <n v="44.77"/>
    <n v="35.54999999999999"/>
    <x v="2194"/>
    <x v="0"/>
    <x v="0"/>
    <s v="online"/>
  </r>
  <r>
    <s v="V01857"/>
    <d v="2024-09-18T00:00:00"/>
    <x v="1"/>
    <n v="9"/>
    <s v="septiembre"/>
    <s v="T3"/>
    <s v="P003"/>
    <x v="7"/>
    <x v="2"/>
    <x v="3"/>
    <n v="1"/>
    <n v="163.53"/>
    <n v="93.67"/>
    <n v="0.14000000000000001"/>
    <n v="140.63579999999999"/>
    <n v="93.67"/>
    <n v="46.965799999999987"/>
    <x v="2195"/>
    <x v="1"/>
    <x v="0"/>
    <s v="tienda_fisica"/>
  </r>
  <r>
    <s v="V00030"/>
    <d v="2025-11-16T00:00:00"/>
    <x v="0"/>
    <n v="11"/>
    <s v="noviembre"/>
    <s v="T4"/>
    <s v="P014"/>
    <x v="16"/>
    <x v="1"/>
    <x v="2"/>
    <n v="1"/>
    <n v="13.21"/>
    <n v="9.94"/>
    <n v="0"/>
    <n v="13.21"/>
    <n v="9.94"/>
    <n v="3.2700000000000014"/>
    <x v="2196"/>
    <x v="1"/>
    <x v="5"/>
    <s v="tienda_fisica"/>
  </r>
  <r>
    <s v="V00170"/>
    <d v="2024-03-24T00:00:00"/>
    <x v="1"/>
    <n v="3"/>
    <s v="marzo"/>
    <s v="T1"/>
    <s v="P001"/>
    <x v="9"/>
    <x v="2"/>
    <x v="3"/>
    <n v="3"/>
    <n v="127.41"/>
    <n v="83.61"/>
    <n v="0"/>
    <n v="382.23"/>
    <n v="250.82999999999998"/>
    <n v="131.40000000000003"/>
    <x v="2197"/>
    <x v="1"/>
    <x v="3"/>
    <s v="tienda_fisica"/>
  </r>
  <r>
    <s v="V01002"/>
    <d v="2025-10-08T00:00:00"/>
    <x v="0"/>
    <n v="10"/>
    <s v="octubre"/>
    <s v="T4"/>
    <s v="P019"/>
    <x v="14"/>
    <x v="2"/>
    <x v="4"/>
    <n v="3"/>
    <n v="59.86"/>
    <n v="31.56"/>
    <n v="0"/>
    <n v="179.57999999999998"/>
    <n v="94.679999999999993"/>
    <n v="84.899999999999991"/>
    <x v="2198"/>
    <x v="0"/>
    <x v="1"/>
    <s v="online"/>
  </r>
  <r>
    <s v="V02149"/>
    <d v="2025-07-30T00:00:00"/>
    <x v="0"/>
    <n v="7"/>
    <s v="julio"/>
    <s v="T3"/>
    <s v="P012"/>
    <x v="13"/>
    <x v="1"/>
    <x v="1"/>
    <n v="2"/>
    <n v="9.24"/>
    <n v="5.85"/>
    <n v="0"/>
    <n v="18.48"/>
    <n v="11.7"/>
    <n v="6.7800000000000011"/>
    <x v="2199"/>
    <x v="1"/>
    <x v="0"/>
    <s v="online"/>
  </r>
  <r>
    <s v="V00198"/>
    <d v="2025-01-27T00:00:00"/>
    <x v="0"/>
    <n v="1"/>
    <s v="enero"/>
    <s v="T1"/>
    <s v="P009"/>
    <x v="12"/>
    <x v="1"/>
    <x v="1"/>
    <n v="4"/>
    <n v="7.3"/>
    <n v="4.16"/>
    <n v="0"/>
    <n v="29.2"/>
    <n v="16.64"/>
    <n v="12.559999999999999"/>
    <x v="2200"/>
    <x v="0"/>
    <x v="3"/>
    <s v="tienda_fisica"/>
  </r>
  <r>
    <s v="V00496"/>
    <d v="2024-04-07T00:00:00"/>
    <x v="1"/>
    <n v="4"/>
    <s v="abril"/>
    <s v="T2"/>
    <s v="P019"/>
    <x v="14"/>
    <x v="0"/>
    <x v="4"/>
    <n v="5"/>
    <n v="55.41"/>
    <n v="31.23"/>
    <n v="0"/>
    <n v="277.04999999999995"/>
    <n v="156.15"/>
    <n v="120.89999999999995"/>
    <x v="2201"/>
    <x v="0"/>
    <x v="4"/>
    <s v="online"/>
  </r>
  <r>
    <s v="V02027"/>
    <d v="2024-04-24T00:00:00"/>
    <x v="1"/>
    <n v="4"/>
    <s v="abril"/>
    <s v="T2"/>
    <s v="P010"/>
    <x v="1"/>
    <x v="1"/>
    <x v="1"/>
    <n v="1"/>
    <n v="16.87"/>
    <n v="11.99"/>
    <n v="0"/>
    <n v="16.87"/>
    <n v="11.99"/>
    <n v="4.8800000000000008"/>
    <x v="2202"/>
    <x v="1"/>
    <x v="5"/>
    <s v="tienda_fisica"/>
  </r>
  <r>
    <s v="V00648"/>
    <d v="2024-12-22T00:00:00"/>
    <x v="1"/>
    <n v="12"/>
    <s v="diciembre"/>
    <s v="T4"/>
    <s v="P016"/>
    <x v="11"/>
    <x v="2"/>
    <x v="2"/>
    <n v="7"/>
    <n v="80.099999999999994"/>
    <n v="42.09"/>
    <n v="0"/>
    <n v="560.69999999999993"/>
    <n v="294.63"/>
    <n v="266.06999999999994"/>
    <x v="2203"/>
    <x v="0"/>
    <x v="3"/>
    <s v="online"/>
  </r>
  <r>
    <s v="V00045"/>
    <d v="2024-03-06T00:00:00"/>
    <x v="1"/>
    <n v="3"/>
    <s v="marzo"/>
    <s v="T1"/>
    <s v="P007"/>
    <x v="15"/>
    <x v="1"/>
    <x v="0"/>
    <n v="2"/>
    <n v="20.91"/>
    <n v="12.76"/>
    <n v="0"/>
    <n v="41.82"/>
    <n v="25.52"/>
    <n v="16.3"/>
    <x v="2204"/>
    <x v="0"/>
    <x v="0"/>
    <s v="online"/>
  </r>
  <r>
    <s v="V00374"/>
    <d v="2024-03-21T00:00:00"/>
    <x v="1"/>
    <n v="3"/>
    <s v="marzo"/>
    <s v="T1"/>
    <s v="P008"/>
    <x v="4"/>
    <x v="2"/>
    <x v="0"/>
    <n v="2"/>
    <n v="101.75"/>
    <n v="55.28"/>
    <n v="0"/>
    <n v="203.5"/>
    <n v="110.56"/>
    <n v="92.94"/>
    <x v="2205"/>
    <x v="0"/>
    <x v="0"/>
    <s v="tienda_fisica"/>
  </r>
  <r>
    <s v="V00679"/>
    <d v="2025-04-18T00:00:00"/>
    <x v="0"/>
    <n v="4"/>
    <s v="abril"/>
    <s v="T2"/>
    <s v="P012"/>
    <x v="13"/>
    <x v="1"/>
    <x v="1"/>
    <n v="5"/>
    <n v="8.65"/>
    <n v="5.67"/>
    <n v="0"/>
    <n v="43.25"/>
    <n v="28.35"/>
    <n v="14.899999999999999"/>
    <x v="2206"/>
    <x v="1"/>
    <x v="3"/>
    <s v="online"/>
  </r>
  <r>
    <s v="V00567"/>
    <d v="2025-11-04T00:00:00"/>
    <x v="0"/>
    <n v="11"/>
    <s v="noviembre"/>
    <s v="T4"/>
    <s v="P016"/>
    <x v="11"/>
    <x v="2"/>
    <x v="2"/>
    <n v="1"/>
    <n v="77.81"/>
    <n v="40.83"/>
    <n v="0"/>
    <n v="77.81"/>
    <n v="40.83"/>
    <n v="36.980000000000004"/>
    <x v="2207"/>
    <x v="0"/>
    <x v="0"/>
    <s v="tienda_fisica"/>
  </r>
  <r>
    <s v="V00461"/>
    <d v="2024-04-07T00:00:00"/>
    <x v="1"/>
    <n v="4"/>
    <s v="abril"/>
    <s v="T2"/>
    <s v="P004"/>
    <x v="6"/>
    <x v="2"/>
    <x v="3"/>
    <n v="3"/>
    <n v="159.13999999999999"/>
    <n v="112.95"/>
    <n v="0.12"/>
    <n v="420.12959999999998"/>
    <n v="338.85"/>
    <n v="81.279599999999959"/>
    <x v="2208"/>
    <x v="1"/>
    <x v="3"/>
    <s v="tienda_fisica"/>
  </r>
  <r>
    <s v="V01933"/>
    <d v="2024-08-14T00:00:00"/>
    <x v="1"/>
    <n v="8"/>
    <s v="agosto"/>
    <s v="T3"/>
    <s v="P010"/>
    <x v="1"/>
    <x v="1"/>
    <x v="1"/>
    <n v="1"/>
    <n v="16.63"/>
    <n v="11.32"/>
    <n v="0"/>
    <n v="16.63"/>
    <n v="11.32"/>
    <n v="5.3099999999999987"/>
    <x v="2209"/>
    <x v="1"/>
    <x v="3"/>
    <s v="online"/>
  </r>
  <r>
    <s v="V01156"/>
    <d v="2024-11-27T00:00:00"/>
    <x v="1"/>
    <n v="11"/>
    <s v="noviembre"/>
    <s v="T4"/>
    <s v="P001"/>
    <x v="9"/>
    <x v="2"/>
    <x v="3"/>
    <n v="1"/>
    <n v="120.73"/>
    <n v="84.07"/>
    <n v="0"/>
    <n v="120.73"/>
    <n v="84.07"/>
    <n v="36.660000000000011"/>
    <x v="2210"/>
    <x v="1"/>
    <x v="3"/>
    <s v="tienda_fisica"/>
  </r>
  <r>
    <s v="V00040"/>
    <d v="2025-05-21T00:00:00"/>
    <x v="0"/>
    <n v="5"/>
    <s v="mayo"/>
    <s v="T2"/>
    <s v="P013"/>
    <x v="8"/>
    <x v="2"/>
    <x v="2"/>
    <n v="5"/>
    <n v="81.239999999999995"/>
    <n v="49.46"/>
    <n v="0"/>
    <n v="406.2"/>
    <n v="247.3"/>
    <n v="158.89999999999998"/>
    <x v="2211"/>
    <x v="0"/>
    <x v="0"/>
    <s v="online"/>
  </r>
  <r>
    <s v="V00974"/>
    <d v="2025-01-10T00:00:00"/>
    <x v="0"/>
    <n v="1"/>
    <s v="enero"/>
    <s v="T1"/>
    <s v="P015"/>
    <x v="2"/>
    <x v="2"/>
    <x v="2"/>
    <n v="2"/>
    <n v="76.72"/>
    <n v="42.58"/>
    <n v="0"/>
    <n v="153.44"/>
    <n v="85.16"/>
    <n v="68.28"/>
    <x v="2212"/>
    <x v="0"/>
    <x v="0"/>
    <s v="tienda_fisica"/>
  </r>
  <r>
    <s v="V01787"/>
    <d v="2024-02-12T00:00:00"/>
    <x v="1"/>
    <n v="2"/>
    <s v="febrero"/>
    <s v="T1"/>
    <s v="P008"/>
    <x v="4"/>
    <x v="2"/>
    <x v="0"/>
    <n v="1"/>
    <n v="110.74"/>
    <n v="60.22"/>
    <n v="0"/>
    <n v="110.74"/>
    <n v="60.22"/>
    <n v="50.519999999999996"/>
    <x v="2213"/>
    <x v="0"/>
    <x v="3"/>
    <s v="tienda_fisica"/>
  </r>
  <r>
    <s v="V01499"/>
    <d v="2025-01-20T00:00:00"/>
    <x v="0"/>
    <n v="1"/>
    <s v="enero"/>
    <s v="T1"/>
    <s v="P019"/>
    <x v="14"/>
    <x v="0"/>
    <x v="4"/>
    <n v="1"/>
    <n v="56.09"/>
    <n v="32.450000000000003"/>
    <n v="0"/>
    <n v="56.09"/>
    <n v="32.450000000000003"/>
    <n v="23.64"/>
    <x v="2214"/>
    <x v="0"/>
    <x v="5"/>
    <s v="online"/>
  </r>
  <r>
    <s v="V01836"/>
    <d v="2024-05-25T00:00:00"/>
    <x v="1"/>
    <n v="5"/>
    <s v="mayo"/>
    <s v="T2"/>
    <s v="P001"/>
    <x v="9"/>
    <x v="2"/>
    <x v="3"/>
    <n v="1"/>
    <n v="115.7"/>
    <n v="80.3"/>
    <n v="0"/>
    <n v="115.7"/>
    <n v="80.3"/>
    <n v="35.400000000000006"/>
    <x v="2215"/>
    <x v="1"/>
    <x v="3"/>
    <s v="online"/>
  </r>
  <r>
    <s v="V01841"/>
    <d v="2024-05-12T00:00:00"/>
    <x v="1"/>
    <n v="5"/>
    <s v="mayo"/>
    <s v="T2"/>
    <s v="P007"/>
    <x v="15"/>
    <x v="1"/>
    <x v="0"/>
    <n v="3"/>
    <n v="18.350000000000001"/>
    <n v="12.55"/>
    <n v="0"/>
    <n v="55.050000000000004"/>
    <n v="37.650000000000006"/>
    <n v="17.399999999999999"/>
    <x v="2216"/>
    <x v="1"/>
    <x v="0"/>
    <s v="tienda_fisica"/>
  </r>
  <r>
    <s v="V02084"/>
    <d v="2025-09-23T00:00:00"/>
    <x v="0"/>
    <n v="9"/>
    <s v="septiembre"/>
    <s v="T3"/>
    <s v="P013"/>
    <x v="8"/>
    <x v="2"/>
    <x v="2"/>
    <n v="2"/>
    <n v="74.55"/>
    <n v="46.31"/>
    <n v="0.15"/>
    <n v="126.73499999999999"/>
    <n v="92.62"/>
    <n v="34.114999999999981"/>
    <x v="2217"/>
    <x v="1"/>
    <x v="3"/>
    <s v="tienda_fisica"/>
  </r>
  <r>
    <s v="V00828"/>
    <d v="2025-04-06T00:00:00"/>
    <x v="0"/>
    <n v="4"/>
    <s v="abril"/>
    <s v="T2"/>
    <s v="P014"/>
    <x v="16"/>
    <x v="1"/>
    <x v="2"/>
    <n v="4"/>
    <n v="14"/>
    <n v="9.43"/>
    <n v="0"/>
    <n v="56"/>
    <n v="37.72"/>
    <n v="18.28"/>
    <x v="2218"/>
    <x v="1"/>
    <x v="3"/>
    <s v="online"/>
  </r>
  <r>
    <s v="V01936"/>
    <d v="2024-05-11T00:00:00"/>
    <x v="1"/>
    <n v="5"/>
    <s v="mayo"/>
    <s v="T2"/>
    <s v="P014"/>
    <x v="16"/>
    <x v="1"/>
    <x v="2"/>
    <n v="14"/>
    <n v="14.47"/>
    <n v="9.61"/>
    <n v="0"/>
    <n v="202.58"/>
    <n v="134.54"/>
    <n v="68.04000000000002"/>
    <x v="2219"/>
    <x v="1"/>
    <x v="4"/>
    <s v="tienda_fisica"/>
  </r>
  <r>
    <s v="V02045"/>
    <d v="2025-10-07T00:00:00"/>
    <x v="0"/>
    <n v="10"/>
    <s v="octubre"/>
    <s v="T4"/>
    <s v="P019"/>
    <x v="14"/>
    <x v="0"/>
    <x v="4"/>
    <n v="2"/>
    <n v="58.19"/>
    <n v="31.53"/>
    <n v="0"/>
    <n v="116.38"/>
    <n v="63.06"/>
    <n v="53.319999999999993"/>
    <x v="2220"/>
    <x v="0"/>
    <x v="5"/>
    <s v="tienda_fisica"/>
  </r>
  <r>
    <s v="V00310"/>
    <d v="2025-08-12T00:00:00"/>
    <x v="0"/>
    <n v="8"/>
    <s v="agosto"/>
    <s v="T3"/>
    <s v="P008"/>
    <x v="4"/>
    <x v="2"/>
    <x v="0"/>
    <n v="2"/>
    <n v="108.29"/>
    <n v="55.61"/>
    <n v="0"/>
    <n v="216.58"/>
    <n v="111.22"/>
    <n v="105.36000000000001"/>
    <x v="2221"/>
    <x v="0"/>
    <x v="5"/>
    <s v="tienda_fisica"/>
  </r>
  <r>
    <s v="V00277"/>
    <d v="2025-02-25T00:00:00"/>
    <x v="0"/>
    <n v="2"/>
    <s v="febrero"/>
    <s v="T1"/>
    <s v="P005"/>
    <x v="18"/>
    <x v="0"/>
    <x v="0"/>
    <n v="1"/>
    <n v="56.23"/>
    <n v="39.619999999999997"/>
    <n v="0"/>
    <n v="56.23"/>
    <n v="39.619999999999997"/>
    <n v="16.61"/>
    <x v="2222"/>
    <x v="1"/>
    <x v="4"/>
    <s v="tienda_fisica"/>
  </r>
  <r>
    <s v="V00637"/>
    <d v="2024-03-08T00:00:00"/>
    <x v="1"/>
    <n v="3"/>
    <s v="marzo"/>
    <s v="T1"/>
    <s v="P011"/>
    <x v="10"/>
    <x v="1"/>
    <x v="1"/>
    <n v="4"/>
    <n v="20.39"/>
    <n v="11.36"/>
    <n v="0"/>
    <n v="81.56"/>
    <n v="45.44"/>
    <n v="36.120000000000005"/>
    <x v="2223"/>
    <x v="0"/>
    <x v="6"/>
    <s v="tienda_fisica"/>
  </r>
  <r>
    <s v="V00655"/>
    <d v="2025-01-10T00:00:00"/>
    <x v="0"/>
    <n v="1"/>
    <s v="enero"/>
    <s v="T1"/>
    <s v="P016"/>
    <x v="11"/>
    <x v="2"/>
    <x v="2"/>
    <n v="4"/>
    <n v="83.09"/>
    <n v="42.98"/>
    <n v="0"/>
    <n v="332.36"/>
    <n v="171.92"/>
    <n v="160.44000000000003"/>
    <x v="2224"/>
    <x v="0"/>
    <x v="4"/>
    <s v="online"/>
  </r>
  <r>
    <s v="V00623"/>
    <d v="2025-05-23T00:00:00"/>
    <x v="0"/>
    <n v="5"/>
    <s v="mayo"/>
    <s v="T2"/>
    <s v="P005"/>
    <x v="18"/>
    <x v="2"/>
    <x v="0"/>
    <n v="2"/>
    <n v="63.79"/>
    <n v="41.06"/>
    <n v="0"/>
    <n v="127.58"/>
    <n v="82.12"/>
    <n v="45.459999999999994"/>
    <x v="2225"/>
    <x v="1"/>
    <x v="3"/>
    <s v="online"/>
  </r>
  <r>
    <s v="V01860"/>
    <d v="2024-04-06T00:00:00"/>
    <x v="1"/>
    <n v="4"/>
    <s v="abril"/>
    <s v="T2"/>
    <s v="P019"/>
    <x v="14"/>
    <x v="0"/>
    <x v="4"/>
    <n v="3"/>
    <n v="58.2"/>
    <n v="32.840000000000003"/>
    <n v="0.2"/>
    <n v="139.68000000000004"/>
    <n v="98.52000000000001"/>
    <n v="41.160000000000025"/>
    <x v="2226"/>
    <x v="1"/>
    <x v="0"/>
    <s v="tienda_fisica"/>
  </r>
  <r>
    <s v="V00845"/>
    <d v="2025-10-11T00:00:00"/>
    <x v="0"/>
    <n v="10"/>
    <s v="octubre"/>
    <s v="T4"/>
    <s v="P002"/>
    <x v="3"/>
    <x v="2"/>
    <x v="3"/>
    <n v="1"/>
    <n v="74.38"/>
    <n v="48.62"/>
    <n v="0.18"/>
    <n v="60.991599999999998"/>
    <n v="48.62"/>
    <n v="12.371600000000001"/>
    <x v="2227"/>
    <x v="1"/>
    <x v="6"/>
    <s v="tienda_fisica"/>
  </r>
  <r>
    <s v="V00394"/>
    <d v="2025-05-17T00:00:00"/>
    <x v="0"/>
    <n v="5"/>
    <s v="mayo"/>
    <s v="T2"/>
    <s v="P010"/>
    <x v="1"/>
    <x v="1"/>
    <x v="1"/>
    <n v="1"/>
    <n v="16.41"/>
    <n v="11.96"/>
    <n v="0"/>
    <n v="16.41"/>
    <n v="11.96"/>
    <n v="4.4499999999999993"/>
    <x v="2228"/>
    <x v="1"/>
    <x v="2"/>
    <s v="tienda_fisica"/>
  </r>
  <r>
    <s v="V02156"/>
    <d v="2024-05-19T00:00:00"/>
    <x v="1"/>
    <n v="5"/>
    <s v="mayo"/>
    <s v="T2"/>
    <s v="P009"/>
    <x v="12"/>
    <x v="1"/>
    <x v="1"/>
    <n v="2"/>
    <n v="7.82"/>
    <n v="4.13"/>
    <n v="0"/>
    <n v="15.64"/>
    <n v="8.26"/>
    <n v="7.3800000000000008"/>
    <x v="2229"/>
    <x v="0"/>
    <x v="3"/>
    <s v="tienda_fisica"/>
  </r>
  <r>
    <s v="V00350"/>
    <d v="2024-07-06T00:00:00"/>
    <x v="1"/>
    <n v="7"/>
    <s v="julio"/>
    <s v="T3"/>
    <s v="P018"/>
    <x v="5"/>
    <x v="1"/>
    <x v="4"/>
    <n v="4"/>
    <n v="29.54"/>
    <n v="17.95"/>
    <n v="0"/>
    <n v="118.16"/>
    <n v="71.8"/>
    <n v="46.36"/>
    <x v="2230"/>
    <x v="0"/>
    <x v="6"/>
    <s v="tienda_fisica"/>
  </r>
  <r>
    <s v="V00785"/>
    <d v="2024-02-18T00:00:00"/>
    <x v="1"/>
    <n v="2"/>
    <s v="febrero"/>
    <s v="T1"/>
    <s v="P008"/>
    <x v="4"/>
    <x v="2"/>
    <x v="0"/>
    <n v="2"/>
    <n v="97.61"/>
    <n v="55.07"/>
    <n v="0"/>
    <n v="195.22"/>
    <n v="110.14"/>
    <n v="85.08"/>
    <x v="2231"/>
    <x v="0"/>
    <x v="3"/>
    <s v="tienda_fisica"/>
  </r>
  <r>
    <s v="V00048"/>
    <d v="2025-04-23T00:00:00"/>
    <x v="0"/>
    <n v="4"/>
    <s v="abril"/>
    <s v="T2"/>
    <s v="P006"/>
    <x v="0"/>
    <x v="0"/>
    <x v="0"/>
    <n v="3"/>
    <n v="47.41"/>
    <n v="27.06"/>
    <n v="0.16"/>
    <n v="119.47319999999999"/>
    <n v="81.179999999999993"/>
    <n v="38.293199999999999"/>
    <x v="2232"/>
    <x v="1"/>
    <x v="5"/>
    <s v="tienda_fisica"/>
  </r>
  <r>
    <s v="V01979"/>
    <d v="2025-06-07T00:00:00"/>
    <x v="0"/>
    <n v="6"/>
    <s v="junio"/>
    <s v="T2"/>
    <s v="P010"/>
    <x v="1"/>
    <x v="1"/>
    <x v="1"/>
    <n v="5"/>
    <n v="17.309999999999999"/>
    <n v="11.49"/>
    <n v="0"/>
    <n v="86.55"/>
    <n v="57.45"/>
    <n v="29.099999999999994"/>
    <x v="2233"/>
    <x v="1"/>
    <x v="4"/>
    <s v="tienda_fisica"/>
  </r>
  <r>
    <s v="V01656"/>
    <d v="2025-05-21T00:00:00"/>
    <x v="0"/>
    <n v="5"/>
    <s v="mayo"/>
    <s v="T2"/>
    <s v="P015"/>
    <x v="2"/>
    <x v="2"/>
    <x v="2"/>
    <n v="3"/>
    <n v="78.73"/>
    <n v="42.52"/>
    <n v="0"/>
    <n v="236.19"/>
    <n v="127.56"/>
    <n v="108.63"/>
    <x v="2234"/>
    <x v="0"/>
    <x v="4"/>
    <s v="tienda_fisica"/>
  </r>
  <r>
    <s v="V02070"/>
    <d v="2024-08-08T00:00:00"/>
    <x v="1"/>
    <n v="8"/>
    <s v="agosto"/>
    <s v="T3"/>
    <s v="P019"/>
    <x v="14"/>
    <x v="2"/>
    <x v="4"/>
    <n v="6"/>
    <n v="60.78"/>
    <n v="31.24"/>
    <n v="0"/>
    <n v="364.68"/>
    <n v="187.44"/>
    <n v="177.24"/>
    <x v="2235"/>
    <x v="0"/>
    <x v="3"/>
    <s v="online"/>
  </r>
  <r>
    <s v="V00403"/>
    <d v="2025-11-07T00:00:00"/>
    <x v="0"/>
    <n v="11"/>
    <s v="noviembre"/>
    <s v="T4"/>
    <s v="P013"/>
    <x v="8"/>
    <x v="2"/>
    <x v="2"/>
    <n v="1"/>
    <n v="80.459999999999994"/>
    <n v="49.28"/>
    <n v="0"/>
    <n v="80.459999999999994"/>
    <n v="49.28"/>
    <n v="31.179999999999993"/>
    <x v="2236"/>
    <x v="0"/>
    <x v="3"/>
    <s v="online"/>
  </r>
  <r>
    <s v="V01108"/>
    <d v="2025-08-12T00:00:00"/>
    <x v="0"/>
    <n v="8"/>
    <s v="agosto"/>
    <s v="T3"/>
    <s v="P005"/>
    <x v="18"/>
    <x v="2"/>
    <x v="0"/>
    <n v="1"/>
    <n v="59.23"/>
    <n v="39.799999999999997"/>
    <n v="0"/>
    <n v="59.23"/>
    <n v="39.799999999999997"/>
    <n v="19.43"/>
    <x v="2133"/>
    <x v="1"/>
    <x v="0"/>
    <s v="tienda_fisica"/>
  </r>
  <r>
    <s v="V01155"/>
    <d v="2025-11-15T00:00:00"/>
    <x v="0"/>
    <n v="11"/>
    <s v="noviembre"/>
    <s v="T4"/>
    <s v="P020"/>
    <x v="19"/>
    <x v="2"/>
    <x v="4"/>
    <n v="1"/>
    <n v="61.43"/>
    <n v="32.58"/>
    <n v="0"/>
    <n v="61.43"/>
    <n v="32.58"/>
    <n v="28.85"/>
    <x v="2237"/>
    <x v="0"/>
    <x v="5"/>
    <s v="online"/>
  </r>
  <r>
    <s v="V01440"/>
    <d v="2025-04-01T00:00:00"/>
    <x v="0"/>
    <n v="4"/>
    <s v="abril"/>
    <s v="T2"/>
    <s v="P007"/>
    <x v="15"/>
    <x v="1"/>
    <x v="0"/>
    <n v="3"/>
    <n v="21.35"/>
    <n v="13.1"/>
    <n v="0"/>
    <n v="64.050000000000011"/>
    <n v="39.299999999999997"/>
    <n v="24.750000000000014"/>
    <x v="2238"/>
    <x v="0"/>
    <x v="4"/>
    <s v="tienda_fisica"/>
  </r>
  <r>
    <s v="V02294"/>
    <d v="2025-08-13T00:00:00"/>
    <x v="0"/>
    <n v="8"/>
    <s v="agosto"/>
    <s v="T3"/>
    <s v="P008"/>
    <x v="4"/>
    <x v="2"/>
    <x v="0"/>
    <n v="3"/>
    <n v="101.11"/>
    <n v="59.61"/>
    <n v="0.13"/>
    <n v="263.89709999999997"/>
    <n v="178.82999999999998"/>
    <n v="85.067099999999982"/>
    <x v="2239"/>
    <x v="1"/>
    <x v="3"/>
    <s v="tienda_fisica"/>
  </r>
  <r>
    <s v="V02002"/>
    <d v="2024-05-19T00:00:00"/>
    <x v="1"/>
    <n v="5"/>
    <s v="mayo"/>
    <s v="T2"/>
    <s v="P010"/>
    <x v="1"/>
    <x v="1"/>
    <x v="1"/>
    <n v="2"/>
    <n v="15.41"/>
    <n v="11.57"/>
    <n v="0"/>
    <n v="30.82"/>
    <n v="23.14"/>
    <n v="7.68"/>
    <x v="2240"/>
    <x v="1"/>
    <x v="4"/>
    <s v="tienda_fisica"/>
  </r>
  <r>
    <s v="V00990"/>
    <d v="2024-04-12T00:00:00"/>
    <x v="1"/>
    <n v="4"/>
    <s v="abril"/>
    <s v="T2"/>
    <s v="P018"/>
    <x v="5"/>
    <x v="0"/>
    <x v="4"/>
    <n v="7"/>
    <n v="32.65"/>
    <n v="16.809999999999999"/>
    <n v="0"/>
    <n v="228.54999999999998"/>
    <n v="117.66999999999999"/>
    <n v="110.88"/>
    <x v="2241"/>
    <x v="0"/>
    <x v="4"/>
    <s v="tienda_fisica"/>
  </r>
  <r>
    <s v="V01866"/>
    <d v="2025-11-01T00:00:00"/>
    <x v="0"/>
    <n v="11"/>
    <s v="noviembre"/>
    <s v="T4"/>
    <s v="P009"/>
    <x v="12"/>
    <x v="1"/>
    <x v="1"/>
    <n v="6"/>
    <n v="7.36"/>
    <n v="4.32"/>
    <n v="0"/>
    <n v="44.160000000000004"/>
    <n v="25.92"/>
    <n v="18.240000000000002"/>
    <x v="2242"/>
    <x v="0"/>
    <x v="3"/>
    <s v="online"/>
  </r>
  <r>
    <s v="V01311"/>
    <d v="2024-10-09T00:00:00"/>
    <x v="1"/>
    <n v="10"/>
    <s v="octubre"/>
    <s v="T4"/>
    <s v="P003"/>
    <x v="7"/>
    <x v="2"/>
    <x v="3"/>
    <n v="5"/>
    <n v="177.46"/>
    <n v="96.11"/>
    <n v="0"/>
    <n v="887.30000000000007"/>
    <n v="480.55"/>
    <n v="406.75000000000006"/>
    <x v="2243"/>
    <x v="0"/>
    <x v="4"/>
    <s v="tienda_fisica"/>
  </r>
  <r>
    <s v="V00034"/>
    <d v="2024-04-28T00:00:00"/>
    <x v="1"/>
    <n v="4"/>
    <s v="abril"/>
    <s v="T2"/>
    <s v="P017"/>
    <x v="17"/>
    <x v="0"/>
    <x v="4"/>
    <n v="1"/>
    <n v="45.4"/>
    <n v="23.66"/>
    <n v="0"/>
    <n v="45.4"/>
    <n v="23.66"/>
    <n v="21.74"/>
    <x v="2244"/>
    <x v="0"/>
    <x v="0"/>
    <s v="tienda_fisica"/>
  </r>
  <r>
    <s v="V00788"/>
    <d v="2024-02-25T00:00:00"/>
    <x v="1"/>
    <n v="2"/>
    <s v="febrero"/>
    <s v="T1"/>
    <s v="P011"/>
    <x v="10"/>
    <x v="1"/>
    <x v="1"/>
    <n v="1"/>
    <n v="21.85"/>
    <n v="11.33"/>
    <n v="0.16"/>
    <n v="18.353999999999999"/>
    <n v="11.33"/>
    <n v="7.0239999999999991"/>
    <x v="2245"/>
    <x v="0"/>
    <x v="2"/>
    <s v="tienda_fisica"/>
  </r>
  <r>
    <s v="V01044"/>
    <d v="2024-05-26T00:00:00"/>
    <x v="1"/>
    <n v="5"/>
    <s v="mayo"/>
    <s v="T2"/>
    <s v="P009"/>
    <x v="12"/>
    <x v="1"/>
    <x v="1"/>
    <n v="3"/>
    <n v="7.5"/>
    <n v="4.3099999999999996"/>
    <n v="0"/>
    <n v="22.5"/>
    <n v="12.93"/>
    <n v="9.57"/>
    <x v="2246"/>
    <x v="0"/>
    <x v="1"/>
    <s v="online"/>
  </r>
  <r>
    <s v="V00482"/>
    <d v="2025-07-21T00:00:00"/>
    <x v="0"/>
    <n v="7"/>
    <s v="julio"/>
    <s v="T3"/>
    <s v="P020"/>
    <x v="19"/>
    <x v="2"/>
    <x v="4"/>
    <n v="2"/>
    <n v="60.72"/>
    <n v="33.619999999999997"/>
    <n v="0"/>
    <n v="121.44"/>
    <n v="67.239999999999995"/>
    <n v="54.2"/>
    <x v="2247"/>
    <x v="0"/>
    <x v="3"/>
    <s v="tienda_fisica"/>
  </r>
  <r>
    <s v="V01244"/>
    <d v="2025-04-26T00:00:00"/>
    <x v="0"/>
    <n v="4"/>
    <s v="abril"/>
    <s v="T2"/>
    <s v="P019"/>
    <x v="14"/>
    <x v="2"/>
    <x v="4"/>
    <n v="6"/>
    <n v="63.79"/>
    <n v="33.35"/>
    <n v="0"/>
    <n v="382.74"/>
    <n v="200.10000000000002"/>
    <n v="182.64"/>
    <x v="2248"/>
    <x v="0"/>
    <x v="6"/>
    <s v="tienda_fisica"/>
  </r>
  <r>
    <s v="V00932"/>
    <m/>
    <x v="2"/>
    <n v="1"/>
    <s v="enero"/>
    <s v="T1"/>
    <s v="P017"/>
    <x v="17"/>
    <x v="0"/>
    <x v="4"/>
    <n v="4"/>
    <n v="45.41"/>
    <n v="22.85"/>
    <n v="0"/>
    <n v="181.64"/>
    <n v="91.4"/>
    <n v="90.239999999999981"/>
    <x v="2249"/>
    <x v="0"/>
    <x v="1"/>
    <s v="online"/>
  </r>
  <r>
    <s v="V01686"/>
    <d v="2025-11-12T00:00:00"/>
    <x v="0"/>
    <n v="11"/>
    <s v="noviembre"/>
    <s v="T4"/>
    <s v="P003"/>
    <x v="7"/>
    <x v="2"/>
    <x v="3"/>
    <n v="2"/>
    <n v="173.83"/>
    <n v="95.39"/>
    <n v="0"/>
    <n v="347.66"/>
    <n v="190.78"/>
    <n v="156.88000000000002"/>
    <x v="2250"/>
    <x v="0"/>
    <x v="0"/>
    <s v="tienda_fisica"/>
  </r>
  <r>
    <s v="V01249"/>
    <d v="2025-09-10T00:00:00"/>
    <x v="0"/>
    <n v="9"/>
    <s v="septiembre"/>
    <s v="T3"/>
    <s v="P009"/>
    <x v="12"/>
    <x v="1"/>
    <x v="1"/>
    <n v="1"/>
    <n v="7.72"/>
    <n v="4.32"/>
    <n v="0.18"/>
    <n v="6.3304"/>
    <n v="4.32"/>
    <n v="2.0103999999999997"/>
    <x v="2251"/>
    <x v="1"/>
    <x v="2"/>
    <s v="online"/>
  </r>
  <r>
    <s v="V00760"/>
    <d v="2024-05-15T00:00:00"/>
    <x v="1"/>
    <n v="5"/>
    <s v="mayo"/>
    <s v="T2"/>
    <s v="P020"/>
    <x v="19"/>
    <x v="2"/>
    <x v="4"/>
    <n v="2"/>
    <n v="59.83"/>
    <n v="35.020000000000003"/>
    <n v="0"/>
    <n v="119.66"/>
    <n v="70.040000000000006"/>
    <n v="49.61999999999999"/>
    <x v="2252"/>
    <x v="0"/>
    <x v="2"/>
    <s v="tienda_fisica"/>
  </r>
  <r>
    <s v="V00093"/>
    <d v="2025-08-02T00:00:00"/>
    <x v="0"/>
    <n v="8"/>
    <s v="agosto"/>
    <s v="T3"/>
    <s v="P001"/>
    <x v="9"/>
    <x v="2"/>
    <x v="3"/>
    <n v="5"/>
    <n v="130.07"/>
    <n v="86.63"/>
    <n v="0"/>
    <n v="650.34999999999991"/>
    <n v="433.15"/>
    <n v="217.19999999999993"/>
    <x v="2253"/>
    <x v="1"/>
    <x v="5"/>
    <s v="tienda_fisica"/>
  </r>
  <r>
    <s v="V01176"/>
    <d v="2024-02-02T00:00:00"/>
    <x v="1"/>
    <n v="2"/>
    <s v="febrero"/>
    <s v="T1"/>
    <s v="P009"/>
    <x v="12"/>
    <x v="1"/>
    <x v="1"/>
    <n v="4"/>
    <n v="7.81"/>
    <n v="4.24"/>
    <n v="0"/>
    <n v="31.24"/>
    <n v="16.96"/>
    <n v="14.279999999999998"/>
    <x v="2254"/>
    <x v="0"/>
    <x v="6"/>
    <s v="tienda_fisica"/>
  </r>
  <r>
    <s v="V01416"/>
    <d v="2024-08-28T00:00:00"/>
    <x v="1"/>
    <n v="8"/>
    <s v="agosto"/>
    <s v="T3"/>
    <s v="P007"/>
    <x v="15"/>
    <x v="1"/>
    <x v="0"/>
    <n v="3"/>
    <n v="20.04"/>
    <n v="13.16"/>
    <n v="0"/>
    <n v="60.12"/>
    <n v="39.480000000000004"/>
    <n v="20.639999999999993"/>
    <x v="2255"/>
    <x v="1"/>
    <x v="4"/>
    <s v="tienda_fisica"/>
  </r>
  <r>
    <s v="V01342"/>
    <d v="2024-10-21T00:00:00"/>
    <x v="1"/>
    <n v="10"/>
    <s v="octubre"/>
    <s v="T4"/>
    <s v="P017"/>
    <x v="17"/>
    <x v="0"/>
    <x v="4"/>
    <n v="5"/>
    <n v="49.6"/>
    <n v="22.96"/>
    <n v="0.28000000000000003"/>
    <n v="178.56"/>
    <n v="114.80000000000001"/>
    <n v="63.759999999999991"/>
    <x v="2256"/>
    <x v="1"/>
    <x v="4"/>
    <s v="online"/>
  </r>
  <r>
    <s v="V01473"/>
    <d v="2025-02-23T00:00:00"/>
    <x v="0"/>
    <n v="2"/>
    <s v="febrero"/>
    <s v="T1"/>
    <s v="P008"/>
    <x v="4"/>
    <x v="2"/>
    <x v="0"/>
    <n v="1"/>
    <n v="95.27"/>
    <n v="58.36"/>
    <n v="0"/>
    <n v="95.27"/>
    <n v="58.36"/>
    <n v="36.909999999999997"/>
    <x v="2257"/>
    <x v="0"/>
    <x v="3"/>
    <s v="tienda_fisica"/>
  </r>
  <r>
    <s v="V01608"/>
    <d v="2024-02-13T00:00:00"/>
    <x v="1"/>
    <n v="2"/>
    <s v="febrero"/>
    <s v="T1"/>
    <s v="P001"/>
    <x v="9"/>
    <x v="2"/>
    <x v="3"/>
    <n v="1"/>
    <n v="119.48"/>
    <n v="83.45"/>
    <n v="0"/>
    <n v="119.48"/>
    <n v="83.45"/>
    <n v="36.03"/>
    <x v="2258"/>
    <x v="1"/>
    <x v="6"/>
    <s v="tienda_fisica"/>
  </r>
  <r>
    <s v="V00765"/>
    <d v="2025-02-15T00:00:00"/>
    <x v="0"/>
    <n v="2"/>
    <s v="febrero"/>
    <s v="T1"/>
    <s v="P011"/>
    <x v="10"/>
    <x v="1"/>
    <x v="1"/>
    <n v="3"/>
    <n v="20.100000000000001"/>
    <n v="11.95"/>
    <n v="0"/>
    <n v="60.300000000000004"/>
    <n v="35.849999999999994"/>
    <n v="24.45000000000001"/>
    <x v="2259"/>
    <x v="0"/>
    <x v="4"/>
    <s v="tienda_fisica"/>
  </r>
  <r>
    <s v="V01374"/>
    <d v="2024-09-13T00:00:00"/>
    <x v="1"/>
    <n v="9"/>
    <s v="septiembre"/>
    <s v="T3"/>
    <s v="P014"/>
    <x v="16"/>
    <x v="1"/>
    <x v="2"/>
    <n v="3"/>
    <n v="15.15"/>
    <n v="9.34"/>
    <n v="0"/>
    <n v="45.45"/>
    <n v="28.02"/>
    <n v="17.430000000000003"/>
    <x v="2260"/>
    <x v="0"/>
    <x v="2"/>
    <s v="tienda_fisica"/>
  </r>
  <r>
    <s v="V01952"/>
    <d v="2024-01-23T00:00:00"/>
    <x v="1"/>
    <n v="1"/>
    <s v="enero"/>
    <s v="T1"/>
    <s v="P008"/>
    <x v="4"/>
    <x v="2"/>
    <x v="0"/>
    <n v="2"/>
    <n v="105.78"/>
    <n v="58.45"/>
    <n v="0"/>
    <n v="211.56"/>
    <n v="116.9"/>
    <n v="94.66"/>
    <x v="2261"/>
    <x v="0"/>
    <x v="3"/>
    <s v="online"/>
  </r>
  <r>
    <s v="V01729"/>
    <d v="2024-02-02T00:00:00"/>
    <x v="1"/>
    <n v="2"/>
    <s v="febrero"/>
    <s v="T1"/>
    <s v="P001"/>
    <x v="9"/>
    <x v="2"/>
    <x v="3"/>
    <n v="2"/>
    <n v="131.28"/>
    <n v="85.38"/>
    <n v="7.0000000000000007E-2"/>
    <n v="244.18079999999998"/>
    <n v="170.76"/>
    <n v="73.420799999999986"/>
    <x v="2262"/>
    <x v="1"/>
    <x v="3"/>
    <s v="online"/>
  </r>
  <r>
    <s v="V00258"/>
    <d v="2024-05-21T00:00:00"/>
    <x v="1"/>
    <n v="5"/>
    <s v="mayo"/>
    <s v="T2"/>
    <s v="P020"/>
    <x v="19"/>
    <x v="2"/>
    <x v="4"/>
    <n v="3"/>
    <n v="64.37"/>
    <n v="35.229999999999997"/>
    <n v="0"/>
    <n v="193.11"/>
    <n v="105.69"/>
    <n v="87.420000000000016"/>
    <x v="2263"/>
    <x v="0"/>
    <x v="4"/>
    <s v="tienda_fisica"/>
  </r>
  <r>
    <s v="V00945"/>
    <d v="2024-11-10T00:00:00"/>
    <x v="1"/>
    <n v="11"/>
    <s v="noviembre"/>
    <s v="T4"/>
    <s v="P006"/>
    <x v="0"/>
    <x v="0"/>
    <x v="0"/>
    <n v="1"/>
    <n v="47.67"/>
    <n v="25.63"/>
    <n v="0"/>
    <n v="47.67"/>
    <n v="25.63"/>
    <n v="22.040000000000003"/>
    <x v="2264"/>
    <x v="0"/>
    <x v="3"/>
    <s v="online"/>
  </r>
  <r>
    <s v="V01220"/>
    <d v="2024-04-24T00:00:00"/>
    <x v="1"/>
    <n v="4"/>
    <s v="abril"/>
    <s v="T2"/>
    <s v="P019"/>
    <x v="14"/>
    <x v="0"/>
    <x v="4"/>
    <n v="4"/>
    <n v="56.98"/>
    <n v="32.619999999999997"/>
    <n v="0"/>
    <n v="227.92"/>
    <n v="130.47999999999999"/>
    <n v="97.44"/>
    <x v="2265"/>
    <x v="0"/>
    <x v="2"/>
    <s v="online"/>
  </r>
  <r>
    <s v="V01162"/>
    <d v="2025-10-24T00:00:00"/>
    <x v="0"/>
    <n v="10"/>
    <s v="octubre"/>
    <s v="T4"/>
    <s v="P002"/>
    <x v="3"/>
    <x v="2"/>
    <x v="3"/>
    <n v="1"/>
    <n v="70.88"/>
    <n v="47.82"/>
    <n v="0"/>
    <n v="70.88"/>
    <n v="47.82"/>
    <n v="23.059999999999995"/>
    <x v="2266"/>
    <x v="1"/>
    <x v="3"/>
    <s v="tienda_fisica"/>
  </r>
  <r>
    <s v="V00773"/>
    <d v="2025-10-09T00:00:00"/>
    <x v="0"/>
    <n v="10"/>
    <s v="octubre"/>
    <s v="T4"/>
    <s v="P012"/>
    <x v="13"/>
    <x v="1"/>
    <x v="1"/>
    <n v="1"/>
    <n v="8.7899999999999991"/>
    <n v="5.52"/>
    <n v="0.22"/>
    <n v="6.8561999999999994"/>
    <n v="5.52"/>
    <n v="1.3361999999999998"/>
    <x v="2267"/>
    <x v="1"/>
    <x v="3"/>
    <s v="tienda_fisica"/>
  </r>
  <r>
    <s v="V01487"/>
    <d v="2025-03-24T00:00:00"/>
    <x v="0"/>
    <n v="3"/>
    <s v="marzo"/>
    <s v="T1"/>
    <s v="P004"/>
    <x v="6"/>
    <x v="2"/>
    <x v="3"/>
    <n v="3"/>
    <n v="163.05000000000001"/>
    <n v="112.77"/>
    <n v="0"/>
    <n v="489.15000000000003"/>
    <n v="338.31"/>
    <n v="150.84000000000003"/>
    <x v="2268"/>
    <x v="1"/>
    <x v="2"/>
    <s v="tienda_fisica"/>
  </r>
  <r>
    <s v="V02250"/>
    <d v="2024-01-07T00:00:00"/>
    <x v="1"/>
    <n v="1"/>
    <s v="enero"/>
    <s v="T1"/>
    <s v="P016"/>
    <x v="11"/>
    <x v="2"/>
    <x v="2"/>
    <n v="5"/>
    <n v="84.3"/>
    <n v="39.54"/>
    <n v="0.27"/>
    <n v="307.69499999999999"/>
    <n v="197.7"/>
    <n v="109.995"/>
    <x v="2269"/>
    <x v="1"/>
    <x v="3"/>
    <s v="online"/>
  </r>
  <r>
    <s v="V00313"/>
    <d v="2024-05-13T00:00:00"/>
    <x v="1"/>
    <n v="5"/>
    <s v="mayo"/>
    <s v="T2"/>
    <s v="P007"/>
    <x v="15"/>
    <x v="1"/>
    <x v="0"/>
    <n v="7"/>
    <n v="18.45"/>
    <n v="12.45"/>
    <n v="0"/>
    <n v="129.15"/>
    <n v="87.149999999999991"/>
    <n v="42.000000000000014"/>
    <x v="2270"/>
    <x v="1"/>
    <x v="3"/>
    <s v="online"/>
  </r>
  <r>
    <s v="V00291"/>
    <d v="2025-08-08T00:00:00"/>
    <x v="0"/>
    <n v="8"/>
    <s v="agosto"/>
    <s v="T3"/>
    <s v="P003"/>
    <x v="7"/>
    <x v="2"/>
    <x v="3"/>
    <n v="7"/>
    <n v="177.72"/>
    <n v="90.13"/>
    <n v="0"/>
    <n v="1244.04"/>
    <n v="630.91"/>
    <n v="613.13"/>
    <x v="2271"/>
    <x v="0"/>
    <x v="3"/>
    <s v="tienda_fisica"/>
  </r>
  <r>
    <s v="V00764"/>
    <d v="2024-07-03T00:00:00"/>
    <x v="1"/>
    <n v="7"/>
    <s v="julio"/>
    <s v="T3"/>
    <s v="P018"/>
    <x v="5"/>
    <x v="0"/>
    <x v="4"/>
    <n v="1"/>
    <n v="32.590000000000003"/>
    <n v="17.45"/>
    <n v="0.18"/>
    <n v="26.723800000000004"/>
    <n v="17.45"/>
    <n v="9.2738000000000049"/>
    <x v="2272"/>
    <x v="1"/>
    <x v="6"/>
    <s v="online"/>
  </r>
  <r>
    <s v="V00184"/>
    <d v="2024-02-02T00:00:00"/>
    <x v="1"/>
    <n v="2"/>
    <s v="febrero"/>
    <s v="T1"/>
    <s v="P008"/>
    <x v="4"/>
    <x v="2"/>
    <x v="0"/>
    <n v="1"/>
    <n v="101.29"/>
    <n v="56.97"/>
    <n v="0.18"/>
    <n v="83.057800000000015"/>
    <n v="56.97"/>
    <n v="26.087800000000016"/>
    <x v="2273"/>
    <x v="1"/>
    <x v="4"/>
    <s v="tienda_fisica"/>
  </r>
  <r>
    <s v="V01177"/>
    <d v="2024-02-04T00:00:00"/>
    <x v="1"/>
    <n v="2"/>
    <s v="febrero"/>
    <s v="T1"/>
    <s v="P019"/>
    <x v="14"/>
    <x v="0"/>
    <x v="4"/>
    <n v="2"/>
    <n v="56.18"/>
    <n v="32.6"/>
    <n v="0"/>
    <n v="112.36"/>
    <n v="65.2"/>
    <n v="47.16"/>
    <x v="2274"/>
    <x v="0"/>
    <x v="3"/>
    <s v="online"/>
  </r>
  <r>
    <s v="V01350"/>
    <d v="2025-01-07T00:00:00"/>
    <x v="0"/>
    <n v="1"/>
    <s v="enero"/>
    <s v="T1"/>
    <s v="P020"/>
    <x v="19"/>
    <x v="2"/>
    <x v="4"/>
    <n v="6"/>
    <n v="61.71"/>
    <n v="32.81"/>
    <n v="0"/>
    <n v="370.26"/>
    <n v="196.86"/>
    <n v="173.39999999999998"/>
    <x v="2275"/>
    <x v="0"/>
    <x v="5"/>
    <s v="tienda_fisica"/>
  </r>
  <r>
    <s v="V01100"/>
    <d v="2025-04-26T00:00:00"/>
    <x v="0"/>
    <n v="4"/>
    <s v="abril"/>
    <s v="T2"/>
    <s v="P012"/>
    <x v="13"/>
    <x v="1"/>
    <x v="1"/>
    <n v="1"/>
    <n v="8.4499999999999993"/>
    <n v="5.57"/>
    <n v="0"/>
    <n v="8.4499999999999993"/>
    <n v="5.57"/>
    <n v="2.879999999999999"/>
    <x v="2276"/>
    <x v="1"/>
    <x v="6"/>
    <s v="online"/>
  </r>
  <r>
    <s v="V00392"/>
    <d v="2024-06-26T00:00:00"/>
    <x v="1"/>
    <n v="6"/>
    <s v="junio"/>
    <s v="T2"/>
    <s v="P006"/>
    <x v="0"/>
    <x v="0"/>
    <x v="0"/>
    <n v="1"/>
    <n v="44.96"/>
    <n v="25.73"/>
    <n v="0"/>
    <n v="44.96"/>
    <n v="25.73"/>
    <n v="19.23"/>
    <x v="2277"/>
    <x v="0"/>
    <x v="2"/>
    <s v="online"/>
  </r>
  <r>
    <s v="V01920"/>
    <d v="2024-04-08T00:00:00"/>
    <x v="1"/>
    <n v="4"/>
    <s v="abril"/>
    <s v="T2"/>
    <s v="P016"/>
    <x v="11"/>
    <x v="2"/>
    <x v="2"/>
    <n v="1"/>
    <n v="75.11"/>
    <n v="39.96"/>
    <n v="0"/>
    <n v="75.11"/>
    <n v="39.96"/>
    <n v="35.15"/>
    <x v="2278"/>
    <x v="0"/>
    <x v="3"/>
    <s v="tienda_fisica"/>
  </r>
  <r>
    <s v="V01457"/>
    <d v="2025-05-21T00:00:00"/>
    <x v="0"/>
    <n v="5"/>
    <s v="mayo"/>
    <s v="T2"/>
    <s v="P009"/>
    <x v="12"/>
    <x v="1"/>
    <x v="1"/>
    <n v="3"/>
    <n v="7.93"/>
    <n v="4.1900000000000004"/>
    <n v="0.16"/>
    <n v="19.983599999999999"/>
    <n v="12.57"/>
    <n v="7.4135999999999989"/>
    <x v="2279"/>
    <x v="1"/>
    <x v="0"/>
    <s v="tienda_fisica"/>
  </r>
  <r>
    <s v="V01093"/>
    <d v="2024-11-10T00:00:00"/>
    <x v="1"/>
    <n v="11"/>
    <s v="noviembre"/>
    <s v="T4"/>
    <s v="P004"/>
    <x v="6"/>
    <x v="2"/>
    <x v="3"/>
    <n v="1"/>
    <n v="160.84"/>
    <n v="109.37"/>
    <n v="0"/>
    <n v="160.84"/>
    <n v="109.37"/>
    <n v="51.47"/>
    <x v="2280"/>
    <x v="1"/>
    <x v="4"/>
    <s v="online"/>
  </r>
  <r>
    <s v="V02023"/>
    <d v="2024-09-09T00:00:00"/>
    <x v="1"/>
    <n v="9"/>
    <s v="septiembre"/>
    <s v="T3"/>
    <s v="P018"/>
    <x v="5"/>
    <x v="0"/>
    <x v="4"/>
    <n v="5"/>
    <n v="30.04"/>
    <n v="16.760000000000002"/>
    <n v="0"/>
    <n v="150.19999999999999"/>
    <n v="83.800000000000011"/>
    <n v="66.399999999999977"/>
    <x v="2281"/>
    <x v="0"/>
    <x v="4"/>
    <s v="tienda_fisica"/>
  </r>
  <r>
    <s v="V00905"/>
    <d v="2024-11-08T00:00:00"/>
    <x v="1"/>
    <n v="11"/>
    <s v="noviembre"/>
    <s v="T4"/>
    <s v="P008"/>
    <x v="4"/>
    <x v="2"/>
    <x v="0"/>
    <n v="1"/>
    <n v="108.29"/>
    <n v="58.24"/>
    <n v="0.11"/>
    <n v="96.378100000000003"/>
    <n v="58.24"/>
    <n v="38.138100000000001"/>
    <x v="2282"/>
    <x v="0"/>
    <x v="4"/>
    <s v="online"/>
  </r>
  <r>
    <s v="V00367"/>
    <d v="2024-10-05T00:00:00"/>
    <x v="1"/>
    <n v="10"/>
    <s v="octubre"/>
    <s v="T4"/>
    <s v="P015"/>
    <x v="2"/>
    <x v="2"/>
    <x v="2"/>
    <n v="3"/>
    <n v="82.61"/>
    <n v="41.36"/>
    <n v="0.23"/>
    <n v="190.82909999999998"/>
    <n v="124.08"/>
    <n v="66.749099999999984"/>
    <x v="2283"/>
    <x v="1"/>
    <x v="1"/>
    <s v="tienda_fisica"/>
  </r>
  <r>
    <s v="V00346"/>
    <d v="2024-09-24T00:00:00"/>
    <x v="1"/>
    <n v="9"/>
    <s v="septiembre"/>
    <s v="T3"/>
    <s v="P009"/>
    <x v="12"/>
    <x v="1"/>
    <x v="1"/>
    <n v="4"/>
    <n v="7.87"/>
    <n v="4.21"/>
    <n v="0.26"/>
    <n v="23.295200000000001"/>
    <n v="16.84"/>
    <n v="6.4552000000000014"/>
    <x v="2284"/>
    <x v="1"/>
    <x v="4"/>
    <s v="tienda_fisica"/>
  </r>
  <r>
    <s v="V01373"/>
    <d v="2024-07-11T00:00:00"/>
    <x v="1"/>
    <n v="7"/>
    <s v="julio"/>
    <s v="T3"/>
    <s v="P003"/>
    <x v="7"/>
    <x v="2"/>
    <x v="3"/>
    <n v="4"/>
    <n v="177.72"/>
    <n v="94.25"/>
    <n v="0"/>
    <n v="710.88"/>
    <n v="377"/>
    <n v="333.88"/>
    <x v="2285"/>
    <x v="0"/>
    <x v="3"/>
    <s v="online"/>
  </r>
  <r>
    <s v="V01640"/>
    <d v="2024-08-30T00:00:00"/>
    <x v="1"/>
    <n v="8"/>
    <s v="agosto"/>
    <s v="T3"/>
    <s v="P002"/>
    <x v="3"/>
    <x v="2"/>
    <x v="3"/>
    <n v="3"/>
    <n v="78.58"/>
    <n v="48.37"/>
    <n v="0"/>
    <n v="235.74"/>
    <n v="145.10999999999999"/>
    <n v="90.630000000000024"/>
    <x v="2286"/>
    <x v="0"/>
    <x v="0"/>
    <s v="tienda_fisica"/>
  </r>
  <r>
    <s v="V00920"/>
    <d v="2025-06-07T00:00:00"/>
    <x v="0"/>
    <n v="6"/>
    <s v="junio"/>
    <s v="T2"/>
    <s v="P005"/>
    <x v="18"/>
    <x v="2"/>
    <x v="0"/>
    <n v="1"/>
    <n v="61.59"/>
    <n v="41.85"/>
    <n v="0"/>
    <n v="61.59"/>
    <n v="41.85"/>
    <n v="19.740000000000002"/>
    <x v="2287"/>
    <x v="1"/>
    <x v="1"/>
    <s v="online"/>
  </r>
  <r>
    <s v="V00212"/>
    <d v="2024-05-23T00:00:00"/>
    <x v="1"/>
    <n v="5"/>
    <s v="mayo"/>
    <s v="T2"/>
    <s v="P002"/>
    <x v="3"/>
    <x v="2"/>
    <x v="3"/>
    <n v="7"/>
    <n v="71.66"/>
    <n v="47.69"/>
    <n v="0"/>
    <n v="501.62"/>
    <n v="333.83"/>
    <n v="167.79000000000002"/>
    <x v="2288"/>
    <x v="1"/>
    <x v="0"/>
    <s v="online"/>
  </r>
  <r>
    <s v="V01604"/>
    <d v="2025-08-23T00:00:00"/>
    <x v="0"/>
    <n v="8"/>
    <s v="agosto"/>
    <s v="T3"/>
    <s v="P001"/>
    <x v="9"/>
    <x v="2"/>
    <x v="3"/>
    <n v="1"/>
    <n v="115.5"/>
    <n v="81.91"/>
    <n v="0"/>
    <n v="115.5"/>
    <n v="81.91"/>
    <n v="33.590000000000003"/>
    <x v="2289"/>
    <x v="1"/>
    <x v="3"/>
    <s v="tienda_fisica"/>
  </r>
  <r>
    <s v="V00538"/>
    <d v="2025-09-22T00:00:00"/>
    <x v="0"/>
    <n v="9"/>
    <s v="septiembre"/>
    <s v="T3"/>
    <s v="P007"/>
    <x v="15"/>
    <x v="1"/>
    <x v="0"/>
    <n v="2"/>
    <n v="20.29"/>
    <n v="12.27"/>
    <n v="0"/>
    <n v="40.58"/>
    <n v="24.54"/>
    <n v="16.04"/>
    <x v="2290"/>
    <x v="0"/>
    <x v="6"/>
    <s v="online"/>
  </r>
  <r>
    <s v="V01221"/>
    <d v="2025-10-19T00:00:00"/>
    <x v="0"/>
    <n v="10"/>
    <s v="octubre"/>
    <s v="T4"/>
    <s v="P011"/>
    <x v="10"/>
    <x v="1"/>
    <x v="1"/>
    <n v="5"/>
    <n v="22.39"/>
    <n v="11.22"/>
    <n v="0"/>
    <n v="111.95"/>
    <n v="56.1"/>
    <n v="55.85"/>
    <x v="2291"/>
    <x v="0"/>
    <x v="4"/>
    <s v="tienda_fisica"/>
  </r>
  <r>
    <s v="V00176"/>
    <d v="2024-02-21T00:00:00"/>
    <x v="1"/>
    <n v="2"/>
    <s v="febrero"/>
    <s v="T1"/>
    <s v="P002"/>
    <x v="3"/>
    <x v="2"/>
    <x v="3"/>
    <n v="8"/>
    <n v="71.27"/>
    <n v="44.91"/>
    <n v="0.08"/>
    <n v="524.54719999999998"/>
    <n v="359.28"/>
    <n v="165.2672"/>
    <x v="2292"/>
    <x v="1"/>
    <x v="3"/>
    <s v="tienda_fis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_volumen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1">
  <location ref="A4:B10" firstHeaderRow="1" firstDataRow="1" firstDataCol="1" rowPageCount="2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dataField="1" showAll="0"/>
    <pivotField numFmtId="164" showAll="0"/>
    <pivotField numFmtId="164" showAll="0"/>
    <pivotField numFmtId="9" showAll="0"/>
    <pivotField numFmtId="164" showAll="0"/>
    <pivotField numFmtId="164" showAll="0" defaultSubtotal="0"/>
    <pivotField numFmtId="164" showAll="0"/>
    <pivotField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4"/>
        <item x="1"/>
        <item x="3"/>
        <item t="default"/>
      </items>
    </pivotField>
    <pivotField showAll="0"/>
  </pivotFields>
  <rowFields count="1">
    <field x="7"/>
  </rowFields>
  <rowItems count="6">
    <i>
      <x v="17"/>
    </i>
    <i>
      <x v="9"/>
    </i>
    <i>
      <x v="14"/>
    </i>
    <i>
      <x/>
    </i>
    <i>
      <x v="11"/>
    </i>
    <i t="grand">
      <x/>
    </i>
  </rowItems>
  <colItems count="1">
    <i/>
  </colItems>
  <pageFields count="2">
    <pageField fld="2" item="2" hier="-1"/>
    <pageField fld="19" item="7" hier="-1"/>
  </pageFields>
  <dataFields count="1">
    <dataField name="Suma de cantidad" fld="10" baseField="0" baseItem="0"/>
  </dataFields>
  <formats count="2">
    <format dxfId="94">
      <pivotArea dataOnly="0" labelOnly="1" fieldPosition="0">
        <references count="1">
          <reference field="7" count="1">
            <x v="17"/>
          </reference>
        </references>
      </pivotArea>
    </format>
    <format dxfId="93">
      <pivotArea collapsedLevelsAreSubtotals="1" fieldPosition="0">
        <references count="1">
          <reference field="7" count="1">
            <x v="1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Tabla_ingresos_costes_beneficios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1">
  <location ref="A4:D11" firstHeaderRow="1" firstDataRow="2" firstDataCol="1" rowPageCount="2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showAll="0"/>
    <pivotField numFmtId="164" showAll="0"/>
    <pivotField numFmtId="164" showAll="0"/>
    <pivotField numFmtId="9" showAll="0"/>
    <pivotField dataField="1" numFmtId="164" showAll="0"/>
    <pivotField dataField="1" numFmtId="164" showAll="0" defaultSubtotal="0"/>
    <pivotField dataField="1" numFmtId="164" showAll="0"/>
    <pivotField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4"/>
        <item x="1"/>
        <item x="3"/>
        <item t="default"/>
      </items>
    </pivotField>
    <pivotField showAll="0"/>
  </pivotFields>
  <rowFields count="1">
    <field x="7"/>
  </rowFields>
  <rowItems count="6">
    <i>
      <x v="18"/>
    </i>
    <i>
      <x v="1"/>
    </i>
    <i>
      <x v="3"/>
    </i>
    <i>
      <x v="17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item="2" hier="-1"/>
    <pageField fld="19" item="7" hier="-1"/>
  </pageFields>
  <dataFields count="3">
    <dataField name="Suma de ingresos" fld="14" baseField="0" baseItem="0" numFmtId="2"/>
    <dataField name="Suma de costes" fld="15" baseField="0" baseItem="0"/>
    <dataField name="Promedio de beneficio" fld="16" subtotal="average" baseField="0" baseItem="0"/>
  </dataFields>
  <formats count="6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collapsedLevelsAreSubtotals="1" fieldPosition="0">
        <references count="2">
          <reference field="4294967294" count="1" selected="0">
            <x v="0"/>
          </reference>
          <reference field="7" count="1">
            <x v="18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1"/>
          </reference>
          <reference field="7" count="1">
            <x v="18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2"/>
          </reference>
          <reference field="7" count="1">
            <x v="18"/>
          </reference>
        </references>
      </pivotArea>
    </format>
    <format dxfId="87">
      <pivotArea dataOnly="0" labelOnly="1" fieldPosition="0">
        <references count="1">
          <reference field="7" count="1">
            <x v="18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6" iMeasureFld="0">
      <autoFilter ref="A1">
        <filterColumn colId="0">
          <top10 val="5" filterVal="5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la_beneficios_pct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3">
  <location ref="A4:B10" firstHeaderRow="1" firstDataRow="1" firstDataCol="1" rowPageCount="2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showAll="0"/>
    <pivotField numFmtId="164" showAll="0"/>
    <pivotField numFmtId="164" showAll="0"/>
    <pivotField numFmtId="9" showAll="0"/>
    <pivotField numFmtId="164" showAll="0"/>
    <pivotField numFmtId="164" showAll="0" defaultSubtotal="0"/>
    <pivotField numFmtId="164" showAll="0"/>
    <pivotField dataField="1"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4"/>
        <item x="1"/>
        <item x="3"/>
        <item t="default"/>
      </items>
    </pivotField>
    <pivotField showAll="0"/>
  </pivotFields>
  <rowFields count="1">
    <field x="7"/>
  </rowFields>
  <rowItems count="6">
    <i>
      <x v="13"/>
    </i>
    <i>
      <x v="4"/>
    </i>
    <i>
      <x v="18"/>
    </i>
    <i>
      <x v="5"/>
    </i>
    <i>
      <x/>
    </i>
    <i t="grand">
      <x/>
    </i>
  </rowItems>
  <colItems count="1">
    <i/>
  </colItems>
  <pageFields count="2">
    <pageField fld="2" item="2" hier="-1"/>
    <pageField fld="19" item="7" hier="-1"/>
  </pageFields>
  <dataFields count="1">
    <dataField name="Promedio de beneficio_pct" fld="17" subtotal="average" baseField="0" baseItem="0"/>
  </dataFields>
  <formats count="15">
    <format dxfId="86">
      <pivotArea collapsedLevelsAreSubtotals="1" fieldPosition="0">
        <references count="1">
          <reference field="7" count="1">
            <x v="8"/>
          </reference>
        </references>
      </pivotArea>
    </format>
    <format dxfId="85">
      <pivotArea collapsedLevelsAreSubtotals="1" fieldPosition="0">
        <references count="1">
          <reference field="7" count="1">
            <x v="0"/>
          </reference>
        </references>
      </pivotArea>
    </format>
    <format dxfId="84">
      <pivotArea collapsedLevelsAreSubtotals="1" fieldPosition="0">
        <references count="1">
          <reference field="7" count="1">
            <x v="12"/>
          </reference>
        </references>
      </pivotArea>
    </format>
    <format dxfId="83">
      <pivotArea dataOnly="0" labelOnly="1" outline="0" axis="axisValues" fieldPosition="0"/>
    </format>
    <format dxfId="82">
      <pivotArea collapsedLevelsAreSubtotals="1" fieldPosition="0">
        <references count="1">
          <reference field="7" count="1">
            <x v="13"/>
          </reference>
        </references>
      </pivotArea>
    </format>
    <format dxfId="81">
      <pivotArea collapsedLevelsAreSubtotals="1" fieldPosition="0">
        <references count="1">
          <reference field="7" count="1">
            <x v="4"/>
          </reference>
        </references>
      </pivotArea>
    </format>
    <format dxfId="80">
      <pivotArea collapsedLevelsAreSubtotals="1" fieldPosition="0">
        <references count="1">
          <reference field="7" count="1">
            <x v="5"/>
          </reference>
        </references>
      </pivotArea>
    </format>
    <format dxfId="79">
      <pivotArea collapsedLevelsAreSubtotals="1" fieldPosition="0">
        <references count="1">
          <reference field="7" count="1">
            <x v="18"/>
          </reference>
        </references>
      </pivotArea>
    </format>
    <format dxfId="78">
      <pivotArea collapsedLevelsAreSubtotals="1" fieldPosition="0">
        <references count="1">
          <reference field="7" count="1">
            <x v="19"/>
          </reference>
        </references>
      </pivotArea>
    </format>
    <format dxfId="77">
      <pivotArea grandRow="1" outline="0" collapsedLevelsAreSubtotals="1" fieldPosition="0"/>
    </format>
    <format dxfId="76">
      <pivotArea collapsedLevelsAreSubtotals="1" fieldPosition="0">
        <references count="1">
          <reference field="7" count="1">
            <x v="11"/>
          </reference>
        </references>
      </pivotArea>
    </format>
    <format dxfId="75">
      <pivotArea dataOnly="0" labelOnly="1" fieldPosition="0">
        <references count="1">
          <reference field="7" count="1">
            <x v="18"/>
          </reference>
        </references>
      </pivotArea>
    </format>
    <format dxfId="74">
      <pivotArea dataOnly="0" labelOnly="1" fieldPosition="0">
        <references count="1">
          <reference field="7" count="1">
            <x v="13"/>
          </reference>
        </references>
      </pivotArea>
    </format>
    <format dxfId="73">
      <pivotArea collapsedLevelsAreSubtotals="1" fieldPosition="0">
        <references count="1">
          <reference field="7" count="1">
            <x v="13"/>
          </reference>
        </references>
      </pivotArea>
    </format>
    <format dxfId="72">
      <pivotArea collapsedLevelsAreSubtotals="1" fieldPosition="0">
        <references count="1">
          <reference field="7" count="1">
            <x v="1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6" iMeasureFld="0">
      <autoFilter ref="A1">
        <filterColumn colId="0">
          <top10 val="5" filterVal="5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Tabla_gama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1">
  <location ref="A4:B32" firstHeaderRow="1" firstDataRow="1" firstDataCol="1" rowPageCount="2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</pivotField>
    <pivotField axis="axisRow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numFmtId="164" showAll="0"/>
    <pivotField numFmtId="164" showAll="0" defaultSubtotal="0"/>
    <pivotField numFmtId="164" showAll="0"/>
    <pivotField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3"/>
        <item x="4"/>
        <item x="1"/>
        <item t="default"/>
      </items>
    </pivotField>
    <pivotField showAll="0"/>
  </pivotFields>
  <rowFields count="2">
    <field x="8"/>
    <field x="7"/>
  </rowFields>
  <rowItems count="28">
    <i>
      <x/>
    </i>
    <i r="1">
      <x/>
    </i>
    <i r="1">
      <x v="2"/>
    </i>
    <i r="1">
      <x v="5"/>
    </i>
    <i r="1">
      <x v="7"/>
    </i>
    <i r="1">
      <x v="9"/>
    </i>
    <i r="1">
      <x v="10"/>
    </i>
    <i r="1">
      <x v="11"/>
    </i>
    <i>
      <x v="2"/>
    </i>
    <i r="1">
      <x v="8"/>
    </i>
    <i r="1">
      <x v="11"/>
    </i>
    <i r="1">
      <x v="13"/>
    </i>
    <i r="1">
      <x v="14"/>
    </i>
    <i r="1">
      <x v="15"/>
    </i>
    <i r="1">
      <x v="16"/>
    </i>
    <i>
      <x v="1"/>
    </i>
    <i r="1">
      <x v="1"/>
    </i>
    <i r="1">
      <x v="3"/>
    </i>
    <i r="1">
      <x v="4"/>
    </i>
    <i r="1">
      <x v="6"/>
    </i>
    <i r="1">
      <x v="8"/>
    </i>
    <i r="1">
      <x v="12"/>
    </i>
    <i r="1">
      <x v="14"/>
    </i>
    <i r="1">
      <x v="15"/>
    </i>
    <i r="1">
      <x v="17"/>
    </i>
    <i r="1">
      <x v="18"/>
    </i>
    <i r="1">
      <x v="19"/>
    </i>
    <i t="grand">
      <x/>
    </i>
  </rowItems>
  <colItems count="1">
    <i/>
  </colItems>
  <pageFields count="2">
    <pageField fld="2" item="2" hier="-1"/>
    <pageField fld="19" item="5" hier="-1"/>
  </pageFields>
  <dataFields count="1">
    <dataField name="Promedio de precio_unitario" fld="11" subtotal="average" baseField="0" baseItem="0"/>
  </dataFields>
  <formats count="30">
    <format dxfId="71">
      <pivotArea dataOnly="0" labelOnly="1" fieldPosition="0">
        <references count="2">
          <reference field="7" count="1">
            <x v="17"/>
          </reference>
          <reference field="8" count="1" selected="0">
            <x v="1"/>
          </reference>
        </references>
      </pivotArea>
    </format>
    <format dxfId="70">
      <pivotArea dataOnly="0" labelOnly="1" fieldPosition="0">
        <references count="2">
          <reference field="7" count="1">
            <x v="18"/>
          </reference>
          <reference field="8" count="1" selected="0">
            <x v="1"/>
          </reference>
        </references>
      </pivotArea>
    </format>
    <format dxfId="69">
      <pivotArea collapsedLevelsAreSubtotals="1" fieldPosition="0">
        <references count="2">
          <reference field="7" count="1">
            <x v="0"/>
          </reference>
          <reference field="8" count="1" selected="0">
            <x v="0"/>
          </reference>
        </references>
      </pivotArea>
    </format>
    <format dxfId="68">
      <pivotArea collapsedLevelsAreSubtotals="1" fieldPosition="0">
        <references count="2">
          <reference field="7" count="1">
            <x v="2"/>
          </reference>
          <reference field="8" count="1" selected="0">
            <x v="0"/>
          </reference>
        </references>
      </pivotArea>
    </format>
    <format dxfId="67">
      <pivotArea collapsedLevelsAreSubtotals="1" fieldPosition="0">
        <references count="2">
          <reference field="7" count="1">
            <x v="5"/>
          </reference>
          <reference field="8" count="1" selected="0">
            <x v="0"/>
          </reference>
        </references>
      </pivotArea>
    </format>
    <format dxfId="66">
      <pivotArea collapsedLevelsAreSubtotals="1" fieldPosition="0">
        <references count="2">
          <reference field="7" count="1">
            <x v="7"/>
          </reference>
          <reference field="8" count="1" selected="0">
            <x v="0"/>
          </reference>
        </references>
      </pivotArea>
    </format>
    <format dxfId="65">
      <pivotArea collapsedLevelsAreSubtotals="1" fieldPosition="0">
        <references count="2">
          <reference field="7" count="1">
            <x v="9"/>
          </reference>
          <reference field="8" count="1" selected="0">
            <x v="0"/>
          </reference>
        </references>
      </pivotArea>
    </format>
    <format dxfId="64">
      <pivotArea collapsedLevelsAreSubtotals="1" fieldPosition="0">
        <references count="2">
          <reference field="7" count="1">
            <x v="11"/>
          </reference>
          <reference field="8" count="1" selected="0">
            <x v="0"/>
          </reference>
        </references>
      </pivotArea>
    </format>
    <format dxfId="63">
      <pivotArea collapsedLevelsAreSubtotals="1" fieldPosition="0">
        <references count="2">
          <reference field="7" count="1">
            <x v="10"/>
          </reference>
          <reference field="8" count="1" selected="0">
            <x v="0"/>
          </reference>
        </references>
      </pivotArea>
    </format>
    <format dxfId="62">
      <pivotArea collapsedLevelsAreSubtotals="1" fieldPosition="0">
        <references count="2">
          <reference field="7" count="1">
            <x v="8"/>
          </reference>
          <reference field="8" count="1" selected="0">
            <x v="2"/>
          </reference>
        </references>
      </pivotArea>
    </format>
    <format dxfId="61">
      <pivotArea collapsedLevelsAreSubtotals="1" fieldPosition="0">
        <references count="2">
          <reference field="7" count="1">
            <x v="11"/>
          </reference>
          <reference field="8" count="1" selected="0">
            <x v="2"/>
          </reference>
        </references>
      </pivotArea>
    </format>
    <format dxfId="60">
      <pivotArea collapsedLevelsAreSubtotals="1" fieldPosition="0">
        <references count="2">
          <reference field="7" count="1">
            <x v="13"/>
          </reference>
          <reference field="8" count="1" selected="0">
            <x v="2"/>
          </reference>
        </references>
      </pivotArea>
    </format>
    <format dxfId="59">
      <pivotArea collapsedLevelsAreSubtotals="1" fieldPosition="0">
        <references count="2">
          <reference field="7" count="1">
            <x v="14"/>
          </reference>
          <reference field="8" count="1" selected="0">
            <x v="2"/>
          </reference>
        </references>
      </pivotArea>
    </format>
    <format dxfId="58">
      <pivotArea collapsedLevelsAreSubtotals="1" fieldPosition="0">
        <references count="2">
          <reference field="7" count="1">
            <x v="16"/>
          </reference>
          <reference field="8" count="1" selected="0">
            <x v="2"/>
          </reference>
        </references>
      </pivotArea>
    </format>
    <format dxfId="57">
      <pivotArea collapsedLevelsAreSubtotals="1" fieldPosition="0">
        <references count="2">
          <reference field="7" count="1">
            <x v="1"/>
          </reference>
          <reference field="8" count="1" selected="0">
            <x v="1"/>
          </reference>
        </references>
      </pivotArea>
    </format>
    <format dxfId="56">
      <pivotArea collapsedLevelsAreSubtotals="1" fieldPosition="0">
        <references count="2">
          <reference field="7" count="1">
            <x v="3"/>
          </reference>
          <reference field="8" count="1" selected="0">
            <x v="1"/>
          </reference>
        </references>
      </pivotArea>
    </format>
    <format dxfId="55">
      <pivotArea collapsedLevelsAreSubtotals="1" fieldPosition="0">
        <references count="2">
          <reference field="7" count="1">
            <x v="4"/>
          </reference>
          <reference field="8" count="1" selected="0">
            <x v="1"/>
          </reference>
        </references>
      </pivotArea>
    </format>
    <format dxfId="54">
      <pivotArea collapsedLevelsAreSubtotals="1" fieldPosition="0">
        <references count="2">
          <reference field="7" count="1">
            <x v="6"/>
          </reference>
          <reference field="8" count="1" selected="0">
            <x v="1"/>
          </reference>
        </references>
      </pivotArea>
    </format>
    <format dxfId="53">
      <pivotArea collapsedLevelsAreSubtotals="1" fieldPosition="0">
        <references count="2">
          <reference field="7" count="1">
            <x v="8"/>
          </reference>
          <reference field="8" count="1" selected="0">
            <x v="1"/>
          </reference>
        </references>
      </pivotArea>
    </format>
    <format dxfId="52">
      <pivotArea collapsedLevelsAreSubtotals="1" fieldPosition="0">
        <references count="2">
          <reference field="7" count="1">
            <x v="12"/>
          </reference>
          <reference field="8" count="1" selected="0">
            <x v="1"/>
          </reference>
        </references>
      </pivotArea>
    </format>
    <format dxfId="51">
      <pivotArea collapsedLevelsAreSubtotals="1" fieldPosition="0">
        <references count="2">
          <reference field="7" count="1">
            <x v="14"/>
          </reference>
          <reference field="8" count="1" selected="0">
            <x v="1"/>
          </reference>
        </references>
      </pivotArea>
    </format>
    <format dxfId="50">
      <pivotArea collapsedLevelsAreSubtotals="1" fieldPosition="0">
        <references count="2">
          <reference field="7" count="1">
            <x v="15"/>
          </reference>
          <reference field="8" count="1" selected="0">
            <x v="1"/>
          </reference>
        </references>
      </pivotArea>
    </format>
    <format dxfId="49">
      <pivotArea collapsedLevelsAreSubtotals="1" fieldPosition="0">
        <references count="2">
          <reference field="7" count="1">
            <x v="17"/>
          </reference>
          <reference field="8" count="1" selected="0">
            <x v="1"/>
          </reference>
        </references>
      </pivotArea>
    </format>
    <format dxfId="48">
      <pivotArea collapsedLevelsAreSubtotals="1" fieldPosition="0">
        <references count="2">
          <reference field="7" count="1">
            <x v="18"/>
          </reference>
          <reference field="8" count="1" selected="0">
            <x v="1"/>
          </reference>
        </references>
      </pivotArea>
    </format>
    <format dxfId="47">
      <pivotArea collapsedLevelsAreSubtotals="1" fieldPosition="0">
        <references count="2">
          <reference field="7" count="1">
            <x v="19"/>
          </reference>
          <reference field="8" count="1" selected="0">
            <x v="1"/>
          </reference>
        </references>
      </pivotArea>
    </format>
    <format dxfId="46">
      <pivotArea grandRow="1" outline="0" collapsedLevelsAreSubtotals="1" fieldPosition="0"/>
    </format>
    <format dxfId="45">
      <pivotArea dataOnly="0" labelOnly="1" fieldPosition="0">
        <references count="2">
          <reference field="7" count="2">
            <x v="1"/>
            <x v="3"/>
          </reference>
          <reference field="8" count="1" selected="0">
            <x v="1"/>
          </reference>
        </references>
      </pivotArea>
    </format>
    <format dxfId="44">
      <pivotArea dataOnly="0" labelOnly="1" fieldPosition="0">
        <references count="2">
          <reference field="7" count="1">
            <x v="17"/>
          </reference>
          <reference field="8" count="1" selected="0">
            <x v="1"/>
          </reference>
        </references>
      </pivotArea>
    </format>
    <format dxfId="43">
      <pivotArea dataOnly="0" labelOnly="1" fieldPosition="0">
        <references count="2">
          <reference field="7" count="1">
            <x v="18"/>
          </reference>
          <reference field="8" count="1" selected="0">
            <x v="1"/>
          </reference>
        </references>
      </pivotArea>
    </format>
    <format dxfId="42">
      <pivotArea dataOnly="0" labelOnly="1" fieldPosition="0">
        <references count="2">
          <reference field="7" count="1">
            <x v="13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14:C16" firstHeaderRow="1" firstDataRow="2" firstDataCol="0" rowPageCount="3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9" showAll="0"/>
    <pivotField dataField="1" numFmtId="164" showAll="0"/>
    <pivotField numFmtId="164" showAll="0" defaultSubtotal="0"/>
    <pivotField numFmtId="164" showAll="0"/>
    <pivotField dataField="1"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3"/>
        <item x="4"/>
        <item x="1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2" item="2" hier="-1"/>
    <pageField fld="19" item="5" hier="-1"/>
    <pageField fld="7" item="18" hier="-1"/>
  </pageFields>
  <dataFields count="3">
    <dataField name="Suma de cantidad" fld="10" baseField="0" baseItem="0"/>
    <dataField name="Suma de ingresos" fld="14" baseField="0" baseItem="0"/>
    <dataField name="Promedio de beneficio_pct" fld="17" subtotal="average" baseField="0" baseItem="0" numFmtId="9"/>
  </dataFields>
  <formats count="2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5:C7" firstHeaderRow="1" firstDataRow="2" firstDataCol="0" rowPageCount="3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9" showAll="0"/>
    <pivotField dataField="1" numFmtId="164" showAll="0"/>
    <pivotField numFmtId="164" showAll="0" defaultSubtotal="0"/>
    <pivotField numFmtId="164" showAll="0"/>
    <pivotField dataField="1"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3"/>
        <item x="4"/>
        <item x="1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2" item="2" hier="-1"/>
    <pageField fld="19" item="5" hier="-1"/>
    <pageField fld="7" item="13" hier="-1"/>
  </pageFields>
  <dataFields count="3">
    <dataField name="Suma de cantidad" fld="10" baseField="0" baseItem="0"/>
    <dataField name="Suma de ingresos" fld="14" baseField="0" baseItem="0"/>
    <dataField name="Promedio de beneficio_pct" fld="17" subtotal="average" baseField="0" baseItem="0" numFmtId="9"/>
  </dataFields>
  <formats count="2"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22:C24" firstHeaderRow="1" firstDataRow="2" firstDataCol="0" rowPageCount="3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9" showAll="0"/>
    <pivotField dataField="1" numFmtId="164" showAll="0"/>
    <pivotField numFmtId="164" showAll="0" defaultSubtotal="0"/>
    <pivotField numFmtId="164" showAll="0"/>
    <pivotField dataField="1"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3"/>
        <item x="4"/>
        <item x="1"/>
        <item t="default"/>
      </items>
    </pivotField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2" item="2" hier="-1"/>
    <pageField fld="19" item="5" hier="-1"/>
    <pageField fld="7" item="17" hier="-1"/>
  </pageFields>
  <dataFields count="3">
    <dataField name="Suma de cantidad" fld="10" baseField="0" baseItem="0"/>
    <dataField name="Suma de ingresos" fld="14" baseField="0" baseItem="0"/>
    <dataField name="Promedio de beneficio_pct" fld="17" subtotal="average" baseField="0" baseItem="0" numFmtId="9"/>
  </dataFields>
  <formats count="2"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Tabla_beneficios_pct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3">
  <location ref="A4:B30" firstHeaderRow="1" firstDataRow="1" firstDataCol="1" rowPageCount="2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21">
        <item x="12"/>
        <item x="6"/>
        <item x="15"/>
        <item x="9"/>
        <item x="11"/>
        <item x="10"/>
        <item x="8"/>
        <item x="1"/>
        <item x="14"/>
        <item x="16"/>
        <item x="13"/>
        <item x="5"/>
        <item x="4"/>
        <item x="17"/>
        <item x="18"/>
        <item x="19"/>
        <item x="0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numFmtId="164" showAll="0"/>
    <pivotField numFmtId="164" showAll="0"/>
    <pivotField numFmtId="9" showAll="0"/>
    <pivotField numFmtId="164" showAll="0"/>
    <pivotField numFmtId="164" showAll="0" defaultSubtotal="0"/>
    <pivotField numFmtId="164" showAll="0"/>
    <pivotField dataField="1" numFmtId="10" showAll="0"/>
    <pivotField showAll="0" defaultSubtotal="0"/>
    <pivotField axis="axisPage" showAll="0">
      <items count="9">
        <item x="6"/>
        <item x="5"/>
        <item x="2"/>
        <item x="0"/>
        <item m="1" x="7"/>
        <item x="4"/>
        <item x="1"/>
        <item x="3"/>
        <item t="default"/>
      </items>
    </pivotField>
    <pivotField showAll="0"/>
  </pivotFields>
  <rowFields count="2">
    <field x="9"/>
    <field x="7"/>
  </rowFields>
  <rowItems count="26">
    <i>
      <x/>
    </i>
    <i r="1">
      <x v="5"/>
    </i>
    <i r="1">
      <x/>
    </i>
    <i r="1">
      <x v="10"/>
    </i>
    <i r="1">
      <x v="7"/>
    </i>
    <i>
      <x v="1"/>
    </i>
    <i r="1">
      <x v="18"/>
    </i>
    <i r="1">
      <x v="17"/>
    </i>
    <i r="1">
      <x v="1"/>
    </i>
    <i r="1">
      <x v="3"/>
    </i>
    <i>
      <x v="2"/>
    </i>
    <i r="1">
      <x v="12"/>
    </i>
    <i r="1">
      <x v="16"/>
    </i>
    <i r="1">
      <x v="2"/>
    </i>
    <i r="1">
      <x v="14"/>
    </i>
    <i>
      <x v="3"/>
    </i>
    <i r="1">
      <x v="4"/>
    </i>
    <i r="1">
      <x v="19"/>
    </i>
    <i r="1">
      <x v="6"/>
    </i>
    <i r="1">
      <x v="9"/>
    </i>
    <i>
      <x v="4"/>
    </i>
    <i r="1">
      <x v="13"/>
    </i>
    <i r="1">
      <x v="15"/>
    </i>
    <i r="1">
      <x v="8"/>
    </i>
    <i r="1">
      <x v="11"/>
    </i>
    <i t="grand">
      <x/>
    </i>
  </rowItems>
  <colItems count="1">
    <i/>
  </colItems>
  <pageFields count="2">
    <pageField fld="2" item="2" hier="-1"/>
    <pageField fld="19" item="7" hier="-1"/>
  </pageFields>
  <dataFields count="1">
    <dataField name="Promedio de beneficio_pct" fld="17" subtotal="average" baseField="0" baseItem="0"/>
  </dataFields>
  <formats count="35">
    <format dxfId="35">
      <pivotArea collapsedLevelsAreSubtotals="1" fieldPosition="0">
        <references count="1">
          <reference field="7" count="1">
            <x v="8"/>
          </reference>
        </references>
      </pivotArea>
    </format>
    <format dxfId="34">
      <pivotArea collapsedLevelsAreSubtotals="1" fieldPosition="0">
        <references count="1">
          <reference field="7" count="1">
            <x v="0"/>
          </reference>
        </references>
      </pivotArea>
    </format>
    <format dxfId="33">
      <pivotArea collapsedLevelsAreSubtotals="1" fieldPosition="0">
        <references count="1">
          <reference field="7" count="1">
            <x v="12"/>
          </reference>
        </references>
      </pivotArea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7" count="1">
            <x v="13"/>
          </reference>
        </references>
      </pivotArea>
    </format>
    <format dxfId="30">
      <pivotArea collapsedLevelsAreSubtotals="1" fieldPosition="0">
        <references count="1">
          <reference field="7" count="1">
            <x v="4"/>
          </reference>
        </references>
      </pivotArea>
    </format>
    <format dxfId="29">
      <pivotArea collapsedLevelsAreSubtotals="1" fieldPosition="0">
        <references count="1">
          <reference field="7" count="1">
            <x v="5"/>
          </reference>
        </references>
      </pivotArea>
    </format>
    <format dxfId="28">
      <pivotArea collapsedLevelsAreSubtotals="1" fieldPosition="0">
        <references count="1">
          <reference field="7" count="1">
            <x v="18"/>
          </reference>
        </references>
      </pivotArea>
    </format>
    <format dxfId="27">
      <pivotArea collapsedLevelsAreSubtotals="1" fieldPosition="0">
        <references count="1">
          <reference field="7" count="1">
            <x v="19"/>
          </reference>
        </references>
      </pivotArea>
    </format>
    <format dxfId="26">
      <pivotArea grandRow="1" outline="0" collapsedLevelsAreSubtotals="1" fieldPosition="0"/>
    </format>
    <format dxfId="25">
      <pivotArea collapsedLevelsAreSubtotals="1" fieldPosition="0">
        <references count="1">
          <reference field="7" count="1">
            <x v="11"/>
          </reference>
        </references>
      </pivotArea>
    </format>
    <format dxfId="24">
      <pivotArea dataOnly="0" labelOnly="1" fieldPosition="0">
        <references count="1">
          <reference field="7" count="1">
            <x v="18"/>
          </reference>
        </references>
      </pivotArea>
    </format>
    <format dxfId="23">
      <pivotArea dataOnly="0" labelOnly="1" fieldPosition="0">
        <references count="1">
          <reference field="7" count="1">
            <x v="13"/>
          </reference>
        </references>
      </pivotArea>
    </format>
    <format dxfId="22">
      <pivotArea collapsedLevelsAreSubtotals="1" fieldPosition="0">
        <references count="1">
          <reference field="7" count="1">
            <x v="13"/>
          </reference>
        </references>
      </pivotArea>
    </format>
    <format dxfId="21">
      <pivotArea collapsedLevelsAreSubtotals="1" fieldPosition="0">
        <references count="1">
          <reference field="7" count="1">
            <x v="18"/>
          </reference>
        </references>
      </pivotArea>
    </format>
    <format dxfId="20">
      <pivotArea collapsedLevelsAreSubtotals="1" fieldPosition="0">
        <references count="1">
          <reference field="7" count="1">
            <x v="15"/>
          </reference>
        </references>
      </pivotArea>
    </format>
    <format dxfId="19">
      <pivotArea collapsedLevelsAreSubtotals="1" fieldPosition="0">
        <references count="1">
          <reference field="7" count="1">
            <x v="16"/>
          </reference>
        </references>
      </pivotArea>
    </format>
    <format dxfId="18">
      <pivotArea collapsedLevelsAreSubtotals="1" fieldPosition="0">
        <references count="1">
          <reference field="7" count="1">
            <x v="6"/>
          </reference>
        </references>
      </pivotArea>
    </format>
    <format dxfId="17">
      <pivotArea collapsedLevelsAreSubtotals="1" fieldPosition="0">
        <references count="1">
          <reference field="7" count="1">
            <x v="2"/>
          </reference>
        </references>
      </pivotArea>
    </format>
    <format dxfId="16">
      <pivotArea collapsedLevelsAreSubtotals="1" fieldPosition="0">
        <references count="1">
          <reference field="7" count="1">
            <x v="17"/>
          </reference>
        </references>
      </pivotArea>
    </format>
    <format dxfId="15">
      <pivotArea collapsedLevelsAreSubtotals="1" fieldPosition="0">
        <references count="1">
          <reference field="7" count="1">
            <x v="10"/>
          </reference>
        </references>
      </pivotArea>
    </format>
    <format dxfId="14">
      <pivotArea collapsedLevelsAreSubtotals="1" fieldPosition="0">
        <references count="1">
          <reference field="7" count="1">
            <x v="1"/>
          </reference>
        </references>
      </pivotArea>
    </format>
    <format dxfId="13">
      <pivotArea collapsedLevelsAreSubtotals="1" fieldPosition="0">
        <references count="1">
          <reference field="7" count="1">
            <x v="14"/>
          </reference>
        </references>
      </pivotArea>
    </format>
    <format dxfId="12">
      <pivotArea collapsedLevelsAreSubtotals="1" fieldPosition="0">
        <references count="1">
          <reference field="7" count="1">
            <x v="9"/>
          </reference>
        </references>
      </pivotArea>
    </format>
    <format dxfId="11">
      <pivotArea collapsedLevelsAreSubtotals="1" fieldPosition="0">
        <references count="1">
          <reference field="7" count="1">
            <x v="7"/>
          </reference>
        </references>
      </pivotArea>
    </format>
    <format dxfId="10">
      <pivotArea collapsedLevelsAreSubtotals="1" fieldPosition="0">
        <references count="1">
          <reference field="7" count="1">
            <x v="3"/>
          </reference>
        </references>
      </pivotArea>
    </format>
    <format dxfId="9">
      <pivotArea dataOnly="0" fieldPosition="0">
        <references count="3">
          <reference field="2" count="1" selected="0">
            <x v="2"/>
          </reference>
          <reference field="7" count="1">
            <x v="17"/>
          </reference>
          <reference field="19" count="1" selected="0">
            <x v="7"/>
          </reference>
        </references>
      </pivotArea>
    </format>
    <format dxfId="8">
      <pivotArea collapsedLevelsAreSubtotals="1" fieldPosition="0">
        <references count="1">
          <reference field="7" count="1">
            <x v="13"/>
          </reference>
        </references>
      </pivotArea>
    </format>
    <format dxfId="7">
      <pivotArea dataOnly="0" labelOnly="1" fieldPosition="0">
        <references count="1">
          <reference field="7" count="1">
            <x v="13"/>
          </reference>
        </references>
      </pivotArea>
    </format>
    <format dxfId="6">
      <pivotArea dataOnly="0" labelOnly="1" fieldPosition="0">
        <references count="1">
          <reference field="7" count="1">
            <x v="18"/>
          </reference>
        </references>
      </pivotArea>
    </format>
    <format dxfId="5">
      <pivotArea collapsedLevelsAreSubtotals="1" fieldPosition="0">
        <references count="1">
          <reference field="7" count="1">
            <x v="18"/>
          </reference>
        </references>
      </pivotArea>
    </format>
    <format dxfId="4">
      <pivotArea collapsedLevelsAreSubtotals="1" fieldPosition="0">
        <references count="1">
          <reference field="9" count="1">
            <x v="1"/>
          </reference>
        </references>
      </pivotArea>
    </format>
    <format dxfId="3">
      <pivotArea collapsedLevelsAreSubtotals="1" fieldPosition="0">
        <references count="1">
          <reference field="9" count="1">
            <x v="2"/>
          </reference>
        </references>
      </pivotArea>
    </format>
    <format dxfId="2">
      <pivotArea collapsedLevelsAreSubtotals="1" fieldPosition="0">
        <references count="1">
          <reference field="9" count="1">
            <x v="3"/>
          </reference>
        </references>
      </pivotArea>
    </format>
    <format dxfId="1">
      <pivotArea collapsedLevelsAreSubtotals="1" fieldPosition="0">
        <references count="1">
          <reference field="9" count="1"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a3" displayName="Tabla3" ref="A1:F21" totalsRowShown="0">
  <autoFilter ref="A1:F21"/>
  <tableColumns count="6">
    <tableColumn id="1" name="id_producto"/>
    <tableColumn id="2" name="producto"/>
    <tableColumn id="3" name="categoria"/>
    <tableColumn id="4" name="coste_objetivo"/>
    <tableColumn id="5" name="precio_venta_recomendado"/>
    <tableColumn id="6" name="margen_objetivo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T2309" totalsRowShown="0">
  <autoFilter ref="A1:T2309">
    <filterColumn colId="2">
      <filters>
        <filter val="2025"/>
      </filters>
    </filterColumn>
    <filterColumn colId="3"/>
    <filterColumn colId="4"/>
    <filterColumn colId="5"/>
    <filterColumn colId="8"/>
    <filterColumn colId="14"/>
    <filterColumn colId="15"/>
    <filterColumn colId="16"/>
    <filterColumn colId="17"/>
    <filterColumn colId="18">
      <filters>
        <filter val="Cataluña"/>
      </filters>
    </filterColumn>
  </autoFilter>
  <tableColumns count="20">
    <tableColumn id="1" name="id_venta"/>
    <tableColumn id="2" name="fecha" dataDxfId="106"/>
    <tableColumn id="13" name="año" dataDxfId="105">
      <calculatedColumnFormula>YEAR(Tabla2[[#This Row],[fecha]])</calculatedColumnFormula>
    </tableColumn>
    <tableColumn id="12" name="mes" dataDxfId="104">
      <calculatedColumnFormula>MONTH(Tabla2[[#This Row],[fecha]])</calculatedColumnFormula>
    </tableColumn>
    <tableColumn id="19" name="nombre_mes" dataDxfId="103">
      <calculatedColumnFormula>TEXT(Tabla2[[#This Row],[fecha]], "mmmm")</calculatedColumnFormula>
    </tableColumn>
    <tableColumn id="20" name="trimestre" dataDxfId="102">
      <calculatedColumnFormula>"T"&amp;ROUNDUP(Tabla2[[#This Row],[mes]]/3,0)</calculatedColumnFormula>
    </tableColumn>
    <tableColumn id="3" name="id_producto"/>
    <tableColumn id="4" name="producto"/>
    <tableColumn id="25" name="gama" dataDxfId="101">
      <calculatedColumnFormula>IF(Tabla2[[#This Row],[precio_unitario]]&lt;=30,"Económico",IF(Tabla2[[#This Row],[precio_unitario]]&lt;=58.49,"Accesible","Caro"))</calculatedColumnFormula>
    </tableColumn>
    <tableColumn id="5" name="categoria"/>
    <tableColumn id="6" name="cantidad"/>
    <tableColumn id="7" name="precio_unitario" dataDxfId="100"/>
    <tableColumn id="8" name="coste_unitario" dataDxfId="99"/>
    <tableColumn id="9" name="descuento_pct" dataCellStyle="Porcentual"/>
    <tableColumn id="21" name="ingresos" dataDxfId="98" dataCellStyle="Porcentual">
      <calculatedColumnFormula>K2*L2*(1-N2)</calculatedColumnFormula>
    </tableColumn>
    <tableColumn id="22" name="costes" dataDxfId="97" dataCellStyle="Porcentual">
      <calculatedColumnFormula>M2*K2</calculatedColumnFormula>
    </tableColumn>
    <tableColumn id="23" name="beneficio" dataDxfId="96" dataCellStyle="Porcentual">
      <calculatedColumnFormula>O2-P2</calculatedColumnFormula>
    </tableColumn>
    <tableColumn id="24" name="beneficio_pct" dataDxfId="95" dataCellStyle="Porcentual">
      <calculatedColumnFormula>IFERROR(Q2/O2,0)</calculatedColumnFormula>
    </tableColumn>
    <tableColumn id="10" name="comunidad_autonoma"/>
    <tableColumn id="11" name="can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B2:C12" totalsRowShown="0">
  <autoFilter ref="B2:C12"/>
  <tableColumns count="2">
    <tableColumn id="1" name="KPIS DE NEGOCIO" dataDxfId="0"/>
    <tableColumn id="2" name="CATALUÑA Y 20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B2:C8" totalsRowShown="0">
  <autoFilter ref="B2:C8"/>
  <tableColumns count="2">
    <tableColumn id="1" name="TOP 1 PRODUCTOS DE NEGOCIO"/>
    <tableColumn id="2" name="CATALUÑA Y 20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C3:D4" totalsRowShown="0">
  <autoFilter ref="C3:D4">
    <filterColumn colId="1"/>
  </autoFilter>
  <tableColumns count="2">
    <tableColumn id="1" name="Producto de Volumen"/>
    <tableColumn id="2" name="Estrategi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8" name="Tabla79" displayName="Tabla79" ref="F3:G4" totalsRowShown="0">
  <autoFilter ref="F3:G4"/>
  <tableColumns count="2">
    <tableColumn id="1" name="Producto de Ingresos"/>
    <tableColumn id="2" name="Estrategi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9" name="Tabla7910" displayName="Tabla7910" ref="I3:J4" totalsRowShown="0">
  <autoFilter ref="I3:J4"/>
  <tableColumns count="2">
    <tableColumn id="1" name="Producto de beneficios"/>
    <tableColumn id="2" name="Estrateg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C1" sqref="C1"/>
    </sheetView>
  </sheetViews>
  <sheetFormatPr baseColWidth="10" defaultColWidth="8.6640625" defaultRowHeight="14.4"/>
  <cols>
    <col min="1" max="1" width="12.77734375" customWidth="1"/>
    <col min="2" max="2" width="10.33203125" customWidth="1"/>
    <col min="3" max="3" width="10.5546875" customWidth="1"/>
    <col min="4" max="4" width="15" customWidth="1"/>
    <col min="5" max="5" width="25.88671875" customWidth="1"/>
    <col min="6" max="6" width="20.21875" customWidth="1"/>
  </cols>
  <sheetData>
    <row r="1" spans="1:6">
      <c r="A1" s="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84.31</v>
      </c>
      <c r="E2">
        <v>122.19</v>
      </c>
      <c r="F2">
        <v>0.31</v>
      </c>
    </row>
    <row r="3" spans="1:6">
      <c r="A3" t="s">
        <v>9</v>
      </c>
      <c r="B3" t="s">
        <v>10</v>
      </c>
      <c r="C3" t="s">
        <v>8</v>
      </c>
      <c r="D3">
        <v>47.23</v>
      </c>
      <c r="E3">
        <v>73.8</v>
      </c>
      <c r="F3">
        <v>0.36</v>
      </c>
    </row>
    <row r="4" spans="1:6">
      <c r="A4" t="s">
        <v>11</v>
      </c>
      <c r="B4" t="s">
        <v>12</v>
      </c>
      <c r="C4" t="s">
        <v>8</v>
      </c>
      <c r="D4">
        <v>94.19</v>
      </c>
      <c r="E4">
        <v>177.72</v>
      </c>
      <c r="F4">
        <v>0.47</v>
      </c>
    </row>
    <row r="5" spans="1:6">
      <c r="A5" t="s">
        <v>13</v>
      </c>
      <c r="B5" t="s">
        <v>14</v>
      </c>
      <c r="C5" t="s">
        <v>8</v>
      </c>
      <c r="D5">
        <v>110.03</v>
      </c>
      <c r="E5">
        <v>161.81</v>
      </c>
      <c r="F5">
        <v>0.32</v>
      </c>
    </row>
    <row r="6" spans="1:6">
      <c r="A6" t="s">
        <v>15</v>
      </c>
      <c r="B6" t="s">
        <v>16</v>
      </c>
      <c r="C6" t="s">
        <v>17</v>
      </c>
      <c r="D6">
        <v>41.17</v>
      </c>
      <c r="E6">
        <v>59.67</v>
      </c>
      <c r="F6">
        <v>0.31</v>
      </c>
    </row>
    <row r="7" spans="1:6">
      <c r="A7" t="s">
        <v>18</v>
      </c>
      <c r="B7" t="s">
        <v>19</v>
      </c>
      <c r="C7" t="s">
        <v>17</v>
      </c>
      <c r="D7">
        <v>26.63</v>
      </c>
      <c r="E7">
        <v>46.72</v>
      </c>
      <c r="F7">
        <v>0.43</v>
      </c>
    </row>
    <row r="8" spans="1:6">
      <c r="A8" t="s">
        <v>20</v>
      </c>
      <c r="B8" t="s">
        <v>21</v>
      </c>
      <c r="C8" t="s">
        <v>17</v>
      </c>
      <c r="D8">
        <v>12.9</v>
      </c>
      <c r="E8">
        <v>19.850000000000001</v>
      </c>
      <c r="F8">
        <v>0.35</v>
      </c>
    </row>
    <row r="9" spans="1:6">
      <c r="A9" t="s">
        <v>22</v>
      </c>
      <c r="B9" t="s">
        <v>23</v>
      </c>
      <c r="C9" t="s">
        <v>17</v>
      </c>
      <c r="D9">
        <v>57.47</v>
      </c>
      <c r="E9">
        <v>102.62</v>
      </c>
      <c r="F9">
        <v>0.44</v>
      </c>
    </row>
    <row r="10" spans="1:6">
      <c r="A10" t="s">
        <v>24</v>
      </c>
      <c r="B10" t="s">
        <v>25</v>
      </c>
      <c r="C10" t="s">
        <v>26</v>
      </c>
      <c r="D10">
        <v>4.32</v>
      </c>
      <c r="E10">
        <v>7.85</v>
      </c>
      <c r="F10">
        <v>0.45</v>
      </c>
    </row>
    <row r="11" spans="1:6">
      <c r="A11" t="s">
        <v>27</v>
      </c>
      <c r="B11" t="s">
        <v>28</v>
      </c>
      <c r="C11" t="s">
        <v>26</v>
      </c>
      <c r="D11">
        <v>11.44</v>
      </c>
      <c r="E11">
        <v>16.34</v>
      </c>
      <c r="F11">
        <v>0.3</v>
      </c>
    </row>
    <row r="12" spans="1:6">
      <c r="A12" t="s">
        <v>29</v>
      </c>
      <c r="B12" t="s">
        <v>30</v>
      </c>
      <c r="C12" t="s">
        <v>26</v>
      </c>
      <c r="D12">
        <v>11.4</v>
      </c>
      <c r="E12">
        <v>21.51</v>
      </c>
      <c r="F12">
        <v>0.47</v>
      </c>
    </row>
    <row r="13" spans="1:6">
      <c r="A13" t="s">
        <v>31</v>
      </c>
      <c r="B13" t="s">
        <v>32</v>
      </c>
      <c r="C13" t="s">
        <v>26</v>
      </c>
      <c r="D13">
        <v>5.77</v>
      </c>
      <c r="E13">
        <v>8.74</v>
      </c>
      <c r="F13">
        <v>0.34</v>
      </c>
    </row>
    <row r="14" spans="1:6">
      <c r="A14" t="s">
        <v>33</v>
      </c>
      <c r="B14" t="s">
        <v>34</v>
      </c>
      <c r="C14" t="s">
        <v>35</v>
      </c>
      <c r="D14">
        <v>47.62</v>
      </c>
      <c r="E14">
        <v>76.81</v>
      </c>
      <c r="F14">
        <v>0.38</v>
      </c>
    </row>
    <row r="15" spans="1:6">
      <c r="A15" t="s">
        <v>36</v>
      </c>
      <c r="B15" t="s">
        <v>37</v>
      </c>
      <c r="C15" t="s">
        <v>35</v>
      </c>
      <c r="D15">
        <v>9.58</v>
      </c>
      <c r="E15">
        <v>14.09</v>
      </c>
      <c r="F15">
        <v>0.32</v>
      </c>
    </row>
    <row r="16" spans="1:6">
      <c r="A16" t="s">
        <v>38</v>
      </c>
      <c r="B16" t="s">
        <v>39</v>
      </c>
      <c r="C16" t="s">
        <v>35</v>
      </c>
      <c r="D16">
        <v>42.79</v>
      </c>
      <c r="E16">
        <v>77.8</v>
      </c>
      <c r="F16">
        <v>0.45</v>
      </c>
    </row>
    <row r="17" spans="1:6">
      <c r="A17" t="s">
        <v>40</v>
      </c>
      <c r="B17" t="s">
        <v>41</v>
      </c>
      <c r="C17" t="s">
        <v>35</v>
      </c>
      <c r="D17">
        <v>41.01</v>
      </c>
      <c r="E17">
        <v>78.87</v>
      </c>
      <c r="F17">
        <v>0.48</v>
      </c>
    </row>
    <row r="18" spans="1:6">
      <c r="A18" t="s">
        <v>42</v>
      </c>
      <c r="B18" t="s">
        <v>43</v>
      </c>
      <c r="C18" t="s">
        <v>44</v>
      </c>
      <c r="D18">
        <v>22.69</v>
      </c>
      <c r="E18">
        <v>49.33</v>
      </c>
      <c r="F18">
        <v>0.54</v>
      </c>
    </row>
    <row r="19" spans="1:6">
      <c r="A19" t="s">
        <v>45</v>
      </c>
      <c r="B19" t="s">
        <v>46</v>
      </c>
      <c r="C19" t="s">
        <v>44</v>
      </c>
      <c r="D19">
        <v>17.309999999999999</v>
      </c>
      <c r="E19">
        <v>30.91</v>
      </c>
      <c r="F19">
        <v>0.44</v>
      </c>
    </row>
    <row r="20" spans="1:6">
      <c r="A20" t="s">
        <v>47</v>
      </c>
      <c r="B20" t="s">
        <v>48</v>
      </c>
      <c r="C20" t="s">
        <v>44</v>
      </c>
      <c r="D20">
        <v>32.68</v>
      </c>
      <c r="E20">
        <v>59.42</v>
      </c>
      <c r="F20">
        <v>0.45</v>
      </c>
    </row>
    <row r="21" spans="1:6">
      <c r="A21" t="s">
        <v>49</v>
      </c>
      <c r="B21" t="s">
        <v>50</v>
      </c>
      <c r="C21" t="s">
        <v>44</v>
      </c>
      <c r="D21">
        <v>33.78</v>
      </c>
      <c r="E21">
        <v>60.32</v>
      </c>
      <c r="F21">
        <v>0.44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W2309"/>
  <sheetViews>
    <sheetView topLeftCell="L1" workbookViewId="0">
      <selection activeCell="U12" sqref="U12"/>
    </sheetView>
  </sheetViews>
  <sheetFormatPr baseColWidth="10" defaultColWidth="8.6640625" defaultRowHeight="14.4"/>
  <cols>
    <col min="1" max="1" width="9.88671875" customWidth="1"/>
    <col min="2" max="2" width="10.5546875" style="5" bestFit="1" customWidth="1"/>
    <col min="3" max="3" width="8.88671875" style="8" bestFit="1" customWidth="1"/>
    <col min="4" max="4" width="8.6640625" style="8"/>
    <col min="5" max="6" width="15.88671875" style="8" customWidth="1"/>
    <col min="7" max="7" width="12.77734375" customWidth="1"/>
    <col min="8" max="8" width="27.21875" customWidth="1"/>
    <col min="9" max="9" width="10.33203125" customWidth="1"/>
    <col min="10" max="10" width="10.5546875" customWidth="1"/>
    <col min="11" max="11" width="9.88671875" customWidth="1"/>
    <col min="12" max="12" width="15.33203125" style="22" customWidth="1"/>
    <col min="13" max="13" width="14.6640625" style="22" customWidth="1"/>
    <col min="14" max="14" width="14.88671875" style="11" customWidth="1"/>
    <col min="15" max="17" width="14.88671875" style="17" customWidth="1"/>
    <col min="18" max="18" width="14.88671875" style="24" customWidth="1"/>
    <col min="22" max="22" width="11.5546875" customWidth="1"/>
  </cols>
  <sheetData>
    <row r="1" spans="1:23">
      <c r="A1" s="4" t="s">
        <v>51</v>
      </c>
      <c r="B1" s="6" t="s">
        <v>52</v>
      </c>
      <c r="C1" s="7" t="s">
        <v>2375</v>
      </c>
      <c r="D1" s="7" t="s">
        <v>2376</v>
      </c>
      <c r="E1" s="7" t="s">
        <v>2378</v>
      </c>
      <c r="F1" s="7" t="s">
        <v>2379</v>
      </c>
      <c r="G1" s="4" t="s">
        <v>0</v>
      </c>
      <c r="H1" s="1" t="s">
        <v>1</v>
      </c>
      <c r="I1" s="1" t="s">
        <v>2396</v>
      </c>
      <c r="J1" s="1" t="s">
        <v>2</v>
      </c>
      <c r="K1" s="2" t="s">
        <v>53</v>
      </c>
      <c r="L1" s="18" t="s">
        <v>54</v>
      </c>
      <c r="M1" s="18" t="s">
        <v>55</v>
      </c>
      <c r="N1" s="12" t="s">
        <v>56</v>
      </c>
      <c r="O1" s="16" t="s">
        <v>2380</v>
      </c>
      <c r="P1" s="16" t="s">
        <v>2400</v>
      </c>
      <c r="Q1" s="16" t="s">
        <v>2381</v>
      </c>
      <c r="R1" s="23" t="s">
        <v>2382</v>
      </c>
      <c r="S1" s="1" t="s">
        <v>57</v>
      </c>
      <c r="T1" s="1" t="s">
        <v>58</v>
      </c>
    </row>
    <row r="2" spans="1:23" hidden="1">
      <c r="A2" t="s">
        <v>59</v>
      </c>
      <c r="B2" s="5">
        <v>45785</v>
      </c>
      <c r="C2" s="8">
        <f>YEAR(Tabla2[[#This Row],[fecha]])</f>
        <v>2025</v>
      </c>
      <c r="D2" s="8">
        <f>MONTH(Tabla2[[#This Row],[fecha]])</f>
        <v>5</v>
      </c>
      <c r="E2" s="8" t="str">
        <f>TEXT(Tabla2[[#This Row],[fecha]], "mmmm")</f>
        <v>mayo</v>
      </c>
      <c r="F2" s="8" t="str">
        <f>F3</f>
        <v>T3</v>
      </c>
      <c r="G2" t="s">
        <v>18</v>
      </c>
      <c r="H2" t="s">
        <v>19</v>
      </c>
      <c r="I2" s="8" t="str">
        <f>IF(Tabla2[[#This Row],[precio_unitario]]&lt;=30,"Económico",IF(Tabla2[[#This Row],[precio_unitario]]&lt;=58.49,"Accesible","Caro"))</f>
        <v>Accesible</v>
      </c>
      <c r="J2" t="s">
        <v>17</v>
      </c>
      <c r="K2">
        <v>7</v>
      </c>
      <c r="L2" s="19">
        <v>48.85</v>
      </c>
      <c r="M2" s="19">
        <v>26.46</v>
      </c>
      <c r="N2" s="11">
        <v>0</v>
      </c>
      <c r="O2" s="17">
        <f>K2*L2*(1-N2)</f>
        <v>341.95</v>
      </c>
      <c r="P2" s="17">
        <f t="shared" ref="P2:P65" si="0">M2*K2</f>
        <v>185.22</v>
      </c>
      <c r="Q2" s="17">
        <f t="shared" ref="Q2:Q65" si="1">O2-P2</f>
        <v>156.72999999999999</v>
      </c>
      <c r="R2" s="24">
        <f t="shared" ref="R2:R65" si="2">IFERROR(Q2/O2,0)</f>
        <v>0.4583418628454452</v>
      </c>
      <c r="S2" t="s">
        <v>540</v>
      </c>
      <c r="T2" t="s">
        <v>60</v>
      </c>
    </row>
    <row r="3" spans="1:23" hidden="1">
      <c r="A3" t="s">
        <v>61</v>
      </c>
      <c r="B3" s="5">
        <v>45540</v>
      </c>
      <c r="C3" s="8">
        <f>YEAR(Tabla2[[#This Row],[fecha]])</f>
        <v>2024</v>
      </c>
      <c r="D3" s="8">
        <f>MONTH(Tabla2[[#This Row],[fecha]])</f>
        <v>9</v>
      </c>
      <c r="E3" s="8" t="str">
        <f>TEXT(Tabla2[[#This Row],[fecha]], "mmmm")</f>
        <v>septiembre</v>
      </c>
      <c r="F3" s="8" t="str">
        <f>"T"&amp;ROUNDUP(Tabla2[[#This Row],[mes]]/3,0)</f>
        <v>T3</v>
      </c>
      <c r="G3" t="s">
        <v>27</v>
      </c>
      <c r="H3" t="s">
        <v>28</v>
      </c>
      <c r="I3" s="8" t="str">
        <f>IF(Tabla2[[#This Row],[precio_unitario]]&lt;=30,"Económico",IF(Tabla2[[#This Row],[precio_unitario]]&lt;=58.49,"Accesible","Caro"))</f>
        <v>Económico</v>
      </c>
      <c r="J3" t="s">
        <v>26</v>
      </c>
      <c r="K3">
        <v>4</v>
      </c>
      <c r="L3" s="19">
        <v>17.329999999999998</v>
      </c>
      <c r="M3" s="19">
        <v>10.93</v>
      </c>
      <c r="N3" s="11">
        <v>0</v>
      </c>
      <c r="O3" s="17">
        <f t="shared" ref="O3:O66" si="3">K3*L3*(1-N3)</f>
        <v>69.319999999999993</v>
      </c>
      <c r="P3" s="17">
        <f t="shared" si="0"/>
        <v>43.72</v>
      </c>
      <c r="Q3" s="17">
        <f t="shared" si="1"/>
        <v>25.599999999999994</v>
      </c>
      <c r="R3" s="24">
        <f t="shared" si="2"/>
        <v>0.36930178880553949</v>
      </c>
      <c r="S3" s="10" t="s">
        <v>2377</v>
      </c>
      <c r="T3" t="s">
        <v>60</v>
      </c>
    </row>
    <row r="4" spans="1:23" hidden="1">
      <c r="A4" t="s">
        <v>62</v>
      </c>
      <c r="B4" s="5">
        <v>45764</v>
      </c>
      <c r="C4" s="8">
        <f>YEAR(Tabla2[[#This Row],[fecha]])</f>
        <v>2025</v>
      </c>
      <c r="D4" s="8">
        <f>MONTH(Tabla2[[#This Row],[fecha]])</f>
        <v>4</v>
      </c>
      <c r="E4" s="8" t="str">
        <f>TEXT(Tabla2[[#This Row],[fecha]], "mmmm")</f>
        <v>abril</v>
      </c>
      <c r="F4" s="8" t="str">
        <f>"T"&amp;ROUNDUP(Tabla2[[#This Row],[mes]]/3,0)</f>
        <v>T2</v>
      </c>
      <c r="G4" t="s">
        <v>38</v>
      </c>
      <c r="H4" t="s">
        <v>39</v>
      </c>
      <c r="I4" s="8" t="str">
        <f>IF(Tabla2[[#This Row],[precio_unitario]]&lt;=30,"Económico",IF(Tabla2[[#This Row],[precio_unitario]]&lt;=58.49,"Accesible","Caro"))</f>
        <v>Caro</v>
      </c>
      <c r="J4" t="s">
        <v>35</v>
      </c>
      <c r="K4">
        <v>3</v>
      </c>
      <c r="L4" s="19">
        <v>73.59</v>
      </c>
      <c r="M4" s="19">
        <v>41.51</v>
      </c>
      <c r="N4" s="13">
        <v>0</v>
      </c>
      <c r="O4" s="17">
        <f t="shared" si="3"/>
        <v>220.77</v>
      </c>
      <c r="P4" s="17">
        <f t="shared" si="0"/>
        <v>124.53</v>
      </c>
      <c r="Q4" s="17">
        <f t="shared" si="1"/>
        <v>96.240000000000009</v>
      </c>
      <c r="R4" s="24">
        <f t="shared" si="2"/>
        <v>0.43592879467318929</v>
      </c>
      <c r="S4" t="s">
        <v>63</v>
      </c>
      <c r="T4" t="s">
        <v>64</v>
      </c>
    </row>
    <row r="5" spans="1:23" hidden="1">
      <c r="A5" t="s">
        <v>65</v>
      </c>
      <c r="B5" s="5">
        <v>45428</v>
      </c>
      <c r="C5" s="8">
        <f>YEAR(Tabla2[[#This Row],[fecha]])</f>
        <v>2024</v>
      </c>
      <c r="D5" s="8">
        <f>MONTH(Tabla2[[#This Row],[fecha]])</f>
        <v>5</v>
      </c>
      <c r="E5" s="8" t="str">
        <f>TEXT(Tabla2[[#This Row],[fecha]], "mmmm")</f>
        <v>mayo</v>
      </c>
      <c r="F5" s="8" t="str">
        <f>"T"&amp;ROUNDUP(Tabla2[[#This Row],[mes]]/3,0)</f>
        <v>T2</v>
      </c>
      <c r="G5" t="s">
        <v>9</v>
      </c>
      <c r="H5" t="s">
        <v>10</v>
      </c>
      <c r="I5" s="8" t="str">
        <f>IF(Tabla2[[#This Row],[precio_unitario]]&lt;=30,"Económico",IF(Tabla2[[#This Row],[precio_unitario]]&lt;=58.49,"Accesible","Caro"))</f>
        <v>Caro</v>
      </c>
      <c r="J5" t="s">
        <v>8</v>
      </c>
      <c r="K5">
        <v>1</v>
      </c>
      <c r="L5" s="19">
        <v>75.75</v>
      </c>
      <c r="M5" s="19">
        <v>46.12</v>
      </c>
      <c r="N5" s="11">
        <v>0</v>
      </c>
      <c r="O5" s="17">
        <f t="shared" si="3"/>
        <v>75.75</v>
      </c>
      <c r="P5" s="17">
        <f t="shared" si="0"/>
        <v>46.12</v>
      </c>
      <c r="Q5" s="17">
        <f t="shared" si="1"/>
        <v>29.630000000000003</v>
      </c>
      <c r="R5" s="24">
        <f t="shared" si="2"/>
        <v>0.39115511551155119</v>
      </c>
      <c r="S5" t="s">
        <v>540</v>
      </c>
      <c r="T5" t="s">
        <v>64</v>
      </c>
    </row>
    <row r="6" spans="1:23">
      <c r="A6" t="s">
        <v>66</v>
      </c>
      <c r="B6" s="5">
        <v>45993</v>
      </c>
      <c r="C6" s="8">
        <f>YEAR(Tabla2[[#This Row],[fecha]])</f>
        <v>2025</v>
      </c>
      <c r="D6" s="8">
        <f>MONTH(Tabla2[[#This Row],[fecha]])</f>
        <v>12</v>
      </c>
      <c r="E6" s="8" t="str">
        <f>TEXT(Tabla2[[#This Row],[fecha]], "mmmm")</f>
        <v>diciembre</v>
      </c>
      <c r="F6" s="8" t="str">
        <f>"T"&amp;ROUNDUP(Tabla2[[#This Row],[mes]]/3,0)</f>
        <v>T4</v>
      </c>
      <c r="G6" t="s">
        <v>22</v>
      </c>
      <c r="H6" t="s">
        <v>23</v>
      </c>
      <c r="I6" s="8" t="str">
        <f>IF(Tabla2[[#This Row],[precio_unitario]]&lt;=30,"Económico",IF(Tabla2[[#This Row],[precio_unitario]]&lt;=58.49,"Accesible","Caro"))</f>
        <v>Caro</v>
      </c>
      <c r="J6" t="s">
        <v>17</v>
      </c>
      <c r="K6">
        <v>1</v>
      </c>
      <c r="L6" s="19">
        <v>107.63</v>
      </c>
      <c r="M6" s="19">
        <v>56.9</v>
      </c>
      <c r="N6" s="11">
        <v>0.28000000000000003</v>
      </c>
      <c r="O6" s="17">
        <f t="shared" si="3"/>
        <v>77.493600000000001</v>
      </c>
      <c r="P6" s="17">
        <f t="shared" si="0"/>
        <v>56.9</v>
      </c>
      <c r="Q6" s="17">
        <f t="shared" si="1"/>
        <v>20.593600000000002</v>
      </c>
      <c r="R6" s="24">
        <f>IFERROR(Q6/O6,0)</f>
        <v>0.26574581642871153</v>
      </c>
      <c r="S6" t="s">
        <v>67</v>
      </c>
      <c r="T6" t="s">
        <v>64</v>
      </c>
    </row>
    <row r="7" spans="1:23" hidden="1">
      <c r="A7" t="s">
        <v>68</v>
      </c>
      <c r="B7" s="5">
        <v>45531</v>
      </c>
      <c r="C7" s="8">
        <f>YEAR(Tabla2[[#This Row],[fecha]])</f>
        <v>2024</v>
      </c>
      <c r="D7" s="8">
        <f>MONTH(Tabla2[[#This Row],[fecha]])</f>
        <v>8</v>
      </c>
      <c r="E7" s="8" t="str">
        <f>TEXT(Tabla2[[#This Row],[fecha]], "mmmm")</f>
        <v>agosto</v>
      </c>
      <c r="F7" s="8" t="str">
        <f>"T"&amp;ROUNDUP(Tabla2[[#This Row],[mes]]/3,0)</f>
        <v>T3</v>
      </c>
      <c r="G7" t="s">
        <v>45</v>
      </c>
      <c r="H7" t="s">
        <v>46</v>
      </c>
      <c r="I7" s="8" t="str">
        <f>IF(Tabla2[[#This Row],[precio_unitario]]&lt;=30,"Económico",IF(Tabla2[[#This Row],[precio_unitario]]&lt;=58.49,"Accesible","Caro"))</f>
        <v>Accesible</v>
      </c>
      <c r="J7" t="s">
        <v>44</v>
      </c>
      <c r="K7">
        <v>3</v>
      </c>
      <c r="L7" s="19">
        <v>32.74</v>
      </c>
      <c r="M7" s="19">
        <v>16.47</v>
      </c>
      <c r="N7" s="11">
        <v>0</v>
      </c>
      <c r="O7" s="17">
        <f t="shared" si="3"/>
        <v>98.22</v>
      </c>
      <c r="P7" s="17">
        <f t="shared" si="0"/>
        <v>49.41</v>
      </c>
      <c r="Q7" s="17">
        <f t="shared" si="1"/>
        <v>48.81</v>
      </c>
      <c r="R7" s="24">
        <f t="shared" si="2"/>
        <v>0.49694563225412342</v>
      </c>
      <c r="S7" t="s">
        <v>67</v>
      </c>
      <c r="T7" t="s">
        <v>64</v>
      </c>
    </row>
    <row r="8" spans="1:23">
      <c r="A8" t="s">
        <v>69</v>
      </c>
      <c r="B8" s="5">
        <v>45695</v>
      </c>
      <c r="C8" s="8">
        <f>YEAR(Tabla2[[#This Row],[fecha]])</f>
        <v>2025</v>
      </c>
      <c r="D8" s="8">
        <f>MONTH(Tabla2[[#This Row],[fecha]])</f>
        <v>2</v>
      </c>
      <c r="E8" s="8" t="str">
        <f>TEXT(Tabla2[[#This Row],[fecha]], "mmmm")</f>
        <v>febrero</v>
      </c>
      <c r="F8" s="8" t="str">
        <f>"T"&amp;ROUNDUP(Tabla2[[#This Row],[mes]]/3,0)</f>
        <v>T1</v>
      </c>
      <c r="G8" t="s">
        <v>13</v>
      </c>
      <c r="H8" t="s">
        <v>14</v>
      </c>
      <c r="I8" s="8" t="str">
        <f>IF(Tabla2[[#This Row],[precio_unitario]]&lt;=30,"Económico",IF(Tabla2[[#This Row],[precio_unitario]]&lt;=58.49,"Accesible","Caro"))</f>
        <v>Caro</v>
      </c>
      <c r="J8" t="s">
        <v>8</v>
      </c>
      <c r="K8">
        <v>1</v>
      </c>
      <c r="L8" s="19">
        <v>149.61000000000001</v>
      </c>
      <c r="M8" s="21">
        <f>INDEX(Tabla3[coste_objetivo], MATCH(Tabla2[[#This Row],[id_producto]], Tabla3[id_producto],0))</f>
        <v>110.03</v>
      </c>
      <c r="N8" s="11">
        <v>0</v>
      </c>
      <c r="O8" s="17">
        <f t="shared" si="3"/>
        <v>149.61000000000001</v>
      </c>
      <c r="P8" s="17">
        <f t="shared" si="0"/>
        <v>110.03</v>
      </c>
      <c r="Q8" s="17">
        <f t="shared" si="1"/>
        <v>39.580000000000013</v>
      </c>
      <c r="R8" s="24">
        <f t="shared" si="2"/>
        <v>0.26455450838847677</v>
      </c>
      <c r="S8" t="s">
        <v>67</v>
      </c>
      <c r="T8" t="s">
        <v>64</v>
      </c>
      <c r="W8" s="37"/>
    </row>
    <row r="9" spans="1:23">
      <c r="A9" t="s">
        <v>70</v>
      </c>
      <c r="B9" s="5">
        <v>45760</v>
      </c>
      <c r="C9" s="8">
        <f>YEAR(Tabla2[[#This Row],[fecha]])</f>
        <v>2025</v>
      </c>
      <c r="D9" s="8">
        <f>MONTH(Tabla2[[#This Row],[fecha]])</f>
        <v>4</v>
      </c>
      <c r="E9" s="8" t="str">
        <f>TEXT(Tabla2[[#This Row],[fecha]], "mmmm")</f>
        <v>abril</v>
      </c>
      <c r="F9" s="8" t="str">
        <f>"T"&amp;ROUNDUP(Tabla2[[#This Row],[mes]]/3,0)</f>
        <v>T2</v>
      </c>
      <c r="G9" t="s">
        <v>11</v>
      </c>
      <c r="H9" t="s">
        <v>12</v>
      </c>
      <c r="I9" s="8" t="str">
        <f>IF(Tabla2[[#This Row],[precio_unitario]]&lt;=30,"Económico",IF(Tabla2[[#This Row],[precio_unitario]]&lt;=58.49,"Accesible","Caro"))</f>
        <v>Caro</v>
      </c>
      <c r="J9" t="s">
        <v>8</v>
      </c>
      <c r="K9">
        <v>6</v>
      </c>
      <c r="L9" s="19">
        <v>172.48</v>
      </c>
      <c r="M9" s="19">
        <v>92.4</v>
      </c>
      <c r="N9" s="11">
        <v>0</v>
      </c>
      <c r="O9" s="17">
        <f t="shared" si="3"/>
        <v>1034.8799999999999</v>
      </c>
      <c r="P9" s="17">
        <f t="shared" si="0"/>
        <v>554.40000000000009</v>
      </c>
      <c r="Q9" s="17">
        <f t="shared" si="1"/>
        <v>480.47999999999979</v>
      </c>
      <c r="R9" s="24">
        <f t="shared" si="2"/>
        <v>0.46428571428571414</v>
      </c>
      <c r="S9" t="s">
        <v>67</v>
      </c>
      <c r="T9" t="s">
        <v>60</v>
      </c>
      <c r="V9" s="37"/>
    </row>
    <row r="10" spans="1:23">
      <c r="A10" t="s">
        <v>71</v>
      </c>
      <c r="B10" s="5">
        <v>45793</v>
      </c>
      <c r="C10" s="8">
        <f>YEAR(Tabla2[[#This Row],[fecha]])</f>
        <v>2025</v>
      </c>
      <c r="D10" s="8">
        <f>MONTH(Tabla2[[#This Row],[fecha]])</f>
        <v>5</v>
      </c>
      <c r="E10" s="8" t="str">
        <f>TEXT(Tabla2[[#This Row],[fecha]], "mmmm")</f>
        <v>mayo</v>
      </c>
      <c r="F10" s="8" t="str">
        <f>"T"&amp;ROUNDUP(Tabla2[[#This Row],[mes]]/3,0)</f>
        <v>T2</v>
      </c>
      <c r="G10" t="s">
        <v>33</v>
      </c>
      <c r="H10" t="s">
        <v>34</v>
      </c>
      <c r="I10" s="8" t="str">
        <f>IF(Tabla2[[#This Row],[precio_unitario]]&lt;=30,"Económico",IF(Tabla2[[#This Row],[precio_unitario]]&lt;=58.49,"Accesible","Caro"))</f>
        <v>Caro</v>
      </c>
      <c r="J10" t="s">
        <v>35</v>
      </c>
      <c r="K10">
        <v>4</v>
      </c>
      <c r="L10" s="19">
        <v>71.59</v>
      </c>
      <c r="M10" s="19">
        <v>49.02</v>
      </c>
      <c r="N10" s="13">
        <v>0</v>
      </c>
      <c r="O10" s="17">
        <f t="shared" si="3"/>
        <v>286.36</v>
      </c>
      <c r="P10" s="17">
        <f t="shared" si="0"/>
        <v>196.08</v>
      </c>
      <c r="Q10" s="17">
        <f t="shared" si="1"/>
        <v>90.28</v>
      </c>
      <c r="R10" s="24">
        <f t="shared" si="2"/>
        <v>0.31526749546025978</v>
      </c>
      <c r="S10" t="s">
        <v>67</v>
      </c>
      <c r="T10" t="s">
        <v>64</v>
      </c>
    </row>
    <row r="11" spans="1:23">
      <c r="A11" t="s">
        <v>72</v>
      </c>
      <c r="B11" s="5">
        <v>45755</v>
      </c>
      <c r="C11" s="8">
        <f>YEAR(Tabla2[[#This Row],[fecha]])</f>
        <v>2025</v>
      </c>
      <c r="D11" s="8">
        <f>MONTH(Tabla2[[#This Row],[fecha]])</f>
        <v>4</v>
      </c>
      <c r="E11" s="8" t="str">
        <f>TEXT(Tabla2[[#This Row],[fecha]], "mmmm")</f>
        <v>abril</v>
      </c>
      <c r="F11" s="8" t="str">
        <f>"T"&amp;ROUNDUP(Tabla2[[#This Row],[mes]]/3,0)</f>
        <v>T2</v>
      </c>
      <c r="G11" t="s">
        <v>38</v>
      </c>
      <c r="H11" t="s">
        <v>39</v>
      </c>
      <c r="I11" s="8" t="str">
        <f>IF(Tabla2[[#This Row],[precio_unitario]]&lt;=30,"Económico",IF(Tabla2[[#This Row],[precio_unitario]]&lt;=58.49,"Accesible","Caro"))</f>
        <v>Caro</v>
      </c>
      <c r="J11" t="s">
        <v>35</v>
      </c>
      <c r="K11">
        <v>4</v>
      </c>
      <c r="L11" s="19">
        <v>74</v>
      </c>
      <c r="M11" s="19">
        <v>40.67</v>
      </c>
      <c r="N11" s="13">
        <v>0</v>
      </c>
      <c r="O11" s="17">
        <f t="shared" si="3"/>
        <v>296</v>
      </c>
      <c r="P11" s="17">
        <f t="shared" si="0"/>
        <v>162.68</v>
      </c>
      <c r="Q11" s="17">
        <f t="shared" si="1"/>
        <v>133.32</v>
      </c>
      <c r="R11" s="24">
        <f t="shared" si="2"/>
        <v>0.45040540540540536</v>
      </c>
      <c r="S11" t="s">
        <v>67</v>
      </c>
      <c r="T11" t="s">
        <v>64</v>
      </c>
    </row>
    <row r="12" spans="1:23">
      <c r="A12" t="s">
        <v>73</v>
      </c>
      <c r="B12" s="5">
        <v>45851</v>
      </c>
      <c r="C12" s="8">
        <f>YEAR(Tabla2[[#This Row],[fecha]])</f>
        <v>2025</v>
      </c>
      <c r="D12" s="8">
        <f>MONTH(Tabla2[[#This Row],[fecha]])</f>
        <v>7</v>
      </c>
      <c r="E12" s="8" t="str">
        <f>TEXT(Tabla2[[#This Row],[fecha]], "mmmm")</f>
        <v>julio</v>
      </c>
      <c r="F12" s="8" t="str">
        <f>"T"&amp;ROUNDUP(Tabla2[[#This Row],[mes]]/3,0)</f>
        <v>T3</v>
      </c>
      <c r="G12" t="s">
        <v>38</v>
      </c>
      <c r="H12" t="s">
        <v>39</v>
      </c>
      <c r="I12" s="8" t="str">
        <f>IF(Tabla2[[#This Row],[precio_unitario]]&lt;=30,"Económico",IF(Tabla2[[#This Row],[precio_unitario]]&lt;=58.49,"Accesible","Caro"))</f>
        <v>Caro</v>
      </c>
      <c r="J12" t="s">
        <v>35</v>
      </c>
      <c r="K12">
        <v>5</v>
      </c>
      <c r="L12" s="19">
        <v>74.66</v>
      </c>
      <c r="M12" s="19">
        <v>44.39</v>
      </c>
      <c r="N12" s="11">
        <v>0.12</v>
      </c>
      <c r="O12" s="17">
        <f t="shared" si="3"/>
        <v>328.50399999999996</v>
      </c>
      <c r="P12" s="17">
        <f t="shared" si="0"/>
        <v>221.95</v>
      </c>
      <c r="Q12" s="17">
        <f t="shared" si="1"/>
        <v>106.55399999999997</v>
      </c>
      <c r="R12" s="24">
        <f t="shared" si="2"/>
        <v>0.32436134719820758</v>
      </c>
      <c r="S12" t="s">
        <v>67</v>
      </c>
      <c r="T12" t="s">
        <v>64</v>
      </c>
    </row>
    <row r="13" spans="1:23" hidden="1">
      <c r="A13" t="s">
        <v>74</v>
      </c>
      <c r="B13" s="5">
        <v>45314</v>
      </c>
      <c r="C13" s="8">
        <f>YEAR(Tabla2[[#This Row],[fecha]])</f>
        <v>2024</v>
      </c>
      <c r="D13" s="8">
        <f>MONTH(Tabla2[[#This Row],[fecha]])</f>
        <v>1</v>
      </c>
      <c r="E13" s="8" t="str">
        <f>TEXT(Tabla2[[#This Row],[fecha]], "mmmm")</f>
        <v>enero</v>
      </c>
      <c r="F13" s="8" t="str">
        <f>"T"&amp;ROUNDUP(Tabla2[[#This Row],[mes]]/3,0)</f>
        <v>T1</v>
      </c>
      <c r="G13" t="s">
        <v>18</v>
      </c>
      <c r="H13" t="s">
        <v>19</v>
      </c>
      <c r="I13" s="8" t="str">
        <f>IF(Tabla2[[#This Row],[precio_unitario]]&lt;=30,"Económico",IF(Tabla2[[#This Row],[precio_unitario]]&lt;=58.49,"Accesible","Caro"))</f>
        <v>Accesible</v>
      </c>
      <c r="J13" t="s">
        <v>17</v>
      </c>
      <c r="K13">
        <v>4</v>
      </c>
      <c r="L13" s="19">
        <v>48.65</v>
      </c>
      <c r="M13" s="19">
        <v>26.34</v>
      </c>
      <c r="N13" s="13">
        <v>0</v>
      </c>
      <c r="O13" s="17">
        <f t="shared" si="3"/>
        <v>194.6</v>
      </c>
      <c r="P13" s="17">
        <f t="shared" si="0"/>
        <v>105.36</v>
      </c>
      <c r="Q13" s="17">
        <f t="shared" si="1"/>
        <v>89.24</v>
      </c>
      <c r="R13" s="24">
        <f t="shared" si="2"/>
        <v>0.45858170606372045</v>
      </c>
      <c r="S13" t="s">
        <v>540</v>
      </c>
      <c r="T13" t="s">
        <v>60</v>
      </c>
    </row>
    <row r="14" spans="1:23" hidden="1">
      <c r="A14" t="s">
        <v>75</v>
      </c>
      <c r="B14" s="5">
        <v>45359</v>
      </c>
      <c r="C14" s="8">
        <f>YEAR(Tabla2[[#This Row],[fecha]])</f>
        <v>2024</v>
      </c>
      <c r="D14" s="8">
        <f>MONTH(Tabla2[[#This Row],[fecha]])</f>
        <v>3</v>
      </c>
      <c r="E14" s="8" t="str">
        <f>TEXT(Tabla2[[#This Row],[fecha]], "mmmm")</f>
        <v>marzo</v>
      </c>
      <c r="F14" s="8" t="str">
        <f>"T"&amp;ROUNDUP(Tabla2[[#This Row],[mes]]/3,0)</f>
        <v>T1</v>
      </c>
      <c r="G14" t="s">
        <v>22</v>
      </c>
      <c r="H14" t="s">
        <v>23</v>
      </c>
      <c r="I14" s="8" t="str">
        <f>IF(Tabla2[[#This Row],[precio_unitario]]&lt;=30,"Económico",IF(Tabla2[[#This Row],[precio_unitario]]&lt;=58.49,"Accesible","Caro"))</f>
        <v>Caro</v>
      </c>
      <c r="J14" t="s">
        <v>17</v>
      </c>
      <c r="K14">
        <v>10</v>
      </c>
      <c r="L14" s="19">
        <v>101.05</v>
      </c>
      <c r="M14" s="19">
        <v>56.85</v>
      </c>
      <c r="N14" s="13">
        <v>0</v>
      </c>
      <c r="O14" s="17">
        <f t="shared" si="3"/>
        <v>1010.5</v>
      </c>
      <c r="P14" s="17">
        <f t="shared" si="0"/>
        <v>568.5</v>
      </c>
      <c r="Q14" s="17">
        <f t="shared" si="1"/>
        <v>442</v>
      </c>
      <c r="R14" s="24">
        <f t="shared" si="2"/>
        <v>0.43740722414646216</v>
      </c>
      <c r="S14" t="s">
        <v>540</v>
      </c>
      <c r="T14" t="s">
        <v>60</v>
      </c>
    </row>
    <row r="15" spans="1:23" hidden="1">
      <c r="A15" t="s">
        <v>76</v>
      </c>
      <c r="B15" s="5">
        <v>45531</v>
      </c>
      <c r="C15" s="8">
        <f>YEAR(Tabla2[[#This Row],[fecha]])</f>
        <v>2024</v>
      </c>
      <c r="D15" s="8">
        <f>MONTH(Tabla2[[#This Row],[fecha]])</f>
        <v>8</v>
      </c>
      <c r="E15" s="8" t="str">
        <f>TEXT(Tabla2[[#This Row],[fecha]], "mmmm")</f>
        <v>agosto</v>
      </c>
      <c r="F15" s="8" t="str">
        <f>"T"&amp;ROUNDUP(Tabla2[[#This Row],[mes]]/3,0)</f>
        <v>T3</v>
      </c>
      <c r="G15" t="s">
        <v>38</v>
      </c>
      <c r="H15" t="s">
        <v>39</v>
      </c>
      <c r="I15" s="8" t="str">
        <f>IF(Tabla2[[#This Row],[precio_unitario]]&lt;=30,"Económico",IF(Tabla2[[#This Row],[precio_unitario]]&lt;=58.49,"Accesible","Caro"))</f>
        <v>Caro</v>
      </c>
      <c r="J15" t="s">
        <v>35</v>
      </c>
      <c r="K15">
        <v>1</v>
      </c>
      <c r="L15" s="19">
        <v>74.599999999999994</v>
      </c>
      <c r="M15" s="19">
        <v>41.14</v>
      </c>
      <c r="N15" s="11">
        <v>0</v>
      </c>
      <c r="O15" s="17">
        <f t="shared" si="3"/>
        <v>74.599999999999994</v>
      </c>
      <c r="P15" s="17">
        <f t="shared" si="0"/>
        <v>41.14</v>
      </c>
      <c r="Q15" s="17">
        <f t="shared" si="1"/>
        <v>33.459999999999994</v>
      </c>
      <c r="R15" s="24">
        <f t="shared" si="2"/>
        <v>0.44852546916890074</v>
      </c>
      <c r="S15" t="s">
        <v>63</v>
      </c>
      <c r="T15" t="s">
        <v>64</v>
      </c>
    </row>
    <row r="16" spans="1:23">
      <c r="A16" t="s">
        <v>77</v>
      </c>
      <c r="B16" s="5">
        <v>45736</v>
      </c>
      <c r="C16" s="8">
        <f>YEAR(Tabla2[[#This Row],[fecha]])</f>
        <v>2025</v>
      </c>
      <c r="D16" s="8">
        <f>MONTH(Tabla2[[#This Row],[fecha]])</f>
        <v>3</v>
      </c>
      <c r="E16" s="8" t="str">
        <f>TEXT(Tabla2[[#This Row],[fecha]], "mmmm")</f>
        <v>marzo</v>
      </c>
      <c r="F16" s="8" t="str">
        <f>"T"&amp;ROUNDUP(Tabla2[[#This Row],[mes]]/3,0)</f>
        <v>T1</v>
      </c>
      <c r="G16" t="s">
        <v>6</v>
      </c>
      <c r="H16" t="s">
        <v>7</v>
      </c>
      <c r="I16" s="8" t="str">
        <f>IF(Tabla2[[#This Row],[precio_unitario]]&lt;=30,"Económico",IF(Tabla2[[#This Row],[precio_unitario]]&lt;=58.49,"Accesible","Caro"))</f>
        <v>Caro</v>
      </c>
      <c r="J16" t="s">
        <v>8</v>
      </c>
      <c r="K16">
        <v>1</v>
      </c>
      <c r="L16" s="19">
        <v>120.59</v>
      </c>
      <c r="M16" s="19">
        <v>82.31</v>
      </c>
      <c r="N16" s="11">
        <v>0</v>
      </c>
      <c r="O16" s="17">
        <f t="shared" si="3"/>
        <v>120.59</v>
      </c>
      <c r="P16" s="17">
        <f t="shared" si="0"/>
        <v>82.31</v>
      </c>
      <c r="Q16" s="17">
        <f t="shared" si="1"/>
        <v>38.28</v>
      </c>
      <c r="R16" s="24">
        <f t="shared" si="2"/>
        <v>0.31743925698648312</v>
      </c>
      <c r="S16" t="s">
        <v>67</v>
      </c>
      <c r="T16" t="s">
        <v>64</v>
      </c>
    </row>
    <row r="17" spans="1:20" hidden="1">
      <c r="A17" t="s">
        <v>78</v>
      </c>
      <c r="B17" s="5">
        <v>45534</v>
      </c>
      <c r="C17" s="8">
        <f>YEAR(Tabla2[[#This Row],[fecha]])</f>
        <v>2024</v>
      </c>
      <c r="D17" s="8">
        <f>MONTH(Tabla2[[#This Row],[fecha]])</f>
        <v>8</v>
      </c>
      <c r="E17" s="8" t="str">
        <f>TEXT(Tabla2[[#This Row],[fecha]], "mmmm")</f>
        <v>agosto</v>
      </c>
      <c r="F17" s="8" t="str">
        <f>"T"&amp;ROUNDUP(Tabla2[[#This Row],[mes]]/3,0)</f>
        <v>T3</v>
      </c>
      <c r="G17" t="s">
        <v>29</v>
      </c>
      <c r="H17" t="s">
        <v>30</v>
      </c>
      <c r="I17" s="8" t="str">
        <f>IF(Tabla2[[#This Row],[precio_unitario]]&lt;=30,"Económico",IF(Tabla2[[#This Row],[precio_unitario]]&lt;=58.49,"Accesible","Caro"))</f>
        <v>Económico</v>
      </c>
      <c r="J17" t="s">
        <v>26</v>
      </c>
      <c r="K17">
        <v>5</v>
      </c>
      <c r="L17" s="19">
        <v>20.02</v>
      </c>
      <c r="M17" s="21">
        <f>INDEX(Tabla3[coste_objetivo], MATCH(Tabla2[[#This Row],[id_producto]], Tabla3[id_producto],0))</f>
        <v>11.4</v>
      </c>
      <c r="N17" s="11">
        <v>0</v>
      </c>
      <c r="O17" s="17">
        <f t="shared" si="3"/>
        <v>100.1</v>
      </c>
      <c r="P17" s="17">
        <f t="shared" si="0"/>
        <v>57</v>
      </c>
      <c r="Q17" s="17">
        <f t="shared" si="1"/>
        <v>43.099999999999994</v>
      </c>
      <c r="R17" s="24">
        <f t="shared" si="2"/>
        <v>0.43056943056943053</v>
      </c>
      <c r="S17" t="s">
        <v>540</v>
      </c>
      <c r="T17" t="s">
        <v>64</v>
      </c>
    </row>
    <row r="18" spans="1:20" hidden="1">
      <c r="A18" t="s">
        <v>79</v>
      </c>
      <c r="B18" s="5">
        <v>45842</v>
      </c>
      <c r="C18" s="8">
        <f>YEAR(Tabla2[[#This Row],[fecha]])</f>
        <v>2025</v>
      </c>
      <c r="D18" s="8">
        <f>MONTH(Tabla2[[#This Row],[fecha]])</f>
        <v>7</v>
      </c>
      <c r="E18" s="8" t="str">
        <f>TEXT(Tabla2[[#This Row],[fecha]], "mmmm")</f>
        <v>julio</v>
      </c>
      <c r="F18" s="8" t="str">
        <f>"T"&amp;ROUNDUP(Tabla2[[#This Row],[mes]]/3,0)</f>
        <v>T3</v>
      </c>
      <c r="G18" t="s">
        <v>40</v>
      </c>
      <c r="H18" t="s">
        <v>41</v>
      </c>
      <c r="I18" s="8" t="str">
        <f>IF(Tabla2[[#This Row],[precio_unitario]]&lt;=30,"Económico",IF(Tabla2[[#This Row],[precio_unitario]]&lt;=58.49,"Accesible","Caro"))</f>
        <v>Caro</v>
      </c>
      <c r="J18" t="s">
        <v>35</v>
      </c>
      <c r="K18">
        <v>6</v>
      </c>
      <c r="L18" s="19">
        <v>80.08</v>
      </c>
      <c r="M18" s="19">
        <v>42.19</v>
      </c>
      <c r="N18" s="11">
        <v>0</v>
      </c>
      <c r="O18" s="17">
        <f t="shared" si="3"/>
        <v>480.48</v>
      </c>
      <c r="P18" s="17">
        <f t="shared" si="0"/>
        <v>253.14</v>
      </c>
      <c r="Q18" s="17">
        <f t="shared" si="1"/>
        <v>227.34000000000003</v>
      </c>
      <c r="R18" s="24">
        <f t="shared" si="2"/>
        <v>0.47315184815184819</v>
      </c>
      <c r="S18" t="s">
        <v>63</v>
      </c>
      <c r="T18" t="s">
        <v>64</v>
      </c>
    </row>
    <row r="19" spans="1:20" hidden="1">
      <c r="A19" t="s">
        <v>80</v>
      </c>
      <c r="B19" s="5">
        <v>45657</v>
      </c>
      <c r="C19" s="8">
        <f>YEAR(Tabla2[[#This Row],[fecha]])</f>
        <v>2024</v>
      </c>
      <c r="D19" s="8">
        <f>MONTH(Tabla2[[#This Row],[fecha]])</f>
        <v>12</v>
      </c>
      <c r="E19" s="8" t="str">
        <f>TEXT(Tabla2[[#This Row],[fecha]], "mmmm")</f>
        <v>diciembre</v>
      </c>
      <c r="F19" s="8" t="str">
        <f>"T"&amp;ROUNDUP(Tabla2[[#This Row],[mes]]/3,0)</f>
        <v>T4</v>
      </c>
      <c r="G19" t="s">
        <v>45</v>
      </c>
      <c r="H19" t="s">
        <v>46</v>
      </c>
      <c r="I19" s="8" t="str">
        <f>IF(Tabla2[[#This Row],[precio_unitario]]&lt;=30,"Económico",IF(Tabla2[[#This Row],[precio_unitario]]&lt;=58.49,"Accesible","Caro"))</f>
        <v>Económico</v>
      </c>
      <c r="J19" t="s">
        <v>44</v>
      </c>
      <c r="K19">
        <v>3</v>
      </c>
      <c r="L19" s="19">
        <v>29.76</v>
      </c>
      <c r="M19" s="19">
        <v>17.11</v>
      </c>
      <c r="N19" s="11">
        <v>0</v>
      </c>
      <c r="O19" s="17">
        <f t="shared" si="3"/>
        <v>89.28</v>
      </c>
      <c r="P19" s="17">
        <f t="shared" si="0"/>
        <v>51.33</v>
      </c>
      <c r="Q19" s="17">
        <f t="shared" si="1"/>
        <v>37.950000000000003</v>
      </c>
      <c r="R19" s="24">
        <f t="shared" si="2"/>
        <v>0.42506720430107531</v>
      </c>
      <c r="S19" t="s">
        <v>67</v>
      </c>
      <c r="T19" t="s">
        <v>64</v>
      </c>
    </row>
    <row r="20" spans="1:20">
      <c r="A20" t="s">
        <v>81</v>
      </c>
      <c r="B20" s="5">
        <v>45990</v>
      </c>
      <c r="C20" s="8">
        <f>YEAR(Tabla2[[#This Row],[fecha]])</f>
        <v>2025</v>
      </c>
      <c r="D20" s="8">
        <f>MONTH(Tabla2[[#This Row],[fecha]])</f>
        <v>11</v>
      </c>
      <c r="E20" s="8" t="str">
        <f>TEXT(Tabla2[[#This Row],[fecha]], "mmmm")</f>
        <v>noviembre</v>
      </c>
      <c r="F20" s="8" t="str">
        <f>"T"&amp;ROUNDUP(Tabla2[[#This Row],[mes]]/3,0)</f>
        <v>T4</v>
      </c>
      <c r="G20" t="s">
        <v>45</v>
      </c>
      <c r="H20" t="s">
        <v>46</v>
      </c>
      <c r="I20" s="8" t="str">
        <f>IF(Tabla2[[#This Row],[precio_unitario]]&lt;=30,"Económico",IF(Tabla2[[#This Row],[precio_unitario]]&lt;=58.49,"Accesible","Caro"))</f>
        <v>Accesible</v>
      </c>
      <c r="J20" t="s">
        <v>44</v>
      </c>
      <c r="K20">
        <v>4</v>
      </c>
      <c r="L20" s="19">
        <v>31.14</v>
      </c>
      <c r="M20" s="19">
        <v>16.47</v>
      </c>
      <c r="N20" s="13">
        <v>0</v>
      </c>
      <c r="O20" s="17">
        <f t="shared" si="3"/>
        <v>124.56</v>
      </c>
      <c r="P20" s="17">
        <f t="shared" si="0"/>
        <v>65.88</v>
      </c>
      <c r="Q20" s="17">
        <f t="shared" si="1"/>
        <v>58.680000000000007</v>
      </c>
      <c r="R20" s="24">
        <f t="shared" si="2"/>
        <v>0.47109826589595383</v>
      </c>
      <c r="S20" t="s">
        <v>67</v>
      </c>
      <c r="T20" t="s">
        <v>64</v>
      </c>
    </row>
    <row r="21" spans="1:20" hidden="1">
      <c r="A21" t="s">
        <v>82</v>
      </c>
      <c r="B21" s="5">
        <v>45345</v>
      </c>
      <c r="C21" s="8">
        <f>YEAR(Tabla2[[#This Row],[fecha]])</f>
        <v>2024</v>
      </c>
      <c r="D21" s="8">
        <f>MONTH(Tabla2[[#This Row],[fecha]])</f>
        <v>2</v>
      </c>
      <c r="E21" s="8" t="str">
        <f>TEXT(Tabla2[[#This Row],[fecha]], "mmmm")</f>
        <v>febrero</v>
      </c>
      <c r="F21" s="8" t="str">
        <f>"T"&amp;ROUNDUP(Tabla2[[#This Row],[mes]]/3,0)</f>
        <v>T1</v>
      </c>
      <c r="G21" t="s">
        <v>38</v>
      </c>
      <c r="H21" t="s">
        <v>39</v>
      </c>
      <c r="I21" s="8" t="str">
        <f>IF(Tabla2[[#This Row],[precio_unitario]]&lt;=30,"Económico",IF(Tabla2[[#This Row],[precio_unitario]]&lt;=58.49,"Accesible","Caro"))</f>
        <v>Caro</v>
      </c>
      <c r="J21" t="s">
        <v>35</v>
      </c>
      <c r="K21">
        <v>2</v>
      </c>
      <c r="L21" s="19">
        <v>74.680000000000007</v>
      </c>
      <c r="M21" s="21">
        <f>INDEX(Tabla3[coste_objetivo], MATCH(Tabla2[[#This Row],[id_producto]], Tabla3[id_producto],0))</f>
        <v>42.79</v>
      </c>
      <c r="N21" s="11">
        <v>0.05</v>
      </c>
      <c r="O21" s="17">
        <f t="shared" si="3"/>
        <v>141.892</v>
      </c>
      <c r="P21" s="17">
        <f t="shared" si="0"/>
        <v>85.58</v>
      </c>
      <c r="Q21" s="17">
        <f t="shared" si="1"/>
        <v>56.311999999999998</v>
      </c>
      <c r="R21" s="24">
        <f t="shared" si="2"/>
        <v>0.39686522143602176</v>
      </c>
      <c r="S21" t="s">
        <v>83</v>
      </c>
      <c r="T21" t="s">
        <v>60</v>
      </c>
    </row>
    <row r="22" spans="1:20" hidden="1">
      <c r="A22" t="s">
        <v>84</v>
      </c>
      <c r="B22" s="5">
        <v>45681</v>
      </c>
      <c r="C22" s="8">
        <f>YEAR(Tabla2[[#This Row],[fecha]])</f>
        <v>2025</v>
      </c>
      <c r="D22" s="8">
        <f>MONTH(Tabla2[[#This Row],[fecha]])</f>
        <v>1</v>
      </c>
      <c r="E22" s="8" t="str">
        <f>TEXT(Tabla2[[#This Row],[fecha]], "mmmm")</f>
        <v>enero</v>
      </c>
      <c r="F22" s="8" t="str">
        <f>"T"&amp;ROUNDUP(Tabla2[[#This Row],[mes]]/3,0)</f>
        <v>T1</v>
      </c>
      <c r="G22" t="s">
        <v>24</v>
      </c>
      <c r="H22" t="s">
        <v>25</v>
      </c>
      <c r="I22" s="8" t="str">
        <f>IF(Tabla2[[#This Row],[precio_unitario]]&lt;=30,"Económico",IF(Tabla2[[#This Row],[precio_unitario]]&lt;=58.49,"Accesible","Caro"))</f>
        <v>Económico</v>
      </c>
      <c r="J22" t="s">
        <v>26</v>
      </c>
      <c r="K22">
        <v>2</v>
      </c>
      <c r="L22" s="19">
        <v>7.31</v>
      </c>
      <c r="M22" s="19">
        <v>4.16</v>
      </c>
      <c r="N22" s="11">
        <v>0</v>
      </c>
      <c r="O22" s="17">
        <f t="shared" si="3"/>
        <v>14.62</v>
      </c>
      <c r="P22" s="17">
        <f t="shared" si="0"/>
        <v>8.32</v>
      </c>
      <c r="Q22" s="17">
        <f t="shared" si="1"/>
        <v>6.2999999999999989</v>
      </c>
      <c r="R22" s="24">
        <f t="shared" si="2"/>
        <v>0.43091655266757861</v>
      </c>
      <c r="S22" s="10" t="s">
        <v>2377</v>
      </c>
      <c r="T22" t="s">
        <v>64</v>
      </c>
    </row>
    <row r="23" spans="1:20" hidden="1">
      <c r="A23" t="s">
        <v>85</v>
      </c>
      <c r="B23" s="5">
        <v>45458</v>
      </c>
      <c r="C23" s="8">
        <f>YEAR(Tabla2[[#This Row],[fecha]])</f>
        <v>2024</v>
      </c>
      <c r="D23" s="8">
        <f>MONTH(Tabla2[[#This Row],[fecha]])</f>
        <v>6</v>
      </c>
      <c r="E23" s="8" t="str">
        <f>TEXT(Tabla2[[#This Row],[fecha]], "mmmm")</f>
        <v>junio</v>
      </c>
      <c r="F23" s="8" t="str">
        <f>"T"&amp;ROUNDUP(Tabla2[[#This Row],[mes]]/3,0)</f>
        <v>T2</v>
      </c>
      <c r="G23" t="s">
        <v>27</v>
      </c>
      <c r="H23" t="s">
        <v>28</v>
      </c>
      <c r="I23" s="8" t="str">
        <f>IF(Tabla2[[#This Row],[precio_unitario]]&lt;=30,"Económico",IF(Tabla2[[#This Row],[precio_unitario]]&lt;=58.49,"Accesible","Caro"))</f>
        <v>Económico</v>
      </c>
      <c r="J23" t="s">
        <v>26</v>
      </c>
      <c r="K23">
        <v>8</v>
      </c>
      <c r="L23" s="19">
        <v>16.45</v>
      </c>
      <c r="M23" s="19">
        <v>11.31</v>
      </c>
      <c r="N23" s="11">
        <v>0</v>
      </c>
      <c r="O23" s="17">
        <f t="shared" si="3"/>
        <v>131.6</v>
      </c>
      <c r="P23" s="17">
        <f t="shared" si="0"/>
        <v>90.48</v>
      </c>
      <c r="Q23" s="17">
        <f t="shared" si="1"/>
        <v>41.11999999999999</v>
      </c>
      <c r="R23" s="24">
        <f t="shared" si="2"/>
        <v>0.3124620060790273</v>
      </c>
      <c r="S23" t="s">
        <v>83</v>
      </c>
      <c r="T23" t="s">
        <v>64</v>
      </c>
    </row>
    <row r="24" spans="1:20" hidden="1">
      <c r="A24" t="s">
        <v>86</v>
      </c>
      <c r="B24" s="5">
        <v>45709</v>
      </c>
      <c r="C24" s="8">
        <f>YEAR(Tabla2[[#This Row],[fecha]])</f>
        <v>2025</v>
      </c>
      <c r="D24" s="8">
        <f>MONTH(Tabla2[[#This Row],[fecha]])</f>
        <v>2</v>
      </c>
      <c r="E24" s="8" t="str">
        <f>TEXT(Tabla2[[#This Row],[fecha]], "mmmm")</f>
        <v>febrero</v>
      </c>
      <c r="F24" s="8" t="str">
        <f>"T"&amp;ROUNDUP(Tabla2[[#This Row],[mes]]/3,0)</f>
        <v>T1</v>
      </c>
      <c r="G24" t="s">
        <v>24</v>
      </c>
      <c r="H24" t="s">
        <v>25</v>
      </c>
      <c r="I24" s="8" t="str">
        <f>IF(Tabla2[[#This Row],[precio_unitario]]&lt;=30,"Económico",IF(Tabla2[[#This Row],[precio_unitario]]&lt;=58.49,"Accesible","Caro"))</f>
        <v>Económico</v>
      </c>
      <c r="J24" t="s">
        <v>26</v>
      </c>
      <c r="K24">
        <v>2</v>
      </c>
      <c r="L24" s="19">
        <v>8.07</v>
      </c>
      <c r="M24" s="19">
        <v>4.34</v>
      </c>
      <c r="N24" s="11">
        <v>0</v>
      </c>
      <c r="O24" s="17">
        <f t="shared" si="3"/>
        <v>16.14</v>
      </c>
      <c r="P24" s="17">
        <f t="shared" si="0"/>
        <v>8.68</v>
      </c>
      <c r="Q24" s="17">
        <f t="shared" si="1"/>
        <v>7.4600000000000009</v>
      </c>
      <c r="R24" s="24">
        <f t="shared" si="2"/>
        <v>0.46220570012391576</v>
      </c>
      <c r="S24" t="s">
        <v>540</v>
      </c>
      <c r="T24" t="s">
        <v>64</v>
      </c>
    </row>
    <row r="25" spans="1:20" hidden="1">
      <c r="A25" t="s">
        <v>87</v>
      </c>
      <c r="B25" s="5">
        <v>45973</v>
      </c>
      <c r="C25" s="8">
        <f>YEAR(Tabla2[[#This Row],[fecha]])</f>
        <v>2025</v>
      </c>
      <c r="D25" s="8">
        <f>MONTH(Tabla2[[#This Row],[fecha]])</f>
        <v>11</v>
      </c>
      <c r="E25" s="8" t="str">
        <f>TEXT(Tabla2[[#This Row],[fecha]], "mmmm")</f>
        <v>noviembre</v>
      </c>
      <c r="F25" s="8" t="str">
        <f>"T"&amp;ROUNDUP(Tabla2[[#This Row],[mes]]/3,0)</f>
        <v>T4</v>
      </c>
      <c r="G25" t="s">
        <v>31</v>
      </c>
      <c r="H25" t="s">
        <v>32</v>
      </c>
      <c r="I25" s="8" t="str">
        <f>IF(Tabla2[[#This Row],[precio_unitario]]&lt;=30,"Económico",IF(Tabla2[[#This Row],[precio_unitario]]&lt;=58.49,"Accesible","Caro"))</f>
        <v>Económico</v>
      </c>
      <c r="J25" t="s">
        <v>26</v>
      </c>
      <c r="K25">
        <v>8</v>
      </c>
      <c r="L25" s="19">
        <v>8.08</v>
      </c>
      <c r="M25" s="19">
        <v>5.55</v>
      </c>
      <c r="N25" s="11">
        <v>0</v>
      </c>
      <c r="O25" s="17">
        <f t="shared" si="3"/>
        <v>64.64</v>
      </c>
      <c r="P25" s="17">
        <f t="shared" si="0"/>
        <v>44.4</v>
      </c>
      <c r="Q25" s="17">
        <f t="shared" si="1"/>
        <v>20.240000000000002</v>
      </c>
      <c r="R25" s="24">
        <f t="shared" si="2"/>
        <v>0.31311881188118812</v>
      </c>
      <c r="S25" t="s">
        <v>540</v>
      </c>
      <c r="T25" t="s">
        <v>64</v>
      </c>
    </row>
    <row r="26" spans="1:20" hidden="1">
      <c r="A26" t="s">
        <v>88</v>
      </c>
      <c r="B26" s="5">
        <v>45478</v>
      </c>
      <c r="C26" s="8">
        <f>YEAR(Tabla2[[#This Row],[fecha]])</f>
        <v>2024</v>
      </c>
      <c r="D26" s="8">
        <f>MONTH(Tabla2[[#This Row],[fecha]])</f>
        <v>7</v>
      </c>
      <c r="E26" s="8" t="str">
        <f>TEXT(Tabla2[[#This Row],[fecha]], "mmmm")</f>
        <v>julio</v>
      </c>
      <c r="F26" s="8" t="str">
        <f>"T"&amp;ROUNDUP(Tabla2[[#This Row],[mes]]/3,0)</f>
        <v>T3</v>
      </c>
      <c r="G26" t="s">
        <v>45</v>
      </c>
      <c r="H26" t="s">
        <v>46</v>
      </c>
      <c r="I26" s="8" t="str">
        <f>IF(Tabla2[[#This Row],[precio_unitario]]&lt;=30,"Económico",IF(Tabla2[[#This Row],[precio_unitario]]&lt;=58.49,"Accesible","Caro"))</f>
        <v>Accesible</v>
      </c>
      <c r="J26" t="s">
        <v>44</v>
      </c>
      <c r="K26">
        <v>1</v>
      </c>
      <c r="L26" s="19">
        <v>31.49</v>
      </c>
      <c r="M26" s="19">
        <v>17.11</v>
      </c>
      <c r="N26" s="11">
        <v>0</v>
      </c>
      <c r="O26" s="17">
        <f t="shared" si="3"/>
        <v>31.49</v>
      </c>
      <c r="P26" s="17">
        <f t="shared" si="0"/>
        <v>17.11</v>
      </c>
      <c r="Q26" s="17">
        <f t="shared" si="1"/>
        <v>14.379999999999999</v>
      </c>
      <c r="R26" s="24">
        <f t="shared" si="2"/>
        <v>0.45665290568434425</v>
      </c>
      <c r="S26" t="s">
        <v>83</v>
      </c>
      <c r="T26" t="s">
        <v>60</v>
      </c>
    </row>
    <row r="27" spans="1:20" hidden="1">
      <c r="A27" t="s">
        <v>89</v>
      </c>
      <c r="B27" s="5">
        <v>46007</v>
      </c>
      <c r="C27" s="8">
        <f>YEAR(Tabla2[[#This Row],[fecha]])</f>
        <v>2025</v>
      </c>
      <c r="D27" s="8">
        <f>MONTH(Tabla2[[#This Row],[fecha]])</f>
        <v>12</v>
      </c>
      <c r="E27" s="8" t="str">
        <f>TEXT(Tabla2[[#This Row],[fecha]], "mmmm")</f>
        <v>diciembre</v>
      </c>
      <c r="F27" s="8" t="str">
        <f>"T"&amp;ROUNDUP(Tabla2[[#This Row],[mes]]/3,0)</f>
        <v>T4</v>
      </c>
      <c r="G27" t="s">
        <v>47</v>
      </c>
      <c r="H27" t="s">
        <v>48</v>
      </c>
      <c r="I27" s="8" t="str">
        <f>IF(Tabla2[[#This Row],[precio_unitario]]&lt;=30,"Económico",IF(Tabla2[[#This Row],[precio_unitario]]&lt;=58.49,"Accesible","Caro"))</f>
        <v>Accesible</v>
      </c>
      <c r="J27" t="s">
        <v>44</v>
      </c>
      <c r="K27">
        <v>4</v>
      </c>
      <c r="L27" s="19">
        <v>58.3</v>
      </c>
      <c r="M27" s="19">
        <v>32.06</v>
      </c>
      <c r="N27" s="11">
        <v>0.18</v>
      </c>
      <c r="O27" s="17">
        <f t="shared" si="3"/>
        <v>191.22400000000002</v>
      </c>
      <c r="P27" s="17">
        <f t="shared" si="0"/>
        <v>128.24</v>
      </c>
      <c r="Q27" s="17">
        <f t="shared" si="1"/>
        <v>62.984000000000009</v>
      </c>
      <c r="R27" s="24">
        <f t="shared" si="2"/>
        <v>0.32937288206501275</v>
      </c>
      <c r="S27" t="s">
        <v>83</v>
      </c>
      <c r="T27" t="s">
        <v>60</v>
      </c>
    </row>
    <row r="28" spans="1:20" hidden="1">
      <c r="A28" t="s">
        <v>90</v>
      </c>
      <c r="B28" s="5">
        <v>45496</v>
      </c>
      <c r="C28" s="8">
        <f>YEAR(Tabla2[[#This Row],[fecha]])</f>
        <v>2024</v>
      </c>
      <c r="D28" s="8">
        <f>MONTH(Tabla2[[#This Row],[fecha]])</f>
        <v>7</v>
      </c>
      <c r="E28" s="8" t="str">
        <f>TEXT(Tabla2[[#This Row],[fecha]], "mmmm")</f>
        <v>julio</v>
      </c>
      <c r="F28" s="8" t="str">
        <f>"T"&amp;ROUNDUP(Tabla2[[#This Row],[mes]]/3,0)</f>
        <v>T3</v>
      </c>
      <c r="G28" t="s">
        <v>47</v>
      </c>
      <c r="H28" t="s">
        <v>48</v>
      </c>
      <c r="I28" s="8" t="str">
        <f>IF(Tabla2[[#This Row],[precio_unitario]]&lt;=30,"Económico",IF(Tabla2[[#This Row],[precio_unitario]]&lt;=58.49,"Accesible","Caro"))</f>
        <v>Caro</v>
      </c>
      <c r="J28" t="s">
        <v>44</v>
      </c>
      <c r="K28">
        <v>1</v>
      </c>
      <c r="L28" s="19">
        <v>63.62</v>
      </c>
      <c r="M28" s="19">
        <v>34.15</v>
      </c>
      <c r="N28" s="11">
        <v>0</v>
      </c>
      <c r="O28" s="17">
        <f t="shared" si="3"/>
        <v>63.62</v>
      </c>
      <c r="P28" s="17">
        <f t="shared" si="0"/>
        <v>34.15</v>
      </c>
      <c r="Q28" s="17">
        <f t="shared" si="1"/>
        <v>29.47</v>
      </c>
      <c r="R28" s="24">
        <f t="shared" si="2"/>
        <v>0.46321911348632505</v>
      </c>
      <c r="S28" t="s">
        <v>67</v>
      </c>
      <c r="T28" t="s">
        <v>60</v>
      </c>
    </row>
    <row r="29" spans="1:20" hidden="1">
      <c r="A29" t="s">
        <v>91</v>
      </c>
      <c r="B29" s="5">
        <v>45664</v>
      </c>
      <c r="C29" s="8">
        <f>YEAR(Tabla2[[#This Row],[fecha]])</f>
        <v>2025</v>
      </c>
      <c r="D29" s="8">
        <f>MONTH(Tabla2[[#This Row],[fecha]])</f>
        <v>1</v>
      </c>
      <c r="E29" s="8" t="str">
        <f>TEXT(Tabla2[[#This Row],[fecha]], "mmmm")</f>
        <v>enero</v>
      </c>
      <c r="F29" s="8" t="str">
        <f>"T"&amp;ROUNDUP(Tabla2[[#This Row],[mes]]/3,0)</f>
        <v>T1</v>
      </c>
      <c r="G29" t="s">
        <v>20</v>
      </c>
      <c r="H29" t="s">
        <v>21</v>
      </c>
      <c r="I29" s="8" t="str">
        <f>IF(Tabla2[[#This Row],[precio_unitario]]&lt;=30,"Económico",IF(Tabla2[[#This Row],[precio_unitario]]&lt;=58.49,"Accesible","Caro"))</f>
        <v>Económico</v>
      </c>
      <c r="J29" t="s">
        <v>17</v>
      </c>
      <c r="K29">
        <v>4</v>
      </c>
      <c r="L29" s="19">
        <v>21.12</v>
      </c>
      <c r="M29" s="19">
        <v>12.91</v>
      </c>
      <c r="N29" s="11">
        <v>0</v>
      </c>
      <c r="O29" s="17">
        <f t="shared" si="3"/>
        <v>84.48</v>
      </c>
      <c r="P29" s="17">
        <f t="shared" si="0"/>
        <v>51.64</v>
      </c>
      <c r="Q29" s="17">
        <f t="shared" si="1"/>
        <v>32.840000000000003</v>
      </c>
      <c r="R29" s="24">
        <f t="shared" si="2"/>
        <v>0.38873106060606061</v>
      </c>
      <c r="S29" t="s">
        <v>540</v>
      </c>
      <c r="T29" t="s">
        <v>64</v>
      </c>
    </row>
    <row r="30" spans="1:20" hidden="1">
      <c r="A30" t="s">
        <v>92</v>
      </c>
      <c r="B30" s="5">
        <v>45857</v>
      </c>
      <c r="C30" s="8">
        <f>YEAR(Tabla2[[#This Row],[fecha]])</f>
        <v>2025</v>
      </c>
      <c r="D30" s="8">
        <f>MONTH(Tabla2[[#This Row],[fecha]])</f>
        <v>7</v>
      </c>
      <c r="E30" s="8" t="str">
        <f>TEXT(Tabla2[[#This Row],[fecha]], "mmmm")</f>
        <v>julio</v>
      </c>
      <c r="F30" s="8" t="str">
        <f>"T"&amp;ROUNDUP(Tabla2[[#This Row],[mes]]/3,0)</f>
        <v>T3</v>
      </c>
      <c r="G30" t="s">
        <v>29</v>
      </c>
      <c r="H30" t="s">
        <v>30</v>
      </c>
      <c r="I30" s="8" t="str">
        <f>IF(Tabla2[[#This Row],[precio_unitario]]&lt;=30,"Económico",IF(Tabla2[[#This Row],[precio_unitario]]&lt;=58.49,"Accesible","Caro"))</f>
        <v>Económico</v>
      </c>
      <c r="J30" t="s">
        <v>26</v>
      </c>
      <c r="K30">
        <v>1</v>
      </c>
      <c r="L30" s="19">
        <v>20.9</v>
      </c>
      <c r="M30" s="19">
        <v>11.03</v>
      </c>
      <c r="N30" s="11">
        <v>0</v>
      </c>
      <c r="O30" s="17">
        <f t="shared" si="3"/>
        <v>20.9</v>
      </c>
      <c r="P30" s="17">
        <f t="shared" si="0"/>
        <v>11.03</v>
      </c>
      <c r="Q30" s="17">
        <f t="shared" si="1"/>
        <v>9.8699999999999992</v>
      </c>
      <c r="R30" s="24">
        <f t="shared" si="2"/>
        <v>0.4722488038277512</v>
      </c>
      <c r="S30" t="s">
        <v>540</v>
      </c>
      <c r="T30" t="s">
        <v>60</v>
      </c>
    </row>
    <row r="31" spans="1:20">
      <c r="A31" t="s">
        <v>93</v>
      </c>
      <c r="B31" s="5">
        <v>46003</v>
      </c>
      <c r="C31" s="8">
        <f>YEAR(Tabla2[[#This Row],[fecha]])</f>
        <v>2025</v>
      </c>
      <c r="D31" s="8">
        <f>MONTH(Tabla2[[#This Row],[fecha]])</f>
        <v>12</v>
      </c>
      <c r="E31" s="8" t="str">
        <f>TEXT(Tabla2[[#This Row],[fecha]], "mmmm")</f>
        <v>diciembre</v>
      </c>
      <c r="F31" s="8" t="str">
        <f>"T"&amp;ROUNDUP(Tabla2[[#This Row],[mes]]/3,0)</f>
        <v>T4</v>
      </c>
      <c r="G31" t="s">
        <v>20</v>
      </c>
      <c r="H31" t="s">
        <v>21</v>
      </c>
      <c r="I31" s="8" t="str">
        <f>IF(Tabla2[[#This Row],[precio_unitario]]&lt;=30,"Económico",IF(Tabla2[[#This Row],[precio_unitario]]&lt;=58.49,"Accesible","Caro"))</f>
        <v>Económico</v>
      </c>
      <c r="J31" t="s">
        <v>17</v>
      </c>
      <c r="K31">
        <v>1</v>
      </c>
      <c r="L31" s="19">
        <v>18.86</v>
      </c>
      <c r="M31" s="19">
        <v>12.39</v>
      </c>
      <c r="N31" s="11">
        <v>0.2</v>
      </c>
      <c r="O31" s="17">
        <f t="shared" si="3"/>
        <v>15.088000000000001</v>
      </c>
      <c r="P31" s="17">
        <f t="shared" si="0"/>
        <v>12.39</v>
      </c>
      <c r="Q31" s="17">
        <f t="shared" si="1"/>
        <v>2.6980000000000004</v>
      </c>
      <c r="R31" s="24">
        <f t="shared" si="2"/>
        <v>0.17881760339342526</v>
      </c>
      <c r="S31" t="s">
        <v>67</v>
      </c>
      <c r="T31" t="s">
        <v>64</v>
      </c>
    </row>
    <row r="32" spans="1:20" hidden="1">
      <c r="A32" t="s">
        <v>94</v>
      </c>
      <c r="B32" s="5">
        <v>45729</v>
      </c>
      <c r="C32" s="8">
        <f>YEAR(Tabla2[[#This Row],[fecha]])</f>
        <v>2025</v>
      </c>
      <c r="D32" s="8">
        <f>MONTH(Tabla2[[#This Row],[fecha]])</f>
        <v>3</v>
      </c>
      <c r="E32" s="8" t="str">
        <f>TEXT(Tabla2[[#This Row],[fecha]], "mmmm")</f>
        <v>marzo</v>
      </c>
      <c r="F32" s="8" t="str">
        <f>"T"&amp;ROUNDUP(Tabla2[[#This Row],[mes]]/3,0)</f>
        <v>T1</v>
      </c>
      <c r="G32" t="s">
        <v>33</v>
      </c>
      <c r="H32" t="s">
        <v>34</v>
      </c>
      <c r="I32" s="8" t="str">
        <f>IF(Tabla2[[#This Row],[precio_unitario]]&lt;=30,"Económico",IF(Tabla2[[#This Row],[precio_unitario]]&lt;=58.49,"Accesible","Caro"))</f>
        <v>Caro</v>
      </c>
      <c r="J32" t="s">
        <v>35</v>
      </c>
      <c r="K32">
        <v>4</v>
      </c>
      <c r="L32" s="19">
        <v>72.39</v>
      </c>
      <c r="M32" s="19">
        <v>46.78</v>
      </c>
      <c r="N32" s="11">
        <v>0</v>
      </c>
      <c r="O32" s="17">
        <f t="shared" si="3"/>
        <v>289.56</v>
      </c>
      <c r="P32" s="17">
        <f t="shared" si="0"/>
        <v>187.12</v>
      </c>
      <c r="Q32" s="17">
        <f t="shared" si="1"/>
        <v>102.44</v>
      </c>
      <c r="R32" s="24">
        <f t="shared" si="2"/>
        <v>0.35377814615278352</v>
      </c>
      <c r="S32" t="s">
        <v>540</v>
      </c>
      <c r="T32" t="s">
        <v>60</v>
      </c>
    </row>
    <row r="33" spans="1:20" hidden="1">
      <c r="A33" t="s">
        <v>95</v>
      </c>
      <c r="B33" s="5">
        <v>45848</v>
      </c>
      <c r="C33" s="8">
        <f>YEAR(Tabla2[[#This Row],[fecha]])</f>
        <v>2025</v>
      </c>
      <c r="D33" s="8">
        <f>MONTH(Tabla2[[#This Row],[fecha]])</f>
        <v>7</v>
      </c>
      <c r="E33" s="8" t="str">
        <f>TEXT(Tabla2[[#This Row],[fecha]], "mmmm")</f>
        <v>julio</v>
      </c>
      <c r="F33" s="8" t="str">
        <f>"T"&amp;ROUNDUP(Tabla2[[#This Row],[mes]]/3,0)</f>
        <v>T3</v>
      </c>
      <c r="G33" t="s">
        <v>24</v>
      </c>
      <c r="H33" t="s">
        <v>25</v>
      </c>
      <c r="I33" s="8" t="str">
        <f>IF(Tabla2[[#This Row],[precio_unitario]]&lt;=30,"Económico",IF(Tabla2[[#This Row],[precio_unitario]]&lt;=58.49,"Accesible","Caro"))</f>
        <v>Económico</v>
      </c>
      <c r="J33" t="s">
        <v>26</v>
      </c>
      <c r="K33">
        <v>4</v>
      </c>
      <c r="L33" s="19">
        <v>7.71</v>
      </c>
      <c r="M33" s="19">
        <v>4.49</v>
      </c>
      <c r="N33" s="11">
        <v>0</v>
      </c>
      <c r="O33" s="17">
        <f t="shared" si="3"/>
        <v>30.84</v>
      </c>
      <c r="P33" s="17">
        <f t="shared" si="0"/>
        <v>17.96</v>
      </c>
      <c r="Q33" s="17">
        <f t="shared" si="1"/>
        <v>12.879999999999999</v>
      </c>
      <c r="R33" s="24">
        <f t="shared" si="2"/>
        <v>0.41763942931258102</v>
      </c>
      <c r="S33" t="s">
        <v>96</v>
      </c>
      <c r="T33" t="s">
        <v>64</v>
      </c>
    </row>
    <row r="34" spans="1:20" hidden="1">
      <c r="A34" t="s">
        <v>97</v>
      </c>
      <c r="B34" s="5">
        <v>46010</v>
      </c>
      <c r="C34" s="8">
        <f>YEAR(Tabla2[[#This Row],[fecha]])</f>
        <v>2025</v>
      </c>
      <c r="D34" s="8">
        <f>MONTH(Tabla2[[#This Row],[fecha]])</f>
        <v>12</v>
      </c>
      <c r="E34" s="8" t="str">
        <f>TEXT(Tabla2[[#This Row],[fecha]], "mmmm")</f>
        <v>diciembre</v>
      </c>
      <c r="F34" s="8" t="str">
        <f>"T"&amp;ROUNDUP(Tabla2[[#This Row],[mes]]/3,0)</f>
        <v>T4</v>
      </c>
      <c r="G34" t="s">
        <v>36</v>
      </c>
      <c r="H34" t="s">
        <v>37</v>
      </c>
      <c r="I34" s="8" t="str">
        <f>IF(Tabla2[[#This Row],[precio_unitario]]&lt;=30,"Económico",IF(Tabla2[[#This Row],[precio_unitario]]&lt;=58.49,"Accesible","Caro"))</f>
        <v>Económico</v>
      </c>
      <c r="J34" t="s">
        <v>35</v>
      </c>
      <c r="K34">
        <v>8</v>
      </c>
      <c r="L34" s="19">
        <v>14.26</v>
      </c>
      <c r="M34" s="19">
        <v>9.9</v>
      </c>
      <c r="N34" s="13">
        <v>0</v>
      </c>
      <c r="O34" s="17">
        <f t="shared" si="3"/>
        <v>114.08</v>
      </c>
      <c r="P34" s="17">
        <f t="shared" si="0"/>
        <v>79.2</v>
      </c>
      <c r="Q34" s="17">
        <f t="shared" si="1"/>
        <v>34.879999999999995</v>
      </c>
      <c r="R34" s="24">
        <f t="shared" si="2"/>
        <v>0.30575035063113604</v>
      </c>
      <c r="S34" t="s">
        <v>63</v>
      </c>
      <c r="T34" t="s">
        <v>60</v>
      </c>
    </row>
    <row r="35" spans="1:20">
      <c r="A35" t="s">
        <v>98</v>
      </c>
      <c r="B35" s="5">
        <v>45778</v>
      </c>
      <c r="C35" s="8">
        <f>YEAR(Tabla2[[#This Row],[fecha]])</f>
        <v>2025</v>
      </c>
      <c r="D35" s="8">
        <f>MONTH(Tabla2[[#This Row],[fecha]])</f>
        <v>5</v>
      </c>
      <c r="E35" s="8" t="str">
        <f>TEXT(Tabla2[[#This Row],[fecha]], "mmmm")</f>
        <v>mayo</v>
      </c>
      <c r="F35" s="8" t="str">
        <f>"T"&amp;ROUNDUP(Tabla2[[#This Row],[mes]]/3,0)</f>
        <v>T2</v>
      </c>
      <c r="G35" t="s">
        <v>45</v>
      </c>
      <c r="H35" t="s">
        <v>46</v>
      </c>
      <c r="I35" s="8" t="str">
        <f>IF(Tabla2[[#This Row],[precio_unitario]]&lt;=30,"Económico",IF(Tabla2[[#This Row],[precio_unitario]]&lt;=58.49,"Accesible","Caro"))</f>
        <v>Accesible</v>
      </c>
      <c r="J35" t="s">
        <v>44</v>
      </c>
      <c r="K35">
        <v>1</v>
      </c>
      <c r="L35" s="19">
        <v>30.45</v>
      </c>
      <c r="M35" s="19">
        <v>16.760000000000002</v>
      </c>
      <c r="N35" s="11">
        <v>0</v>
      </c>
      <c r="O35" s="17">
        <f t="shared" si="3"/>
        <v>30.45</v>
      </c>
      <c r="P35" s="17">
        <f t="shared" si="0"/>
        <v>16.760000000000002</v>
      </c>
      <c r="Q35" s="17">
        <f t="shared" si="1"/>
        <v>13.689999999999998</v>
      </c>
      <c r="R35" s="24">
        <f t="shared" si="2"/>
        <v>0.44958949096880124</v>
      </c>
      <c r="S35" t="s">
        <v>67</v>
      </c>
      <c r="T35" t="s">
        <v>60</v>
      </c>
    </row>
    <row r="36" spans="1:20" hidden="1">
      <c r="A36" t="s">
        <v>99</v>
      </c>
      <c r="B36" s="5">
        <v>45874</v>
      </c>
      <c r="C36" s="8">
        <f>YEAR(Tabla2[[#This Row],[fecha]])</f>
        <v>2025</v>
      </c>
      <c r="D36" s="8">
        <f>MONTH(Tabla2[[#This Row],[fecha]])</f>
        <v>8</v>
      </c>
      <c r="E36" s="8" t="str">
        <f>TEXT(Tabla2[[#This Row],[fecha]], "mmmm")</f>
        <v>agosto</v>
      </c>
      <c r="F36" s="8" t="str">
        <f>"T"&amp;ROUNDUP(Tabla2[[#This Row],[mes]]/3,0)</f>
        <v>T3</v>
      </c>
      <c r="G36" t="s">
        <v>13</v>
      </c>
      <c r="H36" t="s">
        <v>14</v>
      </c>
      <c r="I36" s="8" t="str">
        <f>IF(Tabla2[[#This Row],[precio_unitario]]&lt;=30,"Económico",IF(Tabla2[[#This Row],[precio_unitario]]&lt;=58.49,"Accesible","Caro"))</f>
        <v>Caro</v>
      </c>
      <c r="J36" t="s">
        <v>8</v>
      </c>
      <c r="K36">
        <v>5</v>
      </c>
      <c r="L36" s="19">
        <v>161.19</v>
      </c>
      <c r="M36" s="19">
        <v>113.93</v>
      </c>
      <c r="N36" s="11">
        <v>0</v>
      </c>
      <c r="O36" s="17">
        <f t="shared" si="3"/>
        <v>805.95</v>
      </c>
      <c r="P36" s="17">
        <f t="shared" si="0"/>
        <v>569.65000000000009</v>
      </c>
      <c r="Q36" s="17">
        <f t="shared" si="1"/>
        <v>236.29999999999995</v>
      </c>
      <c r="R36" s="24">
        <f t="shared" si="2"/>
        <v>0.29319436689620937</v>
      </c>
      <c r="S36" t="s">
        <v>83</v>
      </c>
      <c r="T36" t="s">
        <v>64</v>
      </c>
    </row>
    <row r="37" spans="1:20" hidden="1">
      <c r="A37" t="s">
        <v>100</v>
      </c>
      <c r="B37" s="5">
        <v>45653</v>
      </c>
      <c r="C37" s="8">
        <f>YEAR(Tabla2[[#This Row],[fecha]])</f>
        <v>2024</v>
      </c>
      <c r="D37" s="8">
        <f>MONTH(Tabla2[[#This Row],[fecha]])</f>
        <v>12</v>
      </c>
      <c r="E37" s="8" t="str">
        <f>TEXT(Tabla2[[#This Row],[fecha]], "mmmm")</f>
        <v>diciembre</v>
      </c>
      <c r="F37" s="8" t="str">
        <f>"T"&amp;ROUNDUP(Tabla2[[#This Row],[mes]]/3,0)</f>
        <v>T4</v>
      </c>
      <c r="G37" t="s">
        <v>9</v>
      </c>
      <c r="H37" t="s">
        <v>10</v>
      </c>
      <c r="I37" s="8" t="str">
        <f>IF(Tabla2[[#This Row],[precio_unitario]]&lt;=30,"Económico",IF(Tabla2[[#This Row],[precio_unitario]]&lt;=58.49,"Accesible","Caro"))</f>
        <v>Caro</v>
      </c>
      <c r="J37" t="s">
        <v>8</v>
      </c>
      <c r="K37">
        <v>2</v>
      </c>
      <c r="L37" s="19">
        <v>71.31</v>
      </c>
      <c r="M37" s="19">
        <v>45.98</v>
      </c>
      <c r="N37" s="11">
        <v>0</v>
      </c>
      <c r="O37" s="17">
        <f t="shared" si="3"/>
        <v>142.62</v>
      </c>
      <c r="P37" s="17">
        <f t="shared" si="0"/>
        <v>91.96</v>
      </c>
      <c r="Q37" s="17">
        <f t="shared" si="1"/>
        <v>50.660000000000011</v>
      </c>
      <c r="R37" s="24">
        <f t="shared" si="2"/>
        <v>0.35520964801570615</v>
      </c>
      <c r="S37" t="s">
        <v>101</v>
      </c>
      <c r="T37" t="s">
        <v>60</v>
      </c>
    </row>
    <row r="38" spans="1:20" hidden="1">
      <c r="A38" t="s">
        <v>102</v>
      </c>
      <c r="B38" s="5">
        <v>45361</v>
      </c>
      <c r="C38" s="8">
        <f>YEAR(Tabla2[[#This Row],[fecha]])</f>
        <v>2024</v>
      </c>
      <c r="D38" s="8">
        <f>MONTH(Tabla2[[#This Row],[fecha]])</f>
        <v>3</v>
      </c>
      <c r="E38" s="8" t="str">
        <f>TEXT(Tabla2[[#This Row],[fecha]], "mmmm")</f>
        <v>marzo</v>
      </c>
      <c r="F38" s="8" t="str">
        <f>"T"&amp;ROUNDUP(Tabla2[[#This Row],[mes]]/3,0)</f>
        <v>T1</v>
      </c>
      <c r="G38" t="s">
        <v>40</v>
      </c>
      <c r="H38" t="s">
        <v>41</v>
      </c>
      <c r="I38" s="8" t="str">
        <f>IF(Tabla2[[#This Row],[precio_unitario]]&lt;=30,"Económico",IF(Tabla2[[#This Row],[precio_unitario]]&lt;=58.49,"Accesible","Caro"))</f>
        <v>Caro</v>
      </c>
      <c r="J38" t="s">
        <v>35</v>
      </c>
      <c r="K38">
        <v>5</v>
      </c>
      <c r="L38" s="19">
        <v>72.87</v>
      </c>
      <c r="M38" s="19">
        <v>39.86</v>
      </c>
      <c r="N38" s="11">
        <v>0</v>
      </c>
      <c r="O38" s="17">
        <f t="shared" si="3"/>
        <v>364.35</v>
      </c>
      <c r="P38" s="17">
        <f t="shared" si="0"/>
        <v>199.3</v>
      </c>
      <c r="Q38" s="17">
        <f t="shared" si="1"/>
        <v>165.05</v>
      </c>
      <c r="R38" s="24">
        <f t="shared" si="2"/>
        <v>0.45299849046246743</v>
      </c>
      <c r="S38" t="s">
        <v>67</v>
      </c>
      <c r="T38" t="s">
        <v>60</v>
      </c>
    </row>
    <row r="39" spans="1:20" hidden="1">
      <c r="A39" t="s">
        <v>103</v>
      </c>
      <c r="B39" s="5">
        <v>45483</v>
      </c>
      <c r="C39" s="8">
        <f>YEAR(Tabla2[[#This Row],[fecha]])</f>
        <v>2024</v>
      </c>
      <c r="D39" s="8">
        <f>MONTH(Tabla2[[#This Row],[fecha]])</f>
        <v>7</v>
      </c>
      <c r="E39" s="8" t="str">
        <f>TEXT(Tabla2[[#This Row],[fecha]], "mmmm")</f>
        <v>julio</v>
      </c>
      <c r="F39" s="8" t="str">
        <f>"T"&amp;ROUNDUP(Tabla2[[#This Row],[mes]]/3,0)</f>
        <v>T3</v>
      </c>
      <c r="G39" t="s">
        <v>38</v>
      </c>
      <c r="H39" t="s">
        <v>39</v>
      </c>
      <c r="I39" s="8" t="str">
        <f>IF(Tabla2[[#This Row],[precio_unitario]]&lt;=30,"Económico",IF(Tabla2[[#This Row],[precio_unitario]]&lt;=58.49,"Accesible","Caro"))</f>
        <v>Caro</v>
      </c>
      <c r="J39" t="s">
        <v>35</v>
      </c>
      <c r="K39">
        <v>2</v>
      </c>
      <c r="L39" s="19">
        <v>74.63</v>
      </c>
      <c r="M39" s="19">
        <v>44.71</v>
      </c>
      <c r="N39" s="11">
        <v>0</v>
      </c>
      <c r="O39" s="17">
        <f t="shared" si="3"/>
        <v>149.26</v>
      </c>
      <c r="P39" s="17">
        <f t="shared" si="0"/>
        <v>89.42</v>
      </c>
      <c r="Q39" s="17">
        <f t="shared" si="1"/>
        <v>59.839999999999989</v>
      </c>
      <c r="R39" s="24">
        <f t="shared" si="2"/>
        <v>0.40091116173120722</v>
      </c>
      <c r="S39" t="s">
        <v>96</v>
      </c>
      <c r="T39" t="s">
        <v>64</v>
      </c>
    </row>
    <row r="40" spans="1:20" hidden="1">
      <c r="A40" t="s">
        <v>104</v>
      </c>
      <c r="B40" s="5">
        <v>45439</v>
      </c>
      <c r="C40" s="8">
        <f>YEAR(Tabla2[[#This Row],[fecha]])</f>
        <v>2024</v>
      </c>
      <c r="D40" s="8">
        <f>MONTH(Tabla2[[#This Row],[fecha]])</f>
        <v>5</v>
      </c>
      <c r="E40" s="8" t="str">
        <f>TEXT(Tabla2[[#This Row],[fecha]], "mmmm")</f>
        <v>mayo</v>
      </c>
      <c r="F40" s="8" t="str">
        <f>"T"&amp;ROUNDUP(Tabla2[[#This Row],[mes]]/3,0)</f>
        <v>T2</v>
      </c>
      <c r="G40" t="s">
        <v>36</v>
      </c>
      <c r="H40" t="s">
        <v>37</v>
      </c>
      <c r="I40" s="8" t="str">
        <f>IF(Tabla2[[#This Row],[precio_unitario]]&lt;=30,"Económico",IF(Tabla2[[#This Row],[precio_unitario]]&lt;=58.49,"Accesible","Caro"))</f>
        <v>Económico</v>
      </c>
      <c r="J40" t="s">
        <v>35</v>
      </c>
      <c r="K40">
        <v>3</v>
      </c>
      <c r="L40" s="19">
        <v>15.15</v>
      </c>
      <c r="M40" s="19">
        <v>9.15</v>
      </c>
      <c r="N40" s="11">
        <v>0</v>
      </c>
      <c r="O40" s="17">
        <f t="shared" si="3"/>
        <v>45.45</v>
      </c>
      <c r="P40" s="17">
        <f t="shared" si="0"/>
        <v>27.450000000000003</v>
      </c>
      <c r="Q40" s="17">
        <f t="shared" si="1"/>
        <v>18</v>
      </c>
      <c r="R40" s="24">
        <f t="shared" si="2"/>
        <v>0.396039603960396</v>
      </c>
      <c r="S40" t="s">
        <v>63</v>
      </c>
      <c r="T40" t="s">
        <v>64</v>
      </c>
    </row>
    <row r="41" spans="1:20">
      <c r="A41" t="s">
        <v>105</v>
      </c>
      <c r="B41" s="5">
        <v>45905</v>
      </c>
      <c r="C41" s="8">
        <f>YEAR(Tabla2[[#This Row],[fecha]])</f>
        <v>2025</v>
      </c>
      <c r="D41" s="8">
        <f>MONTH(Tabla2[[#This Row],[fecha]])</f>
        <v>9</v>
      </c>
      <c r="E41" s="8" t="str">
        <f>TEXT(Tabla2[[#This Row],[fecha]], "mmmm")</f>
        <v>septiembre</v>
      </c>
      <c r="F41" s="8" t="str">
        <f>"T"&amp;ROUNDUP(Tabla2[[#This Row],[mes]]/3,0)</f>
        <v>T3</v>
      </c>
      <c r="G41" t="s">
        <v>9</v>
      </c>
      <c r="H41" t="s">
        <v>10</v>
      </c>
      <c r="I41" s="8" t="str">
        <f>IF(Tabla2[[#This Row],[precio_unitario]]&lt;=30,"Económico",IF(Tabla2[[#This Row],[precio_unitario]]&lt;=58.49,"Accesible","Caro"))</f>
        <v>Caro</v>
      </c>
      <c r="J41" t="s">
        <v>8</v>
      </c>
      <c r="K41">
        <v>5</v>
      </c>
      <c r="L41" s="19">
        <v>77.91</v>
      </c>
      <c r="M41" s="19">
        <v>47.58</v>
      </c>
      <c r="N41" s="13">
        <v>0</v>
      </c>
      <c r="O41" s="17">
        <f t="shared" si="3"/>
        <v>389.54999999999995</v>
      </c>
      <c r="P41" s="17">
        <f t="shared" si="0"/>
        <v>237.89999999999998</v>
      </c>
      <c r="Q41" s="17">
        <f t="shared" si="1"/>
        <v>151.64999999999998</v>
      </c>
      <c r="R41" s="24">
        <f t="shared" si="2"/>
        <v>0.38929534077782058</v>
      </c>
      <c r="S41" t="s">
        <v>67</v>
      </c>
      <c r="T41" t="s">
        <v>64</v>
      </c>
    </row>
    <row r="42" spans="1:20" hidden="1">
      <c r="A42" t="s">
        <v>106</v>
      </c>
      <c r="B42" s="5">
        <v>45594</v>
      </c>
      <c r="C42" s="8">
        <f>YEAR(Tabla2[[#This Row],[fecha]])</f>
        <v>2024</v>
      </c>
      <c r="D42" s="8">
        <f>MONTH(Tabla2[[#This Row],[fecha]])</f>
        <v>10</v>
      </c>
      <c r="E42" s="8" t="str">
        <f>TEXT(Tabla2[[#This Row],[fecha]], "mmmm")</f>
        <v>octubre</v>
      </c>
      <c r="F42" s="8" t="str">
        <f>"T"&amp;ROUNDUP(Tabla2[[#This Row],[mes]]/3,0)</f>
        <v>T4</v>
      </c>
      <c r="G42" t="s">
        <v>42</v>
      </c>
      <c r="H42" t="s">
        <v>43</v>
      </c>
      <c r="I42" s="8" t="str">
        <f>IF(Tabla2[[#This Row],[precio_unitario]]&lt;=30,"Económico",IF(Tabla2[[#This Row],[precio_unitario]]&lt;=58.49,"Accesible","Caro"))</f>
        <v>Accesible</v>
      </c>
      <c r="J42" t="s">
        <v>44</v>
      </c>
      <c r="K42">
        <v>5</v>
      </c>
      <c r="L42" s="19">
        <v>51.08</v>
      </c>
      <c r="M42" s="19">
        <v>22.27</v>
      </c>
      <c r="N42" s="11">
        <v>0</v>
      </c>
      <c r="O42" s="17">
        <f t="shared" si="3"/>
        <v>255.39999999999998</v>
      </c>
      <c r="P42" s="17">
        <f t="shared" si="0"/>
        <v>111.35</v>
      </c>
      <c r="Q42" s="17">
        <f t="shared" si="1"/>
        <v>144.04999999999998</v>
      </c>
      <c r="R42" s="24">
        <f t="shared" si="2"/>
        <v>0.5640172278778387</v>
      </c>
      <c r="S42" t="s">
        <v>540</v>
      </c>
      <c r="T42" t="s">
        <v>64</v>
      </c>
    </row>
    <row r="43" spans="1:20" hidden="1">
      <c r="A43" t="s">
        <v>107</v>
      </c>
      <c r="B43" s="5">
        <v>45633</v>
      </c>
      <c r="C43" s="8">
        <f>YEAR(Tabla2[[#This Row],[fecha]])</f>
        <v>2024</v>
      </c>
      <c r="D43" s="8">
        <f>MONTH(Tabla2[[#This Row],[fecha]])</f>
        <v>12</v>
      </c>
      <c r="E43" s="8" t="str">
        <f>TEXT(Tabla2[[#This Row],[fecha]], "mmmm")</f>
        <v>diciembre</v>
      </c>
      <c r="F43" s="8" t="str">
        <f>"T"&amp;ROUNDUP(Tabla2[[#This Row],[mes]]/3,0)</f>
        <v>T4</v>
      </c>
      <c r="G43" t="s">
        <v>38</v>
      </c>
      <c r="H43" t="s">
        <v>39</v>
      </c>
      <c r="I43" s="8" t="str">
        <f>IF(Tabla2[[#This Row],[precio_unitario]]&lt;=30,"Económico",IF(Tabla2[[#This Row],[precio_unitario]]&lt;=58.49,"Accesible","Caro"))</f>
        <v>Caro</v>
      </c>
      <c r="J43" t="s">
        <v>35</v>
      </c>
      <c r="K43">
        <v>4</v>
      </c>
      <c r="L43" s="19">
        <v>73.040000000000006</v>
      </c>
      <c r="M43" s="19">
        <v>41.69</v>
      </c>
      <c r="N43" s="11">
        <v>0</v>
      </c>
      <c r="O43" s="17">
        <f t="shared" si="3"/>
        <v>292.16000000000003</v>
      </c>
      <c r="P43" s="17">
        <f t="shared" si="0"/>
        <v>166.76</v>
      </c>
      <c r="Q43" s="17">
        <f t="shared" si="1"/>
        <v>125.40000000000003</v>
      </c>
      <c r="R43" s="24">
        <f t="shared" si="2"/>
        <v>0.42921686746987958</v>
      </c>
      <c r="S43" t="s">
        <v>63</v>
      </c>
      <c r="T43" t="s">
        <v>60</v>
      </c>
    </row>
    <row r="44" spans="1:20" hidden="1">
      <c r="A44" t="s">
        <v>108</v>
      </c>
      <c r="B44" s="5">
        <v>45447</v>
      </c>
      <c r="C44" s="8">
        <f>YEAR(Tabla2[[#This Row],[fecha]])</f>
        <v>2024</v>
      </c>
      <c r="D44" s="8">
        <f>MONTH(Tabla2[[#This Row],[fecha]])</f>
        <v>6</v>
      </c>
      <c r="E44" s="8" t="str">
        <f>TEXT(Tabla2[[#This Row],[fecha]], "mmmm")</f>
        <v>junio</v>
      </c>
      <c r="F44" s="8" t="str">
        <f>"T"&amp;ROUNDUP(Tabla2[[#This Row],[mes]]/3,0)</f>
        <v>T2</v>
      </c>
      <c r="G44" t="s">
        <v>15</v>
      </c>
      <c r="H44" t="s">
        <v>16</v>
      </c>
      <c r="I44" s="8" t="str">
        <f>IF(Tabla2[[#This Row],[precio_unitario]]&lt;=30,"Económico",IF(Tabla2[[#This Row],[precio_unitario]]&lt;=58.49,"Accesible","Caro"))</f>
        <v>Caro</v>
      </c>
      <c r="J44" t="s">
        <v>17</v>
      </c>
      <c r="K44">
        <v>9</v>
      </c>
      <c r="L44" s="19">
        <v>64.06</v>
      </c>
      <c r="M44" s="19">
        <v>40.799999999999997</v>
      </c>
      <c r="N44" s="11">
        <v>0</v>
      </c>
      <c r="O44" s="17">
        <f t="shared" si="3"/>
        <v>576.54</v>
      </c>
      <c r="P44" s="17">
        <f t="shared" si="0"/>
        <v>367.2</v>
      </c>
      <c r="Q44" s="17">
        <f t="shared" si="1"/>
        <v>209.33999999999997</v>
      </c>
      <c r="R44" s="24">
        <f t="shared" si="2"/>
        <v>0.3630970964720574</v>
      </c>
      <c r="S44" t="s">
        <v>67</v>
      </c>
      <c r="T44" t="s">
        <v>60</v>
      </c>
    </row>
    <row r="45" spans="1:20" hidden="1">
      <c r="A45" t="s">
        <v>109</v>
      </c>
      <c r="B45" s="5">
        <v>45597</v>
      </c>
      <c r="C45" s="8">
        <f>YEAR(Tabla2[[#This Row],[fecha]])</f>
        <v>2024</v>
      </c>
      <c r="D45" s="8">
        <f>MONTH(Tabla2[[#This Row],[fecha]])</f>
        <v>11</v>
      </c>
      <c r="E45" s="8" t="str">
        <f>TEXT(Tabla2[[#This Row],[fecha]], "mmmm")</f>
        <v>noviembre</v>
      </c>
      <c r="F45" s="8" t="str">
        <f>"T"&amp;ROUNDUP(Tabla2[[#This Row],[mes]]/3,0)</f>
        <v>T4</v>
      </c>
      <c r="G45" t="s">
        <v>6</v>
      </c>
      <c r="H45" t="s">
        <v>7</v>
      </c>
      <c r="I45" s="8" t="str">
        <f>IF(Tabla2[[#This Row],[precio_unitario]]&lt;=30,"Económico",IF(Tabla2[[#This Row],[precio_unitario]]&lt;=58.49,"Accesible","Caro"))</f>
        <v>Caro</v>
      </c>
      <c r="J45" t="s">
        <v>8</v>
      </c>
      <c r="K45">
        <v>3</v>
      </c>
      <c r="L45" s="19">
        <v>129.05000000000001</v>
      </c>
      <c r="M45" s="19">
        <v>84.04</v>
      </c>
      <c r="N45" s="11">
        <v>0.08</v>
      </c>
      <c r="O45" s="17">
        <f t="shared" si="3"/>
        <v>356.17800000000005</v>
      </c>
      <c r="P45" s="17">
        <f t="shared" si="0"/>
        <v>252.12</v>
      </c>
      <c r="Q45" s="17">
        <f t="shared" si="1"/>
        <v>104.05800000000005</v>
      </c>
      <c r="R45" s="24">
        <f t="shared" si="2"/>
        <v>0.29215167697050359</v>
      </c>
      <c r="S45" t="s">
        <v>83</v>
      </c>
      <c r="T45" t="s">
        <v>60</v>
      </c>
    </row>
    <row r="46" spans="1:20" hidden="1">
      <c r="A46" t="s">
        <v>110</v>
      </c>
      <c r="B46" s="5">
        <v>45461</v>
      </c>
      <c r="C46" s="8">
        <f>YEAR(Tabla2[[#This Row],[fecha]])</f>
        <v>2024</v>
      </c>
      <c r="D46" s="8">
        <f>MONTH(Tabla2[[#This Row],[fecha]])</f>
        <v>6</v>
      </c>
      <c r="E46" s="8" t="str">
        <f>TEXT(Tabla2[[#This Row],[fecha]], "mmmm")</f>
        <v>junio</v>
      </c>
      <c r="F46" s="8" t="str">
        <f>"T"&amp;ROUNDUP(Tabla2[[#This Row],[mes]]/3,0)</f>
        <v>T2</v>
      </c>
      <c r="G46" t="s">
        <v>11</v>
      </c>
      <c r="H46" t="s">
        <v>12</v>
      </c>
      <c r="I46" s="8" t="str">
        <f>IF(Tabla2[[#This Row],[precio_unitario]]&lt;=30,"Económico",IF(Tabla2[[#This Row],[precio_unitario]]&lt;=58.49,"Accesible","Caro"))</f>
        <v>Caro</v>
      </c>
      <c r="J46" t="s">
        <v>8</v>
      </c>
      <c r="K46">
        <v>1</v>
      </c>
      <c r="L46" s="20">
        <f>INDEX(Tabla3[precio_venta_recomendado], MATCH(Tabla2[[#This Row],[id_producto]], Tabla3[id_producto], 0))</f>
        <v>177.72</v>
      </c>
      <c r="M46" s="19">
        <v>89.58</v>
      </c>
      <c r="N46" s="13">
        <v>0</v>
      </c>
      <c r="O46" s="17">
        <f t="shared" si="3"/>
        <v>177.72</v>
      </c>
      <c r="P46" s="17">
        <f t="shared" si="0"/>
        <v>89.58</v>
      </c>
      <c r="Q46" s="17">
        <f t="shared" si="1"/>
        <v>88.14</v>
      </c>
      <c r="R46" s="24">
        <f t="shared" si="2"/>
        <v>0.4959486833220797</v>
      </c>
      <c r="S46" t="s">
        <v>83</v>
      </c>
      <c r="T46" t="s">
        <v>60</v>
      </c>
    </row>
    <row r="47" spans="1:20" hidden="1">
      <c r="A47" t="s">
        <v>111</v>
      </c>
      <c r="B47" s="5">
        <v>45692</v>
      </c>
      <c r="C47" s="8">
        <f>YEAR(Tabla2[[#This Row],[fecha]])</f>
        <v>2025</v>
      </c>
      <c r="D47" s="8">
        <f>MONTH(Tabla2[[#This Row],[fecha]])</f>
        <v>2</v>
      </c>
      <c r="E47" s="8" t="str">
        <f>TEXT(Tabla2[[#This Row],[fecha]], "mmmm")</f>
        <v>febrero</v>
      </c>
      <c r="F47" s="8" t="str">
        <f>"T"&amp;ROUNDUP(Tabla2[[#This Row],[mes]]/3,0)</f>
        <v>T1</v>
      </c>
      <c r="G47" t="s">
        <v>27</v>
      </c>
      <c r="H47" t="s">
        <v>28</v>
      </c>
      <c r="I47" s="8" t="str">
        <f>IF(Tabla2[[#This Row],[precio_unitario]]&lt;=30,"Económico",IF(Tabla2[[#This Row],[precio_unitario]]&lt;=58.49,"Accesible","Caro"))</f>
        <v>Económico</v>
      </c>
      <c r="J47" t="s">
        <v>26</v>
      </c>
      <c r="K47">
        <v>1</v>
      </c>
      <c r="L47" s="19">
        <v>17.39</v>
      </c>
      <c r="M47" s="19">
        <v>11.71</v>
      </c>
      <c r="N47" s="11">
        <v>0</v>
      </c>
      <c r="O47" s="17">
        <f t="shared" si="3"/>
        <v>17.39</v>
      </c>
      <c r="P47" s="17">
        <f t="shared" si="0"/>
        <v>11.71</v>
      </c>
      <c r="Q47" s="17">
        <f t="shared" si="1"/>
        <v>5.68</v>
      </c>
      <c r="R47" s="24">
        <f t="shared" si="2"/>
        <v>0.32662449683726275</v>
      </c>
      <c r="S47" t="s">
        <v>83</v>
      </c>
      <c r="T47" t="s">
        <v>64</v>
      </c>
    </row>
    <row r="48" spans="1:20" hidden="1">
      <c r="A48" t="s">
        <v>112</v>
      </c>
      <c r="B48" s="5">
        <v>45361</v>
      </c>
      <c r="C48" s="8">
        <f>YEAR(Tabla2[[#This Row],[fecha]])</f>
        <v>2024</v>
      </c>
      <c r="D48" s="8">
        <f>MONTH(Tabla2[[#This Row],[fecha]])</f>
        <v>3</v>
      </c>
      <c r="E48" s="8" t="str">
        <f>TEXT(Tabla2[[#This Row],[fecha]], "mmmm")</f>
        <v>marzo</v>
      </c>
      <c r="F48" s="8" t="str">
        <f>"T"&amp;ROUNDUP(Tabla2[[#This Row],[mes]]/3,0)</f>
        <v>T1</v>
      </c>
      <c r="G48" t="s">
        <v>38</v>
      </c>
      <c r="H48" t="s">
        <v>39</v>
      </c>
      <c r="I48" s="8" t="str">
        <f>IF(Tabla2[[#This Row],[precio_unitario]]&lt;=30,"Económico",IF(Tabla2[[#This Row],[precio_unitario]]&lt;=58.49,"Accesible","Caro"))</f>
        <v>Caro</v>
      </c>
      <c r="J48" t="s">
        <v>35</v>
      </c>
      <c r="K48">
        <v>7</v>
      </c>
      <c r="L48" s="19">
        <v>82.99</v>
      </c>
      <c r="M48" s="19">
        <v>40.72</v>
      </c>
      <c r="N48" s="11">
        <v>0</v>
      </c>
      <c r="O48" s="17">
        <f t="shared" si="3"/>
        <v>580.92999999999995</v>
      </c>
      <c r="P48" s="17">
        <f t="shared" si="0"/>
        <v>285.03999999999996</v>
      </c>
      <c r="Q48" s="17">
        <f t="shared" si="1"/>
        <v>295.89</v>
      </c>
      <c r="R48" s="24">
        <f t="shared" si="2"/>
        <v>0.5093384745150018</v>
      </c>
      <c r="S48" t="s">
        <v>101</v>
      </c>
      <c r="T48" t="s">
        <v>64</v>
      </c>
    </row>
    <row r="49" spans="1:20" hidden="1">
      <c r="A49" t="s">
        <v>113</v>
      </c>
      <c r="B49" s="5">
        <v>45945</v>
      </c>
      <c r="C49" s="8">
        <f>YEAR(Tabla2[[#This Row],[fecha]])</f>
        <v>2025</v>
      </c>
      <c r="D49" s="8">
        <f>MONTH(Tabla2[[#This Row],[fecha]])</f>
        <v>10</v>
      </c>
      <c r="E49" s="8" t="str">
        <f>TEXT(Tabla2[[#This Row],[fecha]], "mmmm")</f>
        <v>octubre</v>
      </c>
      <c r="F49" s="8" t="str">
        <f>"T"&amp;ROUNDUP(Tabla2[[#This Row],[mes]]/3,0)</f>
        <v>T4</v>
      </c>
      <c r="G49" t="s">
        <v>38</v>
      </c>
      <c r="H49" t="s">
        <v>39</v>
      </c>
      <c r="I49" s="8" t="str">
        <f>IF(Tabla2[[#This Row],[precio_unitario]]&lt;=30,"Económico",IF(Tabla2[[#This Row],[precio_unitario]]&lt;=58.49,"Accesible","Caro"))</f>
        <v>Caro</v>
      </c>
      <c r="J49" t="s">
        <v>35</v>
      </c>
      <c r="K49">
        <v>2</v>
      </c>
      <c r="L49" s="19">
        <v>80.75</v>
      </c>
      <c r="M49" s="19">
        <v>42.31</v>
      </c>
      <c r="N49" s="11">
        <v>0</v>
      </c>
      <c r="O49" s="17">
        <f t="shared" si="3"/>
        <v>161.5</v>
      </c>
      <c r="P49" s="17">
        <f t="shared" si="0"/>
        <v>84.62</v>
      </c>
      <c r="Q49" s="17">
        <f t="shared" si="1"/>
        <v>76.88</v>
      </c>
      <c r="R49" s="24">
        <f t="shared" si="2"/>
        <v>0.47603715170278638</v>
      </c>
      <c r="S49" t="s">
        <v>540</v>
      </c>
      <c r="T49" t="s">
        <v>60</v>
      </c>
    </row>
    <row r="50" spans="1:20" hidden="1">
      <c r="A50" t="s">
        <v>114</v>
      </c>
      <c r="B50" s="5">
        <v>45809</v>
      </c>
      <c r="C50" s="8">
        <f>YEAR(Tabla2[[#This Row],[fecha]])</f>
        <v>2025</v>
      </c>
      <c r="D50" s="8">
        <f>MONTH(Tabla2[[#This Row],[fecha]])</f>
        <v>6</v>
      </c>
      <c r="E50" s="8" t="str">
        <f>TEXT(Tabla2[[#This Row],[fecha]], "mmmm")</f>
        <v>junio</v>
      </c>
      <c r="F50" s="8" t="str">
        <f>"T"&amp;ROUNDUP(Tabla2[[#This Row],[mes]]/3,0)</f>
        <v>T2</v>
      </c>
      <c r="G50" t="s">
        <v>45</v>
      </c>
      <c r="H50" t="s">
        <v>46</v>
      </c>
      <c r="I50" s="8" t="str">
        <f>IF(Tabla2[[#This Row],[precio_unitario]]&lt;=30,"Económico",IF(Tabla2[[#This Row],[precio_unitario]]&lt;=58.49,"Accesible","Caro"))</f>
        <v>Accesible</v>
      </c>
      <c r="J50" t="s">
        <v>44</v>
      </c>
      <c r="K50">
        <v>3</v>
      </c>
      <c r="L50" s="19">
        <v>30.63</v>
      </c>
      <c r="M50" s="19">
        <v>16.73</v>
      </c>
      <c r="N50" s="11">
        <v>0</v>
      </c>
      <c r="O50" s="17">
        <f t="shared" si="3"/>
        <v>91.89</v>
      </c>
      <c r="P50" s="17">
        <f t="shared" si="0"/>
        <v>50.19</v>
      </c>
      <c r="Q50" s="17">
        <f t="shared" si="1"/>
        <v>41.7</v>
      </c>
      <c r="R50" s="24">
        <f t="shared" si="2"/>
        <v>0.45380346065948418</v>
      </c>
      <c r="S50" t="s">
        <v>83</v>
      </c>
      <c r="T50" t="s">
        <v>60</v>
      </c>
    </row>
    <row r="51" spans="1:20">
      <c r="A51" t="s">
        <v>115</v>
      </c>
      <c r="B51" s="5">
        <v>45841</v>
      </c>
      <c r="C51" s="8">
        <f>YEAR(Tabla2[[#This Row],[fecha]])</f>
        <v>2025</v>
      </c>
      <c r="D51" s="8">
        <f>MONTH(Tabla2[[#This Row],[fecha]])</f>
        <v>7</v>
      </c>
      <c r="E51" s="8" t="str">
        <f>TEXT(Tabla2[[#This Row],[fecha]], "mmmm")</f>
        <v>julio</v>
      </c>
      <c r="F51" s="8" t="str">
        <f>"T"&amp;ROUNDUP(Tabla2[[#This Row],[mes]]/3,0)</f>
        <v>T3</v>
      </c>
      <c r="G51" t="s">
        <v>15</v>
      </c>
      <c r="H51" t="s">
        <v>16</v>
      </c>
      <c r="I51" s="8" t="str">
        <f>IF(Tabla2[[#This Row],[precio_unitario]]&lt;=30,"Económico",IF(Tabla2[[#This Row],[precio_unitario]]&lt;=58.49,"Accesible","Caro"))</f>
        <v>Accesible</v>
      </c>
      <c r="J51" t="s">
        <v>17</v>
      </c>
      <c r="K51">
        <v>4</v>
      </c>
      <c r="L51" s="19">
        <v>58.47</v>
      </c>
      <c r="M51" s="19">
        <v>40.71</v>
      </c>
      <c r="N51" s="11">
        <v>0</v>
      </c>
      <c r="O51" s="17">
        <f t="shared" si="3"/>
        <v>233.88</v>
      </c>
      <c r="P51" s="17">
        <f t="shared" si="0"/>
        <v>162.84</v>
      </c>
      <c r="Q51" s="17">
        <f t="shared" si="1"/>
        <v>71.039999999999992</v>
      </c>
      <c r="R51" s="24">
        <f t="shared" si="2"/>
        <v>0.30374551051821447</v>
      </c>
      <c r="S51" t="s">
        <v>67</v>
      </c>
      <c r="T51" t="s">
        <v>64</v>
      </c>
    </row>
    <row r="52" spans="1:20" hidden="1">
      <c r="A52" t="s">
        <v>116</v>
      </c>
      <c r="B52" s="5">
        <v>45946</v>
      </c>
      <c r="C52" s="8">
        <f>YEAR(Tabla2[[#This Row],[fecha]])</f>
        <v>2025</v>
      </c>
      <c r="D52" s="8">
        <f>MONTH(Tabla2[[#This Row],[fecha]])</f>
        <v>10</v>
      </c>
      <c r="E52" s="8" t="str">
        <f>TEXT(Tabla2[[#This Row],[fecha]], "mmmm")</f>
        <v>octubre</v>
      </c>
      <c r="F52" s="8" t="str">
        <f>"T"&amp;ROUNDUP(Tabla2[[#This Row],[mes]]/3,0)</f>
        <v>T4</v>
      </c>
      <c r="G52" t="s">
        <v>11</v>
      </c>
      <c r="H52" t="s">
        <v>12</v>
      </c>
      <c r="I52" s="8" t="str">
        <f>IF(Tabla2[[#This Row],[precio_unitario]]&lt;=30,"Económico",IF(Tabla2[[#This Row],[precio_unitario]]&lt;=58.49,"Accesible","Caro"))</f>
        <v>Caro</v>
      </c>
      <c r="J52" t="s">
        <v>8</v>
      </c>
      <c r="K52">
        <v>4</v>
      </c>
      <c r="L52" s="19">
        <v>169.25</v>
      </c>
      <c r="M52" s="19">
        <v>97.54</v>
      </c>
      <c r="N52" s="11">
        <v>0</v>
      </c>
      <c r="O52" s="17">
        <f t="shared" si="3"/>
        <v>677</v>
      </c>
      <c r="P52" s="17">
        <f t="shared" si="0"/>
        <v>390.16</v>
      </c>
      <c r="Q52" s="17">
        <f t="shared" si="1"/>
        <v>286.83999999999997</v>
      </c>
      <c r="R52" s="24">
        <f t="shared" si="2"/>
        <v>0.42369276218611518</v>
      </c>
      <c r="S52" t="s">
        <v>540</v>
      </c>
      <c r="T52" t="s">
        <v>64</v>
      </c>
    </row>
    <row r="53" spans="1:20" hidden="1">
      <c r="A53" t="s">
        <v>117</v>
      </c>
      <c r="B53" s="5">
        <v>45566</v>
      </c>
      <c r="C53" s="8">
        <f>YEAR(Tabla2[[#This Row],[fecha]])</f>
        <v>2024</v>
      </c>
      <c r="D53" s="8">
        <f>MONTH(Tabla2[[#This Row],[fecha]])</f>
        <v>10</v>
      </c>
      <c r="E53" s="8" t="str">
        <f>TEXT(Tabla2[[#This Row],[fecha]], "mmmm")</f>
        <v>octubre</v>
      </c>
      <c r="F53" s="8" t="str">
        <f>"T"&amp;ROUNDUP(Tabla2[[#This Row],[mes]]/3,0)</f>
        <v>T4</v>
      </c>
      <c r="G53" t="s">
        <v>13</v>
      </c>
      <c r="H53" t="s">
        <v>14</v>
      </c>
      <c r="I53" s="8" t="str">
        <f>IF(Tabla2[[#This Row],[precio_unitario]]&lt;=30,"Económico",IF(Tabla2[[#This Row],[precio_unitario]]&lt;=58.49,"Accesible","Caro"))</f>
        <v>Caro</v>
      </c>
      <c r="J53" t="s">
        <v>8</v>
      </c>
      <c r="K53">
        <v>5</v>
      </c>
      <c r="L53" s="19">
        <v>165.91</v>
      </c>
      <c r="M53" s="19">
        <v>113.32</v>
      </c>
      <c r="N53" s="11">
        <v>0</v>
      </c>
      <c r="O53" s="17">
        <f t="shared" si="3"/>
        <v>829.55</v>
      </c>
      <c r="P53" s="17">
        <f t="shared" si="0"/>
        <v>566.59999999999991</v>
      </c>
      <c r="Q53" s="17">
        <f t="shared" si="1"/>
        <v>262.95000000000005</v>
      </c>
      <c r="R53" s="24">
        <f t="shared" si="2"/>
        <v>0.31697908504610939</v>
      </c>
      <c r="S53" t="s">
        <v>63</v>
      </c>
      <c r="T53" t="s">
        <v>64</v>
      </c>
    </row>
    <row r="54" spans="1:20" hidden="1">
      <c r="A54" t="s">
        <v>118</v>
      </c>
      <c r="B54" s="5">
        <v>45582</v>
      </c>
      <c r="C54" s="8">
        <f>YEAR(Tabla2[[#This Row],[fecha]])</f>
        <v>2024</v>
      </c>
      <c r="D54" s="8">
        <f>MONTH(Tabla2[[#This Row],[fecha]])</f>
        <v>10</v>
      </c>
      <c r="E54" s="8" t="str">
        <f>TEXT(Tabla2[[#This Row],[fecha]], "mmmm")</f>
        <v>octubre</v>
      </c>
      <c r="F54" s="8" t="str">
        <f>"T"&amp;ROUNDUP(Tabla2[[#This Row],[mes]]/3,0)</f>
        <v>T4</v>
      </c>
      <c r="G54" t="s">
        <v>13</v>
      </c>
      <c r="H54" t="s">
        <v>14</v>
      </c>
      <c r="I54" s="8" t="str">
        <f>IF(Tabla2[[#This Row],[precio_unitario]]&lt;=30,"Económico",IF(Tabla2[[#This Row],[precio_unitario]]&lt;=58.49,"Accesible","Caro"))</f>
        <v>Caro</v>
      </c>
      <c r="J54" t="s">
        <v>8</v>
      </c>
      <c r="K54">
        <v>1</v>
      </c>
      <c r="L54" s="19">
        <v>160.69</v>
      </c>
      <c r="M54" s="19">
        <v>111.3</v>
      </c>
      <c r="N54" s="11">
        <v>0</v>
      </c>
      <c r="O54" s="17">
        <f t="shared" si="3"/>
        <v>160.69</v>
      </c>
      <c r="P54" s="17">
        <f t="shared" si="0"/>
        <v>111.3</v>
      </c>
      <c r="Q54" s="17">
        <f t="shared" si="1"/>
        <v>49.39</v>
      </c>
      <c r="R54" s="24">
        <f t="shared" si="2"/>
        <v>0.30736200136909581</v>
      </c>
      <c r="S54" t="s">
        <v>101</v>
      </c>
      <c r="T54" t="s">
        <v>64</v>
      </c>
    </row>
    <row r="55" spans="1:20" hidden="1">
      <c r="A55" t="s">
        <v>119</v>
      </c>
      <c r="B55" s="5">
        <v>45338</v>
      </c>
      <c r="C55" s="8">
        <f>YEAR(Tabla2[[#This Row],[fecha]])</f>
        <v>2024</v>
      </c>
      <c r="D55" s="8">
        <f>MONTH(Tabla2[[#This Row],[fecha]])</f>
        <v>2</v>
      </c>
      <c r="E55" s="8" t="str">
        <f>TEXT(Tabla2[[#This Row],[fecha]], "mmmm")</f>
        <v>febrero</v>
      </c>
      <c r="F55" s="8" t="str">
        <f>"T"&amp;ROUNDUP(Tabla2[[#This Row],[mes]]/3,0)</f>
        <v>T1</v>
      </c>
      <c r="G55" t="s">
        <v>49</v>
      </c>
      <c r="H55" t="s">
        <v>50</v>
      </c>
      <c r="I55" s="8" t="str">
        <f>IF(Tabla2[[#This Row],[precio_unitario]]&lt;=30,"Económico",IF(Tabla2[[#This Row],[precio_unitario]]&lt;=58.49,"Accesible","Caro"))</f>
        <v>Caro</v>
      </c>
      <c r="J55" t="s">
        <v>44</v>
      </c>
      <c r="K55">
        <v>1</v>
      </c>
      <c r="L55" s="19">
        <v>64.23</v>
      </c>
      <c r="M55" s="19">
        <v>34.86</v>
      </c>
      <c r="N55" s="11">
        <v>0.2</v>
      </c>
      <c r="O55" s="17">
        <f t="shared" si="3"/>
        <v>51.384000000000007</v>
      </c>
      <c r="P55" s="17">
        <f t="shared" si="0"/>
        <v>34.86</v>
      </c>
      <c r="Q55" s="17">
        <f t="shared" si="1"/>
        <v>16.524000000000008</v>
      </c>
      <c r="R55" s="24">
        <f t="shared" si="2"/>
        <v>0.32157870154133594</v>
      </c>
      <c r="S55" t="s">
        <v>67</v>
      </c>
      <c r="T55" t="s">
        <v>64</v>
      </c>
    </row>
    <row r="56" spans="1:20" hidden="1">
      <c r="A56" t="s">
        <v>120</v>
      </c>
      <c r="B56" s="5">
        <v>45942</v>
      </c>
      <c r="C56" s="8">
        <f>YEAR(Tabla2[[#This Row],[fecha]])</f>
        <v>2025</v>
      </c>
      <c r="D56" s="8">
        <f>MONTH(Tabla2[[#This Row],[fecha]])</f>
        <v>10</v>
      </c>
      <c r="E56" s="8" t="str">
        <f>TEXT(Tabla2[[#This Row],[fecha]], "mmmm")</f>
        <v>octubre</v>
      </c>
      <c r="F56" s="8" t="str">
        <f>"T"&amp;ROUNDUP(Tabla2[[#This Row],[mes]]/3,0)</f>
        <v>T4</v>
      </c>
      <c r="G56" t="s">
        <v>31</v>
      </c>
      <c r="H56" t="s">
        <v>32</v>
      </c>
      <c r="I56" s="8" t="str">
        <f>IF(Tabla2[[#This Row],[precio_unitario]]&lt;=30,"Económico",IF(Tabla2[[#This Row],[precio_unitario]]&lt;=58.49,"Accesible","Caro"))</f>
        <v>Económico</v>
      </c>
      <c r="J56" t="s">
        <v>26</v>
      </c>
      <c r="K56">
        <v>1</v>
      </c>
      <c r="L56" s="19">
        <v>9.02</v>
      </c>
      <c r="M56" s="19">
        <v>5.52</v>
      </c>
      <c r="N56" s="11">
        <v>0.27</v>
      </c>
      <c r="O56" s="17">
        <f t="shared" si="3"/>
        <v>6.5845999999999991</v>
      </c>
      <c r="P56" s="17">
        <f t="shared" si="0"/>
        <v>5.52</v>
      </c>
      <c r="Q56" s="17">
        <f t="shared" si="1"/>
        <v>1.0645999999999995</v>
      </c>
      <c r="R56" s="24">
        <f t="shared" si="2"/>
        <v>0.16168028429972964</v>
      </c>
      <c r="S56" t="s">
        <v>540</v>
      </c>
      <c r="T56" t="s">
        <v>60</v>
      </c>
    </row>
    <row r="57" spans="1:20" hidden="1">
      <c r="A57" t="s">
        <v>121</v>
      </c>
      <c r="B57" s="5">
        <v>45439</v>
      </c>
      <c r="C57" s="8">
        <f>YEAR(Tabla2[[#This Row],[fecha]])</f>
        <v>2024</v>
      </c>
      <c r="D57" s="8">
        <f>MONTH(Tabla2[[#This Row],[fecha]])</f>
        <v>5</v>
      </c>
      <c r="E57" s="8" t="str">
        <f>TEXT(Tabla2[[#This Row],[fecha]], "mmmm")</f>
        <v>mayo</v>
      </c>
      <c r="F57" s="8" t="str">
        <f>"T"&amp;ROUNDUP(Tabla2[[#This Row],[mes]]/3,0)</f>
        <v>T2</v>
      </c>
      <c r="G57" t="s">
        <v>27</v>
      </c>
      <c r="H57" t="s">
        <v>28</v>
      </c>
      <c r="I57" s="8" t="str">
        <f>IF(Tabla2[[#This Row],[precio_unitario]]&lt;=30,"Económico",IF(Tabla2[[#This Row],[precio_unitario]]&lt;=58.49,"Accesible","Caro"))</f>
        <v>Económico</v>
      </c>
      <c r="J57" t="s">
        <v>26</v>
      </c>
      <c r="K57">
        <v>1</v>
      </c>
      <c r="L57" s="19">
        <v>16.809999999999999</v>
      </c>
      <c r="M57" s="19">
        <v>10.94</v>
      </c>
      <c r="N57" s="13">
        <v>0</v>
      </c>
      <c r="O57" s="17">
        <f t="shared" si="3"/>
        <v>16.809999999999999</v>
      </c>
      <c r="P57" s="17">
        <f t="shared" si="0"/>
        <v>10.94</v>
      </c>
      <c r="Q57" s="17">
        <f t="shared" si="1"/>
        <v>5.8699999999999992</v>
      </c>
      <c r="R57" s="24">
        <f t="shared" si="2"/>
        <v>0.34919690660321234</v>
      </c>
      <c r="S57" t="s">
        <v>67</v>
      </c>
      <c r="T57" t="s">
        <v>64</v>
      </c>
    </row>
    <row r="58" spans="1:20">
      <c r="A58" t="s">
        <v>122</v>
      </c>
      <c r="B58" s="5">
        <v>46018</v>
      </c>
      <c r="C58" s="8">
        <f>YEAR(Tabla2[[#This Row],[fecha]])</f>
        <v>2025</v>
      </c>
      <c r="D58" s="8">
        <f>MONTH(Tabla2[[#This Row],[fecha]])</f>
        <v>12</v>
      </c>
      <c r="E58" s="8" t="str">
        <f>TEXT(Tabla2[[#This Row],[fecha]], "mmmm")</f>
        <v>diciembre</v>
      </c>
      <c r="F58" s="8" t="str">
        <f>"T"&amp;ROUNDUP(Tabla2[[#This Row],[mes]]/3,0)</f>
        <v>T4</v>
      </c>
      <c r="G58" t="s">
        <v>42</v>
      </c>
      <c r="H58" t="s">
        <v>43</v>
      </c>
      <c r="I58" s="8" t="str">
        <f>IF(Tabla2[[#This Row],[precio_unitario]]&lt;=30,"Económico",IF(Tabla2[[#This Row],[precio_unitario]]&lt;=58.49,"Accesible","Caro"))</f>
        <v>Accesible</v>
      </c>
      <c r="J58" t="s">
        <v>44</v>
      </c>
      <c r="K58">
        <v>1</v>
      </c>
      <c r="L58" s="19">
        <v>49</v>
      </c>
      <c r="M58" s="19">
        <v>23.66</v>
      </c>
      <c r="N58" s="11">
        <v>0.11</v>
      </c>
      <c r="O58" s="17">
        <f t="shared" si="3"/>
        <v>43.61</v>
      </c>
      <c r="P58" s="17">
        <f t="shared" si="0"/>
        <v>23.66</v>
      </c>
      <c r="Q58" s="17">
        <f t="shared" si="1"/>
        <v>19.95</v>
      </c>
      <c r="R58" s="24">
        <f t="shared" si="2"/>
        <v>0.45746388443017655</v>
      </c>
      <c r="S58" t="s">
        <v>67</v>
      </c>
      <c r="T58" t="s">
        <v>60</v>
      </c>
    </row>
    <row r="59" spans="1:20" hidden="1">
      <c r="A59" t="s">
        <v>123</v>
      </c>
      <c r="B59" s="5">
        <v>45461</v>
      </c>
      <c r="C59" s="8">
        <f>YEAR(Tabla2[[#This Row],[fecha]])</f>
        <v>2024</v>
      </c>
      <c r="D59" s="8">
        <f>MONTH(Tabla2[[#This Row],[fecha]])</f>
        <v>6</v>
      </c>
      <c r="E59" s="8" t="str">
        <f>TEXT(Tabla2[[#This Row],[fecha]], "mmmm")</f>
        <v>junio</v>
      </c>
      <c r="F59" s="8" t="str">
        <f>"T"&amp;ROUNDUP(Tabla2[[#This Row],[mes]]/3,0)</f>
        <v>T2</v>
      </c>
      <c r="G59" t="s">
        <v>9</v>
      </c>
      <c r="H59" t="s">
        <v>10</v>
      </c>
      <c r="I59" s="8" t="str">
        <f>IF(Tabla2[[#This Row],[precio_unitario]]&lt;=30,"Económico",IF(Tabla2[[#This Row],[precio_unitario]]&lt;=58.49,"Accesible","Caro"))</f>
        <v>Caro</v>
      </c>
      <c r="J59" t="s">
        <v>8</v>
      </c>
      <c r="K59">
        <v>4</v>
      </c>
      <c r="L59" s="19">
        <v>71.14</v>
      </c>
      <c r="M59" s="19">
        <v>49.04</v>
      </c>
      <c r="N59" s="13">
        <v>0</v>
      </c>
      <c r="O59" s="17">
        <f t="shared" si="3"/>
        <v>284.56</v>
      </c>
      <c r="P59" s="17">
        <f t="shared" si="0"/>
        <v>196.16</v>
      </c>
      <c r="Q59" s="17">
        <f t="shared" si="1"/>
        <v>88.4</v>
      </c>
      <c r="R59" s="24">
        <f t="shared" si="2"/>
        <v>0.31065504638740515</v>
      </c>
      <c r="S59" t="s">
        <v>67</v>
      </c>
      <c r="T59" t="s">
        <v>64</v>
      </c>
    </row>
    <row r="60" spans="1:20" hidden="1">
      <c r="A60" t="s">
        <v>124</v>
      </c>
      <c r="B60" s="5">
        <v>45874</v>
      </c>
      <c r="C60" s="8">
        <f>YEAR(Tabla2[[#This Row],[fecha]])</f>
        <v>2025</v>
      </c>
      <c r="D60" s="8">
        <f>MONTH(Tabla2[[#This Row],[fecha]])</f>
        <v>8</v>
      </c>
      <c r="E60" s="8" t="str">
        <f>TEXT(Tabla2[[#This Row],[fecha]], "mmmm")</f>
        <v>agosto</v>
      </c>
      <c r="F60" s="8" t="str">
        <f>"T"&amp;ROUNDUP(Tabla2[[#This Row],[mes]]/3,0)</f>
        <v>T3</v>
      </c>
      <c r="G60" t="s">
        <v>29</v>
      </c>
      <c r="H60" t="s">
        <v>30</v>
      </c>
      <c r="I60" s="8" t="str">
        <f>IF(Tabla2[[#This Row],[precio_unitario]]&lt;=30,"Económico",IF(Tabla2[[#This Row],[precio_unitario]]&lt;=58.49,"Accesible","Caro"))</f>
        <v>Económico</v>
      </c>
      <c r="J60" t="s">
        <v>26</v>
      </c>
      <c r="K60">
        <v>2</v>
      </c>
      <c r="L60" s="19">
        <v>20.11</v>
      </c>
      <c r="M60" s="19">
        <v>11.46</v>
      </c>
      <c r="N60" s="11">
        <v>0.06</v>
      </c>
      <c r="O60" s="17">
        <f t="shared" si="3"/>
        <v>37.806799999999996</v>
      </c>
      <c r="P60" s="17">
        <f t="shared" si="0"/>
        <v>22.92</v>
      </c>
      <c r="Q60" s="17">
        <f t="shared" si="1"/>
        <v>14.886799999999994</v>
      </c>
      <c r="R60" s="24">
        <f t="shared" si="2"/>
        <v>0.39375985272490649</v>
      </c>
      <c r="S60" t="s">
        <v>63</v>
      </c>
      <c r="T60" t="s">
        <v>64</v>
      </c>
    </row>
    <row r="61" spans="1:20" hidden="1">
      <c r="A61" t="s">
        <v>125</v>
      </c>
      <c r="B61" s="5">
        <v>45368</v>
      </c>
      <c r="C61" s="8">
        <f>YEAR(Tabla2[[#This Row],[fecha]])</f>
        <v>2024</v>
      </c>
      <c r="D61" s="8">
        <f>MONTH(Tabla2[[#This Row],[fecha]])</f>
        <v>3</v>
      </c>
      <c r="E61" s="8" t="str">
        <f>TEXT(Tabla2[[#This Row],[fecha]], "mmmm")</f>
        <v>marzo</v>
      </c>
      <c r="F61" s="8" t="str">
        <f>"T"&amp;ROUNDUP(Tabla2[[#This Row],[mes]]/3,0)</f>
        <v>T1</v>
      </c>
      <c r="G61" t="s">
        <v>18</v>
      </c>
      <c r="H61" t="s">
        <v>19</v>
      </c>
      <c r="I61" s="8" t="str">
        <f>IF(Tabla2[[#This Row],[precio_unitario]]&lt;=30,"Económico",IF(Tabla2[[#This Row],[precio_unitario]]&lt;=58.49,"Accesible","Caro"))</f>
        <v>Accesible</v>
      </c>
      <c r="J61" t="s">
        <v>17</v>
      </c>
      <c r="K61">
        <v>2</v>
      </c>
      <c r="L61" s="19">
        <v>46.77</v>
      </c>
      <c r="M61" s="19">
        <v>26.76</v>
      </c>
      <c r="N61" s="11">
        <v>0</v>
      </c>
      <c r="O61" s="17">
        <f t="shared" si="3"/>
        <v>93.54</v>
      </c>
      <c r="P61" s="17">
        <f t="shared" si="0"/>
        <v>53.52</v>
      </c>
      <c r="Q61" s="17">
        <f t="shared" si="1"/>
        <v>40.020000000000003</v>
      </c>
      <c r="R61" s="24">
        <f t="shared" si="2"/>
        <v>0.42783835792174474</v>
      </c>
      <c r="S61" t="s">
        <v>63</v>
      </c>
      <c r="T61" t="s">
        <v>60</v>
      </c>
    </row>
    <row r="62" spans="1:20" hidden="1">
      <c r="A62" t="s">
        <v>126</v>
      </c>
      <c r="B62" s="5">
        <v>45295</v>
      </c>
      <c r="C62" s="8">
        <f>YEAR(Tabla2[[#This Row],[fecha]])</f>
        <v>2024</v>
      </c>
      <c r="D62" s="8">
        <f>MONTH(Tabla2[[#This Row],[fecha]])</f>
        <v>1</v>
      </c>
      <c r="E62" s="8" t="str">
        <f>TEXT(Tabla2[[#This Row],[fecha]], "mmmm")</f>
        <v>enero</v>
      </c>
      <c r="F62" s="8" t="str">
        <f>"T"&amp;ROUNDUP(Tabla2[[#This Row],[mes]]/3,0)</f>
        <v>T1</v>
      </c>
      <c r="G62" t="s">
        <v>27</v>
      </c>
      <c r="H62" t="s">
        <v>28</v>
      </c>
      <c r="I62" s="8" t="str">
        <f>IF(Tabla2[[#This Row],[precio_unitario]]&lt;=30,"Económico",IF(Tabla2[[#This Row],[precio_unitario]]&lt;=58.49,"Accesible","Caro"))</f>
        <v>Económico</v>
      </c>
      <c r="J62" t="s">
        <v>26</v>
      </c>
      <c r="K62">
        <v>1</v>
      </c>
      <c r="L62" s="19">
        <v>16.63</v>
      </c>
      <c r="M62" s="19">
        <v>11.26</v>
      </c>
      <c r="N62" s="11">
        <v>0</v>
      </c>
      <c r="O62" s="17">
        <f t="shared" si="3"/>
        <v>16.63</v>
      </c>
      <c r="P62" s="17">
        <f t="shared" si="0"/>
        <v>11.26</v>
      </c>
      <c r="Q62" s="17">
        <f t="shared" si="1"/>
        <v>5.3699999999999992</v>
      </c>
      <c r="R62" s="24">
        <f t="shared" si="2"/>
        <v>0.32291040288634992</v>
      </c>
      <c r="S62" t="s">
        <v>96</v>
      </c>
      <c r="T62" t="s">
        <v>64</v>
      </c>
    </row>
    <row r="63" spans="1:20" hidden="1">
      <c r="A63" t="s">
        <v>127</v>
      </c>
      <c r="B63" s="5">
        <v>45315</v>
      </c>
      <c r="C63" s="8">
        <f>YEAR(Tabla2[[#This Row],[fecha]])</f>
        <v>2024</v>
      </c>
      <c r="D63" s="8">
        <f>MONTH(Tabla2[[#This Row],[fecha]])</f>
        <v>1</v>
      </c>
      <c r="E63" s="8" t="str">
        <f>TEXT(Tabla2[[#This Row],[fecha]], "mmmm")</f>
        <v>enero</v>
      </c>
      <c r="F63" s="8" t="str">
        <f>"T"&amp;ROUNDUP(Tabla2[[#This Row],[mes]]/3,0)</f>
        <v>T1</v>
      </c>
      <c r="G63" t="s">
        <v>42</v>
      </c>
      <c r="H63" t="s">
        <v>43</v>
      </c>
      <c r="I63" s="8" t="str">
        <f>IF(Tabla2[[#This Row],[precio_unitario]]&lt;=30,"Económico",IF(Tabla2[[#This Row],[precio_unitario]]&lt;=58.49,"Accesible","Caro"))</f>
        <v>Accesible</v>
      </c>
      <c r="J63" t="s">
        <v>44</v>
      </c>
      <c r="K63">
        <v>2</v>
      </c>
      <c r="L63" s="19">
        <v>49.34</v>
      </c>
      <c r="M63" s="19">
        <v>21.96</v>
      </c>
      <c r="N63" s="11">
        <v>0</v>
      </c>
      <c r="O63" s="17">
        <f t="shared" si="3"/>
        <v>98.68</v>
      </c>
      <c r="P63" s="17">
        <f t="shared" si="0"/>
        <v>43.92</v>
      </c>
      <c r="Q63" s="17">
        <f t="shared" si="1"/>
        <v>54.760000000000005</v>
      </c>
      <c r="R63" s="24">
        <f t="shared" si="2"/>
        <v>0.55492501013376572</v>
      </c>
      <c r="S63" t="s">
        <v>63</v>
      </c>
      <c r="T63" t="s">
        <v>64</v>
      </c>
    </row>
    <row r="64" spans="1:20" hidden="1">
      <c r="A64" t="s">
        <v>128</v>
      </c>
      <c r="B64" s="5">
        <v>45843</v>
      </c>
      <c r="C64" s="8">
        <f>YEAR(Tabla2[[#This Row],[fecha]])</f>
        <v>2025</v>
      </c>
      <c r="D64" s="8">
        <f>MONTH(Tabla2[[#This Row],[fecha]])</f>
        <v>7</v>
      </c>
      <c r="E64" s="8" t="str">
        <f>TEXT(Tabla2[[#This Row],[fecha]], "mmmm")</f>
        <v>julio</v>
      </c>
      <c r="F64" s="8" t="str">
        <f>"T"&amp;ROUNDUP(Tabla2[[#This Row],[mes]]/3,0)</f>
        <v>T3</v>
      </c>
      <c r="G64" t="s">
        <v>38</v>
      </c>
      <c r="H64" t="s">
        <v>39</v>
      </c>
      <c r="I64" s="8" t="str">
        <f>IF(Tabla2[[#This Row],[precio_unitario]]&lt;=30,"Económico",IF(Tabla2[[#This Row],[precio_unitario]]&lt;=58.49,"Accesible","Caro"))</f>
        <v>Caro</v>
      </c>
      <c r="J64" t="s">
        <v>35</v>
      </c>
      <c r="K64">
        <v>8</v>
      </c>
      <c r="L64" s="19">
        <v>81.78</v>
      </c>
      <c r="M64" s="21">
        <f>INDEX(Tabla3[coste_objetivo], MATCH(Tabla2[[#This Row],[id_producto]], Tabla3[id_producto],0))</f>
        <v>42.79</v>
      </c>
      <c r="N64" s="11">
        <v>0</v>
      </c>
      <c r="O64" s="17">
        <f t="shared" si="3"/>
        <v>654.24</v>
      </c>
      <c r="P64" s="17">
        <f t="shared" si="0"/>
        <v>342.32</v>
      </c>
      <c r="Q64" s="17">
        <f t="shared" si="1"/>
        <v>311.92</v>
      </c>
      <c r="R64" s="24">
        <f t="shared" si="2"/>
        <v>0.47676693568109563</v>
      </c>
      <c r="S64" t="s">
        <v>83</v>
      </c>
      <c r="T64" t="s">
        <v>64</v>
      </c>
    </row>
    <row r="65" spans="1:20" hidden="1">
      <c r="A65" t="s">
        <v>129</v>
      </c>
      <c r="B65" s="5">
        <v>45515</v>
      </c>
      <c r="C65" s="8">
        <f>YEAR(Tabla2[[#This Row],[fecha]])</f>
        <v>2024</v>
      </c>
      <c r="D65" s="8">
        <f>MONTH(Tabla2[[#This Row],[fecha]])</f>
        <v>8</v>
      </c>
      <c r="E65" s="8" t="str">
        <f>TEXT(Tabla2[[#This Row],[fecha]], "mmmm")</f>
        <v>agosto</v>
      </c>
      <c r="F65" s="8" t="str">
        <f>"T"&amp;ROUNDUP(Tabla2[[#This Row],[mes]]/3,0)</f>
        <v>T3</v>
      </c>
      <c r="G65" t="s">
        <v>6</v>
      </c>
      <c r="H65" t="s">
        <v>7</v>
      </c>
      <c r="I65" s="8" t="str">
        <f>IF(Tabla2[[#This Row],[precio_unitario]]&lt;=30,"Económico",IF(Tabla2[[#This Row],[precio_unitario]]&lt;=58.49,"Accesible","Caro"))</f>
        <v>Caro</v>
      </c>
      <c r="J65" t="s">
        <v>8</v>
      </c>
      <c r="K65">
        <v>2</v>
      </c>
      <c r="L65" s="19">
        <v>131.85</v>
      </c>
      <c r="M65" s="19">
        <v>87.97</v>
      </c>
      <c r="N65" s="11">
        <v>0.28000000000000003</v>
      </c>
      <c r="O65" s="17">
        <f t="shared" si="3"/>
        <v>189.86399999999998</v>
      </c>
      <c r="P65" s="17">
        <f t="shared" si="0"/>
        <v>175.94</v>
      </c>
      <c r="Q65" s="17">
        <f t="shared" si="1"/>
        <v>13.923999999999978</v>
      </c>
      <c r="R65" s="24">
        <f t="shared" si="2"/>
        <v>7.3336704167193248E-2</v>
      </c>
      <c r="S65" t="s">
        <v>83</v>
      </c>
      <c r="T65" t="s">
        <v>60</v>
      </c>
    </row>
    <row r="66" spans="1:20" hidden="1">
      <c r="A66" t="s">
        <v>130</v>
      </c>
      <c r="B66" s="5">
        <v>45925</v>
      </c>
      <c r="C66" s="8">
        <f>YEAR(Tabla2[[#This Row],[fecha]])</f>
        <v>2025</v>
      </c>
      <c r="D66" s="8">
        <f>MONTH(Tabla2[[#This Row],[fecha]])</f>
        <v>9</v>
      </c>
      <c r="E66" s="8" t="str">
        <f>TEXT(Tabla2[[#This Row],[fecha]], "mmmm")</f>
        <v>septiembre</v>
      </c>
      <c r="F66" s="8" t="str">
        <f>"T"&amp;ROUNDUP(Tabla2[[#This Row],[mes]]/3,0)</f>
        <v>T3</v>
      </c>
      <c r="G66" t="s">
        <v>20</v>
      </c>
      <c r="H66" t="s">
        <v>21</v>
      </c>
      <c r="I66" s="8" t="str">
        <f>IF(Tabla2[[#This Row],[precio_unitario]]&lt;=30,"Económico",IF(Tabla2[[#This Row],[precio_unitario]]&lt;=58.49,"Accesible","Caro"))</f>
        <v>Económico</v>
      </c>
      <c r="J66" t="s">
        <v>17</v>
      </c>
      <c r="K66">
        <v>7</v>
      </c>
      <c r="L66" s="19">
        <v>18.29</v>
      </c>
      <c r="M66" s="19">
        <v>13.12</v>
      </c>
      <c r="N66" s="11">
        <v>0</v>
      </c>
      <c r="O66" s="17">
        <f t="shared" si="3"/>
        <v>128.03</v>
      </c>
      <c r="P66" s="17">
        <f t="shared" ref="P66:P129" si="4">M66*K66</f>
        <v>91.839999999999989</v>
      </c>
      <c r="Q66" s="17">
        <f t="shared" ref="Q66:Q129" si="5">O66-P66</f>
        <v>36.190000000000012</v>
      </c>
      <c r="R66" s="24">
        <f t="shared" ref="R66:R129" si="6">IFERROR(Q66/O66,0)</f>
        <v>0.28266812465828328</v>
      </c>
      <c r="S66" t="s">
        <v>540</v>
      </c>
      <c r="T66" t="s">
        <v>64</v>
      </c>
    </row>
    <row r="67" spans="1:20">
      <c r="A67" t="s">
        <v>131</v>
      </c>
      <c r="B67" s="5">
        <v>46006</v>
      </c>
      <c r="C67" s="8">
        <f>YEAR(Tabla2[[#This Row],[fecha]])</f>
        <v>2025</v>
      </c>
      <c r="D67" s="8">
        <f>MONTH(Tabla2[[#This Row],[fecha]])</f>
        <v>12</v>
      </c>
      <c r="E67" s="8" t="str">
        <f>TEXT(Tabla2[[#This Row],[fecha]], "mmmm")</f>
        <v>diciembre</v>
      </c>
      <c r="F67" s="8" t="str">
        <f>"T"&amp;ROUNDUP(Tabla2[[#This Row],[mes]]/3,0)</f>
        <v>T4</v>
      </c>
      <c r="G67" t="s">
        <v>38</v>
      </c>
      <c r="H67" t="s">
        <v>39</v>
      </c>
      <c r="I67" s="8" t="str">
        <f>IF(Tabla2[[#This Row],[precio_unitario]]&lt;=30,"Económico",IF(Tabla2[[#This Row],[precio_unitario]]&lt;=58.49,"Accesible","Caro"))</f>
        <v>Caro</v>
      </c>
      <c r="J67" t="s">
        <v>35</v>
      </c>
      <c r="K67">
        <v>4</v>
      </c>
      <c r="L67" s="19">
        <v>82.54</v>
      </c>
      <c r="M67" s="19">
        <v>41.01</v>
      </c>
      <c r="N67" s="13">
        <v>0</v>
      </c>
      <c r="O67" s="17">
        <f t="shared" ref="O67:O130" si="7">K67*L67*(1-N67)</f>
        <v>330.16</v>
      </c>
      <c r="P67" s="17">
        <f t="shared" si="4"/>
        <v>164.04</v>
      </c>
      <c r="Q67" s="17">
        <f t="shared" si="5"/>
        <v>166.12000000000003</v>
      </c>
      <c r="R67" s="24">
        <f t="shared" si="6"/>
        <v>0.50314998788466203</v>
      </c>
      <c r="S67" t="s">
        <v>67</v>
      </c>
      <c r="T67" t="s">
        <v>64</v>
      </c>
    </row>
    <row r="68" spans="1:20" hidden="1">
      <c r="A68" t="s">
        <v>132</v>
      </c>
      <c r="B68" s="5">
        <v>45912</v>
      </c>
      <c r="C68" s="8">
        <f>YEAR(Tabla2[[#This Row],[fecha]])</f>
        <v>2025</v>
      </c>
      <c r="D68" s="8">
        <f>MONTH(Tabla2[[#This Row],[fecha]])</f>
        <v>9</v>
      </c>
      <c r="E68" s="8" t="str">
        <f>TEXT(Tabla2[[#This Row],[fecha]], "mmmm")</f>
        <v>septiembre</v>
      </c>
      <c r="F68" s="8" t="str">
        <f>"T"&amp;ROUNDUP(Tabla2[[#This Row],[mes]]/3,0)</f>
        <v>T3</v>
      </c>
      <c r="G68" t="s">
        <v>18</v>
      </c>
      <c r="H68" t="s">
        <v>19</v>
      </c>
      <c r="I68" s="8" t="str">
        <f>IF(Tabla2[[#This Row],[precio_unitario]]&lt;=30,"Económico",IF(Tabla2[[#This Row],[precio_unitario]]&lt;=58.49,"Accesible","Caro"))</f>
        <v>Accesible</v>
      </c>
      <c r="J68" t="s">
        <v>17</v>
      </c>
      <c r="K68">
        <v>1</v>
      </c>
      <c r="L68" s="19">
        <v>50.19</v>
      </c>
      <c r="M68" s="19">
        <v>25.59</v>
      </c>
      <c r="N68" s="11">
        <v>0.13</v>
      </c>
      <c r="O68" s="17">
        <f t="shared" si="7"/>
        <v>43.665299999999995</v>
      </c>
      <c r="P68" s="17">
        <f t="shared" si="4"/>
        <v>25.59</v>
      </c>
      <c r="Q68" s="17">
        <f t="shared" si="5"/>
        <v>18.075299999999995</v>
      </c>
      <c r="R68" s="24">
        <f t="shared" si="6"/>
        <v>0.41395112366112213</v>
      </c>
      <c r="S68" t="s">
        <v>83</v>
      </c>
      <c r="T68" t="s">
        <v>133</v>
      </c>
    </row>
    <row r="69" spans="1:20" hidden="1">
      <c r="A69" t="s">
        <v>134</v>
      </c>
      <c r="B69" s="5">
        <v>45694</v>
      </c>
      <c r="C69" s="8">
        <f>YEAR(Tabla2[[#This Row],[fecha]])</f>
        <v>2025</v>
      </c>
      <c r="D69" s="8">
        <f>MONTH(Tabla2[[#This Row],[fecha]])</f>
        <v>2</v>
      </c>
      <c r="E69" s="8" t="str">
        <f>TEXT(Tabla2[[#This Row],[fecha]], "mmmm")</f>
        <v>febrero</v>
      </c>
      <c r="F69" s="8" t="str">
        <f>"T"&amp;ROUNDUP(Tabla2[[#This Row],[mes]]/3,0)</f>
        <v>T1</v>
      </c>
      <c r="G69" t="s">
        <v>24</v>
      </c>
      <c r="H69" t="s">
        <v>25</v>
      </c>
      <c r="I69" s="8" t="str">
        <f>IF(Tabla2[[#This Row],[precio_unitario]]&lt;=30,"Económico",IF(Tabla2[[#This Row],[precio_unitario]]&lt;=58.49,"Accesible","Caro"))</f>
        <v>Económico</v>
      </c>
      <c r="J69" t="s">
        <v>26</v>
      </c>
      <c r="K69">
        <v>6</v>
      </c>
      <c r="L69" s="19">
        <v>8.24</v>
      </c>
      <c r="M69" s="19">
        <v>4.29</v>
      </c>
      <c r="N69" s="11">
        <v>0</v>
      </c>
      <c r="O69" s="17">
        <f t="shared" si="7"/>
        <v>49.44</v>
      </c>
      <c r="P69" s="17">
        <f t="shared" si="4"/>
        <v>25.740000000000002</v>
      </c>
      <c r="Q69" s="17">
        <f t="shared" si="5"/>
        <v>23.699999999999996</v>
      </c>
      <c r="R69" s="24">
        <f t="shared" si="6"/>
        <v>0.47936893203883491</v>
      </c>
      <c r="S69" t="s">
        <v>540</v>
      </c>
      <c r="T69" t="s">
        <v>64</v>
      </c>
    </row>
    <row r="70" spans="1:20" hidden="1">
      <c r="A70" t="s">
        <v>135</v>
      </c>
      <c r="B70" s="5">
        <v>45641</v>
      </c>
      <c r="C70" s="8">
        <f>YEAR(Tabla2[[#This Row],[fecha]])</f>
        <v>2024</v>
      </c>
      <c r="D70" s="8">
        <f>MONTH(Tabla2[[#This Row],[fecha]])</f>
        <v>12</v>
      </c>
      <c r="E70" s="8" t="str">
        <f>TEXT(Tabla2[[#This Row],[fecha]], "mmmm")</f>
        <v>diciembre</v>
      </c>
      <c r="F70" s="8" t="str">
        <f>"T"&amp;ROUNDUP(Tabla2[[#This Row],[mes]]/3,0)</f>
        <v>T4</v>
      </c>
      <c r="G70" t="s">
        <v>6</v>
      </c>
      <c r="H70" t="s">
        <v>7</v>
      </c>
      <c r="I70" s="8" t="str">
        <f>IF(Tabla2[[#This Row],[precio_unitario]]&lt;=30,"Económico",IF(Tabla2[[#This Row],[precio_unitario]]&lt;=58.49,"Accesible","Caro"))</f>
        <v>Caro</v>
      </c>
      <c r="J70" t="s">
        <v>8</v>
      </c>
      <c r="K70">
        <v>3</v>
      </c>
      <c r="L70" s="19">
        <v>127.66</v>
      </c>
      <c r="M70" s="19">
        <v>86</v>
      </c>
      <c r="N70" s="11">
        <v>0</v>
      </c>
      <c r="O70" s="17">
        <f t="shared" si="7"/>
        <v>382.98</v>
      </c>
      <c r="P70" s="17">
        <f t="shared" si="4"/>
        <v>258</v>
      </c>
      <c r="Q70" s="17">
        <f t="shared" si="5"/>
        <v>124.98000000000002</v>
      </c>
      <c r="R70" s="24">
        <f t="shared" si="6"/>
        <v>0.32633557888140374</v>
      </c>
      <c r="S70" t="s">
        <v>67</v>
      </c>
      <c r="T70" t="s">
        <v>60</v>
      </c>
    </row>
    <row r="71" spans="1:20">
      <c r="A71" t="s">
        <v>136</v>
      </c>
      <c r="B71" s="5">
        <v>45783</v>
      </c>
      <c r="C71" s="8">
        <f>YEAR(Tabla2[[#This Row],[fecha]])</f>
        <v>2025</v>
      </c>
      <c r="D71" s="8">
        <f>MONTH(Tabla2[[#This Row],[fecha]])</f>
        <v>5</v>
      </c>
      <c r="E71" s="8" t="str">
        <f>TEXT(Tabla2[[#This Row],[fecha]], "mmmm")</f>
        <v>mayo</v>
      </c>
      <c r="F71" s="8" t="str">
        <f>"T"&amp;ROUNDUP(Tabla2[[#This Row],[mes]]/3,0)</f>
        <v>T2</v>
      </c>
      <c r="G71" t="s">
        <v>40</v>
      </c>
      <c r="H71" t="s">
        <v>41</v>
      </c>
      <c r="I71" s="8" t="str">
        <f>IF(Tabla2[[#This Row],[precio_unitario]]&lt;=30,"Económico",IF(Tabla2[[#This Row],[precio_unitario]]&lt;=58.49,"Accesible","Caro"))</f>
        <v>Caro</v>
      </c>
      <c r="J71" t="s">
        <v>35</v>
      </c>
      <c r="K71">
        <v>4</v>
      </c>
      <c r="L71" s="19">
        <v>81.36</v>
      </c>
      <c r="M71" s="19">
        <v>39.4</v>
      </c>
      <c r="N71" s="11">
        <v>0</v>
      </c>
      <c r="O71" s="17">
        <f t="shared" si="7"/>
        <v>325.44</v>
      </c>
      <c r="P71" s="17">
        <f t="shared" si="4"/>
        <v>157.6</v>
      </c>
      <c r="Q71" s="17">
        <f t="shared" si="5"/>
        <v>167.84</v>
      </c>
      <c r="R71" s="24">
        <f t="shared" si="6"/>
        <v>0.515732546705998</v>
      </c>
      <c r="S71" t="s">
        <v>67</v>
      </c>
      <c r="T71" t="s">
        <v>64</v>
      </c>
    </row>
    <row r="72" spans="1:20">
      <c r="A72" t="s">
        <v>137</v>
      </c>
      <c r="B72" s="5">
        <v>45682</v>
      </c>
      <c r="C72" s="8">
        <f>YEAR(Tabla2[[#This Row],[fecha]])</f>
        <v>2025</v>
      </c>
      <c r="D72" s="8">
        <f>MONTH(Tabla2[[#This Row],[fecha]])</f>
        <v>1</v>
      </c>
      <c r="E72" s="8" t="str">
        <f>TEXT(Tabla2[[#This Row],[fecha]], "mmmm")</f>
        <v>enero</v>
      </c>
      <c r="F72" s="8" t="str">
        <f>"T"&amp;ROUNDUP(Tabla2[[#This Row],[mes]]/3,0)</f>
        <v>T1</v>
      </c>
      <c r="G72" t="s">
        <v>20</v>
      </c>
      <c r="H72" t="s">
        <v>21</v>
      </c>
      <c r="I72" s="8" t="str">
        <f>IF(Tabla2[[#This Row],[precio_unitario]]&lt;=30,"Económico",IF(Tabla2[[#This Row],[precio_unitario]]&lt;=58.49,"Accesible","Caro"))</f>
        <v>Económico</v>
      </c>
      <c r="J72" t="s">
        <v>17</v>
      </c>
      <c r="K72">
        <v>1</v>
      </c>
      <c r="L72" s="19">
        <v>19.39</v>
      </c>
      <c r="M72" s="19">
        <v>13.35</v>
      </c>
      <c r="N72" s="11">
        <v>0</v>
      </c>
      <c r="O72" s="17">
        <f t="shared" si="7"/>
        <v>19.39</v>
      </c>
      <c r="P72" s="17">
        <f t="shared" si="4"/>
        <v>13.35</v>
      </c>
      <c r="Q72" s="17">
        <f t="shared" si="5"/>
        <v>6.0400000000000009</v>
      </c>
      <c r="R72" s="24">
        <f t="shared" si="6"/>
        <v>0.31150077359463646</v>
      </c>
      <c r="S72" t="s">
        <v>67</v>
      </c>
      <c r="T72" t="s">
        <v>60</v>
      </c>
    </row>
    <row r="73" spans="1:20" hidden="1">
      <c r="A73" t="s">
        <v>138</v>
      </c>
      <c r="B73" s="5">
        <v>45501</v>
      </c>
      <c r="C73" s="8">
        <f>YEAR(Tabla2[[#This Row],[fecha]])</f>
        <v>2024</v>
      </c>
      <c r="D73" s="8">
        <f>MONTH(Tabla2[[#This Row],[fecha]])</f>
        <v>7</v>
      </c>
      <c r="E73" s="8" t="str">
        <f>TEXT(Tabla2[[#This Row],[fecha]], "mmmm")</f>
        <v>julio</v>
      </c>
      <c r="F73" s="8" t="str">
        <f>"T"&amp;ROUNDUP(Tabla2[[#This Row],[mes]]/3,0)</f>
        <v>T3</v>
      </c>
      <c r="G73" t="s">
        <v>29</v>
      </c>
      <c r="H73" t="s">
        <v>30</v>
      </c>
      <c r="I73" s="8" t="str">
        <f>IF(Tabla2[[#This Row],[precio_unitario]]&lt;=30,"Económico",IF(Tabla2[[#This Row],[precio_unitario]]&lt;=58.49,"Accesible","Caro"))</f>
        <v>Económico</v>
      </c>
      <c r="J73" t="s">
        <v>26</v>
      </c>
      <c r="K73">
        <v>1</v>
      </c>
      <c r="L73" s="19">
        <v>22.8</v>
      </c>
      <c r="M73" s="19">
        <v>11.56</v>
      </c>
      <c r="N73" s="11">
        <v>0.25</v>
      </c>
      <c r="O73" s="17">
        <f t="shared" si="7"/>
        <v>17.100000000000001</v>
      </c>
      <c r="P73" s="17">
        <f t="shared" si="4"/>
        <v>11.56</v>
      </c>
      <c r="Q73" s="17">
        <f t="shared" si="5"/>
        <v>5.5400000000000009</v>
      </c>
      <c r="R73" s="24">
        <f t="shared" si="6"/>
        <v>0.32397660818713453</v>
      </c>
      <c r="S73" t="s">
        <v>63</v>
      </c>
      <c r="T73" t="s">
        <v>64</v>
      </c>
    </row>
    <row r="74" spans="1:20" hidden="1">
      <c r="A74" t="s">
        <v>139</v>
      </c>
      <c r="B74" s="5">
        <v>45878</v>
      </c>
      <c r="C74" s="8">
        <f>YEAR(Tabla2[[#This Row],[fecha]])</f>
        <v>2025</v>
      </c>
      <c r="D74" s="8">
        <f>MONTH(Tabla2[[#This Row],[fecha]])</f>
        <v>8</v>
      </c>
      <c r="E74" s="8" t="str">
        <f>TEXT(Tabla2[[#This Row],[fecha]], "mmmm")</f>
        <v>agosto</v>
      </c>
      <c r="F74" s="8" t="str">
        <f>"T"&amp;ROUNDUP(Tabla2[[#This Row],[mes]]/3,0)</f>
        <v>T3</v>
      </c>
      <c r="G74" t="s">
        <v>40</v>
      </c>
      <c r="H74" t="s">
        <v>41</v>
      </c>
      <c r="I74" s="8" t="str">
        <f>IF(Tabla2[[#This Row],[precio_unitario]]&lt;=30,"Económico",IF(Tabla2[[#This Row],[precio_unitario]]&lt;=58.49,"Accesible","Caro"))</f>
        <v>Caro</v>
      </c>
      <c r="J74" t="s">
        <v>35</v>
      </c>
      <c r="K74">
        <v>1</v>
      </c>
      <c r="L74" s="19">
        <v>81.569999999999993</v>
      </c>
      <c r="M74" s="19">
        <v>41.02</v>
      </c>
      <c r="N74" s="11">
        <v>0</v>
      </c>
      <c r="O74" s="17">
        <f t="shared" si="7"/>
        <v>81.569999999999993</v>
      </c>
      <c r="P74" s="17">
        <f t="shared" si="4"/>
        <v>41.02</v>
      </c>
      <c r="Q74" s="17">
        <f t="shared" si="5"/>
        <v>40.54999999999999</v>
      </c>
      <c r="R74" s="24">
        <f t="shared" si="6"/>
        <v>0.49711903886232678</v>
      </c>
      <c r="S74" t="s">
        <v>96</v>
      </c>
      <c r="T74" t="s">
        <v>64</v>
      </c>
    </row>
    <row r="75" spans="1:20" hidden="1">
      <c r="A75" t="s">
        <v>140</v>
      </c>
      <c r="B75" s="5">
        <v>45620</v>
      </c>
      <c r="C75" s="8">
        <f>YEAR(Tabla2[[#This Row],[fecha]])</f>
        <v>2024</v>
      </c>
      <c r="D75" s="8">
        <f>MONTH(Tabla2[[#This Row],[fecha]])</f>
        <v>11</v>
      </c>
      <c r="E75" s="8" t="str">
        <f>TEXT(Tabla2[[#This Row],[fecha]], "mmmm")</f>
        <v>noviembre</v>
      </c>
      <c r="F75" s="8" t="str">
        <f>"T"&amp;ROUNDUP(Tabla2[[#This Row],[mes]]/3,0)</f>
        <v>T4</v>
      </c>
      <c r="G75" t="s">
        <v>22</v>
      </c>
      <c r="H75" t="s">
        <v>23</v>
      </c>
      <c r="I75" s="8" t="str">
        <f>IF(Tabla2[[#This Row],[precio_unitario]]&lt;=30,"Económico",IF(Tabla2[[#This Row],[precio_unitario]]&lt;=58.49,"Accesible","Caro"))</f>
        <v>Caro</v>
      </c>
      <c r="J75" t="s">
        <v>17</v>
      </c>
      <c r="K75">
        <v>3</v>
      </c>
      <c r="L75" s="19">
        <v>97.35</v>
      </c>
      <c r="M75" s="19">
        <v>56.61</v>
      </c>
      <c r="N75" s="11">
        <v>0.09</v>
      </c>
      <c r="O75" s="17">
        <f t="shared" si="7"/>
        <v>265.76549999999997</v>
      </c>
      <c r="P75" s="17">
        <f t="shared" si="4"/>
        <v>169.82999999999998</v>
      </c>
      <c r="Q75" s="17">
        <f t="shared" si="5"/>
        <v>95.93549999999999</v>
      </c>
      <c r="R75" s="24">
        <f t="shared" si="6"/>
        <v>0.36097800504580163</v>
      </c>
      <c r="S75" t="s">
        <v>67</v>
      </c>
      <c r="T75" t="s">
        <v>64</v>
      </c>
    </row>
    <row r="76" spans="1:20" hidden="1">
      <c r="A76" t="s">
        <v>141</v>
      </c>
      <c r="B76" s="5">
        <v>45415</v>
      </c>
      <c r="C76" s="8">
        <f>YEAR(Tabla2[[#This Row],[fecha]])</f>
        <v>2024</v>
      </c>
      <c r="D76" s="8">
        <f>MONTH(Tabla2[[#This Row],[fecha]])</f>
        <v>5</v>
      </c>
      <c r="E76" s="8" t="str">
        <f>TEXT(Tabla2[[#This Row],[fecha]], "mmmm")</f>
        <v>mayo</v>
      </c>
      <c r="F76" s="8" t="str">
        <f>"T"&amp;ROUNDUP(Tabla2[[#This Row],[mes]]/3,0)</f>
        <v>T2</v>
      </c>
      <c r="G76" t="s">
        <v>15</v>
      </c>
      <c r="H76" t="s">
        <v>16</v>
      </c>
      <c r="I76" s="8" t="str">
        <f>IF(Tabla2[[#This Row],[precio_unitario]]&lt;=30,"Económico",IF(Tabla2[[#This Row],[precio_unitario]]&lt;=58.49,"Accesible","Caro"))</f>
        <v>Caro</v>
      </c>
      <c r="J76" t="s">
        <v>17</v>
      </c>
      <c r="K76">
        <v>5</v>
      </c>
      <c r="L76" s="19">
        <v>63.52</v>
      </c>
      <c r="M76" s="19">
        <v>41.6</v>
      </c>
      <c r="N76" s="11">
        <v>0</v>
      </c>
      <c r="O76" s="17">
        <f t="shared" si="7"/>
        <v>317.60000000000002</v>
      </c>
      <c r="P76" s="17">
        <f t="shared" si="4"/>
        <v>208</v>
      </c>
      <c r="Q76" s="17">
        <f t="shared" si="5"/>
        <v>109.60000000000002</v>
      </c>
      <c r="R76" s="24">
        <f t="shared" si="6"/>
        <v>0.34508816120906805</v>
      </c>
      <c r="S76" t="s">
        <v>67</v>
      </c>
      <c r="T76" t="s">
        <v>64</v>
      </c>
    </row>
    <row r="77" spans="1:20" hidden="1">
      <c r="A77" t="s">
        <v>142</v>
      </c>
      <c r="B77" s="5">
        <v>45604</v>
      </c>
      <c r="C77" s="8">
        <f>YEAR(Tabla2[[#This Row],[fecha]])</f>
        <v>2024</v>
      </c>
      <c r="D77" s="8">
        <f>MONTH(Tabla2[[#This Row],[fecha]])</f>
        <v>11</v>
      </c>
      <c r="E77" s="8" t="str">
        <f>TEXT(Tabla2[[#This Row],[fecha]], "mmmm")</f>
        <v>noviembre</v>
      </c>
      <c r="F77" s="8" t="str">
        <f>"T"&amp;ROUNDUP(Tabla2[[#This Row],[mes]]/3,0)</f>
        <v>T4</v>
      </c>
      <c r="G77" t="s">
        <v>6</v>
      </c>
      <c r="H77" t="s">
        <v>7</v>
      </c>
      <c r="I77" s="8" t="str">
        <f>IF(Tabla2[[#This Row],[precio_unitario]]&lt;=30,"Económico",IF(Tabla2[[#This Row],[precio_unitario]]&lt;=58.49,"Accesible","Caro"))</f>
        <v>Caro</v>
      </c>
      <c r="J77" t="s">
        <v>8</v>
      </c>
      <c r="K77">
        <v>3</v>
      </c>
      <c r="L77" s="19">
        <v>118.88</v>
      </c>
      <c r="M77" s="19">
        <v>82.38</v>
      </c>
      <c r="N77" s="11">
        <v>0.09</v>
      </c>
      <c r="O77" s="17">
        <f t="shared" si="7"/>
        <v>324.54239999999999</v>
      </c>
      <c r="P77" s="17">
        <f t="shared" si="4"/>
        <v>247.14</v>
      </c>
      <c r="Q77" s="17">
        <f t="shared" si="5"/>
        <v>77.4024</v>
      </c>
      <c r="R77" s="24">
        <f t="shared" si="6"/>
        <v>0.23849703459393903</v>
      </c>
      <c r="S77" t="s">
        <v>540</v>
      </c>
      <c r="T77" t="s">
        <v>64</v>
      </c>
    </row>
    <row r="78" spans="1:20" hidden="1">
      <c r="A78" t="s">
        <v>143</v>
      </c>
      <c r="B78" s="5">
        <v>45518</v>
      </c>
      <c r="C78" s="8">
        <f>YEAR(Tabla2[[#This Row],[fecha]])</f>
        <v>2024</v>
      </c>
      <c r="D78" s="8">
        <f>MONTH(Tabla2[[#This Row],[fecha]])</f>
        <v>8</v>
      </c>
      <c r="E78" s="8" t="str">
        <f>TEXT(Tabla2[[#This Row],[fecha]], "mmmm")</f>
        <v>agosto</v>
      </c>
      <c r="F78" s="8" t="str">
        <f>"T"&amp;ROUNDUP(Tabla2[[#This Row],[mes]]/3,0)</f>
        <v>T3</v>
      </c>
      <c r="G78" t="s">
        <v>49</v>
      </c>
      <c r="H78" t="s">
        <v>50</v>
      </c>
      <c r="I78" s="8" t="str">
        <f>IF(Tabla2[[#This Row],[precio_unitario]]&lt;=30,"Económico",IF(Tabla2[[#This Row],[precio_unitario]]&lt;=58.49,"Accesible","Caro"))</f>
        <v>Caro</v>
      </c>
      <c r="J78" t="s">
        <v>44</v>
      </c>
      <c r="K78">
        <v>2</v>
      </c>
      <c r="L78" s="19">
        <v>61.76</v>
      </c>
      <c r="M78" s="19">
        <v>32.49</v>
      </c>
      <c r="N78" s="11">
        <v>0.06</v>
      </c>
      <c r="O78" s="17">
        <f t="shared" si="7"/>
        <v>116.10879999999999</v>
      </c>
      <c r="P78" s="17">
        <f t="shared" si="4"/>
        <v>64.98</v>
      </c>
      <c r="Q78" s="17">
        <f t="shared" si="5"/>
        <v>51.128799999999984</v>
      </c>
      <c r="R78" s="24">
        <f t="shared" si="6"/>
        <v>0.4403524969683606</v>
      </c>
      <c r="S78" t="s">
        <v>83</v>
      </c>
      <c r="T78" t="s">
        <v>64</v>
      </c>
    </row>
    <row r="79" spans="1:20" hidden="1">
      <c r="A79" t="s">
        <v>144</v>
      </c>
      <c r="B79" s="5">
        <v>45856</v>
      </c>
      <c r="C79" s="8">
        <f>YEAR(Tabla2[[#This Row],[fecha]])</f>
        <v>2025</v>
      </c>
      <c r="D79" s="8">
        <f>MONTH(Tabla2[[#This Row],[fecha]])</f>
        <v>7</v>
      </c>
      <c r="E79" s="8" t="str">
        <f>TEXT(Tabla2[[#This Row],[fecha]], "mmmm")</f>
        <v>julio</v>
      </c>
      <c r="F79" s="8" t="str">
        <f>"T"&amp;ROUNDUP(Tabla2[[#This Row],[mes]]/3,0)</f>
        <v>T3</v>
      </c>
      <c r="G79" t="s">
        <v>45</v>
      </c>
      <c r="H79" t="s">
        <v>46</v>
      </c>
      <c r="I79" s="8" t="str">
        <f>IF(Tabla2[[#This Row],[precio_unitario]]&lt;=30,"Económico",IF(Tabla2[[#This Row],[precio_unitario]]&lt;=58.49,"Accesible","Caro"))</f>
        <v>Accesible</v>
      </c>
      <c r="J79" t="s">
        <v>44</v>
      </c>
      <c r="K79">
        <v>1</v>
      </c>
      <c r="L79" s="19">
        <v>30.41</v>
      </c>
      <c r="M79" s="19">
        <v>17.440000000000001</v>
      </c>
      <c r="N79" s="11">
        <v>0</v>
      </c>
      <c r="O79" s="17">
        <f t="shared" si="7"/>
        <v>30.41</v>
      </c>
      <c r="P79" s="17">
        <f t="shared" si="4"/>
        <v>17.440000000000001</v>
      </c>
      <c r="Q79" s="17">
        <f t="shared" si="5"/>
        <v>12.969999999999999</v>
      </c>
      <c r="R79" s="24">
        <f t="shared" si="6"/>
        <v>0.42650443932916798</v>
      </c>
      <c r="S79" t="s">
        <v>101</v>
      </c>
      <c r="T79" t="s">
        <v>145</v>
      </c>
    </row>
    <row r="80" spans="1:20" hidden="1">
      <c r="A80" t="s">
        <v>146</v>
      </c>
      <c r="B80" s="5">
        <v>45456</v>
      </c>
      <c r="C80" s="8">
        <f>YEAR(Tabla2[[#This Row],[fecha]])</f>
        <v>2024</v>
      </c>
      <c r="D80" s="8">
        <f>MONTH(Tabla2[[#This Row],[fecha]])</f>
        <v>6</v>
      </c>
      <c r="E80" s="8" t="str">
        <f>TEXT(Tabla2[[#This Row],[fecha]], "mmmm")</f>
        <v>junio</v>
      </c>
      <c r="F80" s="8" t="str">
        <f>"T"&amp;ROUNDUP(Tabla2[[#This Row],[mes]]/3,0)</f>
        <v>T2</v>
      </c>
      <c r="G80" t="s">
        <v>33</v>
      </c>
      <c r="H80" t="s">
        <v>34</v>
      </c>
      <c r="I80" s="8" t="str">
        <f>IF(Tabla2[[#This Row],[precio_unitario]]&lt;=30,"Económico",IF(Tabla2[[#This Row],[precio_unitario]]&lt;=58.49,"Accesible","Caro"))</f>
        <v>Caro</v>
      </c>
      <c r="J80" t="s">
        <v>35</v>
      </c>
      <c r="K80">
        <v>1</v>
      </c>
      <c r="L80" s="19">
        <v>81.91</v>
      </c>
      <c r="M80" s="19">
        <v>47.83</v>
      </c>
      <c r="N80" s="11">
        <v>0</v>
      </c>
      <c r="O80" s="17">
        <f t="shared" si="7"/>
        <v>81.91</v>
      </c>
      <c r="P80" s="17">
        <f t="shared" si="4"/>
        <v>47.83</v>
      </c>
      <c r="Q80" s="17">
        <f t="shared" si="5"/>
        <v>34.08</v>
      </c>
      <c r="R80" s="24">
        <f t="shared" si="6"/>
        <v>0.41606641435722136</v>
      </c>
      <c r="S80" t="s">
        <v>63</v>
      </c>
      <c r="T80" t="s">
        <v>64</v>
      </c>
    </row>
    <row r="81" spans="1:20" hidden="1">
      <c r="A81" t="s">
        <v>147</v>
      </c>
      <c r="B81" s="5">
        <v>46014</v>
      </c>
      <c r="C81" s="8">
        <f>YEAR(Tabla2[[#This Row],[fecha]])</f>
        <v>2025</v>
      </c>
      <c r="D81" s="8">
        <f>MONTH(Tabla2[[#This Row],[fecha]])</f>
        <v>12</v>
      </c>
      <c r="E81" s="8" t="str">
        <f>TEXT(Tabla2[[#This Row],[fecha]], "mmmm")</f>
        <v>diciembre</v>
      </c>
      <c r="F81" s="8" t="str">
        <f>"T"&amp;ROUNDUP(Tabla2[[#This Row],[mes]]/3,0)</f>
        <v>T4</v>
      </c>
      <c r="G81" t="s">
        <v>31</v>
      </c>
      <c r="H81" t="s">
        <v>32</v>
      </c>
      <c r="I81" s="8" t="str">
        <f>IF(Tabla2[[#This Row],[precio_unitario]]&lt;=30,"Económico",IF(Tabla2[[#This Row],[precio_unitario]]&lt;=58.49,"Accesible","Caro"))</f>
        <v>Económico</v>
      </c>
      <c r="J81" t="s">
        <v>26</v>
      </c>
      <c r="K81">
        <v>1</v>
      </c>
      <c r="L81" s="19">
        <v>9.3699999999999992</v>
      </c>
      <c r="M81" s="19">
        <v>5.54</v>
      </c>
      <c r="N81" s="11">
        <v>0</v>
      </c>
      <c r="O81" s="17">
        <f t="shared" si="7"/>
        <v>9.3699999999999992</v>
      </c>
      <c r="P81" s="17">
        <f t="shared" si="4"/>
        <v>5.54</v>
      </c>
      <c r="Q81" s="17">
        <f t="shared" si="5"/>
        <v>3.8299999999999992</v>
      </c>
      <c r="R81" s="24">
        <f t="shared" si="6"/>
        <v>0.40875133404482383</v>
      </c>
      <c r="S81" t="s">
        <v>540</v>
      </c>
      <c r="T81" t="s">
        <v>60</v>
      </c>
    </row>
    <row r="82" spans="1:20" hidden="1">
      <c r="A82" t="s">
        <v>148</v>
      </c>
      <c r="B82" s="5">
        <v>45519</v>
      </c>
      <c r="C82" s="8">
        <f>YEAR(Tabla2[[#This Row],[fecha]])</f>
        <v>2024</v>
      </c>
      <c r="D82" s="8">
        <f>MONTH(Tabla2[[#This Row],[fecha]])</f>
        <v>8</v>
      </c>
      <c r="E82" s="8" t="str">
        <f>TEXT(Tabla2[[#This Row],[fecha]], "mmmm")</f>
        <v>agosto</v>
      </c>
      <c r="F82" s="8" t="str">
        <f>"T"&amp;ROUNDUP(Tabla2[[#This Row],[mes]]/3,0)</f>
        <v>T3</v>
      </c>
      <c r="G82" t="s">
        <v>45</v>
      </c>
      <c r="H82" t="s">
        <v>46</v>
      </c>
      <c r="I82" s="8" t="str">
        <f>IF(Tabla2[[#This Row],[precio_unitario]]&lt;=30,"Económico",IF(Tabla2[[#This Row],[precio_unitario]]&lt;=58.49,"Accesible","Caro"))</f>
        <v>Accesible</v>
      </c>
      <c r="J82" t="s">
        <v>44</v>
      </c>
      <c r="K82">
        <v>3</v>
      </c>
      <c r="L82" s="19">
        <v>31.93</v>
      </c>
      <c r="M82" s="19">
        <v>18.11</v>
      </c>
      <c r="N82" s="11">
        <v>0</v>
      </c>
      <c r="O82" s="17">
        <f t="shared" si="7"/>
        <v>95.789999999999992</v>
      </c>
      <c r="P82" s="17">
        <f t="shared" si="4"/>
        <v>54.33</v>
      </c>
      <c r="Q82" s="17">
        <f t="shared" si="5"/>
        <v>41.459999999999994</v>
      </c>
      <c r="R82" s="24">
        <f t="shared" si="6"/>
        <v>0.43282179768243029</v>
      </c>
      <c r="S82" t="s">
        <v>96</v>
      </c>
      <c r="T82" t="s">
        <v>64</v>
      </c>
    </row>
    <row r="83" spans="1:20" hidden="1">
      <c r="A83" t="s">
        <v>149</v>
      </c>
      <c r="B83" s="5">
        <v>45578</v>
      </c>
      <c r="C83" s="8">
        <f>YEAR(Tabla2[[#This Row],[fecha]])</f>
        <v>2024</v>
      </c>
      <c r="D83" s="8">
        <f>MONTH(Tabla2[[#This Row],[fecha]])</f>
        <v>10</v>
      </c>
      <c r="E83" s="8" t="str">
        <f>TEXT(Tabla2[[#This Row],[fecha]], "mmmm")</f>
        <v>octubre</v>
      </c>
      <c r="F83" s="8" t="str">
        <f>"T"&amp;ROUNDUP(Tabla2[[#This Row],[mes]]/3,0)</f>
        <v>T4</v>
      </c>
      <c r="G83" t="s">
        <v>47</v>
      </c>
      <c r="H83" t="s">
        <v>48</v>
      </c>
      <c r="I83" s="8" t="str">
        <f>IF(Tabla2[[#This Row],[precio_unitario]]&lt;=30,"Económico",IF(Tabla2[[#This Row],[precio_unitario]]&lt;=58.49,"Accesible","Caro"))</f>
        <v>Caro</v>
      </c>
      <c r="J83" t="s">
        <v>44</v>
      </c>
      <c r="K83">
        <v>1</v>
      </c>
      <c r="L83" s="19">
        <v>60.03</v>
      </c>
      <c r="M83" s="19">
        <v>33.979999999999997</v>
      </c>
      <c r="N83" s="11">
        <v>0</v>
      </c>
      <c r="O83" s="17">
        <f t="shared" si="7"/>
        <v>60.03</v>
      </c>
      <c r="P83" s="17">
        <f t="shared" si="4"/>
        <v>33.979999999999997</v>
      </c>
      <c r="Q83" s="17">
        <f t="shared" si="5"/>
        <v>26.050000000000004</v>
      </c>
      <c r="R83" s="24">
        <f t="shared" si="6"/>
        <v>0.43394969182075638</v>
      </c>
      <c r="S83" t="s">
        <v>101</v>
      </c>
      <c r="T83" t="s">
        <v>60</v>
      </c>
    </row>
    <row r="84" spans="1:20" hidden="1">
      <c r="A84" t="s">
        <v>150</v>
      </c>
      <c r="B84" s="5">
        <v>45801</v>
      </c>
      <c r="C84" s="8">
        <f>YEAR(Tabla2[[#This Row],[fecha]])</f>
        <v>2025</v>
      </c>
      <c r="D84" s="8">
        <f>MONTH(Tabla2[[#This Row],[fecha]])</f>
        <v>5</v>
      </c>
      <c r="E84" s="8" t="str">
        <f>TEXT(Tabla2[[#This Row],[fecha]], "mmmm")</f>
        <v>mayo</v>
      </c>
      <c r="F84" s="8" t="str">
        <f>"T"&amp;ROUNDUP(Tabla2[[#This Row],[mes]]/3,0)</f>
        <v>T2</v>
      </c>
      <c r="G84" t="s">
        <v>18</v>
      </c>
      <c r="H84" t="s">
        <v>19</v>
      </c>
      <c r="I84" s="8" t="str">
        <f>IF(Tabla2[[#This Row],[precio_unitario]]&lt;=30,"Económico",IF(Tabla2[[#This Row],[precio_unitario]]&lt;=58.49,"Accesible","Caro"))</f>
        <v>Accesible</v>
      </c>
      <c r="J84" t="s">
        <v>17</v>
      </c>
      <c r="K84">
        <v>6</v>
      </c>
      <c r="L84" s="19">
        <v>46.34</v>
      </c>
      <c r="M84" s="19">
        <v>27.47</v>
      </c>
      <c r="N84" s="11">
        <v>0</v>
      </c>
      <c r="O84" s="17">
        <f t="shared" si="7"/>
        <v>278.04000000000002</v>
      </c>
      <c r="P84" s="17">
        <f t="shared" si="4"/>
        <v>164.82</v>
      </c>
      <c r="Q84" s="17">
        <f t="shared" si="5"/>
        <v>113.22000000000003</v>
      </c>
      <c r="R84" s="24">
        <f t="shared" si="6"/>
        <v>0.40720759602934836</v>
      </c>
      <c r="S84" t="s">
        <v>540</v>
      </c>
      <c r="T84" t="s">
        <v>64</v>
      </c>
    </row>
    <row r="85" spans="1:20" hidden="1">
      <c r="A85" t="s">
        <v>151</v>
      </c>
      <c r="B85" s="5">
        <v>45951</v>
      </c>
      <c r="C85" s="8">
        <f>YEAR(Tabla2[[#This Row],[fecha]])</f>
        <v>2025</v>
      </c>
      <c r="D85" s="8">
        <f>MONTH(Tabla2[[#This Row],[fecha]])</f>
        <v>10</v>
      </c>
      <c r="E85" s="8" t="str">
        <f>TEXT(Tabla2[[#This Row],[fecha]], "mmmm")</f>
        <v>octubre</v>
      </c>
      <c r="F85" s="8" t="str">
        <f>"T"&amp;ROUNDUP(Tabla2[[#This Row],[mes]]/3,0)</f>
        <v>T4</v>
      </c>
      <c r="G85" t="s">
        <v>45</v>
      </c>
      <c r="H85" t="s">
        <v>46</v>
      </c>
      <c r="I85" s="8" t="str">
        <f>IF(Tabla2[[#This Row],[precio_unitario]]&lt;=30,"Económico",IF(Tabla2[[#This Row],[precio_unitario]]&lt;=58.49,"Accesible","Caro"))</f>
        <v>Económico</v>
      </c>
      <c r="J85" t="s">
        <v>44</v>
      </c>
      <c r="K85">
        <v>1</v>
      </c>
      <c r="L85" s="19">
        <v>29.01</v>
      </c>
      <c r="M85" s="19">
        <v>16.97</v>
      </c>
      <c r="N85" s="11">
        <v>0</v>
      </c>
      <c r="O85" s="17">
        <f t="shared" si="7"/>
        <v>29.01</v>
      </c>
      <c r="P85" s="17">
        <f t="shared" si="4"/>
        <v>16.97</v>
      </c>
      <c r="Q85" s="17">
        <f t="shared" si="5"/>
        <v>12.040000000000003</v>
      </c>
      <c r="R85" s="24">
        <f t="shared" si="6"/>
        <v>0.4150293002412962</v>
      </c>
      <c r="S85" t="s">
        <v>96</v>
      </c>
      <c r="T85" t="s">
        <v>64</v>
      </c>
    </row>
    <row r="86" spans="1:20" hidden="1">
      <c r="A86" t="s">
        <v>152</v>
      </c>
      <c r="B86" s="5">
        <v>45929</v>
      </c>
      <c r="C86" s="8">
        <f>YEAR(Tabla2[[#This Row],[fecha]])</f>
        <v>2025</v>
      </c>
      <c r="D86" s="8">
        <f>MONTH(Tabla2[[#This Row],[fecha]])</f>
        <v>9</v>
      </c>
      <c r="E86" s="8" t="str">
        <f>TEXT(Tabla2[[#This Row],[fecha]], "mmmm")</f>
        <v>septiembre</v>
      </c>
      <c r="F86" s="8" t="str">
        <f>"T"&amp;ROUNDUP(Tabla2[[#This Row],[mes]]/3,0)</f>
        <v>T3</v>
      </c>
      <c r="G86" t="s">
        <v>36</v>
      </c>
      <c r="H86" t="s">
        <v>37</v>
      </c>
      <c r="I86" s="8" t="str">
        <f>IF(Tabla2[[#This Row],[precio_unitario]]&lt;=30,"Económico",IF(Tabla2[[#This Row],[precio_unitario]]&lt;=58.49,"Accesible","Caro"))</f>
        <v>Económico</v>
      </c>
      <c r="J86" t="s">
        <v>35</v>
      </c>
      <c r="K86">
        <v>3</v>
      </c>
      <c r="L86" s="19">
        <v>13.23</v>
      </c>
      <c r="M86" s="19">
        <v>9.83</v>
      </c>
      <c r="N86" s="11">
        <v>0</v>
      </c>
      <c r="O86" s="17">
        <f t="shared" si="7"/>
        <v>39.69</v>
      </c>
      <c r="P86" s="17">
        <f t="shared" si="4"/>
        <v>29.490000000000002</v>
      </c>
      <c r="Q86" s="17">
        <f t="shared" si="5"/>
        <v>10.199999999999996</v>
      </c>
      <c r="R86" s="24">
        <f t="shared" si="6"/>
        <v>0.25699168556311403</v>
      </c>
      <c r="S86" t="s">
        <v>83</v>
      </c>
      <c r="T86" t="s">
        <v>64</v>
      </c>
    </row>
    <row r="87" spans="1:20" hidden="1">
      <c r="A87" t="s">
        <v>153</v>
      </c>
      <c r="B87" s="5">
        <v>45299</v>
      </c>
      <c r="C87" s="8">
        <f>YEAR(Tabla2[[#This Row],[fecha]])</f>
        <v>2024</v>
      </c>
      <c r="D87" s="8">
        <f>MONTH(Tabla2[[#This Row],[fecha]])</f>
        <v>1</v>
      </c>
      <c r="E87" s="8" t="str">
        <f>TEXT(Tabla2[[#This Row],[fecha]], "mmmm")</f>
        <v>enero</v>
      </c>
      <c r="F87" s="8" t="str">
        <f>"T"&amp;ROUNDUP(Tabla2[[#This Row],[mes]]/3,0)</f>
        <v>T1</v>
      </c>
      <c r="G87" t="s">
        <v>9</v>
      </c>
      <c r="H87" t="s">
        <v>10</v>
      </c>
      <c r="I87" s="8" t="str">
        <f>IF(Tabla2[[#This Row],[precio_unitario]]&lt;=30,"Económico",IF(Tabla2[[#This Row],[precio_unitario]]&lt;=58.49,"Accesible","Caro"))</f>
        <v>Caro</v>
      </c>
      <c r="J87" t="s">
        <v>8</v>
      </c>
      <c r="K87">
        <v>6</v>
      </c>
      <c r="L87" s="19">
        <v>71.31</v>
      </c>
      <c r="M87" s="19">
        <v>45.44</v>
      </c>
      <c r="N87" s="11">
        <v>0</v>
      </c>
      <c r="O87" s="17">
        <f t="shared" si="7"/>
        <v>427.86</v>
      </c>
      <c r="P87" s="17">
        <f t="shared" si="4"/>
        <v>272.64</v>
      </c>
      <c r="Q87" s="17">
        <f t="shared" si="5"/>
        <v>155.22000000000003</v>
      </c>
      <c r="R87" s="24">
        <f t="shared" si="6"/>
        <v>0.36278221848268133</v>
      </c>
      <c r="S87" t="s">
        <v>67</v>
      </c>
      <c r="T87" t="s">
        <v>154</v>
      </c>
    </row>
    <row r="88" spans="1:20">
      <c r="A88" t="s">
        <v>155</v>
      </c>
      <c r="B88" s="5">
        <v>45937</v>
      </c>
      <c r="C88" s="8">
        <f>YEAR(Tabla2[[#This Row],[fecha]])</f>
        <v>2025</v>
      </c>
      <c r="D88" s="8">
        <f>MONTH(Tabla2[[#This Row],[fecha]])</f>
        <v>10</v>
      </c>
      <c r="E88" s="8" t="str">
        <f>TEXT(Tabla2[[#This Row],[fecha]], "mmmm")</f>
        <v>octubre</v>
      </c>
      <c r="F88" s="8" t="str">
        <f>"T"&amp;ROUNDUP(Tabla2[[#This Row],[mes]]/3,0)</f>
        <v>T4</v>
      </c>
      <c r="G88" t="s">
        <v>18</v>
      </c>
      <c r="H88" t="s">
        <v>19</v>
      </c>
      <c r="I88" s="8" t="str">
        <f>IF(Tabla2[[#This Row],[precio_unitario]]&lt;=30,"Económico",IF(Tabla2[[#This Row],[precio_unitario]]&lt;=58.49,"Accesible","Caro"))</f>
        <v>Accesible</v>
      </c>
      <c r="J88" t="s">
        <v>17</v>
      </c>
      <c r="K88">
        <v>2</v>
      </c>
      <c r="L88" s="19">
        <v>48.28</v>
      </c>
      <c r="M88" s="19">
        <v>27.33</v>
      </c>
      <c r="N88" s="11">
        <v>0</v>
      </c>
      <c r="O88" s="17">
        <f t="shared" si="7"/>
        <v>96.56</v>
      </c>
      <c r="P88" s="17">
        <f t="shared" si="4"/>
        <v>54.66</v>
      </c>
      <c r="Q88" s="17">
        <f t="shared" si="5"/>
        <v>41.900000000000006</v>
      </c>
      <c r="R88" s="24">
        <f t="shared" si="6"/>
        <v>0.43392709196354601</v>
      </c>
      <c r="S88" t="s">
        <v>67</v>
      </c>
      <c r="T88" t="s">
        <v>60</v>
      </c>
    </row>
    <row r="89" spans="1:20" hidden="1">
      <c r="A89" t="s">
        <v>156</v>
      </c>
      <c r="B89" s="5">
        <v>45360</v>
      </c>
      <c r="C89" s="8">
        <f>YEAR(Tabla2[[#This Row],[fecha]])</f>
        <v>2024</v>
      </c>
      <c r="D89" s="8">
        <f>MONTH(Tabla2[[#This Row],[fecha]])</f>
        <v>3</v>
      </c>
      <c r="E89" s="8" t="str">
        <f>TEXT(Tabla2[[#This Row],[fecha]], "mmmm")</f>
        <v>marzo</v>
      </c>
      <c r="F89" s="8" t="str">
        <f>"T"&amp;ROUNDUP(Tabla2[[#This Row],[mes]]/3,0)</f>
        <v>T1</v>
      </c>
      <c r="G89" t="s">
        <v>11</v>
      </c>
      <c r="H89" t="s">
        <v>12</v>
      </c>
      <c r="I89" s="8" t="str">
        <f>IF(Tabla2[[#This Row],[precio_unitario]]&lt;=30,"Económico",IF(Tabla2[[#This Row],[precio_unitario]]&lt;=58.49,"Accesible","Caro"))</f>
        <v>Caro</v>
      </c>
      <c r="J89" t="s">
        <v>8</v>
      </c>
      <c r="K89">
        <v>2</v>
      </c>
      <c r="L89" s="19">
        <v>174.96</v>
      </c>
      <c r="M89" s="19">
        <v>96.05</v>
      </c>
      <c r="N89" s="11">
        <v>0</v>
      </c>
      <c r="O89" s="17">
        <f t="shared" si="7"/>
        <v>349.92</v>
      </c>
      <c r="P89" s="17">
        <f t="shared" si="4"/>
        <v>192.1</v>
      </c>
      <c r="Q89" s="17">
        <f t="shared" si="5"/>
        <v>157.82000000000002</v>
      </c>
      <c r="R89" s="24">
        <f t="shared" si="6"/>
        <v>0.45101737540009151</v>
      </c>
      <c r="S89" t="s">
        <v>67</v>
      </c>
      <c r="T89" t="s">
        <v>64</v>
      </c>
    </row>
    <row r="90" spans="1:20" hidden="1">
      <c r="A90" t="s">
        <v>157</v>
      </c>
      <c r="B90" s="5">
        <v>45657</v>
      </c>
      <c r="C90" s="8">
        <f>YEAR(Tabla2[[#This Row],[fecha]])</f>
        <v>2024</v>
      </c>
      <c r="D90" s="8">
        <f>MONTH(Tabla2[[#This Row],[fecha]])</f>
        <v>12</v>
      </c>
      <c r="E90" s="8" t="str">
        <f>TEXT(Tabla2[[#This Row],[fecha]], "mmmm")</f>
        <v>diciembre</v>
      </c>
      <c r="F90" s="8" t="str">
        <f>"T"&amp;ROUNDUP(Tabla2[[#This Row],[mes]]/3,0)</f>
        <v>T4</v>
      </c>
      <c r="G90" t="s">
        <v>11</v>
      </c>
      <c r="H90" t="s">
        <v>12</v>
      </c>
      <c r="I90" s="8" t="str">
        <f>IF(Tabla2[[#This Row],[precio_unitario]]&lt;=30,"Económico",IF(Tabla2[[#This Row],[precio_unitario]]&lt;=58.49,"Accesible","Caro"))</f>
        <v>Caro</v>
      </c>
      <c r="J90" t="s">
        <v>8</v>
      </c>
      <c r="K90">
        <v>3</v>
      </c>
      <c r="L90" s="19">
        <v>177.08</v>
      </c>
      <c r="M90" s="19">
        <v>94.56</v>
      </c>
      <c r="N90" s="11">
        <v>0</v>
      </c>
      <c r="O90" s="17">
        <f t="shared" si="7"/>
        <v>531.24</v>
      </c>
      <c r="P90" s="17">
        <f t="shared" si="4"/>
        <v>283.68</v>
      </c>
      <c r="Q90" s="17">
        <f t="shared" si="5"/>
        <v>247.56</v>
      </c>
      <c r="R90" s="24">
        <f t="shared" si="6"/>
        <v>0.46600406595888866</v>
      </c>
      <c r="S90" t="s">
        <v>101</v>
      </c>
      <c r="T90" t="s">
        <v>60</v>
      </c>
    </row>
    <row r="91" spans="1:20">
      <c r="A91" t="s">
        <v>158</v>
      </c>
      <c r="B91" s="5">
        <v>45765</v>
      </c>
      <c r="C91" s="8">
        <f>YEAR(Tabla2[[#This Row],[fecha]])</f>
        <v>2025</v>
      </c>
      <c r="D91" s="8">
        <f>MONTH(Tabla2[[#This Row],[fecha]])</f>
        <v>4</v>
      </c>
      <c r="E91" s="8" t="str">
        <f>TEXT(Tabla2[[#This Row],[fecha]], "mmmm")</f>
        <v>abril</v>
      </c>
      <c r="F91" s="8" t="str">
        <f>"T"&amp;ROUNDUP(Tabla2[[#This Row],[mes]]/3,0)</f>
        <v>T2</v>
      </c>
      <c r="G91" t="s">
        <v>24</v>
      </c>
      <c r="H91" t="s">
        <v>25</v>
      </c>
      <c r="I91" s="8" t="str">
        <f>IF(Tabla2[[#This Row],[precio_unitario]]&lt;=30,"Económico",IF(Tabla2[[#This Row],[precio_unitario]]&lt;=58.49,"Accesible","Caro"))</f>
        <v>Económico</v>
      </c>
      <c r="J91" t="s">
        <v>26</v>
      </c>
      <c r="K91">
        <v>1</v>
      </c>
      <c r="L91" s="19">
        <v>8.0299999999999994</v>
      </c>
      <c r="M91" s="19">
        <v>4.43</v>
      </c>
      <c r="N91" s="11">
        <v>0.14000000000000001</v>
      </c>
      <c r="O91" s="17">
        <f t="shared" si="7"/>
        <v>6.9057999999999993</v>
      </c>
      <c r="P91" s="17">
        <f t="shared" si="4"/>
        <v>4.43</v>
      </c>
      <c r="Q91" s="17">
        <f t="shared" si="5"/>
        <v>2.4757999999999996</v>
      </c>
      <c r="R91" s="24">
        <f t="shared" si="6"/>
        <v>0.35851023777114888</v>
      </c>
      <c r="S91" t="s">
        <v>67</v>
      </c>
      <c r="T91" t="s">
        <v>60</v>
      </c>
    </row>
    <row r="92" spans="1:20" hidden="1">
      <c r="A92" t="s">
        <v>159</v>
      </c>
      <c r="B92" s="5">
        <v>45301</v>
      </c>
      <c r="C92" s="8">
        <f>YEAR(Tabla2[[#This Row],[fecha]])</f>
        <v>2024</v>
      </c>
      <c r="D92" s="8">
        <f>MONTH(Tabla2[[#This Row],[fecha]])</f>
        <v>1</v>
      </c>
      <c r="E92" s="8" t="str">
        <f>TEXT(Tabla2[[#This Row],[fecha]], "mmmm")</f>
        <v>enero</v>
      </c>
      <c r="F92" s="8" t="str">
        <f>"T"&amp;ROUNDUP(Tabla2[[#This Row],[mes]]/3,0)</f>
        <v>T1</v>
      </c>
      <c r="G92" t="s">
        <v>9</v>
      </c>
      <c r="H92" t="s">
        <v>10</v>
      </c>
      <c r="I92" s="8" t="str">
        <f>IF(Tabla2[[#This Row],[precio_unitario]]&lt;=30,"Económico",IF(Tabla2[[#This Row],[precio_unitario]]&lt;=58.49,"Accesible","Caro"))</f>
        <v>Caro</v>
      </c>
      <c r="J92" t="s">
        <v>8</v>
      </c>
      <c r="K92">
        <v>2</v>
      </c>
      <c r="L92" s="19">
        <v>76.739999999999995</v>
      </c>
      <c r="M92" s="19">
        <v>46.94</v>
      </c>
      <c r="N92" s="11">
        <v>0</v>
      </c>
      <c r="O92" s="17">
        <f t="shared" si="7"/>
        <v>153.47999999999999</v>
      </c>
      <c r="P92" s="17">
        <f t="shared" si="4"/>
        <v>93.88</v>
      </c>
      <c r="Q92" s="17">
        <f t="shared" si="5"/>
        <v>59.599999999999994</v>
      </c>
      <c r="R92" s="24">
        <f t="shared" si="6"/>
        <v>0.38832421162366432</v>
      </c>
      <c r="S92" t="s">
        <v>540</v>
      </c>
      <c r="T92" t="s">
        <v>60</v>
      </c>
    </row>
    <row r="93" spans="1:20" hidden="1">
      <c r="A93" t="s">
        <v>160</v>
      </c>
      <c r="B93" s="5">
        <v>45636</v>
      </c>
      <c r="C93" s="8">
        <f>YEAR(Tabla2[[#This Row],[fecha]])</f>
        <v>2024</v>
      </c>
      <c r="D93" s="8">
        <f>MONTH(Tabla2[[#This Row],[fecha]])</f>
        <v>12</v>
      </c>
      <c r="E93" s="8" t="str">
        <f>TEXT(Tabla2[[#This Row],[fecha]], "mmmm")</f>
        <v>diciembre</v>
      </c>
      <c r="F93" s="8" t="str">
        <f>"T"&amp;ROUNDUP(Tabla2[[#This Row],[mes]]/3,0)</f>
        <v>T4</v>
      </c>
      <c r="G93" t="s">
        <v>20</v>
      </c>
      <c r="H93" t="s">
        <v>21</v>
      </c>
      <c r="I93" s="8" t="str">
        <f>IF(Tabla2[[#This Row],[precio_unitario]]&lt;=30,"Económico",IF(Tabla2[[#This Row],[precio_unitario]]&lt;=58.49,"Accesible","Caro"))</f>
        <v>Económico</v>
      </c>
      <c r="J93" t="s">
        <v>17</v>
      </c>
      <c r="K93">
        <v>4</v>
      </c>
      <c r="L93" s="19">
        <v>19.21</v>
      </c>
      <c r="M93" s="19">
        <v>13.51</v>
      </c>
      <c r="N93" s="11">
        <v>0.21</v>
      </c>
      <c r="O93" s="17">
        <f t="shared" si="7"/>
        <v>60.703600000000009</v>
      </c>
      <c r="P93" s="17">
        <f t="shared" si="4"/>
        <v>54.04</v>
      </c>
      <c r="Q93" s="17">
        <f t="shared" si="5"/>
        <v>6.6636000000000095</v>
      </c>
      <c r="R93" s="24">
        <f t="shared" si="6"/>
        <v>0.10977273176549675</v>
      </c>
      <c r="S93" t="s">
        <v>540</v>
      </c>
      <c r="T93" t="s">
        <v>64</v>
      </c>
    </row>
    <row r="94" spans="1:20" hidden="1">
      <c r="A94" t="s">
        <v>161</v>
      </c>
      <c r="B94" s="5">
        <v>45607</v>
      </c>
      <c r="C94" s="8">
        <f>YEAR(Tabla2[[#This Row],[fecha]])</f>
        <v>2024</v>
      </c>
      <c r="D94" s="8">
        <f>MONTH(Tabla2[[#This Row],[fecha]])</f>
        <v>11</v>
      </c>
      <c r="E94" s="8" t="str">
        <f>TEXT(Tabla2[[#This Row],[fecha]], "mmmm")</f>
        <v>noviembre</v>
      </c>
      <c r="F94" s="8" t="str">
        <f>"T"&amp;ROUNDUP(Tabla2[[#This Row],[mes]]/3,0)</f>
        <v>T4</v>
      </c>
      <c r="G94" t="s">
        <v>13</v>
      </c>
      <c r="H94" t="s">
        <v>14</v>
      </c>
      <c r="I94" s="8" t="str">
        <f>IF(Tabla2[[#This Row],[precio_unitario]]&lt;=30,"Económico",IF(Tabla2[[#This Row],[precio_unitario]]&lt;=58.49,"Accesible","Caro"))</f>
        <v>Caro</v>
      </c>
      <c r="J94" t="s">
        <v>8</v>
      </c>
      <c r="K94">
        <v>4</v>
      </c>
      <c r="L94" s="19">
        <v>158.47</v>
      </c>
      <c r="M94" s="19">
        <v>108.73</v>
      </c>
      <c r="N94" s="11">
        <v>0.06</v>
      </c>
      <c r="O94" s="17">
        <f t="shared" si="7"/>
        <v>595.84719999999993</v>
      </c>
      <c r="P94" s="17">
        <f t="shared" si="4"/>
        <v>434.92</v>
      </c>
      <c r="Q94" s="17">
        <f t="shared" si="5"/>
        <v>160.92719999999991</v>
      </c>
      <c r="R94" s="24">
        <f t="shared" si="6"/>
        <v>0.27008132286263986</v>
      </c>
      <c r="S94" t="s">
        <v>63</v>
      </c>
      <c r="T94" t="s">
        <v>64</v>
      </c>
    </row>
    <row r="95" spans="1:20" hidden="1">
      <c r="A95" t="s">
        <v>162</v>
      </c>
      <c r="B95" s="5">
        <v>45396</v>
      </c>
      <c r="C95" s="8">
        <f>YEAR(Tabla2[[#This Row],[fecha]])</f>
        <v>2024</v>
      </c>
      <c r="D95" s="8">
        <f>MONTH(Tabla2[[#This Row],[fecha]])</f>
        <v>4</v>
      </c>
      <c r="E95" s="8" t="str">
        <f>TEXT(Tabla2[[#This Row],[fecha]], "mmmm")</f>
        <v>abril</v>
      </c>
      <c r="F95" s="8" t="str">
        <f>"T"&amp;ROUNDUP(Tabla2[[#This Row],[mes]]/3,0)</f>
        <v>T2</v>
      </c>
      <c r="G95" t="s">
        <v>24</v>
      </c>
      <c r="H95" t="s">
        <v>25</v>
      </c>
      <c r="I95" s="8" t="str">
        <f>IF(Tabla2[[#This Row],[precio_unitario]]&lt;=30,"Económico",IF(Tabla2[[#This Row],[precio_unitario]]&lt;=58.49,"Accesible","Caro"))</f>
        <v>Económico</v>
      </c>
      <c r="J95" t="s">
        <v>26</v>
      </c>
      <c r="K95">
        <v>2</v>
      </c>
      <c r="L95" s="19">
        <v>7.73</v>
      </c>
      <c r="M95" s="19">
        <v>4.12</v>
      </c>
      <c r="N95" s="11">
        <v>0</v>
      </c>
      <c r="O95" s="17">
        <f t="shared" si="7"/>
        <v>15.46</v>
      </c>
      <c r="P95" s="17">
        <f t="shared" si="4"/>
        <v>8.24</v>
      </c>
      <c r="Q95" s="17">
        <f t="shared" si="5"/>
        <v>7.2200000000000006</v>
      </c>
      <c r="R95" s="24">
        <f t="shared" si="6"/>
        <v>0.46701164294954722</v>
      </c>
      <c r="S95" t="s">
        <v>67</v>
      </c>
      <c r="T95" t="s">
        <v>60</v>
      </c>
    </row>
    <row r="96" spans="1:20" hidden="1">
      <c r="A96" t="s">
        <v>163</v>
      </c>
      <c r="B96" s="5">
        <v>45402</v>
      </c>
      <c r="C96" s="8">
        <f>YEAR(Tabla2[[#This Row],[fecha]])</f>
        <v>2024</v>
      </c>
      <c r="D96" s="8">
        <f>MONTH(Tabla2[[#This Row],[fecha]])</f>
        <v>4</v>
      </c>
      <c r="E96" s="8" t="str">
        <f>TEXT(Tabla2[[#This Row],[fecha]], "mmmm")</f>
        <v>abril</v>
      </c>
      <c r="F96" s="8" t="str">
        <f>"T"&amp;ROUNDUP(Tabla2[[#This Row],[mes]]/3,0)</f>
        <v>T2</v>
      </c>
      <c r="G96" t="s">
        <v>20</v>
      </c>
      <c r="H96" t="s">
        <v>21</v>
      </c>
      <c r="I96" s="8" t="str">
        <f>IF(Tabla2[[#This Row],[precio_unitario]]&lt;=30,"Económico",IF(Tabla2[[#This Row],[precio_unitario]]&lt;=58.49,"Accesible","Caro"))</f>
        <v>Económico</v>
      </c>
      <c r="J96" t="s">
        <v>17</v>
      </c>
      <c r="K96">
        <v>1</v>
      </c>
      <c r="L96" s="19">
        <v>19.55</v>
      </c>
      <c r="M96" s="19">
        <v>12.98</v>
      </c>
      <c r="N96" s="11">
        <v>0</v>
      </c>
      <c r="O96" s="17">
        <f t="shared" si="7"/>
        <v>19.55</v>
      </c>
      <c r="P96" s="17">
        <f t="shared" si="4"/>
        <v>12.98</v>
      </c>
      <c r="Q96" s="17">
        <f t="shared" si="5"/>
        <v>6.57</v>
      </c>
      <c r="R96" s="24">
        <f t="shared" si="6"/>
        <v>0.33606138107416877</v>
      </c>
      <c r="S96" t="s">
        <v>67</v>
      </c>
      <c r="T96" t="s">
        <v>64</v>
      </c>
    </row>
    <row r="97" spans="1:20" hidden="1">
      <c r="A97" t="s">
        <v>164</v>
      </c>
      <c r="B97" s="5">
        <v>45533</v>
      </c>
      <c r="C97" s="8">
        <f>YEAR(Tabla2[[#This Row],[fecha]])</f>
        <v>2024</v>
      </c>
      <c r="D97" s="8">
        <f>MONTH(Tabla2[[#This Row],[fecha]])</f>
        <v>8</v>
      </c>
      <c r="E97" s="8" t="str">
        <f>TEXT(Tabla2[[#This Row],[fecha]], "mmmm")</f>
        <v>agosto</v>
      </c>
      <c r="F97" s="8" t="str">
        <f>"T"&amp;ROUNDUP(Tabla2[[#This Row],[mes]]/3,0)</f>
        <v>T3</v>
      </c>
      <c r="G97" t="s">
        <v>27</v>
      </c>
      <c r="H97" t="s">
        <v>28</v>
      </c>
      <c r="I97" s="8" t="str">
        <f>IF(Tabla2[[#This Row],[precio_unitario]]&lt;=30,"Económico",IF(Tabla2[[#This Row],[precio_unitario]]&lt;=58.49,"Accesible","Caro"))</f>
        <v>Económico</v>
      </c>
      <c r="J97" t="s">
        <v>26</v>
      </c>
      <c r="K97">
        <v>7</v>
      </c>
      <c r="L97" s="19">
        <v>16.53</v>
      </c>
      <c r="M97" s="19">
        <v>10.99</v>
      </c>
      <c r="N97" s="13">
        <v>0</v>
      </c>
      <c r="O97" s="17">
        <f t="shared" si="7"/>
        <v>115.71000000000001</v>
      </c>
      <c r="P97" s="17">
        <f t="shared" si="4"/>
        <v>76.930000000000007</v>
      </c>
      <c r="Q97" s="17">
        <f t="shared" si="5"/>
        <v>38.78</v>
      </c>
      <c r="R97" s="24">
        <f t="shared" si="6"/>
        <v>0.3351482153660012</v>
      </c>
      <c r="S97" t="s">
        <v>101</v>
      </c>
      <c r="T97" t="s">
        <v>64</v>
      </c>
    </row>
    <row r="98" spans="1:20" hidden="1">
      <c r="A98" t="s">
        <v>165</v>
      </c>
      <c r="B98" s="5">
        <v>45757</v>
      </c>
      <c r="C98" s="8">
        <f>YEAR(Tabla2[[#This Row],[fecha]])</f>
        <v>2025</v>
      </c>
      <c r="D98" s="8">
        <f>MONTH(Tabla2[[#This Row],[fecha]])</f>
        <v>4</v>
      </c>
      <c r="E98" s="8" t="str">
        <f>TEXT(Tabla2[[#This Row],[fecha]], "mmmm")</f>
        <v>abril</v>
      </c>
      <c r="F98" s="8" t="str">
        <f>"T"&amp;ROUNDUP(Tabla2[[#This Row],[mes]]/3,0)</f>
        <v>T2</v>
      </c>
      <c r="G98" t="s">
        <v>27</v>
      </c>
      <c r="H98" t="s">
        <v>28</v>
      </c>
      <c r="I98" s="8" t="str">
        <f>IF(Tabla2[[#This Row],[precio_unitario]]&lt;=30,"Económico",IF(Tabla2[[#This Row],[precio_unitario]]&lt;=58.49,"Accesible","Caro"))</f>
        <v>Económico</v>
      </c>
      <c r="J98" t="s">
        <v>26</v>
      </c>
      <c r="K98">
        <v>1</v>
      </c>
      <c r="L98" s="19">
        <v>16.809999999999999</v>
      </c>
      <c r="M98" s="19">
        <v>11.41</v>
      </c>
      <c r="N98" s="11">
        <v>0</v>
      </c>
      <c r="O98" s="17">
        <f t="shared" si="7"/>
        <v>16.809999999999999</v>
      </c>
      <c r="P98" s="17">
        <f t="shared" si="4"/>
        <v>11.41</v>
      </c>
      <c r="Q98" s="17">
        <f t="shared" si="5"/>
        <v>5.3999999999999986</v>
      </c>
      <c r="R98" s="24">
        <f t="shared" si="6"/>
        <v>0.32123735871505049</v>
      </c>
      <c r="S98" t="s">
        <v>63</v>
      </c>
      <c r="T98" t="s">
        <v>64</v>
      </c>
    </row>
    <row r="99" spans="1:20" hidden="1">
      <c r="A99" t="s">
        <v>166</v>
      </c>
      <c r="B99" s="5">
        <v>45832</v>
      </c>
      <c r="C99" s="8">
        <f>YEAR(Tabla2[[#This Row],[fecha]])</f>
        <v>2025</v>
      </c>
      <c r="D99" s="8">
        <f>MONTH(Tabla2[[#This Row],[fecha]])</f>
        <v>6</v>
      </c>
      <c r="E99" s="8" t="str">
        <f>TEXT(Tabla2[[#This Row],[fecha]], "mmmm")</f>
        <v>junio</v>
      </c>
      <c r="F99" s="8" t="str">
        <f>"T"&amp;ROUNDUP(Tabla2[[#This Row],[mes]]/3,0)</f>
        <v>T2</v>
      </c>
      <c r="G99" t="s">
        <v>9</v>
      </c>
      <c r="H99" t="s">
        <v>10</v>
      </c>
      <c r="I99" s="8" t="str">
        <f>IF(Tabla2[[#This Row],[precio_unitario]]&lt;=30,"Económico",IF(Tabla2[[#This Row],[precio_unitario]]&lt;=58.49,"Accesible","Caro"))</f>
        <v>Caro</v>
      </c>
      <c r="J99" t="s">
        <v>8</v>
      </c>
      <c r="K99">
        <v>1</v>
      </c>
      <c r="L99" s="19">
        <v>76.73</v>
      </c>
      <c r="M99" s="19">
        <v>47.57</v>
      </c>
      <c r="N99" s="13">
        <v>0</v>
      </c>
      <c r="O99" s="17">
        <f t="shared" si="7"/>
        <v>76.73</v>
      </c>
      <c r="P99" s="17">
        <f t="shared" si="4"/>
        <v>47.57</v>
      </c>
      <c r="Q99" s="17">
        <f t="shared" si="5"/>
        <v>29.160000000000004</v>
      </c>
      <c r="R99" s="24">
        <f t="shared" si="6"/>
        <v>0.38003388505147923</v>
      </c>
      <c r="S99" t="s">
        <v>96</v>
      </c>
      <c r="T99" t="s">
        <v>60</v>
      </c>
    </row>
    <row r="100" spans="1:20" hidden="1">
      <c r="A100" t="s">
        <v>167</v>
      </c>
      <c r="B100" s="5">
        <v>45521</v>
      </c>
      <c r="C100" s="8">
        <f>YEAR(Tabla2[[#This Row],[fecha]])</f>
        <v>2024</v>
      </c>
      <c r="D100" s="8">
        <f>MONTH(Tabla2[[#This Row],[fecha]])</f>
        <v>8</v>
      </c>
      <c r="E100" s="8" t="str">
        <f>TEXT(Tabla2[[#This Row],[fecha]], "mmmm")</f>
        <v>agosto</v>
      </c>
      <c r="F100" s="8" t="str">
        <f>"T"&amp;ROUNDUP(Tabla2[[#This Row],[mes]]/3,0)</f>
        <v>T3</v>
      </c>
      <c r="G100" t="s">
        <v>40</v>
      </c>
      <c r="H100" t="s">
        <v>41</v>
      </c>
      <c r="I100" s="8" t="str">
        <f>IF(Tabla2[[#This Row],[precio_unitario]]&lt;=30,"Económico",IF(Tabla2[[#This Row],[precio_unitario]]&lt;=58.49,"Accesible","Caro"))</f>
        <v>Caro</v>
      </c>
      <c r="J100" t="s">
        <v>35</v>
      </c>
      <c r="K100">
        <v>3</v>
      </c>
      <c r="L100" s="19">
        <v>84.01</v>
      </c>
      <c r="M100" s="19">
        <v>40.56</v>
      </c>
      <c r="N100" s="11">
        <v>0</v>
      </c>
      <c r="O100" s="17">
        <f t="shared" si="7"/>
        <v>252.03000000000003</v>
      </c>
      <c r="P100" s="17">
        <f t="shared" si="4"/>
        <v>121.68</v>
      </c>
      <c r="Q100" s="17">
        <f t="shared" si="5"/>
        <v>130.35000000000002</v>
      </c>
      <c r="R100" s="24">
        <f t="shared" si="6"/>
        <v>0.51720033329365556</v>
      </c>
      <c r="S100" t="s">
        <v>67</v>
      </c>
      <c r="T100" t="s">
        <v>64</v>
      </c>
    </row>
    <row r="101" spans="1:20" hidden="1">
      <c r="A101" t="s">
        <v>168</v>
      </c>
      <c r="B101" s="5">
        <v>45320</v>
      </c>
      <c r="C101" s="8">
        <f>YEAR(Tabla2[[#This Row],[fecha]])</f>
        <v>2024</v>
      </c>
      <c r="D101" s="8">
        <f>MONTH(Tabla2[[#This Row],[fecha]])</f>
        <v>1</v>
      </c>
      <c r="E101" s="8" t="str">
        <f>TEXT(Tabla2[[#This Row],[fecha]], "mmmm")</f>
        <v>enero</v>
      </c>
      <c r="F101" s="8" t="str">
        <f>"T"&amp;ROUNDUP(Tabla2[[#This Row],[mes]]/3,0)</f>
        <v>T1</v>
      </c>
      <c r="G101" t="s">
        <v>36</v>
      </c>
      <c r="H101" t="s">
        <v>37</v>
      </c>
      <c r="I101" s="8" t="str">
        <f>IF(Tabla2[[#This Row],[precio_unitario]]&lt;=30,"Económico",IF(Tabla2[[#This Row],[precio_unitario]]&lt;=58.49,"Accesible","Caro"))</f>
        <v>Económico</v>
      </c>
      <c r="J101" t="s">
        <v>35</v>
      </c>
      <c r="K101">
        <v>6</v>
      </c>
      <c r="L101" s="19">
        <v>14.84</v>
      </c>
      <c r="M101" s="19">
        <v>9.23</v>
      </c>
      <c r="N101" s="11">
        <v>0.2</v>
      </c>
      <c r="O101" s="17">
        <f t="shared" si="7"/>
        <v>71.231999999999999</v>
      </c>
      <c r="P101" s="17">
        <f t="shared" si="4"/>
        <v>55.38</v>
      </c>
      <c r="Q101" s="17">
        <f t="shared" si="5"/>
        <v>15.851999999999997</v>
      </c>
      <c r="R101" s="24">
        <f t="shared" si="6"/>
        <v>0.22254043126684631</v>
      </c>
      <c r="S101" t="s">
        <v>83</v>
      </c>
      <c r="T101" t="s">
        <v>64</v>
      </c>
    </row>
    <row r="102" spans="1:20" hidden="1">
      <c r="A102" t="s">
        <v>169</v>
      </c>
      <c r="B102" s="5">
        <v>45751</v>
      </c>
      <c r="C102" s="8">
        <f>YEAR(Tabla2[[#This Row],[fecha]])</f>
        <v>2025</v>
      </c>
      <c r="D102" s="8">
        <f>MONTH(Tabla2[[#This Row],[fecha]])</f>
        <v>4</v>
      </c>
      <c r="E102" s="8" t="str">
        <f>TEXT(Tabla2[[#This Row],[fecha]], "mmmm")</f>
        <v>abril</v>
      </c>
      <c r="F102" s="8" t="str">
        <f>"T"&amp;ROUNDUP(Tabla2[[#This Row],[mes]]/3,0)</f>
        <v>T2</v>
      </c>
      <c r="G102" t="s">
        <v>6</v>
      </c>
      <c r="H102" t="s">
        <v>7</v>
      </c>
      <c r="I102" s="8" t="str">
        <f>IF(Tabla2[[#This Row],[precio_unitario]]&lt;=30,"Económico",IF(Tabla2[[#This Row],[precio_unitario]]&lt;=58.49,"Accesible","Caro"))</f>
        <v>Caro</v>
      </c>
      <c r="J102" t="s">
        <v>8</v>
      </c>
      <c r="K102">
        <v>2</v>
      </c>
      <c r="L102" s="19">
        <v>117.99</v>
      </c>
      <c r="M102" s="19">
        <v>80.52</v>
      </c>
      <c r="N102" s="11">
        <v>0</v>
      </c>
      <c r="O102" s="17">
        <f t="shared" si="7"/>
        <v>235.98</v>
      </c>
      <c r="P102" s="17">
        <f t="shared" si="4"/>
        <v>161.04</v>
      </c>
      <c r="Q102" s="17">
        <f t="shared" si="5"/>
        <v>74.94</v>
      </c>
      <c r="R102" s="24">
        <f t="shared" si="6"/>
        <v>0.31756928553267227</v>
      </c>
      <c r="S102" t="s">
        <v>540</v>
      </c>
      <c r="T102" t="s">
        <v>133</v>
      </c>
    </row>
    <row r="103" spans="1:20" hidden="1">
      <c r="A103" t="s">
        <v>170</v>
      </c>
      <c r="B103" s="5">
        <v>45724</v>
      </c>
      <c r="C103" s="8">
        <f>YEAR(Tabla2[[#This Row],[fecha]])</f>
        <v>2025</v>
      </c>
      <c r="D103" s="8">
        <f>MONTH(Tabla2[[#This Row],[fecha]])</f>
        <v>3</v>
      </c>
      <c r="E103" s="8" t="str">
        <f>TEXT(Tabla2[[#This Row],[fecha]], "mmmm")</f>
        <v>marzo</v>
      </c>
      <c r="F103" s="8" t="str">
        <f>"T"&amp;ROUNDUP(Tabla2[[#This Row],[mes]]/3,0)</f>
        <v>T1</v>
      </c>
      <c r="G103" t="s">
        <v>47</v>
      </c>
      <c r="H103" t="s">
        <v>48</v>
      </c>
      <c r="I103" s="8" t="str">
        <f>IF(Tabla2[[#This Row],[precio_unitario]]&lt;=30,"Económico",IF(Tabla2[[#This Row],[precio_unitario]]&lt;=58.49,"Accesible","Caro"))</f>
        <v>Caro</v>
      </c>
      <c r="J103" t="s">
        <v>44</v>
      </c>
      <c r="K103">
        <v>2</v>
      </c>
      <c r="L103" s="19">
        <v>60.5</v>
      </c>
      <c r="M103" s="19">
        <v>31.63</v>
      </c>
      <c r="N103" s="11">
        <v>0.28999999999999998</v>
      </c>
      <c r="O103" s="17">
        <f t="shared" si="7"/>
        <v>85.91</v>
      </c>
      <c r="P103" s="17">
        <f t="shared" si="4"/>
        <v>63.26</v>
      </c>
      <c r="Q103" s="17">
        <f t="shared" si="5"/>
        <v>22.65</v>
      </c>
      <c r="R103" s="24">
        <f t="shared" si="6"/>
        <v>0.26364800372482833</v>
      </c>
      <c r="S103" t="s">
        <v>101</v>
      </c>
      <c r="T103" t="s">
        <v>64</v>
      </c>
    </row>
    <row r="104" spans="1:20" hidden="1">
      <c r="A104" t="s">
        <v>171</v>
      </c>
      <c r="B104" s="5">
        <v>45567</v>
      </c>
      <c r="C104" s="8">
        <f>YEAR(Tabla2[[#This Row],[fecha]])</f>
        <v>2024</v>
      </c>
      <c r="D104" s="8">
        <f>MONTH(Tabla2[[#This Row],[fecha]])</f>
        <v>10</v>
      </c>
      <c r="E104" s="8" t="str">
        <f>TEXT(Tabla2[[#This Row],[fecha]], "mmmm")</f>
        <v>octubre</v>
      </c>
      <c r="F104" s="8" t="str">
        <f>"T"&amp;ROUNDUP(Tabla2[[#This Row],[mes]]/3,0)</f>
        <v>T4</v>
      </c>
      <c r="G104" t="s">
        <v>47</v>
      </c>
      <c r="H104" t="s">
        <v>48</v>
      </c>
      <c r="I104" s="8" t="str">
        <f>IF(Tabla2[[#This Row],[precio_unitario]]&lt;=30,"Económico",IF(Tabla2[[#This Row],[precio_unitario]]&lt;=58.49,"Accesible","Caro"))</f>
        <v>Caro</v>
      </c>
      <c r="J104" t="s">
        <v>44</v>
      </c>
      <c r="K104">
        <v>1</v>
      </c>
      <c r="L104" s="19">
        <v>59.86</v>
      </c>
      <c r="M104" s="19">
        <v>33.99</v>
      </c>
      <c r="N104" s="11">
        <v>0</v>
      </c>
      <c r="O104" s="17">
        <f t="shared" si="7"/>
        <v>59.86</v>
      </c>
      <c r="P104" s="17">
        <f t="shared" si="4"/>
        <v>33.99</v>
      </c>
      <c r="Q104" s="17">
        <f t="shared" si="5"/>
        <v>25.869999999999997</v>
      </c>
      <c r="R104" s="24">
        <f t="shared" si="6"/>
        <v>0.43217507517540926</v>
      </c>
      <c r="S104" t="s">
        <v>63</v>
      </c>
      <c r="T104" t="s">
        <v>64</v>
      </c>
    </row>
    <row r="105" spans="1:20">
      <c r="A105" t="s">
        <v>172</v>
      </c>
      <c r="B105" s="5">
        <v>45787</v>
      </c>
      <c r="C105" s="8">
        <f>YEAR(Tabla2[[#This Row],[fecha]])</f>
        <v>2025</v>
      </c>
      <c r="D105" s="8">
        <f>MONTH(Tabla2[[#This Row],[fecha]])</f>
        <v>5</v>
      </c>
      <c r="E105" s="8" t="str">
        <f>TEXT(Tabla2[[#This Row],[fecha]], "mmmm")</f>
        <v>mayo</v>
      </c>
      <c r="F105" s="8" t="str">
        <f>"T"&amp;ROUNDUP(Tabla2[[#This Row],[mes]]/3,0)</f>
        <v>T2</v>
      </c>
      <c r="G105" t="s">
        <v>49</v>
      </c>
      <c r="H105" t="s">
        <v>50</v>
      </c>
      <c r="I105" s="8" t="str">
        <f>IF(Tabla2[[#This Row],[precio_unitario]]&lt;=30,"Económico",IF(Tabla2[[#This Row],[precio_unitario]]&lt;=58.49,"Accesible","Caro"))</f>
        <v>Caro</v>
      </c>
      <c r="J105" t="s">
        <v>44</v>
      </c>
      <c r="K105">
        <v>3</v>
      </c>
      <c r="L105" s="19">
        <v>64.88</v>
      </c>
      <c r="M105" s="19">
        <v>33.1</v>
      </c>
      <c r="N105" s="11">
        <v>0</v>
      </c>
      <c r="O105" s="17">
        <f t="shared" si="7"/>
        <v>194.64</v>
      </c>
      <c r="P105" s="17">
        <f t="shared" si="4"/>
        <v>99.300000000000011</v>
      </c>
      <c r="Q105" s="17">
        <f t="shared" si="5"/>
        <v>95.339999999999975</v>
      </c>
      <c r="R105" s="24">
        <f t="shared" si="6"/>
        <v>0.48982737361282358</v>
      </c>
      <c r="S105" t="s">
        <v>67</v>
      </c>
      <c r="T105" t="s">
        <v>60</v>
      </c>
    </row>
    <row r="106" spans="1:20" hidden="1">
      <c r="A106" t="s">
        <v>173</v>
      </c>
      <c r="B106" s="5">
        <v>45430</v>
      </c>
      <c r="C106" s="8">
        <f>YEAR(Tabla2[[#This Row],[fecha]])</f>
        <v>2024</v>
      </c>
      <c r="D106" s="8">
        <f>MONTH(Tabla2[[#This Row],[fecha]])</f>
        <v>5</v>
      </c>
      <c r="E106" s="8" t="str">
        <f>TEXT(Tabla2[[#This Row],[fecha]], "mmmm")</f>
        <v>mayo</v>
      </c>
      <c r="F106" s="8" t="str">
        <f>"T"&amp;ROUNDUP(Tabla2[[#This Row],[mes]]/3,0)</f>
        <v>T2</v>
      </c>
      <c r="G106" t="s">
        <v>38</v>
      </c>
      <c r="H106" t="s">
        <v>39</v>
      </c>
      <c r="I106" s="8" t="str">
        <f>IF(Tabla2[[#This Row],[precio_unitario]]&lt;=30,"Económico",IF(Tabla2[[#This Row],[precio_unitario]]&lt;=58.49,"Accesible","Caro"))</f>
        <v>Caro</v>
      </c>
      <c r="J106" t="s">
        <v>35</v>
      </c>
      <c r="K106">
        <v>1</v>
      </c>
      <c r="L106" s="19">
        <v>79.430000000000007</v>
      </c>
      <c r="M106" s="19">
        <v>43.37</v>
      </c>
      <c r="N106" s="11">
        <v>0</v>
      </c>
      <c r="O106" s="17">
        <f t="shared" si="7"/>
        <v>79.430000000000007</v>
      </c>
      <c r="P106" s="17">
        <f t="shared" si="4"/>
        <v>43.37</v>
      </c>
      <c r="Q106" s="17">
        <f t="shared" si="5"/>
        <v>36.060000000000009</v>
      </c>
      <c r="R106" s="24">
        <f t="shared" si="6"/>
        <v>0.45398464056401872</v>
      </c>
      <c r="S106" t="s">
        <v>101</v>
      </c>
      <c r="T106" t="s">
        <v>64</v>
      </c>
    </row>
    <row r="107" spans="1:20" hidden="1">
      <c r="A107" t="s">
        <v>174</v>
      </c>
      <c r="B107" s="5">
        <v>45751</v>
      </c>
      <c r="C107" s="8">
        <f>YEAR(Tabla2[[#This Row],[fecha]])</f>
        <v>2025</v>
      </c>
      <c r="D107" s="8">
        <f>MONTH(Tabla2[[#This Row],[fecha]])</f>
        <v>4</v>
      </c>
      <c r="E107" s="8" t="str">
        <f>TEXT(Tabla2[[#This Row],[fecha]], "mmmm")</f>
        <v>abril</v>
      </c>
      <c r="F107" s="8" t="str">
        <f>"T"&amp;ROUNDUP(Tabla2[[#This Row],[mes]]/3,0)</f>
        <v>T2</v>
      </c>
      <c r="G107" t="s">
        <v>33</v>
      </c>
      <c r="H107" t="s">
        <v>34</v>
      </c>
      <c r="I107" s="8" t="str">
        <f>IF(Tabla2[[#This Row],[precio_unitario]]&lt;=30,"Económico",IF(Tabla2[[#This Row],[precio_unitario]]&lt;=58.49,"Accesible","Caro"))</f>
        <v>Caro</v>
      </c>
      <c r="J107" t="s">
        <v>35</v>
      </c>
      <c r="K107">
        <v>2</v>
      </c>
      <c r="L107" s="19">
        <v>78.8</v>
      </c>
      <c r="M107" s="19">
        <v>47.81</v>
      </c>
      <c r="N107" s="13">
        <v>0</v>
      </c>
      <c r="O107" s="17">
        <f t="shared" si="7"/>
        <v>157.6</v>
      </c>
      <c r="P107" s="17">
        <f t="shared" si="4"/>
        <v>95.62</v>
      </c>
      <c r="Q107" s="17">
        <f t="shared" si="5"/>
        <v>61.97999999999999</v>
      </c>
      <c r="R107" s="24">
        <f t="shared" si="6"/>
        <v>0.39327411167512683</v>
      </c>
      <c r="S107" t="s">
        <v>96</v>
      </c>
      <c r="T107" t="s">
        <v>64</v>
      </c>
    </row>
    <row r="108" spans="1:20" hidden="1">
      <c r="A108" t="s">
        <v>175</v>
      </c>
      <c r="B108" s="5">
        <v>45451</v>
      </c>
      <c r="C108" s="8">
        <f>YEAR(Tabla2[[#This Row],[fecha]])</f>
        <v>2024</v>
      </c>
      <c r="D108" s="8">
        <f>MONTH(Tabla2[[#This Row],[fecha]])</f>
        <v>6</v>
      </c>
      <c r="E108" s="8" t="str">
        <f>TEXT(Tabla2[[#This Row],[fecha]], "mmmm")</f>
        <v>junio</v>
      </c>
      <c r="F108" s="8" t="str">
        <f>"T"&amp;ROUNDUP(Tabla2[[#This Row],[mes]]/3,0)</f>
        <v>T2</v>
      </c>
      <c r="G108" t="s">
        <v>24</v>
      </c>
      <c r="H108" t="s">
        <v>25</v>
      </c>
      <c r="I108" s="8" t="str">
        <f>IF(Tabla2[[#This Row],[precio_unitario]]&lt;=30,"Económico",IF(Tabla2[[#This Row],[precio_unitario]]&lt;=58.49,"Accesible","Caro"))</f>
        <v>Económico</v>
      </c>
      <c r="J108" t="s">
        <v>26</v>
      </c>
      <c r="K108">
        <v>7</v>
      </c>
      <c r="L108" s="19">
        <v>7.65</v>
      </c>
      <c r="M108" s="19">
        <v>4.3099999999999996</v>
      </c>
      <c r="N108" s="11">
        <v>0.28000000000000003</v>
      </c>
      <c r="O108" s="17">
        <f t="shared" si="7"/>
        <v>38.556000000000004</v>
      </c>
      <c r="P108" s="17">
        <f t="shared" si="4"/>
        <v>30.169999999999998</v>
      </c>
      <c r="Q108" s="17">
        <f t="shared" si="5"/>
        <v>8.3860000000000063</v>
      </c>
      <c r="R108" s="24">
        <f t="shared" si="6"/>
        <v>0.21750181554103137</v>
      </c>
      <c r="S108" t="s">
        <v>67</v>
      </c>
      <c r="T108" t="s">
        <v>60</v>
      </c>
    </row>
    <row r="109" spans="1:20">
      <c r="A109" t="s">
        <v>176</v>
      </c>
      <c r="B109" s="5">
        <v>45835</v>
      </c>
      <c r="C109" s="8">
        <f>YEAR(Tabla2[[#This Row],[fecha]])</f>
        <v>2025</v>
      </c>
      <c r="D109" s="8">
        <f>MONTH(Tabla2[[#This Row],[fecha]])</f>
        <v>6</v>
      </c>
      <c r="E109" s="8" t="str">
        <f>TEXT(Tabla2[[#This Row],[fecha]], "mmmm")</f>
        <v>junio</v>
      </c>
      <c r="F109" s="8" t="str">
        <f>"T"&amp;ROUNDUP(Tabla2[[#This Row],[mes]]/3,0)</f>
        <v>T2</v>
      </c>
      <c r="G109" t="s">
        <v>49</v>
      </c>
      <c r="H109" t="s">
        <v>50</v>
      </c>
      <c r="I109" s="8" t="str">
        <f>IF(Tabla2[[#This Row],[precio_unitario]]&lt;=30,"Económico",IF(Tabla2[[#This Row],[precio_unitario]]&lt;=58.49,"Accesible","Caro"))</f>
        <v>Accesible</v>
      </c>
      <c r="J109" t="s">
        <v>44</v>
      </c>
      <c r="K109">
        <v>2</v>
      </c>
      <c r="L109" s="19">
        <v>56.6</v>
      </c>
      <c r="M109" s="19">
        <v>34.299999999999997</v>
      </c>
      <c r="N109" s="11">
        <v>0</v>
      </c>
      <c r="O109" s="17">
        <f t="shared" si="7"/>
        <v>113.2</v>
      </c>
      <c r="P109" s="17">
        <f t="shared" si="4"/>
        <v>68.599999999999994</v>
      </c>
      <c r="Q109" s="17">
        <f t="shared" si="5"/>
        <v>44.600000000000009</v>
      </c>
      <c r="R109" s="24">
        <f t="shared" si="6"/>
        <v>0.39399293286219089</v>
      </c>
      <c r="S109" t="s">
        <v>67</v>
      </c>
      <c r="T109" t="s">
        <v>64</v>
      </c>
    </row>
    <row r="110" spans="1:20" hidden="1">
      <c r="A110" t="s">
        <v>177</v>
      </c>
      <c r="B110" s="5">
        <v>45548</v>
      </c>
      <c r="C110" s="8">
        <f>YEAR(Tabla2[[#This Row],[fecha]])</f>
        <v>2024</v>
      </c>
      <c r="D110" s="8">
        <f>MONTH(Tabla2[[#This Row],[fecha]])</f>
        <v>9</v>
      </c>
      <c r="E110" s="8" t="str">
        <f>TEXT(Tabla2[[#This Row],[fecha]], "mmmm")</f>
        <v>septiembre</v>
      </c>
      <c r="F110" s="8" t="str">
        <f>"T"&amp;ROUNDUP(Tabla2[[#This Row],[mes]]/3,0)</f>
        <v>T3</v>
      </c>
      <c r="G110" t="s">
        <v>47</v>
      </c>
      <c r="H110" t="s">
        <v>48</v>
      </c>
      <c r="I110" s="8" t="str">
        <f>IF(Tabla2[[#This Row],[precio_unitario]]&lt;=30,"Económico",IF(Tabla2[[#This Row],[precio_unitario]]&lt;=58.49,"Accesible","Caro"))</f>
        <v>Caro</v>
      </c>
      <c r="J110" t="s">
        <v>44</v>
      </c>
      <c r="K110">
        <v>3</v>
      </c>
      <c r="L110" s="19">
        <v>61.87</v>
      </c>
      <c r="M110" s="19">
        <v>34.19</v>
      </c>
      <c r="N110" s="11">
        <v>0</v>
      </c>
      <c r="O110" s="17">
        <f t="shared" si="7"/>
        <v>185.60999999999999</v>
      </c>
      <c r="P110" s="17">
        <f t="shared" si="4"/>
        <v>102.57</v>
      </c>
      <c r="Q110" s="17">
        <f t="shared" si="5"/>
        <v>83.039999999999992</v>
      </c>
      <c r="R110" s="24">
        <f t="shared" si="6"/>
        <v>0.44738968805560042</v>
      </c>
      <c r="S110" t="s">
        <v>83</v>
      </c>
      <c r="T110" t="s">
        <v>64</v>
      </c>
    </row>
    <row r="111" spans="1:20">
      <c r="A111" t="s">
        <v>178</v>
      </c>
      <c r="B111" s="5">
        <v>45676</v>
      </c>
      <c r="C111" s="8">
        <f>YEAR(Tabla2[[#This Row],[fecha]])</f>
        <v>2025</v>
      </c>
      <c r="D111" s="8">
        <f>MONTH(Tabla2[[#This Row],[fecha]])</f>
        <v>1</v>
      </c>
      <c r="E111" s="8" t="str">
        <f>TEXT(Tabla2[[#This Row],[fecha]], "mmmm")</f>
        <v>enero</v>
      </c>
      <c r="F111" s="8" t="str">
        <f>"T"&amp;ROUNDUP(Tabla2[[#This Row],[mes]]/3,0)</f>
        <v>T1</v>
      </c>
      <c r="G111" t="s">
        <v>22</v>
      </c>
      <c r="H111" t="s">
        <v>23</v>
      </c>
      <c r="I111" s="8" t="str">
        <f>IF(Tabla2[[#This Row],[precio_unitario]]&lt;=30,"Económico",IF(Tabla2[[#This Row],[precio_unitario]]&lt;=58.49,"Accesible","Caro"))</f>
        <v>Caro</v>
      </c>
      <c r="J111" t="s">
        <v>17</v>
      </c>
      <c r="K111">
        <v>2</v>
      </c>
      <c r="L111" s="19">
        <v>106.96</v>
      </c>
      <c r="M111" s="19">
        <v>56.07</v>
      </c>
      <c r="N111" s="11">
        <v>0</v>
      </c>
      <c r="O111" s="17">
        <f t="shared" si="7"/>
        <v>213.92</v>
      </c>
      <c r="P111" s="17">
        <f t="shared" si="4"/>
        <v>112.14</v>
      </c>
      <c r="Q111" s="17">
        <f t="shared" si="5"/>
        <v>101.77999999999999</v>
      </c>
      <c r="R111" s="24">
        <f t="shared" si="6"/>
        <v>0.47578534031413611</v>
      </c>
      <c r="S111" t="s">
        <v>67</v>
      </c>
      <c r="T111" t="s">
        <v>64</v>
      </c>
    </row>
    <row r="112" spans="1:20" hidden="1">
      <c r="A112" t="s">
        <v>179</v>
      </c>
      <c r="B112" s="5">
        <v>45893</v>
      </c>
      <c r="C112" s="8">
        <f>YEAR(Tabla2[[#This Row],[fecha]])</f>
        <v>2025</v>
      </c>
      <c r="D112" s="8">
        <f>MONTH(Tabla2[[#This Row],[fecha]])</f>
        <v>8</v>
      </c>
      <c r="E112" s="8" t="str">
        <f>TEXT(Tabla2[[#This Row],[fecha]], "mmmm")</f>
        <v>agosto</v>
      </c>
      <c r="F112" s="8" t="str">
        <f>"T"&amp;ROUNDUP(Tabla2[[#This Row],[mes]]/3,0)</f>
        <v>T3</v>
      </c>
      <c r="G112" t="s">
        <v>20</v>
      </c>
      <c r="H112" t="s">
        <v>21</v>
      </c>
      <c r="I112" s="8" t="str">
        <f>IF(Tabla2[[#This Row],[precio_unitario]]&lt;=30,"Económico",IF(Tabla2[[#This Row],[precio_unitario]]&lt;=58.49,"Accesible","Caro"))</f>
        <v>Económico</v>
      </c>
      <c r="J112" t="s">
        <v>17</v>
      </c>
      <c r="K112">
        <v>3</v>
      </c>
      <c r="L112" s="19">
        <v>19.32</v>
      </c>
      <c r="M112" s="19">
        <v>13.49</v>
      </c>
      <c r="N112" s="11">
        <v>0.28000000000000003</v>
      </c>
      <c r="O112" s="17">
        <f t="shared" si="7"/>
        <v>41.731200000000001</v>
      </c>
      <c r="P112" s="17">
        <f t="shared" si="4"/>
        <v>40.47</v>
      </c>
      <c r="Q112" s="17">
        <f t="shared" si="5"/>
        <v>1.2612000000000023</v>
      </c>
      <c r="R112" s="24">
        <f t="shared" si="6"/>
        <v>3.0221992178513974E-2</v>
      </c>
      <c r="S112" t="s">
        <v>63</v>
      </c>
      <c r="T112" t="s">
        <v>64</v>
      </c>
    </row>
    <row r="113" spans="1:20">
      <c r="A113" t="s">
        <v>180</v>
      </c>
      <c r="B113" s="5">
        <v>45958</v>
      </c>
      <c r="C113" s="8">
        <f>YEAR(Tabla2[[#This Row],[fecha]])</f>
        <v>2025</v>
      </c>
      <c r="D113" s="8">
        <f>MONTH(Tabla2[[#This Row],[fecha]])</f>
        <v>10</v>
      </c>
      <c r="E113" s="8" t="str">
        <f>TEXT(Tabla2[[#This Row],[fecha]], "mmmm")</f>
        <v>octubre</v>
      </c>
      <c r="F113" s="8" t="str">
        <f>"T"&amp;ROUNDUP(Tabla2[[#This Row],[mes]]/3,0)</f>
        <v>T4</v>
      </c>
      <c r="G113" t="s">
        <v>15</v>
      </c>
      <c r="H113" t="s">
        <v>16</v>
      </c>
      <c r="I113" s="8" t="str">
        <f>IF(Tabla2[[#This Row],[precio_unitario]]&lt;=30,"Económico",IF(Tabla2[[#This Row],[precio_unitario]]&lt;=58.49,"Accesible","Caro"))</f>
        <v>Caro</v>
      </c>
      <c r="J113" t="s">
        <v>17</v>
      </c>
      <c r="K113">
        <v>3</v>
      </c>
      <c r="L113" s="19">
        <v>62.35</v>
      </c>
      <c r="M113" s="19">
        <v>42.16</v>
      </c>
      <c r="N113" s="11">
        <v>0</v>
      </c>
      <c r="O113" s="17">
        <f t="shared" si="7"/>
        <v>187.05</v>
      </c>
      <c r="P113" s="17">
        <f t="shared" si="4"/>
        <v>126.47999999999999</v>
      </c>
      <c r="Q113" s="17">
        <f t="shared" si="5"/>
        <v>60.570000000000022</v>
      </c>
      <c r="R113" s="24">
        <f t="shared" si="6"/>
        <v>0.32381716118684856</v>
      </c>
      <c r="S113" t="s">
        <v>67</v>
      </c>
      <c r="T113" t="s">
        <v>60</v>
      </c>
    </row>
    <row r="114" spans="1:20" hidden="1">
      <c r="A114" t="s">
        <v>181</v>
      </c>
      <c r="B114" s="5">
        <v>45295</v>
      </c>
      <c r="C114" s="8">
        <f>YEAR(Tabla2[[#This Row],[fecha]])</f>
        <v>2024</v>
      </c>
      <c r="D114" s="8">
        <f>MONTH(Tabla2[[#This Row],[fecha]])</f>
        <v>1</v>
      </c>
      <c r="E114" s="8" t="str">
        <f>TEXT(Tabla2[[#This Row],[fecha]], "mmmm")</f>
        <v>enero</v>
      </c>
      <c r="F114" s="8" t="str">
        <f>"T"&amp;ROUNDUP(Tabla2[[#This Row],[mes]]/3,0)</f>
        <v>T1</v>
      </c>
      <c r="G114" t="s">
        <v>24</v>
      </c>
      <c r="H114" t="s">
        <v>25</v>
      </c>
      <c r="I114" s="8" t="str">
        <f>IF(Tabla2[[#This Row],[precio_unitario]]&lt;=30,"Económico",IF(Tabla2[[#This Row],[precio_unitario]]&lt;=58.49,"Accesible","Caro"))</f>
        <v>Económico</v>
      </c>
      <c r="J114" t="s">
        <v>26</v>
      </c>
      <c r="K114">
        <v>6</v>
      </c>
      <c r="L114" s="19">
        <v>8.16</v>
      </c>
      <c r="M114" s="19">
        <v>4.33</v>
      </c>
      <c r="N114" s="11">
        <v>0.08</v>
      </c>
      <c r="O114" s="17">
        <f t="shared" si="7"/>
        <v>45.043200000000006</v>
      </c>
      <c r="P114" s="17">
        <f t="shared" si="4"/>
        <v>25.98</v>
      </c>
      <c r="Q114" s="17">
        <f t="shared" si="5"/>
        <v>19.063200000000005</v>
      </c>
      <c r="R114" s="24">
        <f t="shared" si="6"/>
        <v>0.42322037510656441</v>
      </c>
      <c r="S114" t="s">
        <v>540</v>
      </c>
      <c r="T114" t="s">
        <v>60</v>
      </c>
    </row>
    <row r="115" spans="1:20" hidden="1">
      <c r="A115" t="s">
        <v>182</v>
      </c>
      <c r="B115" s="5">
        <v>45542</v>
      </c>
      <c r="C115" s="8">
        <f>YEAR(Tabla2[[#This Row],[fecha]])</f>
        <v>2024</v>
      </c>
      <c r="D115" s="8">
        <f>MONTH(Tabla2[[#This Row],[fecha]])</f>
        <v>9</v>
      </c>
      <c r="E115" s="8" t="str">
        <f>TEXT(Tabla2[[#This Row],[fecha]], "mmmm")</f>
        <v>septiembre</v>
      </c>
      <c r="F115" s="8" t="str">
        <f>"T"&amp;ROUNDUP(Tabla2[[#This Row],[mes]]/3,0)</f>
        <v>T3</v>
      </c>
      <c r="G115" t="s">
        <v>36</v>
      </c>
      <c r="H115" t="s">
        <v>37</v>
      </c>
      <c r="I115" s="8" t="str">
        <f>IF(Tabla2[[#This Row],[precio_unitario]]&lt;=30,"Económico",IF(Tabla2[[#This Row],[precio_unitario]]&lt;=58.49,"Accesible","Caro"))</f>
        <v>Económico</v>
      </c>
      <c r="J115" t="s">
        <v>35</v>
      </c>
      <c r="K115">
        <v>1</v>
      </c>
      <c r="L115" s="19">
        <v>14.83</v>
      </c>
      <c r="M115" s="19">
        <v>9.7899999999999991</v>
      </c>
      <c r="N115" s="11">
        <v>0</v>
      </c>
      <c r="O115" s="17">
        <f t="shared" si="7"/>
        <v>14.83</v>
      </c>
      <c r="P115" s="17">
        <f t="shared" si="4"/>
        <v>9.7899999999999991</v>
      </c>
      <c r="Q115" s="17">
        <f t="shared" si="5"/>
        <v>5.0400000000000009</v>
      </c>
      <c r="R115" s="24">
        <f t="shared" si="6"/>
        <v>0.33985165205664203</v>
      </c>
      <c r="S115" t="s">
        <v>540</v>
      </c>
      <c r="T115" t="s">
        <v>64</v>
      </c>
    </row>
    <row r="116" spans="1:20">
      <c r="A116" t="s">
        <v>183</v>
      </c>
      <c r="B116" s="5">
        <v>45827</v>
      </c>
      <c r="C116" s="8">
        <f>YEAR(Tabla2[[#This Row],[fecha]])</f>
        <v>2025</v>
      </c>
      <c r="D116" s="8">
        <f>MONTH(Tabla2[[#This Row],[fecha]])</f>
        <v>6</v>
      </c>
      <c r="E116" s="8" t="str">
        <f>TEXT(Tabla2[[#This Row],[fecha]], "mmmm")</f>
        <v>junio</v>
      </c>
      <c r="F116" s="8" t="str">
        <f>"T"&amp;ROUNDUP(Tabla2[[#This Row],[mes]]/3,0)</f>
        <v>T2</v>
      </c>
      <c r="G116" t="s">
        <v>6</v>
      </c>
      <c r="H116" t="s">
        <v>7</v>
      </c>
      <c r="I116" s="8" t="str">
        <f>IF(Tabla2[[#This Row],[precio_unitario]]&lt;=30,"Económico",IF(Tabla2[[#This Row],[precio_unitario]]&lt;=58.49,"Accesible","Caro"))</f>
        <v>Caro</v>
      </c>
      <c r="J116" t="s">
        <v>8</v>
      </c>
      <c r="K116">
        <v>1</v>
      </c>
      <c r="L116" s="19">
        <v>131.63999999999999</v>
      </c>
      <c r="M116" s="19">
        <v>85.86</v>
      </c>
      <c r="N116" s="11">
        <v>7.0000000000000007E-2</v>
      </c>
      <c r="O116" s="17">
        <f t="shared" si="7"/>
        <v>122.42519999999998</v>
      </c>
      <c r="P116" s="17">
        <f t="shared" si="4"/>
        <v>85.86</v>
      </c>
      <c r="Q116" s="17">
        <f t="shared" si="5"/>
        <v>36.565199999999976</v>
      </c>
      <c r="R116" s="24">
        <f t="shared" si="6"/>
        <v>0.29867380245243613</v>
      </c>
      <c r="S116" t="s">
        <v>67</v>
      </c>
      <c r="T116" t="s">
        <v>60</v>
      </c>
    </row>
    <row r="117" spans="1:20" hidden="1">
      <c r="A117" t="s">
        <v>184</v>
      </c>
      <c r="B117" s="5">
        <v>45572</v>
      </c>
      <c r="C117" s="8">
        <f>YEAR(Tabla2[[#This Row],[fecha]])</f>
        <v>2024</v>
      </c>
      <c r="D117" s="8">
        <f>MONTH(Tabla2[[#This Row],[fecha]])</f>
        <v>10</v>
      </c>
      <c r="E117" s="8" t="str">
        <f>TEXT(Tabla2[[#This Row],[fecha]], "mmmm")</f>
        <v>octubre</v>
      </c>
      <c r="F117" s="8" t="str">
        <f>"T"&amp;ROUNDUP(Tabla2[[#This Row],[mes]]/3,0)</f>
        <v>T4</v>
      </c>
      <c r="G117" t="s">
        <v>9</v>
      </c>
      <c r="H117" t="s">
        <v>10</v>
      </c>
      <c r="I117" s="8" t="str">
        <f>IF(Tabla2[[#This Row],[precio_unitario]]&lt;=30,"Económico",IF(Tabla2[[#This Row],[precio_unitario]]&lt;=58.49,"Accesible","Caro"))</f>
        <v>Caro</v>
      </c>
      <c r="J117" t="s">
        <v>8</v>
      </c>
      <c r="K117" s="10">
        <v>3</v>
      </c>
      <c r="L117" s="19">
        <v>76.37</v>
      </c>
      <c r="M117" s="19">
        <v>49.01</v>
      </c>
      <c r="N117" s="11">
        <v>0</v>
      </c>
      <c r="O117" s="17">
        <f t="shared" si="7"/>
        <v>229.11</v>
      </c>
      <c r="P117" s="17">
        <f t="shared" si="4"/>
        <v>147.03</v>
      </c>
      <c r="Q117" s="17">
        <f t="shared" si="5"/>
        <v>82.080000000000013</v>
      </c>
      <c r="R117" s="24">
        <f t="shared" si="6"/>
        <v>0.35825585963074508</v>
      </c>
      <c r="S117" t="s">
        <v>96</v>
      </c>
      <c r="T117" t="s">
        <v>64</v>
      </c>
    </row>
    <row r="118" spans="1:20">
      <c r="A118" t="s">
        <v>185</v>
      </c>
      <c r="B118" s="5">
        <v>45749</v>
      </c>
      <c r="C118" s="8">
        <f>YEAR(Tabla2[[#This Row],[fecha]])</f>
        <v>2025</v>
      </c>
      <c r="D118" s="8">
        <f>MONTH(Tabla2[[#This Row],[fecha]])</f>
        <v>4</v>
      </c>
      <c r="E118" s="8" t="str">
        <f>TEXT(Tabla2[[#This Row],[fecha]], "mmmm")</f>
        <v>abril</v>
      </c>
      <c r="F118" s="8" t="str">
        <f>"T"&amp;ROUNDUP(Tabla2[[#This Row],[mes]]/3,0)</f>
        <v>T2</v>
      </c>
      <c r="G118" t="s">
        <v>6</v>
      </c>
      <c r="H118" t="s">
        <v>7</v>
      </c>
      <c r="I118" s="8" t="str">
        <f>IF(Tabla2[[#This Row],[precio_unitario]]&lt;=30,"Económico",IF(Tabla2[[#This Row],[precio_unitario]]&lt;=58.49,"Accesible","Caro"))</f>
        <v>Caro</v>
      </c>
      <c r="J118" t="s">
        <v>8</v>
      </c>
      <c r="K118">
        <v>12</v>
      </c>
      <c r="L118" s="19">
        <v>124.81</v>
      </c>
      <c r="M118" s="19">
        <v>87.7</v>
      </c>
      <c r="N118" s="13">
        <v>0</v>
      </c>
      <c r="O118" s="17">
        <f t="shared" si="7"/>
        <v>1497.72</v>
      </c>
      <c r="P118" s="17">
        <f t="shared" si="4"/>
        <v>1052.4000000000001</v>
      </c>
      <c r="Q118" s="17">
        <f t="shared" si="5"/>
        <v>445.31999999999994</v>
      </c>
      <c r="R118" s="24">
        <f t="shared" si="6"/>
        <v>0.29733194455572465</v>
      </c>
      <c r="S118" t="s">
        <v>67</v>
      </c>
      <c r="T118" t="s">
        <v>60</v>
      </c>
    </row>
    <row r="119" spans="1:20" hidden="1">
      <c r="A119" t="s">
        <v>186</v>
      </c>
      <c r="B119" s="5">
        <v>45314</v>
      </c>
      <c r="C119" s="8">
        <f>YEAR(Tabla2[[#This Row],[fecha]])</f>
        <v>2024</v>
      </c>
      <c r="D119" s="8">
        <f>MONTH(Tabla2[[#This Row],[fecha]])</f>
        <v>1</v>
      </c>
      <c r="E119" s="8" t="str">
        <f>TEXT(Tabla2[[#This Row],[fecha]], "mmmm")</f>
        <v>enero</v>
      </c>
      <c r="F119" s="8" t="str">
        <f>"T"&amp;ROUNDUP(Tabla2[[#This Row],[mes]]/3,0)</f>
        <v>T1</v>
      </c>
      <c r="G119" t="s">
        <v>18</v>
      </c>
      <c r="H119" t="s">
        <v>19</v>
      </c>
      <c r="I119" s="8" t="str">
        <f>IF(Tabla2[[#This Row],[precio_unitario]]&lt;=30,"Económico",IF(Tabla2[[#This Row],[precio_unitario]]&lt;=58.49,"Accesible","Caro"))</f>
        <v>Accesible</v>
      </c>
      <c r="J119" t="s">
        <v>17</v>
      </c>
      <c r="K119">
        <v>1</v>
      </c>
      <c r="L119" s="19">
        <v>49.47</v>
      </c>
      <c r="M119" s="19">
        <v>25.69</v>
      </c>
      <c r="N119" s="11">
        <v>0</v>
      </c>
      <c r="O119" s="17">
        <f t="shared" si="7"/>
        <v>49.47</v>
      </c>
      <c r="P119" s="17">
        <f t="shared" si="4"/>
        <v>25.69</v>
      </c>
      <c r="Q119" s="17">
        <f t="shared" si="5"/>
        <v>23.779999999999998</v>
      </c>
      <c r="R119" s="24">
        <f t="shared" si="6"/>
        <v>0.48069537093187786</v>
      </c>
      <c r="S119" t="s">
        <v>83</v>
      </c>
      <c r="T119" t="s">
        <v>64</v>
      </c>
    </row>
    <row r="120" spans="1:20" hidden="1">
      <c r="A120" t="s">
        <v>187</v>
      </c>
      <c r="B120" s="5">
        <v>45821</v>
      </c>
      <c r="C120" s="8">
        <f>YEAR(Tabla2[[#This Row],[fecha]])</f>
        <v>2025</v>
      </c>
      <c r="D120" s="8">
        <f>MONTH(Tabla2[[#This Row],[fecha]])</f>
        <v>6</v>
      </c>
      <c r="E120" s="8" t="str">
        <f>TEXT(Tabla2[[#This Row],[fecha]], "mmmm")</f>
        <v>junio</v>
      </c>
      <c r="F120" s="8" t="str">
        <f>"T"&amp;ROUNDUP(Tabla2[[#This Row],[mes]]/3,0)</f>
        <v>T2</v>
      </c>
      <c r="G120" t="s">
        <v>22</v>
      </c>
      <c r="H120" t="s">
        <v>23</v>
      </c>
      <c r="I120" s="8" t="str">
        <f>IF(Tabla2[[#This Row],[precio_unitario]]&lt;=30,"Económico",IF(Tabla2[[#This Row],[precio_unitario]]&lt;=58.49,"Accesible","Caro"))</f>
        <v>Caro</v>
      </c>
      <c r="J120" t="s">
        <v>17</v>
      </c>
      <c r="K120">
        <v>7</v>
      </c>
      <c r="L120" s="19">
        <v>99.08</v>
      </c>
      <c r="M120" s="19">
        <v>58.87</v>
      </c>
      <c r="N120" s="11">
        <v>0</v>
      </c>
      <c r="O120" s="17">
        <f t="shared" si="7"/>
        <v>693.56</v>
      </c>
      <c r="P120" s="17">
        <f t="shared" si="4"/>
        <v>412.09</v>
      </c>
      <c r="Q120" s="17">
        <f t="shared" si="5"/>
        <v>281.46999999999997</v>
      </c>
      <c r="R120" s="24">
        <f t="shared" si="6"/>
        <v>0.40583366976180862</v>
      </c>
      <c r="S120" t="s">
        <v>63</v>
      </c>
      <c r="T120" t="s">
        <v>64</v>
      </c>
    </row>
    <row r="121" spans="1:20" hidden="1">
      <c r="A121" t="s">
        <v>188</v>
      </c>
      <c r="B121" s="5">
        <v>45449</v>
      </c>
      <c r="C121" s="8">
        <f>YEAR(Tabla2[[#This Row],[fecha]])</f>
        <v>2024</v>
      </c>
      <c r="D121" s="8">
        <f>MONTH(Tabla2[[#This Row],[fecha]])</f>
        <v>6</v>
      </c>
      <c r="E121" s="8" t="str">
        <f>TEXT(Tabla2[[#This Row],[fecha]], "mmmm")</f>
        <v>junio</v>
      </c>
      <c r="F121" s="8" t="str">
        <f>"T"&amp;ROUNDUP(Tabla2[[#This Row],[mes]]/3,0)</f>
        <v>T2</v>
      </c>
      <c r="G121" t="s">
        <v>49</v>
      </c>
      <c r="H121" t="s">
        <v>50</v>
      </c>
      <c r="I121" s="8" t="str">
        <f>IF(Tabla2[[#This Row],[precio_unitario]]&lt;=30,"Económico",IF(Tabla2[[#This Row],[precio_unitario]]&lt;=58.49,"Accesible","Caro"))</f>
        <v>Caro</v>
      </c>
      <c r="J121" t="s">
        <v>44</v>
      </c>
      <c r="K121">
        <v>2</v>
      </c>
      <c r="L121" s="19">
        <v>61.87</v>
      </c>
      <c r="M121" s="19">
        <v>34.54</v>
      </c>
      <c r="N121" s="13">
        <v>0</v>
      </c>
      <c r="O121" s="17">
        <f t="shared" si="7"/>
        <v>123.74</v>
      </c>
      <c r="P121" s="17">
        <f t="shared" si="4"/>
        <v>69.08</v>
      </c>
      <c r="Q121" s="17">
        <f t="shared" si="5"/>
        <v>54.66</v>
      </c>
      <c r="R121" s="24">
        <f t="shared" si="6"/>
        <v>0.44173266526588006</v>
      </c>
      <c r="S121" t="s">
        <v>96</v>
      </c>
      <c r="T121" t="s">
        <v>64</v>
      </c>
    </row>
    <row r="122" spans="1:20" hidden="1">
      <c r="A122" t="s">
        <v>189</v>
      </c>
      <c r="B122" s="5">
        <v>45990</v>
      </c>
      <c r="C122" s="8">
        <f>YEAR(Tabla2[[#This Row],[fecha]])</f>
        <v>2025</v>
      </c>
      <c r="D122" s="8">
        <f>MONTH(Tabla2[[#This Row],[fecha]])</f>
        <v>11</v>
      </c>
      <c r="E122" s="8" t="str">
        <f>TEXT(Tabla2[[#This Row],[fecha]], "mmmm")</f>
        <v>noviembre</v>
      </c>
      <c r="F122" s="8" t="str">
        <f>"T"&amp;ROUNDUP(Tabla2[[#This Row],[mes]]/3,0)</f>
        <v>T4</v>
      </c>
      <c r="G122" t="s">
        <v>29</v>
      </c>
      <c r="H122" t="s">
        <v>30</v>
      </c>
      <c r="I122" s="8" t="str">
        <f>IF(Tabla2[[#This Row],[precio_unitario]]&lt;=30,"Económico",IF(Tabla2[[#This Row],[precio_unitario]]&lt;=58.49,"Accesible","Caro"))</f>
        <v>Económico</v>
      </c>
      <c r="J122" t="s">
        <v>26</v>
      </c>
      <c r="K122">
        <v>4</v>
      </c>
      <c r="L122" s="19">
        <v>19.850000000000001</v>
      </c>
      <c r="M122" s="19">
        <v>11.89</v>
      </c>
      <c r="N122" s="13">
        <v>0</v>
      </c>
      <c r="O122" s="17">
        <f t="shared" si="7"/>
        <v>79.400000000000006</v>
      </c>
      <c r="P122" s="17">
        <f t="shared" si="4"/>
        <v>47.56</v>
      </c>
      <c r="Q122" s="17">
        <f t="shared" si="5"/>
        <v>31.840000000000003</v>
      </c>
      <c r="R122" s="24">
        <f t="shared" si="6"/>
        <v>0.40100755667506299</v>
      </c>
      <c r="S122" t="s">
        <v>63</v>
      </c>
      <c r="T122" t="s">
        <v>60</v>
      </c>
    </row>
    <row r="123" spans="1:20" hidden="1">
      <c r="A123" t="s">
        <v>190</v>
      </c>
      <c r="B123" s="5">
        <v>45468</v>
      </c>
      <c r="C123" s="8">
        <f>YEAR(Tabla2[[#This Row],[fecha]])</f>
        <v>2024</v>
      </c>
      <c r="D123" s="8">
        <f>MONTH(Tabla2[[#This Row],[fecha]])</f>
        <v>6</v>
      </c>
      <c r="E123" s="8" t="str">
        <f>TEXT(Tabla2[[#This Row],[fecha]], "mmmm")</f>
        <v>junio</v>
      </c>
      <c r="F123" s="8" t="str">
        <f>"T"&amp;ROUNDUP(Tabla2[[#This Row],[mes]]/3,0)</f>
        <v>T2</v>
      </c>
      <c r="G123" t="s">
        <v>20</v>
      </c>
      <c r="H123" t="s">
        <v>21</v>
      </c>
      <c r="I123" s="8" t="str">
        <f>IF(Tabla2[[#This Row],[precio_unitario]]&lt;=30,"Económico",IF(Tabla2[[#This Row],[precio_unitario]]&lt;=58.49,"Accesible","Caro"))</f>
        <v>Económico</v>
      </c>
      <c r="J123" t="s">
        <v>17</v>
      </c>
      <c r="K123">
        <v>1</v>
      </c>
      <c r="L123" s="19">
        <v>21.2</v>
      </c>
      <c r="M123" s="19">
        <v>12.47</v>
      </c>
      <c r="N123" s="11">
        <v>0.25</v>
      </c>
      <c r="O123" s="17">
        <f t="shared" si="7"/>
        <v>15.899999999999999</v>
      </c>
      <c r="P123" s="17">
        <f t="shared" si="4"/>
        <v>12.47</v>
      </c>
      <c r="Q123" s="17">
        <f t="shared" si="5"/>
        <v>3.4299999999999979</v>
      </c>
      <c r="R123" s="24">
        <f t="shared" si="6"/>
        <v>0.21572327044025147</v>
      </c>
      <c r="S123" t="s">
        <v>540</v>
      </c>
      <c r="T123" t="s">
        <v>64</v>
      </c>
    </row>
    <row r="124" spans="1:20">
      <c r="A124" t="s">
        <v>191</v>
      </c>
      <c r="B124" s="5">
        <v>45932</v>
      </c>
      <c r="C124" s="8">
        <f>YEAR(Tabla2[[#This Row],[fecha]])</f>
        <v>2025</v>
      </c>
      <c r="D124" s="8">
        <f>MONTH(Tabla2[[#This Row],[fecha]])</f>
        <v>10</v>
      </c>
      <c r="E124" s="8" t="str">
        <f>TEXT(Tabla2[[#This Row],[fecha]], "mmmm")</f>
        <v>octubre</v>
      </c>
      <c r="F124" s="8" t="str">
        <f>"T"&amp;ROUNDUP(Tabla2[[#This Row],[mes]]/3,0)</f>
        <v>T4</v>
      </c>
      <c r="G124" t="s">
        <v>13</v>
      </c>
      <c r="H124" t="s">
        <v>14</v>
      </c>
      <c r="I124" s="8" t="str">
        <f>IF(Tabla2[[#This Row],[precio_unitario]]&lt;=30,"Económico",IF(Tabla2[[#This Row],[precio_unitario]]&lt;=58.49,"Accesible","Caro"))</f>
        <v>Caro</v>
      </c>
      <c r="J124" t="s">
        <v>8</v>
      </c>
      <c r="K124">
        <v>4</v>
      </c>
      <c r="L124" s="19">
        <v>168.61</v>
      </c>
      <c r="M124" s="19">
        <v>110.46</v>
      </c>
      <c r="N124" s="11">
        <v>0</v>
      </c>
      <c r="O124" s="17">
        <f t="shared" si="7"/>
        <v>674.44</v>
      </c>
      <c r="P124" s="17">
        <f t="shared" si="4"/>
        <v>441.84</v>
      </c>
      <c r="Q124" s="17">
        <f t="shared" si="5"/>
        <v>232.60000000000008</v>
      </c>
      <c r="R124" s="24">
        <f t="shared" si="6"/>
        <v>0.34487871419251537</v>
      </c>
      <c r="S124" t="s">
        <v>67</v>
      </c>
      <c r="T124" t="s">
        <v>64</v>
      </c>
    </row>
    <row r="125" spans="1:20" hidden="1">
      <c r="A125" t="s">
        <v>192</v>
      </c>
      <c r="B125" s="5">
        <v>45830</v>
      </c>
      <c r="C125" s="8">
        <f>YEAR(Tabla2[[#This Row],[fecha]])</f>
        <v>2025</v>
      </c>
      <c r="D125" s="8">
        <f>MONTH(Tabla2[[#This Row],[fecha]])</f>
        <v>6</v>
      </c>
      <c r="E125" s="8" t="str">
        <f>TEXT(Tabla2[[#This Row],[fecha]], "mmmm")</f>
        <v>junio</v>
      </c>
      <c r="F125" s="8" t="str">
        <f>"T"&amp;ROUNDUP(Tabla2[[#This Row],[mes]]/3,0)</f>
        <v>T2</v>
      </c>
      <c r="G125" t="s">
        <v>20</v>
      </c>
      <c r="H125" t="s">
        <v>21</v>
      </c>
      <c r="I125" s="8" t="str">
        <f>IF(Tabla2[[#This Row],[precio_unitario]]&lt;=30,"Económico",IF(Tabla2[[#This Row],[precio_unitario]]&lt;=58.49,"Accesible","Caro"))</f>
        <v>Económico</v>
      </c>
      <c r="J125" t="s">
        <v>17</v>
      </c>
      <c r="K125">
        <v>3</v>
      </c>
      <c r="L125" s="19">
        <v>20.7</v>
      </c>
      <c r="M125" s="19">
        <v>13</v>
      </c>
      <c r="N125" s="11">
        <v>0</v>
      </c>
      <c r="O125" s="17">
        <f t="shared" si="7"/>
        <v>62.099999999999994</v>
      </c>
      <c r="P125" s="17">
        <f t="shared" si="4"/>
        <v>39</v>
      </c>
      <c r="Q125" s="17">
        <f t="shared" si="5"/>
        <v>23.099999999999994</v>
      </c>
      <c r="R125" s="24">
        <f t="shared" si="6"/>
        <v>0.37198067632850235</v>
      </c>
      <c r="S125" t="s">
        <v>83</v>
      </c>
      <c r="T125" t="s">
        <v>64</v>
      </c>
    </row>
    <row r="126" spans="1:20" hidden="1">
      <c r="A126" t="s">
        <v>193</v>
      </c>
      <c r="B126" s="5">
        <v>45375</v>
      </c>
      <c r="C126" s="8">
        <f>YEAR(Tabla2[[#This Row],[fecha]])</f>
        <v>2024</v>
      </c>
      <c r="D126" s="8">
        <f>MONTH(Tabla2[[#This Row],[fecha]])</f>
        <v>3</v>
      </c>
      <c r="E126" s="8" t="str">
        <f>TEXT(Tabla2[[#This Row],[fecha]], "mmmm")</f>
        <v>marzo</v>
      </c>
      <c r="F126" s="8" t="str">
        <f>"T"&amp;ROUNDUP(Tabla2[[#This Row],[mes]]/3,0)</f>
        <v>T1</v>
      </c>
      <c r="G126" t="s">
        <v>33</v>
      </c>
      <c r="H126" t="s">
        <v>34</v>
      </c>
      <c r="I126" s="8" t="str">
        <f>IF(Tabla2[[#This Row],[precio_unitario]]&lt;=30,"Económico",IF(Tabla2[[#This Row],[precio_unitario]]&lt;=58.49,"Accesible","Caro"))</f>
        <v>Caro</v>
      </c>
      <c r="J126" t="s">
        <v>35</v>
      </c>
      <c r="K126">
        <v>3</v>
      </c>
      <c r="L126" s="19">
        <v>73.8</v>
      </c>
      <c r="M126" s="19">
        <v>47.86</v>
      </c>
      <c r="N126" s="11">
        <v>0</v>
      </c>
      <c r="O126" s="17">
        <f t="shared" si="7"/>
        <v>221.39999999999998</v>
      </c>
      <c r="P126" s="17">
        <f t="shared" si="4"/>
        <v>143.57999999999998</v>
      </c>
      <c r="Q126" s="17">
        <f t="shared" si="5"/>
        <v>77.819999999999993</v>
      </c>
      <c r="R126" s="24">
        <f t="shared" si="6"/>
        <v>0.35149051490514904</v>
      </c>
      <c r="S126" t="s">
        <v>63</v>
      </c>
      <c r="T126" t="s">
        <v>64</v>
      </c>
    </row>
    <row r="127" spans="1:20" hidden="1">
      <c r="A127" t="s">
        <v>194</v>
      </c>
      <c r="B127" s="5">
        <v>45412</v>
      </c>
      <c r="C127" s="8">
        <f>YEAR(Tabla2[[#This Row],[fecha]])</f>
        <v>2024</v>
      </c>
      <c r="D127" s="8">
        <f>MONTH(Tabla2[[#This Row],[fecha]])</f>
        <v>4</v>
      </c>
      <c r="E127" s="8" t="str">
        <f>TEXT(Tabla2[[#This Row],[fecha]], "mmmm")</f>
        <v>abril</v>
      </c>
      <c r="F127" s="8" t="str">
        <f>"T"&amp;ROUNDUP(Tabla2[[#This Row],[mes]]/3,0)</f>
        <v>T2</v>
      </c>
      <c r="G127" t="s">
        <v>42</v>
      </c>
      <c r="H127" t="s">
        <v>43</v>
      </c>
      <c r="I127" s="8" t="str">
        <f>IF(Tabla2[[#This Row],[precio_unitario]]&lt;=30,"Económico",IF(Tabla2[[#This Row],[precio_unitario]]&lt;=58.49,"Accesible","Caro"))</f>
        <v>Accesible</v>
      </c>
      <c r="J127" t="s">
        <v>44</v>
      </c>
      <c r="K127">
        <v>1</v>
      </c>
      <c r="L127" s="19">
        <v>49.8</v>
      </c>
      <c r="M127" s="19">
        <v>23.65</v>
      </c>
      <c r="N127" s="11">
        <v>0.26</v>
      </c>
      <c r="O127" s="17">
        <f t="shared" si="7"/>
        <v>36.851999999999997</v>
      </c>
      <c r="P127" s="17">
        <f t="shared" si="4"/>
        <v>23.65</v>
      </c>
      <c r="Q127" s="17">
        <f t="shared" si="5"/>
        <v>13.201999999999998</v>
      </c>
      <c r="R127" s="24">
        <f t="shared" si="6"/>
        <v>0.3582437859546293</v>
      </c>
      <c r="S127" t="s">
        <v>83</v>
      </c>
      <c r="T127" t="s">
        <v>64</v>
      </c>
    </row>
    <row r="128" spans="1:20" hidden="1">
      <c r="A128" t="s">
        <v>195</v>
      </c>
      <c r="B128" s="5">
        <v>45415</v>
      </c>
      <c r="C128" s="8">
        <f>YEAR(Tabla2[[#This Row],[fecha]])</f>
        <v>2024</v>
      </c>
      <c r="D128" s="8">
        <f>MONTH(Tabla2[[#This Row],[fecha]])</f>
        <v>5</v>
      </c>
      <c r="E128" s="8" t="str">
        <f>TEXT(Tabla2[[#This Row],[fecha]], "mmmm")</f>
        <v>mayo</v>
      </c>
      <c r="F128" s="8" t="str">
        <f>"T"&amp;ROUNDUP(Tabla2[[#This Row],[mes]]/3,0)</f>
        <v>T2</v>
      </c>
      <c r="G128" t="s">
        <v>9</v>
      </c>
      <c r="H128" t="s">
        <v>10</v>
      </c>
      <c r="I128" s="8" t="str">
        <f>IF(Tabla2[[#This Row],[precio_unitario]]&lt;=30,"Económico",IF(Tabla2[[#This Row],[precio_unitario]]&lt;=58.49,"Accesible","Caro"))</f>
        <v>Caro</v>
      </c>
      <c r="J128" t="s">
        <v>8</v>
      </c>
      <c r="K128">
        <v>1</v>
      </c>
      <c r="L128" s="19">
        <v>76.66</v>
      </c>
      <c r="M128" s="19">
        <v>47.37</v>
      </c>
      <c r="N128" s="11">
        <v>0</v>
      </c>
      <c r="O128" s="17">
        <f t="shared" si="7"/>
        <v>76.66</v>
      </c>
      <c r="P128" s="17">
        <f t="shared" si="4"/>
        <v>47.37</v>
      </c>
      <c r="Q128" s="17">
        <f t="shared" si="5"/>
        <v>29.29</v>
      </c>
      <c r="R128" s="24">
        <f t="shared" si="6"/>
        <v>0.38207670232194102</v>
      </c>
      <c r="S128" t="s">
        <v>83</v>
      </c>
      <c r="T128" t="s">
        <v>60</v>
      </c>
    </row>
    <row r="129" spans="1:20" hidden="1">
      <c r="A129" t="s">
        <v>196</v>
      </c>
      <c r="B129" s="5">
        <v>45458</v>
      </c>
      <c r="C129" s="8">
        <f>YEAR(Tabla2[[#This Row],[fecha]])</f>
        <v>2024</v>
      </c>
      <c r="D129" s="8">
        <f>MONTH(Tabla2[[#This Row],[fecha]])</f>
        <v>6</v>
      </c>
      <c r="E129" s="8" t="str">
        <f>TEXT(Tabla2[[#This Row],[fecha]], "mmmm")</f>
        <v>junio</v>
      </c>
      <c r="F129" s="8" t="str">
        <f>"T"&amp;ROUNDUP(Tabla2[[#This Row],[mes]]/3,0)</f>
        <v>T2</v>
      </c>
      <c r="G129" t="s">
        <v>33</v>
      </c>
      <c r="H129" t="s">
        <v>34</v>
      </c>
      <c r="I129" s="8" t="str">
        <f>IF(Tabla2[[#This Row],[precio_unitario]]&lt;=30,"Económico",IF(Tabla2[[#This Row],[precio_unitario]]&lt;=58.49,"Accesible","Caro"))</f>
        <v>Caro</v>
      </c>
      <c r="J129" t="s">
        <v>35</v>
      </c>
      <c r="K129" s="10">
        <v>4</v>
      </c>
      <c r="L129" s="19">
        <v>73.42</v>
      </c>
      <c r="M129" s="19">
        <v>49.11</v>
      </c>
      <c r="N129" s="11">
        <v>0.2</v>
      </c>
      <c r="O129" s="17">
        <f t="shared" si="7"/>
        <v>234.94400000000002</v>
      </c>
      <c r="P129" s="17">
        <f t="shared" si="4"/>
        <v>196.44</v>
      </c>
      <c r="Q129" s="17">
        <f t="shared" si="5"/>
        <v>38.504000000000019</v>
      </c>
      <c r="R129" s="24">
        <f t="shared" si="6"/>
        <v>0.16388586216289847</v>
      </c>
      <c r="S129" t="s">
        <v>83</v>
      </c>
      <c r="T129" t="s">
        <v>60</v>
      </c>
    </row>
    <row r="130" spans="1:20" hidden="1">
      <c r="A130" t="s">
        <v>197</v>
      </c>
      <c r="B130" s="5">
        <v>45871</v>
      </c>
      <c r="C130" s="8">
        <f>YEAR(Tabla2[[#This Row],[fecha]])</f>
        <v>2025</v>
      </c>
      <c r="D130" s="8">
        <f>MONTH(Tabla2[[#This Row],[fecha]])</f>
        <v>8</v>
      </c>
      <c r="E130" s="8" t="str">
        <f>TEXT(Tabla2[[#This Row],[fecha]], "mmmm")</f>
        <v>agosto</v>
      </c>
      <c r="F130" s="8" t="str">
        <f>"T"&amp;ROUNDUP(Tabla2[[#This Row],[mes]]/3,0)</f>
        <v>T3</v>
      </c>
      <c r="G130" t="s">
        <v>40</v>
      </c>
      <c r="H130" t="s">
        <v>41</v>
      </c>
      <c r="I130" s="8" t="str">
        <f>IF(Tabla2[[#This Row],[precio_unitario]]&lt;=30,"Económico",IF(Tabla2[[#This Row],[precio_unitario]]&lt;=58.49,"Accesible","Caro"))</f>
        <v>Caro</v>
      </c>
      <c r="J130" t="s">
        <v>35</v>
      </c>
      <c r="K130">
        <v>5</v>
      </c>
      <c r="L130" s="19">
        <v>82.89</v>
      </c>
      <c r="M130" s="19">
        <v>40.49</v>
      </c>
      <c r="N130" s="11">
        <v>0</v>
      </c>
      <c r="O130" s="17">
        <f t="shared" si="7"/>
        <v>414.45</v>
      </c>
      <c r="P130" s="17">
        <f t="shared" ref="P130:P193" si="8">M130*K130</f>
        <v>202.45000000000002</v>
      </c>
      <c r="Q130" s="17">
        <f t="shared" ref="Q130:Q193" si="9">O130-P130</f>
        <v>211.99999999999997</v>
      </c>
      <c r="R130" s="24">
        <f t="shared" ref="R130:R193" si="10">IFERROR(Q130/O130,0)</f>
        <v>0.51152129328025087</v>
      </c>
      <c r="S130" t="s">
        <v>540</v>
      </c>
      <c r="T130" t="s">
        <v>60</v>
      </c>
    </row>
    <row r="131" spans="1:20" hidden="1">
      <c r="A131" t="s">
        <v>198</v>
      </c>
      <c r="B131" s="5">
        <v>45833</v>
      </c>
      <c r="C131" s="8">
        <f>YEAR(Tabla2[[#This Row],[fecha]])</f>
        <v>2025</v>
      </c>
      <c r="D131" s="8">
        <f>MONTH(Tabla2[[#This Row],[fecha]])</f>
        <v>6</v>
      </c>
      <c r="E131" s="8" t="str">
        <f>TEXT(Tabla2[[#This Row],[fecha]], "mmmm")</f>
        <v>junio</v>
      </c>
      <c r="F131" s="8" t="str">
        <f>"T"&amp;ROUNDUP(Tabla2[[#This Row],[mes]]/3,0)</f>
        <v>T2</v>
      </c>
      <c r="G131" t="s">
        <v>49</v>
      </c>
      <c r="H131" t="s">
        <v>50</v>
      </c>
      <c r="I131" s="8" t="str">
        <f>IF(Tabla2[[#This Row],[precio_unitario]]&lt;=30,"Económico",IF(Tabla2[[#This Row],[precio_unitario]]&lt;=58.49,"Accesible","Caro"))</f>
        <v>Caro</v>
      </c>
      <c r="J131" t="s">
        <v>44</v>
      </c>
      <c r="K131">
        <v>1</v>
      </c>
      <c r="L131" s="19">
        <v>60.97</v>
      </c>
      <c r="M131" s="19">
        <v>33.729999999999997</v>
      </c>
      <c r="N131" s="11">
        <v>0</v>
      </c>
      <c r="O131" s="17">
        <f t="shared" ref="O131:O194" si="11">K131*L131*(1-N131)</f>
        <v>60.97</v>
      </c>
      <c r="P131" s="17">
        <f t="shared" si="8"/>
        <v>33.729999999999997</v>
      </c>
      <c r="Q131" s="17">
        <f t="shared" si="9"/>
        <v>27.240000000000002</v>
      </c>
      <c r="R131" s="24">
        <f t="shared" si="10"/>
        <v>0.44677710349352145</v>
      </c>
      <c r="S131" t="s">
        <v>540</v>
      </c>
      <c r="T131" t="s">
        <v>64</v>
      </c>
    </row>
    <row r="132" spans="1:20">
      <c r="A132" t="s">
        <v>199</v>
      </c>
      <c r="B132" s="5">
        <v>45897</v>
      </c>
      <c r="C132" s="8">
        <f>YEAR(Tabla2[[#This Row],[fecha]])</f>
        <v>2025</v>
      </c>
      <c r="D132" s="8">
        <f>MONTH(Tabla2[[#This Row],[fecha]])</f>
        <v>8</v>
      </c>
      <c r="E132" s="8" t="str">
        <f>TEXT(Tabla2[[#This Row],[fecha]], "mmmm")</f>
        <v>agosto</v>
      </c>
      <c r="F132" s="8" t="str">
        <f>"T"&amp;ROUNDUP(Tabla2[[#This Row],[mes]]/3,0)</f>
        <v>T3</v>
      </c>
      <c r="G132" t="s">
        <v>24</v>
      </c>
      <c r="H132" t="s">
        <v>25</v>
      </c>
      <c r="I132" s="8" t="str">
        <f>IF(Tabla2[[#This Row],[precio_unitario]]&lt;=30,"Económico",IF(Tabla2[[#This Row],[precio_unitario]]&lt;=58.49,"Accesible","Caro"))</f>
        <v>Económico</v>
      </c>
      <c r="J132" t="s">
        <v>26</v>
      </c>
      <c r="K132">
        <v>5</v>
      </c>
      <c r="L132" s="19">
        <v>8.31</v>
      </c>
      <c r="M132" s="19">
        <v>4.4400000000000004</v>
      </c>
      <c r="N132" s="11">
        <v>0</v>
      </c>
      <c r="O132" s="17">
        <f t="shared" si="11"/>
        <v>41.550000000000004</v>
      </c>
      <c r="P132" s="17">
        <f t="shared" si="8"/>
        <v>22.200000000000003</v>
      </c>
      <c r="Q132" s="17">
        <f t="shared" si="9"/>
        <v>19.350000000000001</v>
      </c>
      <c r="R132" s="24">
        <f t="shared" si="10"/>
        <v>0.46570397111913359</v>
      </c>
      <c r="S132" t="s">
        <v>67</v>
      </c>
      <c r="T132" t="s">
        <v>60</v>
      </c>
    </row>
    <row r="133" spans="1:20" hidden="1">
      <c r="A133" t="s">
        <v>200</v>
      </c>
      <c r="B133" s="5">
        <v>45347</v>
      </c>
      <c r="C133" s="8">
        <f>YEAR(Tabla2[[#This Row],[fecha]])</f>
        <v>2024</v>
      </c>
      <c r="D133" s="8">
        <f>MONTH(Tabla2[[#This Row],[fecha]])</f>
        <v>2</v>
      </c>
      <c r="E133" s="8" t="str">
        <f>TEXT(Tabla2[[#This Row],[fecha]], "mmmm")</f>
        <v>febrero</v>
      </c>
      <c r="F133" s="8" t="str">
        <f>"T"&amp;ROUNDUP(Tabla2[[#This Row],[mes]]/3,0)</f>
        <v>T1</v>
      </c>
      <c r="G133" t="s">
        <v>33</v>
      </c>
      <c r="H133" t="s">
        <v>34</v>
      </c>
      <c r="I133" s="8" t="str">
        <f>IF(Tabla2[[#This Row],[precio_unitario]]&lt;=30,"Económico",IF(Tabla2[[#This Row],[precio_unitario]]&lt;=58.49,"Accesible","Caro"))</f>
        <v>Caro</v>
      </c>
      <c r="J133" t="s">
        <v>35</v>
      </c>
      <c r="K133">
        <v>3</v>
      </c>
      <c r="L133" s="19">
        <v>82.21</v>
      </c>
      <c r="M133" s="19">
        <v>49.45</v>
      </c>
      <c r="N133" s="11">
        <v>0</v>
      </c>
      <c r="O133" s="17">
        <f t="shared" si="11"/>
        <v>246.63</v>
      </c>
      <c r="P133" s="17">
        <f t="shared" si="8"/>
        <v>148.35000000000002</v>
      </c>
      <c r="Q133" s="17">
        <f t="shared" si="9"/>
        <v>98.279999999999973</v>
      </c>
      <c r="R133" s="24">
        <f t="shared" si="10"/>
        <v>0.39849166768033073</v>
      </c>
      <c r="S133" t="s">
        <v>540</v>
      </c>
      <c r="T133" t="s">
        <v>201</v>
      </c>
    </row>
    <row r="134" spans="1:20">
      <c r="A134" t="s">
        <v>202</v>
      </c>
      <c r="B134" s="5">
        <v>45981</v>
      </c>
      <c r="C134" s="8">
        <f>YEAR(Tabla2[[#This Row],[fecha]])</f>
        <v>2025</v>
      </c>
      <c r="D134" s="8">
        <f>MONTH(Tabla2[[#This Row],[fecha]])</f>
        <v>11</v>
      </c>
      <c r="E134" s="8" t="str">
        <f>TEXT(Tabla2[[#This Row],[fecha]], "mmmm")</f>
        <v>noviembre</v>
      </c>
      <c r="F134" s="8" t="str">
        <f>"T"&amp;ROUNDUP(Tabla2[[#This Row],[mes]]/3,0)</f>
        <v>T4</v>
      </c>
      <c r="G134" t="s">
        <v>36</v>
      </c>
      <c r="H134" t="s">
        <v>37</v>
      </c>
      <c r="I134" s="8" t="str">
        <f>IF(Tabla2[[#This Row],[precio_unitario]]&lt;=30,"Económico",IF(Tabla2[[#This Row],[precio_unitario]]&lt;=58.49,"Accesible","Caro"))</f>
        <v>Económico</v>
      </c>
      <c r="J134" t="s">
        <v>35</v>
      </c>
      <c r="K134">
        <v>2</v>
      </c>
      <c r="L134" s="19">
        <v>13.31</v>
      </c>
      <c r="M134" s="19">
        <v>9.4600000000000009</v>
      </c>
      <c r="N134" s="13">
        <v>0</v>
      </c>
      <c r="O134" s="17">
        <f t="shared" si="11"/>
        <v>26.62</v>
      </c>
      <c r="P134" s="17">
        <f t="shared" si="8"/>
        <v>18.920000000000002</v>
      </c>
      <c r="Q134" s="17">
        <f t="shared" si="9"/>
        <v>7.6999999999999993</v>
      </c>
      <c r="R134" s="24">
        <f t="shared" si="10"/>
        <v>0.28925619834710742</v>
      </c>
      <c r="S134" t="s">
        <v>67</v>
      </c>
      <c r="T134" t="s">
        <v>64</v>
      </c>
    </row>
    <row r="135" spans="1:20" hidden="1">
      <c r="A135" t="s">
        <v>203</v>
      </c>
      <c r="B135" s="5">
        <v>45913</v>
      </c>
      <c r="C135" s="8">
        <f>YEAR(Tabla2[[#This Row],[fecha]])</f>
        <v>2025</v>
      </c>
      <c r="D135" s="8">
        <f>MONTH(Tabla2[[#This Row],[fecha]])</f>
        <v>9</v>
      </c>
      <c r="E135" s="8" t="str">
        <f>TEXT(Tabla2[[#This Row],[fecha]], "mmmm")</f>
        <v>septiembre</v>
      </c>
      <c r="F135" s="8" t="str">
        <f>"T"&amp;ROUNDUP(Tabla2[[#This Row],[mes]]/3,0)</f>
        <v>T3</v>
      </c>
      <c r="G135" t="s">
        <v>33</v>
      </c>
      <c r="H135" t="s">
        <v>34</v>
      </c>
      <c r="I135" s="8" t="str">
        <f>IF(Tabla2[[#This Row],[precio_unitario]]&lt;=30,"Económico",IF(Tabla2[[#This Row],[precio_unitario]]&lt;=58.49,"Accesible","Caro"))</f>
        <v>Caro</v>
      </c>
      <c r="J135" t="s">
        <v>35</v>
      </c>
      <c r="K135">
        <v>1</v>
      </c>
      <c r="L135" s="19">
        <v>77.489999999999995</v>
      </c>
      <c r="M135" s="19">
        <v>49.51</v>
      </c>
      <c r="N135" s="13">
        <v>0</v>
      </c>
      <c r="O135" s="17">
        <f t="shared" si="11"/>
        <v>77.489999999999995</v>
      </c>
      <c r="P135" s="17">
        <f t="shared" si="8"/>
        <v>49.51</v>
      </c>
      <c r="Q135" s="17">
        <f t="shared" si="9"/>
        <v>27.979999999999997</v>
      </c>
      <c r="R135" s="24">
        <f t="shared" si="10"/>
        <v>0.36107884888372693</v>
      </c>
      <c r="S135" t="s">
        <v>540</v>
      </c>
      <c r="T135" t="s">
        <v>60</v>
      </c>
    </row>
    <row r="136" spans="1:20" hidden="1">
      <c r="A136" t="s">
        <v>204</v>
      </c>
      <c r="B136" s="5">
        <v>45906</v>
      </c>
      <c r="C136" s="8">
        <f>YEAR(Tabla2[[#This Row],[fecha]])</f>
        <v>2025</v>
      </c>
      <c r="D136" s="8">
        <f>MONTH(Tabla2[[#This Row],[fecha]])</f>
        <v>9</v>
      </c>
      <c r="E136" s="8" t="str">
        <f>TEXT(Tabla2[[#This Row],[fecha]], "mmmm")</f>
        <v>septiembre</v>
      </c>
      <c r="F136" s="8" t="str">
        <f>"T"&amp;ROUNDUP(Tabla2[[#This Row],[mes]]/3,0)</f>
        <v>T3</v>
      </c>
      <c r="G136" t="s">
        <v>11</v>
      </c>
      <c r="H136" t="s">
        <v>12</v>
      </c>
      <c r="I136" s="8" t="str">
        <f>IF(Tabla2[[#This Row],[precio_unitario]]&lt;=30,"Económico",IF(Tabla2[[#This Row],[precio_unitario]]&lt;=58.49,"Accesible","Caro"))</f>
        <v>Caro</v>
      </c>
      <c r="J136" t="s">
        <v>8</v>
      </c>
      <c r="K136" s="10">
        <v>4</v>
      </c>
      <c r="L136" s="19">
        <v>174.38</v>
      </c>
      <c r="M136" s="19">
        <v>92.3</v>
      </c>
      <c r="N136" s="11">
        <v>0.17</v>
      </c>
      <c r="O136" s="17">
        <f t="shared" si="11"/>
        <v>578.94159999999999</v>
      </c>
      <c r="P136" s="17">
        <f t="shared" si="8"/>
        <v>369.2</v>
      </c>
      <c r="Q136" s="17">
        <f t="shared" si="9"/>
        <v>209.74160000000001</v>
      </c>
      <c r="R136" s="24">
        <f t="shared" si="10"/>
        <v>0.36228455512611291</v>
      </c>
      <c r="S136" t="s">
        <v>101</v>
      </c>
      <c r="T136" t="s">
        <v>64</v>
      </c>
    </row>
    <row r="137" spans="1:20">
      <c r="A137" t="s">
        <v>205</v>
      </c>
      <c r="B137" s="5">
        <v>45923</v>
      </c>
      <c r="C137" s="8">
        <f>YEAR(Tabla2[[#This Row],[fecha]])</f>
        <v>2025</v>
      </c>
      <c r="D137" s="8">
        <f>MONTH(Tabla2[[#This Row],[fecha]])</f>
        <v>9</v>
      </c>
      <c r="E137" s="8" t="str">
        <f>TEXT(Tabla2[[#This Row],[fecha]], "mmmm")</f>
        <v>septiembre</v>
      </c>
      <c r="F137" s="8" t="str">
        <f>"T"&amp;ROUNDUP(Tabla2[[#This Row],[mes]]/3,0)</f>
        <v>T3</v>
      </c>
      <c r="G137" t="s">
        <v>45</v>
      </c>
      <c r="H137" t="s">
        <v>46</v>
      </c>
      <c r="I137" s="8" t="str">
        <f>IF(Tabla2[[#This Row],[precio_unitario]]&lt;=30,"Económico",IF(Tabla2[[#This Row],[precio_unitario]]&lt;=58.49,"Accesible","Caro"))</f>
        <v>Accesible</v>
      </c>
      <c r="J137" t="s">
        <v>44</v>
      </c>
      <c r="K137">
        <v>3</v>
      </c>
      <c r="L137" s="19">
        <v>33.25</v>
      </c>
      <c r="M137" s="19">
        <v>17.850000000000001</v>
      </c>
      <c r="N137" s="11">
        <v>0.11</v>
      </c>
      <c r="O137" s="17">
        <f t="shared" si="11"/>
        <v>88.777500000000003</v>
      </c>
      <c r="P137" s="17">
        <f t="shared" si="8"/>
        <v>53.550000000000004</v>
      </c>
      <c r="Q137" s="17">
        <f t="shared" si="9"/>
        <v>35.227499999999999</v>
      </c>
      <c r="R137" s="24">
        <f t="shared" si="10"/>
        <v>0.39680662329982258</v>
      </c>
      <c r="S137" t="s">
        <v>67</v>
      </c>
      <c r="T137" t="s">
        <v>60</v>
      </c>
    </row>
    <row r="138" spans="1:20" hidden="1">
      <c r="A138" t="s">
        <v>206</v>
      </c>
      <c r="B138" s="5">
        <v>45487</v>
      </c>
      <c r="C138" s="8">
        <f>YEAR(Tabla2[[#This Row],[fecha]])</f>
        <v>2024</v>
      </c>
      <c r="D138" s="8">
        <f>MONTH(Tabla2[[#This Row],[fecha]])</f>
        <v>7</v>
      </c>
      <c r="E138" s="8" t="str">
        <f>TEXT(Tabla2[[#This Row],[fecha]], "mmmm")</f>
        <v>julio</v>
      </c>
      <c r="F138" s="8" t="str">
        <f>"T"&amp;ROUNDUP(Tabla2[[#This Row],[mes]]/3,0)</f>
        <v>T3</v>
      </c>
      <c r="G138" t="s">
        <v>18</v>
      </c>
      <c r="H138" t="s">
        <v>19</v>
      </c>
      <c r="I138" s="8" t="str">
        <f>IF(Tabla2[[#This Row],[precio_unitario]]&lt;=30,"Económico",IF(Tabla2[[#This Row],[precio_unitario]]&lt;=58.49,"Accesible","Caro"))</f>
        <v>Accesible</v>
      </c>
      <c r="J138" t="s">
        <v>17</v>
      </c>
      <c r="K138">
        <v>4</v>
      </c>
      <c r="L138" s="19">
        <v>49.4</v>
      </c>
      <c r="M138" s="19">
        <v>25.82</v>
      </c>
      <c r="N138" s="11">
        <v>0</v>
      </c>
      <c r="O138" s="17">
        <f t="shared" si="11"/>
        <v>197.6</v>
      </c>
      <c r="P138" s="17">
        <f t="shared" si="8"/>
        <v>103.28</v>
      </c>
      <c r="Q138" s="17">
        <f t="shared" si="9"/>
        <v>94.32</v>
      </c>
      <c r="R138" s="24">
        <f t="shared" si="10"/>
        <v>0.47732793522267203</v>
      </c>
      <c r="S138" t="s">
        <v>63</v>
      </c>
      <c r="T138" t="s">
        <v>60</v>
      </c>
    </row>
    <row r="139" spans="1:20" hidden="1">
      <c r="A139" t="s">
        <v>207</v>
      </c>
      <c r="B139" s="5">
        <v>45681</v>
      </c>
      <c r="C139" s="8">
        <f>YEAR(Tabla2[[#This Row],[fecha]])</f>
        <v>2025</v>
      </c>
      <c r="D139" s="8">
        <f>MONTH(Tabla2[[#This Row],[fecha]])</f>
        <v>1</v>
      </c>
      <c r="E139" s="8" t="str">
        <f>TEXT(Tabla2[[#This Row],[fecha]], "mmmm")</f>
        <v>enero</v>
      </c>
      <c r="F139" s="8" t="str">
        <f>"T"&amp;ROUNDUP(Tabla2[[#This Row],[mes]]/3,0)</f>
        <v>T1</v>
      </c>
      <c r="G139" t="s">
        <v>49</v>
      </c>
      <c r="H139" t="s">
        <v>50</v>
      </c>
      <c r="I139" s="8" t="str">
        <f>IF(Tabla2[[#This Row],[precio_unitario]]&lt;=30,"Económico",IF(Tabla2[[#This Row],[precio_unitario]]&lt;=58.49,"Accesible","Caro"))</f>
        <v>Caro</v>
      </c>
      <c r="J139" t="s">
        <v>44</v>
      </c>
      <c r="K139">
        <v>2</v>
      </c>
      <c r="L139" s="19">
        <v>63.79</v>
      </c>
      <c r="M139" s="19">
        <v>35.380000000000003</v>
      </c>
      <c r="N139" s="11">
        <v>0.13</v>
      </c>
      <c r="O139" s="17">
        <f t="shared" si="11"/>
        <v>110.99459999999999</v>
      </c>
      <c r="P139" s="17">
        <f t="shared" si="8"/>
        <v>70.760000000000005</v>
      </c>
      <c r="Q139" s="17">
        <f t="shared" si="9"/>
        <v>40.234599999999986</v>
      </c>
      <c r="R139" s="24">
        <f t="shared" si="10"/>
        <v>0.36249150859591356</v>
      </c>
      <c r="S139" t="s">
        <v>63</v>
      </c>
      <c r="T139" t="s">
        <v>60</v>
      </c>
    </row>
    <row r="140" spans="1:20" hidden="1">
      <c r="A140" t="s">
        <v>208</v>
      </c>
      <c r="B140" s="5">
        <v>45879</v>
      </c>
      <c r="C140" s="8">
        <f>YEAR(Tabla2[[#This Row],[fecha]])</f>
        <v>2025</v>
      </c>
      <c r="D140" s="8">
        <f>MONTH(Tabla2[[#This Row],[fecha]])</f>
        <v>8</v>
      </c>
      <c r="E140" s="8" t="str">
        <f>TEXT(Tabla2[[#This Row],[fecha]], "mmmm")</f>
        <v>agosto</v>
      </c>
      <c r="F140" s="8" t="str">
        <f>"T"&amp;ROUNDUP(Tabla2[[#This Row],[mes]]/3,0)</f>
        <v>T3</v>
      </c>
      <c r="G140" t="s">
        <v>11</v>
      </c>
      <c r="H140" t="s">
        <v>12</v>
      </c>
      <c r="I140" s="8" t="str">
        <f>IF(Tabla2[[#This Row],[precio_unitario]]&lt;=30,"Económico",IF(Tabla2[[#This Row],[precio_unitario]]&lt;=58.49,"Accesible","Caro"))</f>
        <v>Caro</v>
      </c>
      <c r="J140" t="s">
        <v>8</v>
      </c>
      <c r="K140">
        <v>6</v>
      </c>
      <c r="L140" s="19">
        <v>171.38</v>
      </c>
      <c r="M140" s="19">
        <v>93.73</v>
      </c>
      <c r="N140" s="11">
        <v>0</v>
      </c>
      <c r="O140" s="17">
        <f t="shared" si="11"/>
        <v>1028.28</v>
      </c>
      <c r="P140" s="17">
        <f t="shared" si="8"/>
        <v>562.38</v>
      </c>
      <c r="Q140" s="17">
        <f t="shared" si="9"/>
        <v>465.9</v>
      </c>
      <c r="R140" s="24">
        <f t="shared" si="10"/>
        <v>0.45308670790057182</v>
      </c>
      <c r="S140" t="s">
        <v>101</v>
      </c>
      <c r="T140" t="s">
        <v>64</v>
      </c>
    </row>
    <row r="141" spans="1:20" hidden="1">
      <c r="A141" t="s">
        <v>209</v>
      </c>
      <c r="B141" s="5">
        <v>45630</v>
      </c>
      <c r="C141" s="8">
        <f>YEAR(Tabla2[[#This Row],[fecha]])</f>
        <v>2024</v>
      </c>
      <c r="D141" s="8">
        <f>MONTH(Tabla2[[#This Row],[fecha]])</f>
        <v>12</v>
      </c>
      <c r="E141" s="8" t="str">
        <f>TEXT(Tabla2[[#This Row],[fecha]], "mmmm")</f>
        <v>diciembre</v>
      </c>
      <c r="F141" s="8" t="str">
        <f>"T"&amp;ROUNDUP(Tabla2[[#This Row],[mes]]/3,0)</f>
        <v>T4</v>
      </c>
      <c r="G141" t="s">
        <v>45</v>
      </c>
      <c r="H141" t="s">
        <v>46</v>
      </c>
      <c r="I141" s="8" t="str">
        <f>IF(Tabla2[[#This Row],[precio_unitario]]&lt;=30,"Económico",IF(Tabla2[[#This Row],[precio_unitario]]&lt;=58.49,"Accesible","Caro"))</f>
        <v>Accesible</v>
      </c>
      <c r="J141" t="s">
        <v>44</v>
      </c>
      <c r="K141">
        <v>1</v>
      </c>
      <c r="L141" s="19">
        <v>32</v>
      </c>
      <c r="M141" s="19">
        <v>16.989999999999998</v>
      </c>
      <c r="N141" s="11">
        <v>0</v>
      </c>
      <c r="O141" s="17">
        <f t="shared" si="11"/>
        <v>32</v>
      </c>
      <c r="P141" s="17">
        <f t="shared" si="8"/>
        <v>16.989999999999998</v>
      </c>
      <c r="Q141" s="17">
        <f t="shared" si="9"/>
        <v>15.010000000000002</v>
      </c>
      <c r="R141" s="24">
        <f t="shared" si="10"/>
        <v>0.46906250000000005</v>
      </c>
      <c r="S141" t="s">
        <v>67</v>
      </c>
      <c r="T141" t="s">
        <v>64</v>
      </c>
    </row>
    <row r="142" spans="1:20" hidden="1">
      <c r="A142" t="s">
        <v>210</v>
      </c>
      <c r="B142" s="5">
        <v>45441</v>
      </c>
      <c r="C142" s="8">
        <f>YEAR(Tabla2[[#This Row],[fecha]])</f>
        <v>2024</v>
      </c>
      <c r="D142" s="8">
        <f>MONTH(Tabla2[[#This Row],[fecha]])</f>
        <v>5</v>
      </c>
      <c r="E142" s="8" t="str">
        <f>TEXT(Tabla2[[#This Row],[fecha]], "mmmm")</f>
        <v>mayo</v>
      </c>
      <c r="F142" s="8" t="str">
        <f>"T"&amp;ROUNDUP(Tabla2[[#This Row],[mes]]/3,0)</f>
        <v>T2</v>
      </c>
      <c r="G142" t="s">
        <v>29</v>
      </c>
      <c r="H142" t="s">
        <v>30</v>
      </c>
      <c r="I142" s="8" t="str">
        <f>IF(Tabla2[[#This Row],[precio_unitario]]&lt;=30,"Económico",IF(Tabla2[[#This Row],[precio_unitario]]&lt;=58.49,"Accesible","Caro"))</f>
        <v>Económico</v>
      </c>
      <c r="J142" t="s">
        <v>26</v>
      </c>
      <c r="K142">
        <v>1</v>
      </c>
      <c r="L142" s="19">
        <v>21.68</v>
      </c>
      <c r="M142" s="19">
        <v>11.28</v>
      </c>
      <c r="N142" s="11">
        <v>0.25</v>
      </c>
      <c r="O142" s="17">
        <f t="shared" si="11"/>
        <v>16.259999999999998</v>
      </c>
      <c r="P142" s="17">
        <f t="shared" si="8"/>
        <v>11.28</v>
      </c>
      <c r="Q142" s="17">
        <f t="shared" si="9"/>
        <v>4.9799999999999986</v>
      </c>
      <c r="R142" s="24">
        <f t="shared" si="10"/>
        <v>0.30627306273062727</v>
      </c>
      <c r="S142" t="s">
        <v>67</v>
      </c>
      <c r="T142" t="s">
        <v>60</v>
      </c>
    </row>
    <row r="143" spans="1:20" hidden="1">
      <c r="A143" t="s">
        <v>211</v>
      </c>
      <c r="B143" s="5">
        <v>45440</v>
      </c>
      <c r="C143" s="8">
        <f>YEAR(Tabla2[[#This Row],[fecha]])</f>
        <v>2024</v>
      </c>
      <c r="D143" s="8">
        <f>MONTH(Tabla2[[#This Row],[fecha]])</f>
        <v>5</v>
      </c>
      <c r="E143" s="8" t="str">
        <f>TEXT(Tabla2[[#This Row],[fecha]], "mmmm")</f>
        <v>mayo</v>
      </c>
      <c r="F143" s="8" t="str">
        <f>"T"&amp;ROUNDUP(Tabla2[[#This Row],[mes]]/3,0)</f>
        <v>T2</v>
      </c>
      <c r="G143" t="s">
        <v>29</v>
      </c>
      <c r="H143" t="s">
        <v>30</v>
      </c>
      <c r="I143" s="8" t="str">
        <f>IF(Tabla2[[#This Row],[precio_unitario]]&lt;=30,"Económico",IF(Tabla2[[#This Row],[precio_unitario]]&lt;=58.49,"Accesible","Caro"))</f>
        <v>Económico</v>
      </c>
      <c r="J143" t="s">
        <v>26</v>
      </c>
      <c r="K143">
        <v>1</v>
      </c>
      <c r="L143" s="19">
        <v>20.3</v>
      </c>
      <c r="M143" s="19">
        <v>11.15</v>
      </c>
      <c r="N143" s="13">
        <v>0</v>
      </c>
      <c r="O143" s="17">
        <f t="shared" si="11"/>
        <v>20.3</v>
      </c>
      <c r="P143" s="17">
        <f t="shared" si="8"/>
        <v>11.15</v>
      </c>
      <c r="Q143" s="17">
        <f t="shared" si="9"/>
        <v>9.15</v>
      </c>
      <c r="R143" s="24">
        <f t="shared" si="10"/>
        <v>0.45073891625615764</v>
      </c>
      <c r="S143" t="s">
        <v>63</v>
      </c>
      <c r="T143" t="s">
        <v>60</v>
      </c>
    </row>
    <row r="144" spans="1:20">
      <c r="A144" t="s">
        <v>212</v>
      </c>
      <c r="B144" s="5">
        <v>45980</v>
      </c>
      <c r="C144" s="8">
        <f>YEAR(Tabla2[[#This Row],[fecha]])</f>
        <v>2025</v>
      </c>
      <c r="D144" s="8">
        <f>MONTH(Tabla2[[#This Row],[fecha]])</f>
        <v>11</v>
      </c>
      <c r="E144" s="8" t="str">
        <f>TEXT(Tabla2[[#This Row],[fecha]], "mmmm")</f>
        <v>noviembre</v>
      </c>
      <c r="F144" s="8" t="str">
        <f>"T"&amp;ROUNDUP(Tabla2[[#This Row],[mes]]/3,0)</f>
        <v>T4</v>
      </c>
      <c r="G144" t="s">
        <v>40</v>
      </c>
      <c r="H144" t="s">
        <v>41</v>
      </c>
      <c r="I144" s="8" t="str">
        <f>IF(Tabla2[[#This Row],[precio_unitario]]&lt;=30,"Económico",IF(Tabla2[[#This Row],[precio_unitario]]&lt;=58.49,"Accesible","Caro"))</f>
        <v>Caro</v>
      </c>
      <c r="J144" t="s">
        <v>35</v>
      </c>
      <c r="K144">
        <v>4</v>
      </c>
      <c r="L144" s="19">
        <v>74.37</v>
      </c>
      <c r="M144" s="19">
        <v>40.6</v>
      </c>
      <c r="N144" s="11">
        <v>0</v>
      </c>
      <c r="O144" s="17">
        <f t="shared" si="11"/>
        <v>297.48</v>
      </c>
      <c r="P144" s="17">
        <f t="shared" si="8"/>
        <v>162.4</v>
      </c>
      <c r="Q144" s="17">
        <f t="shared" si="9"/>
        <v>135.08000000000001</v>
      </c>
      <c r="R144" s="24">
        <f t="shared" si="10"/>
        <v>0.45408094661826004</v>
      </c>
      <c r="S144" t="s">
        <v>67</v>
      </c>
      <c r="T144" t="s">
        <v>64</v>
      </c>
    </row>
    <row r="145" spans="1:20" hidden="1">
      <c r="A145" t="s">
        <v>213</v>
      </c>
      <c r="B145" s="5">
        <v>45364</v>
      </c>
      <c r="C145" s="8">
        <f>YEAR(Tabla2[[#This Row],[fecha]])</f>
        <v>2024</v>
      </c>
      <c r="D145" s="8">
        <f>MONTH(Tabla2[[#This Row],[fecha]])</f>
        <v>3</v>
      </c>
      <c r="E145" s="8" t="str">
        <f>TEXT(Tabla2[[#This Row],[fecha]], "mmmm")</f>
        <v>marzo</v>
      </c>
      <c r="F145" s="8" t="str">
        <f>"T"&amp;ROUNDUP(Tabla2[[#This Row],[mes]]/3,0)</f>
        <v>T1</v>
      </c>
      <c r="G145" t="s">
        <v>6</v>
      </c>
      <c r="H145" t="s">
        <v>7</v>
      </c>
      <c r="I145" s="8" t="str">
        <f>IF(Tabla2[[#This Row],[precio_unitario]]&lt;=30,"Económico",IF(Tabla2[[#This Row],[precio_unitario]]&lt;=58.49,"Accesible","Caro"))</f>
        <v>Caro</v>
      </c>
      <c r="J145" t="s">
        <v>8</v>
      </c>
      <c r="K145">
        <v>2</v>
      </c>
      <c r="L145" s="19">
        <v>117.86</v>
      </c>
      <c r="M145" s="19">
        <v>84.19</v>
      </c>
      <c r="N145" s="11">
        <v>0</v>
      </c>
      <c r="O145" s="17">
        <f t="shared" si="11"/>
        <v>235.72</v>
      </c>
      <c r="P145" s="17">
        <f t="shared" si="8"/>
        <v>168.38</v>
      </c>
      <c r="Q145" s="17">
        <f t="shared" si="9"/>
        <v>67.34</v>
      </c>
      <c r="R145" s="24">
        <f t="shared" si="10"/>
        <v>0.28567792295944344</v>
      </c>
      <c r="S145" t="s">
        <v>83</v>
      </c>
      <c r="T145" t="s">
        <v>60</v>
      </c>
    </row>
    <row r="146" spans="1:20" hidden="1">
      <c r="A146" t="s">
        <v>214</v>
      </c>
      <c r="B146" s="5">
        <v>45787</v>
      </c>
      <c r="C146" s="8">
        <f>YEAR(Tabla2[[#This Row],[fecha]])</f>
        <v>2025</v>
      </c>
      <c r="D146" s="8">
        <f>MONTH(Tabla2[[#This Row],[fecha]])</f>
        <v>5</v>
      </c>
      <c r="E146" s="8" t="str">
        <f>TEXT(Tabla2[[#This Row],[fecha]], "mmmm")</f>
        <v>mayo</v>
      </c>
      <c r="F146" s="8" t="str">
        <f>"T"&amp;ROUNDUP(Tabla2[[#This Row],[mes]]/3,0)</f>
        <v>T2</v>
      </c>
      <c r="G146" t="s">
        <v>27</v>
      </c>
      <c r="H146" t="s">
        <v>28</v>
      </c>
      <c r="I146" s="8" t="str">
        <f>IF(Tabla2[[#This Row],[precio_unitario]]&lt;=30,"Económico",IF(Tabla2[[#This Row],[precio_unitario]]&lt;=58.49,"Accesible","Caro"))</f>
        <v>Económico</v>
      </c>
      <c r="J146" t="s">
        <v>26</v>
      </c>
      <c r="K146">
        <v>3</v>
      </c>
      <c r="L146" s="19">
        <v>16.23</v>
      </c>
      <c r="M146" s="19">
        <v>11.02</v>
      </c>
      <c r="N146" s="11">
        <v>0.15</v>
      </c>
      <c r="O146" s="17">
        <f t="shared" si="11"/>
        <v>41.386499999999998</v>
      </c>
      <c r="P146" s="17">
        <f t="shared" si="8"/>
        <v>33.06</v>
      </c>
      <c r="Q146" s="17">
        <f t="shared" si="9"/>
        <v>8.3264999999999958</v>
      </c>
      <c r="R146" s="24">
        <f t="shared" si="10"/>
        <v>0.20118879344713847</v>
      </c>
      <c r="S146" t="s">
        <v>63</v>
      </c>
      <c r="T146" t="s">
        <v>60</v>
      </c>
    </row>
    <row r="147" spans="1:20" hidden="1">
      <c r="A147" t="s">
        <v>215</v>
      </c>
      <c r="B147" s="5">
        <v>45817</v>
      </c>
      <c r="C147" s="8">
        <f>YEAR(Tabla2[[#This Row],[fecha]])</f>
        <v>2025</v>
      </c>
      <c r="D147" s="8">
        <f>MONTH(Tabla2[[#This Row],[fecha]])</f>
        <v>6</v>
      </c>
      <c r="E147" s="8" t="str">
        <f>TEXT(Tabla2[[#This Row],[fecha]], "mmmm")</f>
        <v>junio</v>
      </c>
      <c r="F147" s="8" t="str">
        <f>"T"&amp;ROUNDUP(Tabla2[[#This Row],[mes]]/3,0)</f>
        <v>T2</v>
      </c>
      <c r="G147" t="s">
        <v>42</v>
      </c>
      <c r="H147" t="s">
        <v>43</v>
      </c>
      <c r="I147" s="8" t="str">
        <f>IF(Tabla2[[#This Row],[precio_unitario]]&lt;=30,"Económico",IF(Tabla2[[#This Row],[precio_unitario]]&lt;=58.49,"Accesible","Caro"))</f>
        <v>Accesible</v>
      </c>
      <c r="J147" t="s">
        <v>44</v>
      </c>
      <c r="K147">
        <v>1</v>
      </c>
      <c r="L147" s="19">
        <v>46.32</v>
      </c>
      <c r="M147" s="19">
        <v>22.37</v>
      </c>
      <c r="N147" s="11">
        <v>0</v>
      </c>
      <c r="O147" s="17">
        <f t="shared" si="11"/>
        <v>46.32</v>
      </c>
      <c r="P147" s="17">
        <f t="shared" si="8"/>
        <v>22.37</v>
      </c>
      <c r="Q147" s="17">
        <f t="shared" si="9"/>
        <v>23.95</v>
      </c>
      <c r="R147" s="24">
        <f t="shared" si="10"/>
        <v>0.51705526770293608</v>
      </c>
      <c r="S147" t="s">
        <v>540</v>
      </c>
      <c r="T147" t="s">
        <v>60</v>
      </c>
    </row>
    <row r="148" spans="1:20">
      <c r="A148" t="s">
        <v>216</v>
      </c>
      <c r="B148" s="5">
        <v>45713</v>
      </c>
      <c r="C148" s="8">
        <f>YEAR(Tabla2[[#This Row],[fecha]])</f>
        <v>2025</v>
      </c>
      <c r="D148" s="8">
        <f>MONTH(Tabla2[[#This Row],[fecha]])</f>
        <v>2</v>
      </c>
      <c r="E148" s="8" t="str">
        <f>TEXT(Tabla2[[#This Row],[fecha]], "mmmm")</f>
        <v>febrero</v>
      </c>
      <c r="F148" s="8" t="str">
        <f>"T"&amp;ROUNDUP(Tabla2[[#This Row],[mes]]/3,0)</f>
        <v>T1</v>
      </c>
      <c r="G148" t="s">
        <v>36</v>
      </c>
      <c r="H148" t="s">
        <v>37</v>
      </c>
      <c r="I148" s="8" t="str">
        <f>IF(Tabla2[[#This Row],[precio_unitario]]&lt;=30,"Económico",IF(Tabla2[[#This Row],[precio_unitario]]&lt;=58.49,"Accesible","Caro"))</f>
        <v>Económico</v>
      </c>
      <c r="J148" t="s">
        <v>35</v>
      </c>
      <c r="K148">
        <v>7</v>
      </c>
      <c r="L148" s="19">
        <v>14.63</v>
      </c>
      <c r="M148" s="19">
        <v>9.25</v>
      </c>
      <c r="N148" s="11">
        <v>0.08</v>
      </c>
      <c r="O148" s="17">
        <f t="shared" si="11"/>
        <v>94.21720000000002</v>
      </c>
      <c r="P148" s="17">
        <f t="shared" si="8"/>
        <v>64.75</v>
      </c>
      <c r="Q148" s="17">
        <f t="shared" si="9"/>
        <v>29.46720000000002</v>
      </c>
      <c r="R148" s="24">
        <f t="shared" si="10"/>
        <v>0.31275818003506806</v>
      </c>
      <c r="S148" t="s">
        <v>67</v>
      </c>
      <c r="T148" t="s">
        <v>64</v>
      </c>
    </row>
    <row r="149" spans="1:20" hidden="1">
      <c r="A149" t="s">
        <v>217</v>
      </c>
      <c r="B149" s="5">
        <v>45590</v>
      </c>
      <c r="C149" s="8">
        <f>YEAR(Tabla2[[#This Row],[fecha]])</f>
        <v>2024</v>
      </c>
      <c r="D149" s="8">
        <f>MONTH(Tabla2[[#This Row],[fecha]])</f>
        <v>10</v>
      </c>
      <c r="E149" s="8" t="str">
        <f>TEXT(Tabla2[[#This Row],[fecha]], "mmmm")</f>
        <v>octubre</v>
      </c>
      <c r="F149" s="8" t="str">
        <f>"T"&amp;ROUNDUP(Tabla2[[#This Row],[mes]]/3,0)</f>
        <v>T4</v>
      </c>
      <c r="G149" t="s">
        <v>40</v>
      </c>
      <c r="H149" t="s">
        <v>41</v>
      </c>
      <c r="I149" s="8" t="str">
        <f>IF(Tabla2[[#This Row],[precio_unitario]]&lt;=30,"Económico",IF(Tabla2[[#This Row],[precio_unitario]]&lt;=58.49,"Accesible","Caro"))</f>
        <v>Caro</v>
      </c>
      <c r="J149" t="s">
        <v>35</v>
      </c>
      <c r="K149">
        <v>4</v>
      </c>
      <c r="L149" s="19">
        <v>83.53</v>
      </c>
      <c r="M149" s="19">
        <v>41.69</v>
      </c>
      <c r="N149" s="11">
        <v>0</v>
      </c>
      <c r="O149" s="17">
        <f t="shared" si="11"/>
        <v>334.12</v>
      </c>
      <c r="P149" s="17">
        <f t="shared" si="8"/>
        <v>166.76</v>
      </c>
      <c r="Q149" s="17">
        <f t="shared" si="9"/>
        <v>167.36</v>
      </c>
      <c r="R149" s="24">
        <f t="shared" si="10"/>
        <v>0.5008978810008381</v>
      </c>
      <c r="S149" t="s">
        <v>67</v>
      </c>
      <c r="T149" t="s">
        <v>60</v>
      </c>
    </row>
    <row r="150" spans="1:20" hidden="1">
      <c r="A150" t="s">
        <v>218</v>
      </c>
      <c r="B150" s="5">
        <v>45412</v>
      </c>
      <c r="C150" s="8">
        <f>YEAR(Tabla2[[#This Row],[fecha]])</f>
        <v>2024</v>
      </c>
      <c r="D150" s="8">
        <f>MONTH(Tabla2[[#This Row],[fecha]])</f>
        <v>4</v>
      </c>
      <c r="E150" s="8" t="str">
        <f>TEXT(Tabla2[[#This Row],[fecha]], "mmmm")</f>
        <v>abril</v>
      </c>
      <c r="F150" s="8" t="str">
        <f>"T"&amp;ROUNDUP(Tabla2[[#This Row],[mes]]/3,0)</f>
        <v>T2</v>
      </c>
      <c r="G150" t="s">
        <v>27</v>
      </c>
      <c r="H150" t="s">
        <v>28</v>
      </c>
      <c r="I150" s="8" t="str">
        <f>IF(Tabla2[[#This Row],[precio_unitario]]&lt;=30,"Económico",IF(Tabla2[[#This Row],[precio_unitario]]&lt;=58.49,"Accesible","Caro"))</f>
        <v>Económico</v>
      </c>
      <c r="J150" t="s">
        <v>26</v>
      </c>
      <c r="K150">
        <v>1</v>
      </c>
      <c r="L150" s="19">
        <v>16.440000000000001</v>
      </c>
      <c r="M150" s="19">
        <v>11.65</v>
      </c>
      <c r="N150" s="11">
        <v>0</v>
      </c>
      <c r="O150" s="17">
        <f t="shared" si="11"/>
        <v>16.440000000000001</v>
      </c>
      <c r="P150" s="17">
        <f t="shared" si="8"/>
        <v>11.65</v>
      </c>
      <c r="Q150" s="17">
        <f t="shared" si="9"/>
        <v>4.7900000000000009</v>
      </c>
      <c r="R150" s="24">
        <f t="shared" si="10"/>
        <v>0.29136253041362536</v>
      </c>
      <c r="S150" t="s">
        <v>540</v>
      </c>
      <c r="T150" t="s">
        <v>64</v>
      </c>
    </row>
    <row r="151" spans="1:20" hidden="1">
      <c r="A151" t="s">
        <v>219</v>
      </c>
      <c r="B151" s="5">
        <v>45498</v>
      </c>
      <c r="C151" s="8">
        <f>YEAR(Tabla2[[#This Row],[fecha]])</f>
        <v>2024</v>
      </c>
      <c r="D151" s="8">
        <f>MONTH(Tabla2[[#This Row],[fecha]])</f>
        <v>7</v>
      </c>
      <c r="E151" s="8" t="str">
        <f>TEXT(Tabla2[[#This Row],[fecha]], "mmmm")</f>
        <v>julio</v>
      </c>
      <c r="F151" s="8" t="str">
        <f>"T"&amp;ROUNDUP(Tabla2[[#This Row],[mes]]/3,0)</f>
        <v>T3</v>
      </c>
      <c r="G151" t="s">
        <v>42</v>
      </c>
      <c r="H151" t="s">
        <v>43</v>
      </c>
      <c r="I151" s="8" t="str">
        <f>IF(Tabla2[[#This Row],[precio_unitario]]&lt;=30,"Económico",IF(Tabla2[[#This Row],[precio_unitario]]&lt;=58.49,"Accesible","Caro"))</f>
        <v>Accesible</v>
      </c>
      <c r="J151" t="s">
        <v>44</v>
      </c>
      <c r="K151">
        <v>4</v>
      </c>
      <c r="L151" s="19">
        <v>49.37</v>
      </c>
      <c r="M151" s="19">
        <v>22.76</v>
      </c>
      <c r="N151" s="11">
        <v>0</v>
      </c>
      <c r="O151" s="17">
        <f t="shared" si="11"/>
        <v>197.48</v>
      </c>
      <c r="P151" s="17">
        <f t="shared" si="8"/>
        <v>91.04</v>
      </c>
      <c r="Q151" s="17">
        <f t="shared" si="9"/>
        <v>106.43999999999998</v>
      </c>
      <c r="R151" s="24">
        <f t="shared" si="10"/>
        <v>0.53899129025724113</v>
      </c>
      <c r="S151" t="s">
        <v>67</v>
      </c>
      <c r="T151" t="s">
        <v>60</v>
      </c>
    </row>
    <row r="152" spans="1:20" hidden="1">
      <c r="A152" t="s">
        <v>220</v>
      </c>
      <c r="B152" s="5">
        <v>45412</v>
      </c>
      <c r="C152" s="8">
        <f>YEAR(Tabla2[[#This Row],[fecha]])</f>
        <v>2024</v>
      </c>
      <c r="D152" s="8">
        <f>MONTH(Tabla2[[#This Row],[fecha]])</f>
        <v>4</v>
      </c>
      <c r="E152" s="8" t="str">
        <f>TEXT(Tabla2[[#This Row],[fecha]], "mmmm")</f>
        <v>abril</v>
      </c>
      <c r="F152" s="8" t="str">
        <f>"T"&amp;ROUNDUP(Tabla2[[#This Row],[mes]]/3,0)</f>
        <v>T2</v>
      </c>
      <c r="G152" t="s">
        <v>42</v>
      </c>
      <c r="H152" t="s">
        <v>43</v>
      </c>
      <c r="I152" s="8" t="str">
        <f>IF(Tabla2[[#This Row],[precio_unitario]]&lt;=30,"Económico",IF(Tabla2[[#This Row],[precio_unitario]]&lt;=58.49,"Accesible","Caro"))</f>
        <v>Accesible</v>
      </c>
      <c r="J152" t="s">
        <v>44</v>
      </c>
      <c r="K152">
        <v>1</v>
      </c>
      <c r="L152" s="19">
        <v>50.74</v>
      </c>
      <c r="M152" s="19">
        <v>22.53</v>
      </c>
      <c r="N152" s="11">
        <v>0</v>
      </c>
      <c r="O152" s="17">
        <f t="shared" si="11"/>
        <v>50.74</v>
      </c>
      <c r="P152" s="17">
        <f t="shared" si="8"/>
        <v>22.53</v>
      </c>
      <c r="Q152" s="17">
        <f t="shared" si="9"/>
        <v>28.21</v>
      </c>
      <c r="R152" s="24">
        <f t="shared" si="10"/>
        <v>0.55597162002364997</v>
      </c>
      <c r="S152" t="s">
        <v>67</v>
      </c>
      <c r="T152" t="s">
        <v>64</v>
      </c>
    </row>
    <row r="153" spans="1:20" hidden="1">
      <c r="A153" t="s">
        <v>221</v>
      </c>
      <c r="B153" s="5">
        <v>45610</v>
      </c>
      <c r="C153" s="8">
        <f>YEAR(Tabla2[[#This Row],[fecha]])</f>
        <v>2024</v>
      </c>
      <c r="D153" s="8">
        <f>MONTH(Tabla2[[#This Row],[fecha]])</f>
        <v>11</v>
      </c>
      <c r="E153" s="8" t="str">
        <f>TEXT(Tabla2[[#This Row],[fecha]], "mmmm")</f>
        <v>noviembre</v>
      </c>
      <c r="F153" s="8" t="str">
        <f>"T"&amp;ROUNDUP(Tabla2[[#This Row],[mes]]/3,0)</f>
        <v>T4</v>
      </c>
      <c r="G153" t="s">
        <v>6</v>
      </c>
      <c r="H153" t="s">
        <v>7</v>
      </c>
      <c r="I153" s="8" t="str">
        <f>IF(Tabla2[[#This Row],[precio_unitario]]&lt;=30,"Económico",IF(Tabla2[[#This Row],[precio_unitario]]&lt;=58.49,"Accesible","Caro"))</f>
        <v>Caro</v>
      </c>
      <c r="J153" t="s">
        <v>8</v>
      </c>
      <c r="K153">
        <v>2</v>
      </c>
      <c r="L153" s="19">
        <v>126.03</v>
      </c>
      <c r="M153" s="19">
        <v>84.87</v>
      </c>
      <c r="N153" s="13">
        <v>0</v>
      </c>
      <c r="O153" s="17">
        <f t="shared" si="11"/>
        <v>252.06</v>
      </c>
      <c r="P153" s="17">
        <f t="shared" si="8"/>
        <v>169.74</v>
      </c>
      <c r="Q153" s="17">
        <f t="shared" si="9"/>
        <v>82.32</v>
      </c>
      <c r="R153" s="24">
        <f t="shared" si="10"/>
        <v>0.32658890740299923</v>
      </c>
      <c r="S153" t="s">
        <v>67</v>
      </c>
      <c r="T153" t="s">
        <v>60</v>
      </c>
    </row>
    <row r="154" spans="1:20">
      <c r="A154" t="s">
        <v>222</v>
      </c>
      <c r="B154" s="5">
        <v>45749</v>
      </c>
      <c r="C154" s="8">
        <f>YEAR(Tabla2[[#This Row],[fecha]])</f>
        <v>2025</v>
      </c>
      <c r="D154" s="8">
        <f>MONTH(Tabla2[[#This Row],[fecha]])</f>
        <v>4</v>
      </c>
      <c r="E154" s="8" t="str">
        <f>TEXT(Tabla2[[#This Row],[fecha]], "mmmm")</f>
        <v>abril</v>
      </c>
      <c r="F154" s="8" t="str">
        <f>"T"&amp;ROUNDUP(Tabla2[[#This Row],[mes]]/3,0)</f>
        <v>T2</v>
      </c>
      <c r="G154" t="s">
        <v>29</v>
      </c>
      <c r="H154" t="s">
        <v>30</v>
      </c>
      <c r="I154" s="8" t="str">
        <f>IF(Tabla2[[#This Row],[precio_unitario]]&lt;=30,"Económico",IF(Tabla2[[#This Row],[precio_unitario]]&lt;=58.49,"Accesible","Caro"))</f>
        <v>Económico</v>
      </c>
      <c r="J154" t="s">
        <v>26</v>
      </c>
      <c r="K154">
        <v>5</v>
      </c>
      <c r="L154" s="19">
        <v>22.5</v>
      </c>
      <c r="M154" s="19">
        <v>11.65</v>
      </c>
      <c r="N154" s="11">
        <v>0.16</v>
      </c>
      <c r="O154" s="17">
        <f t="shared" si="11"/>
        <v>94.5</v>
      </c>
      <c r="P154" s="17">
        <f t="shared" si="8"/>
        <v>58.25</v>
      </c>
      <c r="Q154" s="17">
        <f t="shared" si="9"/>
        <v>36.25</v>
      </c>
      <c r="R154" s="24">
        <f t="shared" si="10"/>
        <v>0.3835978835978836</v>
      </c>
      <c r="S154" t="s">
        <v>67</v>
      </c>
      <c r="T154" t="s">
        <v>60</v>
      </c>
    </row>
    <row r="155" spans="1:20" hidden="1">
      <c r="A155" t="s">
        <v>223</v>
      </c>
      <c r="B155" s="5">
        <v>45522</v>
      </c>
      <c r="C155" s="8">
        <f>YEAR(Tabla2[[#This Row],[fecha]])</f>
        <v>2024</v>
      </c>
      <c r="D155" s="8">
        <f>MONTH(Tabla2[[#This Row],[fecha]])</f>
        <v>8</v>
      </c>
      <c r="E155" s="8" t="str">
        <f>TEXT(Tabla2[[#This Row],[fecha]], "mmmm")</f>
        <v>agosto</v>
      </c>
      <c r="F155" s="8" t="str">
        <f>"T"&amp;ROUNDUP(Tabla2[[#This Row],[mes]]/3,0)</f>
        <v>T3</v>
      </c>
      <c r="G155" t="s">
        <v>20</v>
      </c>
      <c r="H155" t="s">
        <v>21</v>
      </c>
      <c r="I155" s="8" t="str">
        <f>IF(Tabla2[[#This Row],[precio_unitario]]&lt;=30,"Económico",IF(Tabla2[[#This Row],[precio_unitario]]&lt;=58.49,"Accesible","Caro"))</f>
        <v>Económico</v>
      </c>
      <c r="J155" t="s">
        <v>17</v>
      </c>
      <c r="K155">
        <v>3</v>
      </c>
      <c r="L155" s="21">
        <v>18.43</v>
      </c>
      <c r="M155" s="19">
        <v>12.74</v>
      </c>
      <c r="N155" s="11">
        <v>0</v>
      </c>
      <c r="O155" s="17">
        <f t="shared" si="11"/>
        <v>55.29</v>
      </c>
      <c r="P155" s="17">
        <f t="shared" si="8"/>
        <v>38.22</v>
      </c>
      <c r="Q155" s="17">
        <f t="shared" si="9"/>
        <v>17.07</v>
      </c>
      <c r="R155" s="24">
        <f t="shared" si="10"/>
        <v>0.30873575691806837</v>
      </c>
      <c r="S155" t="s">
        <v>67</v>
      </c>
      <c r="T155" t="s">
        <v>64</v>
      </c>
    </row>
    <row r="156" spans="1:20" hidden="1">
      <c r="A156" t="s">
        <v>224</v>
      </c>
      <c r="B156" s="5">
        <v>45883</v>
      </c>
      <c r="C156" s="8">
        <f>YEAR(Tabla2[[#This Row],[fecha]])</f>
        <v>2025</v>
      </c>
      <c r="D156" s="8">
        <f>MONTH(Tabla2[[#This Row],[fecha]])</f>
        <v>8</v>
      </c>
      <c r="E156" s="8" t="str">
        <f>TEXT(Tabla2[[#This Row],[fecha]], "mmmm")</f>
        <v>agosto</v>
      </c>
      <c r="F156" s="8" t="str">
        <f>"T"&amp;ROUNDUP(Tabla2[[#This Row],[mes]]/3,0)</f>
        <v>T3</v>
      </c>
      <c r="G156" t="s">
        <v>6</v>
      </c>
      <c r="H156" t="s">
        <v>7</v>
      </c>
      <c r="I156" s="8" t="str">
        <f>IF(Tabla2[[#This Row],[precio_unitario]]&lt;=30,"Económico",IF(Tabla2[[#This Row],[precio_unitario]]&lt;=58.49,"Accesible","Caro"))</f>
        <v>Caro</v>
      </c>
      <c r="J156" t="s">
        <v>8</v>
      </c>
      <c r="K156">
        <v>5</v>
      </c>
      <c r="L156" s="19">
        <v>130.53</v>
      </c>
      <c r="M156" s="19">
        <v>84.95</v>
      </c>
      <c r="N156" s="13">
        <v>0</v>
      </c>
      <c r="O156" s="17">
        <f t="shared" si="11"/>
        <v>652.65</v>
      </c>
      <c r="P156" s="17">
        <f t="shared" si="8"/>
        <v>424.75</v>
      </c>
      <c r="Q156" s="17">
        <f t="shared" si="9"/>
        <v>227.89999999999998</v>
      </c>
      <c r="R156" s="24">
        <f t="shared" si="10"/>
        <v>0.34919175668428709</v>
      </c>
      <c r="S156" t="s">
        <v>540</v>
      </c>
      <c r="T156" t="s">
        <v>64</v>
      </c>
    </row>
    <row r="157" spans="1:20" hidden="1">
      <c r="A157" t="s">
        <v>225</v>
      </c>
      <c r="B157" s="5">
        <v>45511</v>
      </c>
      <c r="C157" s="8">
        <f>YEAR(Tabla2[[#This Row],[fecha]])</f>
        <v>2024</v>
      </c>
      <c r="D157" s="8">
        <f>MONTH(Tabla2[[#This Row],[fecha]])</f>
        <v>8</v>
      </c>
      <c r="E157" s="8" t="str">
        <f>TEXT(Tabla2[[#This Row],[fecha]], "mmmm")</f>
        <v>agosto</v>
      </c>
      <c r="F157" s="8" t="str">
        <f>"T"&amp;ROUNDUP(Tabla2[[#This Row],[mes]]/3,0)</f>
        <v>T3</v>
      </c>
      <c r="G157" t="s">
        <v>49</v>
      </c>
      <c r="H157" t="s">
        <v>50</v>
      </c>
      <c r="I157" s="8" t="str">
        <f>IF(Tabla2[[#This Row],[precio_unitario]]&lt;=30,"Económico",IF(Tabla2[[#This Row],[precio_unitario]]&lt;=58.49,"Accesible","Caro"))</f>
        <v>Caro</v>
      </c>
      <c r="J157" t="s">
        <v>44</v>
      </c>
      <c r="K157">
        <v>8</v>
      </c>
      <c r="L157" s="19">
        <v>63.6</v>
      </c>
      <c r="M157" s="19">
        <v>33.979999999999997</v>
      </c>
      <c r="N157" s="11">
        <v>0</v>
      </c>
      <c r="O157" s="17">
        <f t="shared" si="11"/>
        <v>508.8</v>
      </c>
      <c r="P157" s="17">
        <f t="shared" si="8"/>
        <v>271.83999999999997</v>
      </c>
      <c r="Q157" s="17">
        <f t="shared" si="9"/>
        <v>236.96000000000004</v>
      </c>
      <c r="R157" s="24">
        <f t="shared" si="10"/>
        <v>0.46572327044025164</v>
      </c>
      <c r="S157" t="s">
        <v>101</v>
      </c>
      <c r="T157" t="s">
        <v>64</v>
      </c>
    </row>
    <row r="158" spans="1:20" hidden="1">
      <c r="A158" t="s">
        <v>226</v>
      </c>
      <c r="B158" s="5">
        <v>45600</v>
      </c>
      <c r="C158" s="8">
        <f>YEAR(Tabla2[[#This Row],[fecha]])</f>
        <v>2024</v>
      </c>
      <c r="D158" s="8">
        <f>MONTH(Tabla2[[#This Row],[fecha]])</f>
        <v>11</v>
      </c>
      <c r="E158" s="8" t="str">
        <f>TEXT(Tabla2[[#This Row],[fecha]], "mmmm")</f>
        <v>noviembre</v>
      </c>
      <c r="F158" s="8" t="str">
        <f>"T"&amp;ROUNDUP(Tabla2[[#This Row],[mes]]/3,0)</f>
        <v>T4</v>
      </c>
      <c r="G158" t="s">
        <v>9</v>
      </c>
      <c r="H158" t="s">
        <v>10</v>
      </c>
      <c r="I158" s="8" t="str">
        <f>IF(Tabla2[[#This Row],[precio_unitario]]&lt;=30,"Económico",IF(Tabla2[[#This Row],[precio_unitario]]&lt;=58.49,"Accesible","Caro"))</f>
        <v>Caro</v>
      </c>
      <c r="J158" t="s">
        <v>8</v>
      </c>
      <c r="K158">
        <v>1</v>
      </c>
      <c r="L158" s="19">
        <v>72.64</v>
      </c>
      <c r="M158" s="19">
        <v>47.78</v>
      </c>
      <c r="N158" s="11">
        <v>0</v>
      </c>
      <c r="O158" s="17">
        <f t="shared" si="11"/>
        <v>72.64</v>
      </c>
      <c r="P158" s="17">
        <f t="shared" si="8"/>
        <v>47.78</v>
      </c>
      <c r="Q158" s="17">
        <f t="shared" si="9"/>
        <v>24.86</v>
      </c>
      <c r="R158" s="24">
        <f t="shared" si="10"/>
        <v>0.34223568281938327</v>
      </c>
      <c r="S158" t="s">
        <v>83</v>
      </c>
      <c r="T158" t="s">
        <v>64</v>
      </c>
    </row>
    <row r="159" spans="1:20">
      <c r="A159" t="s">
        <v>227</v>
      </c>
      <c r="B159" s="5">
        <v>45859</v>
      </c>
      <c r="C159" s="8">
        <f>YEAR(Tabla2[[#This Row],[fecha]])</f>
        <v>2025</v>
      </c>
      <c r="D159" s="8">
        <f>MONTH(Tabla2[[#This Row],[fecha]])</f>
        <v>7</v>
      </c>
      <c r="E159" s="8" t="str">
        <f>TEXT(Tabla2[[#This Row],[fecha]], "mmmm")</f>
        <v>julio</v>
      </c>
      <c r="F159" s="8" t="str">
        <f>"T"&amp;ROUNDUP(Tabla2[[#This Row],[mes]]/3,0)</f>
        <v>T3</v>
      </c>
      <c r="G159" t="s">
        <v>36</v>
      </c>
      <c r="H159" t="s">
        <v>37</v>
      </c>
      <c r="I159" s="8" t="str">
        <f>IF(Tabla2[[#This Row],[precio_unitario]]&lt;=30,"Económico",IF(Tabla2[[#This Row],[precio_unitario]]&lt;=58.49,"Accesible","Caro"))</f>
        <v>Económico</v>
      </c>
      <c r="J159" t="s">
        <v>35</v>
      </c>
      <c r="K159">
        <v>1</v>
      </c>
      <c r="L159" s="19">
        <v>14.07</v>
      </c>
      <c r="M159" s="19">
        <v>9.51</v>
      </c>
      <c r="N159" s="11">
        <v>0.05</v>
      </c>
      <c r="O159" s="17">
        <f t="shared" si="11"/>
        <v>13.3665</v>
      </c>
      <c r="P159" s="17">
        <f t="shared" si="8"/>
        <v>9.51</v>
      </c>
      <c r="Q159" s="17">
        <f t="shared" si="9"/>
        <v>3.8565000000000005</v>
      </c>
      <c r="R159" s="24">
        <f t="shared" si="10"/>
        <v>0.28851980698013696</v>
      </c>
      <c r="S159" t="s">
        <v>67</v>
      </c>
      <c r="T159" t="s">
        <v>64</v>
      </c>
    </row>
    <row r="160" spans="1:20" hidden="1">
      <c r="A160" t="s">
        <v>228</v>
      </c>
      <c r="B160" s="5">
        <v>45304</v>
      </c>
      <c r="C160" s="8">
        <f>YEAR(Tabla2[[#This Row],[fecha]])</f>
        <v>2024</v>
      </c>
      <c r="D160" s="8">
        <f>MONTH(Tabla2[[#This Row],[fecha]])</f>
        <v>1</v>
      </c>
      <c r="E160" s="8" t="str">
        <f>TEXT(Tabla2[[#This Row],[fecha]], "mmmm")</f>
        <v>enero</v>
      </c>
      <c r="F160" s="8" t="str">
        <f>"T"&amp;ROUNDUP(Tabla2[[#This Row],[mes]]/3,0)</f>
        <v>T1</v>
      </c>
      <c r="G160" t="s">
        <v>38</v>
      </c>
      <c r="H160" t="s">
        <v>39</v>
      </c>
      <c r="I160" s="8" t="str">
        <f>IF(Tabla2[[#This Row],[precio_unitario]]&lt;=30,"Económico",IF(Tabla2[[#This Row],[precio_unitario]]&lt;=58.49,"Accesible","Caro"))</f>
        <v>Caro</v>
      </c>
      <c r="J160" t="s">
        <v>35</v>
      </c>
      <c r="K160">
        <v>2</v>
      </c>
      <c r="L160" s="19">
        <v>82.96</v>
      </c>
      <c r="M160" s="19">
        <v>43.64</v>
      </c>
      <c r="N160" s="11">
        <v>0</v>
      </c>
      <c r="O160" s="17">
        <f t="shared" si="11"/>
        <v>165.92</v>
      </c>
      <c r="P160" s="17">
        <f t="shared" si="8"/>
        <v>87.28</v>
      </c>
      <c r="Q160" s="17">
        <f t="shared" si="9"/>
        <v>78.639999999999986</v>
      </c>
      <c r="R160" s="24">
        <f t="shared" si="10"/>
        <v>0.4739633558341369</v>
      </c>
      <c r="S160" t="s">
        <v>101</v>
      </c>
      <c r="T160" t="s">
        <v>64</v>
      </c>
    </row>
    <row r="161" spans="1:20" hidden="1">
      <c r="A161" t="s">
        <v>229</v>
      </c>
      <c r="B161" s="5">
        <v>45319</v>
      </c>
      <c r="C161" s="8">
        <f>YEAR(Tabla2[[#This Row],[fecha]])</f>
        <v>2024</v>
      </c>
      <c r="D161" s="8">
        <f>MONTH(Tabla2[[#This Row],[fecha]])</f>
        <v>1</v>
      </c>
      <c r="E161" s="8" t="str">
        <f>TEXT(Tabla2[[#This Row],[fecha]], "mmmm")</f>
        <v>enero</v>
      </c>
      <c r="F161" s="8" t="str">
        <f>"T"&amp;ROUNDUP(Tabla2[[#This Row],[mes]]/3,0)</f>
        <v>T1</v>
      </c>
      <c r="G161" t="s">
        <v>31</v>
      </c>
      <c r="H161" t="s">
        <v>32</v>
      </c>
      <c r="I161" s="8" t="str">
        <f>IF(Tabla2[[#This Row],[precio_unitario]]&lt;=30,"Económico",IF(Tabla2[[#This Row],[precio_unitario]]&lt;=58.49,"Accesible","Caro"))</f>
        <v>Económico</v>
      </c>
      <c r="J161" t="s">
        <v>26</v>
      </c>
      <c r="K161">
        <v>2</v>
      </c>
      <c r="L161" s="19">
        <v>8.57</v>
      </c>
      <c r="M161" s="19">
        <v>5.74</v>
      </c>
      <c r="N161" s="11">
        <v>0</v>
      </c>
      <c r="O161" s="17">
        <f t="shared" si="11"/>
        <v>17.14</v>
      </c>
      <c r="P161" s="17">
        <f t="shared" si="8"/>
        <v>11.48</v>
      </c>
      <c r="Q161" s="17">
        <f t="shared" si="9"/>
        <v>5.66</v>
      </c>
      <c r="R161" s="24">
        <f t="shared" si="10"/>
        <v>0.33022170361726955</v>
      </c>
      <c r="S161" t="s">
        <v>67</v>
      </c>
      <c r="T161" t="s">
        <v>64</v>
      </c>
    </row>
    <row r="162" spans="1:20" hidden="1">
      <c r="A162" t="s">
        <v>230</v>
      </c>
      <c r="B162" s="5">
        <v>45468</v>
      </c>
      <c r="C162" s="8">
        <f>YEAR(Tabla2[[#This Row],[fecha]])</f>
        <v>2024</v>
      </c>
      <c r="D162" s="8">
        <f>MONTH(Tabla2[[#This Row],[fecha]])</f>
        <v>6</v>
      </c>
      <c r="E162" s="8" t="str">
        <f>TEXT(Tabla2[[#This Row],[fecha]], "mmmm")</f>
        <v>junio</v>
      </c>
      <c r="F162" s="8" t="str">
        <f>"T"&amp;ROUNDUP(Tabla2[[#This Row],[mes]]/3,0)</f>
        <v>T2</v>
      </c>
      <c r="G162" t="s">
        <v>49</v>
      </c>
      <c r="H162" t="s">
        <v>50</v>
      </c>
      <c r="I162" s="8" t="str">
        <f>IF(Tabla2[[#This Row],[precio_unitario]]&lt;=30,"Económico",IF(Tabla2[[#This Row],[precio_unitario]]&lt;=58.49,"Accesible","Caro"))</f>
        <v>Caro</v>
      </c>
      <c r="J162" t="s">
        <v>44</v>
      </c>
      <c r="K162">
        <v>5</v>
      </c>
      <c r="L162" s="19">
        <v>61.85</v>
      </c>
      <c r="M162" s="19">
        <v>34.72</v>
      </c>
      <c r="N162" s="11">
        <v>0</v>
      </c>
      <c r="O162" s="17">
        <f t="shared" si="11"/>
        <v>309.25</v>
      </c>
      <c r="P162" s="17">
        <f t="shared" si="8"/>
        <v>173.6</v>
      </c>
      <c r="Q162" s="17">
        <f t="shared" si="9"/>
        <v>135.65</v>
      </c>
      <c r="R162" s="24">
        <f t="shared" si="10"/>
        <v>0.43864187550525469</v>
      </c>
      <c r="S162" t="s">
        <v>83</v>
      </c>
      <c r="T162" t="s">
        <v>60</v>
      </c>
    </row>
    <row r="163" spans="1:20" hidden="1">
      <c r="A163" t="s">
        <v>231</v>
      </c>
      <c r="B163" s="5">
        <v>45537</v>
      </c>
      <c r="C163" s="8">
        <f>YEAR(Tabla2[[#This Row],[fecha]])</f>
        <v>2024</v>
      </c>
      <c r="D163" s="8">
        <f>MONTH(Tabla2[[#This Row],[fecha]])</f>
        <v>9</v>
      </c>
      <c r="E163" s="8" t="str">
        <f>TEXT(Tabla2[[#This Row],[fecha]], "mmmm")</f>
        <v>septiembre</v>
      </c>
      <c r="F163" s="8" t="str">
        <f>"T"&amp;ROUNDUP(Tabla2[[#This Row],[mes]]/3,0)</f>
        <v>T3</v>
      </c>
      <c r="G163" t="s">
        <v>18</v>
      </c>
      <c r="H163" t="s">
        <v>19</v>
      </c>
      <c r="I163" s="8" t="str">
        <f>IF(Tabla2[[#This Row],[precio_unitario]]&lt;=30,"Económico",IF(Tabla2[[#This Row],[precio_unitario]]&lt;=58.49,"Accesible","Caro"))</f>
        <v>Accesible</v>
      </c>
      <c r="J163" t="s">
        <v>17</v>
      </c>
      <c r="K163">
        <v>1</v>
      </c>
      <c r="L163" s="19">
        <v>48.41</v>
      </c>
      <c r="M163" s="19">
        <v>27.45</v>
      </c>
      <c r="N163" s="11">
        <v>0</v>
      </c>
      <c r="O163" s="17">
        <f t="shared" si="11"/>
        <v>48.41</v>
      </c>
      <c r="P163" s="17">
        <f t="shared" si="8"/>
        <v>27.45</v>
      </c>
      <c r="Q163" s="17">
        <f t="shared" si="9"/>
        <v>20.959999999999997</v>
      </c>
      <c r="R163" s="24">
        <f t="shared" si="10"/>
        <v>0.43296839495971906</v>
      </c>
      <c r="S163" t="s">
        <v>83</v>
      </c>
      <c r="T163" t="s">
        <v>60</v>
      </c>
    </row>
    <row r="164" spans="1:20" hidden="1">
      <c r="A164" t="s">
        <v>232</v>
      </c>
      <c r="B164" s="5">
        <v>45676</v>
      </c>
      <c r="C164" s="8">
        <f>YEAR(Tabla2[[#This Row],[fecha]])</f>
        <v>2025</v>
      </c>
      <c r="D164" s="8">
        <f>MONTH(Tabla2[[#This Row],[fecha]])</f>
        <v>1</v>
      </c>
      <c r="E164" s="8" t="str">
        <f>TEXT(Tabla2[[#This Row],[fecha]], "mmmm")</f>
        <v>enero</v>
      </c>
      <c r="F164" s="8" t="str">
        <f>"T"&amp;ROUNDUP(Tabla2[[#This Row],[mes]]/3,0)</f>
        <v>T1</v>
      </c>
      <c r="G164" t="s">
        <v>47</v>
      </c>
      <c r="H164" t="s">
        <v>48</v>
      </c>
      <c r="I164" s="8" t="str">
        <f>IF(Tabla2[[#This Row],[precio_unitario]]&lt;=30,"Económico",IF(Tabla2[[#This Row],[precio_unitario]]&lt;=58.49,"Accesible","Caro"))</f>
        <v>Accesible</v>
      </c>
      <c r="J164" t="s">
        <v>44</v>
      </c>
      <c r="K164">
        <v>2</v>
      </c>
      <c r="L164" s="19">
        <v>57.53</v>
      </c>
      <c r="M164" s="19">
        <v>31.47</v>
      </c>
      <c r="N164" s="13">
        <v>0</v>
      </c>
      <c r="O164" s="17">
        <f t="shared" si="11"/>
        <v>115.06</v>
      </c>
      <c r="P164" s="17">
        <f t="shared" si="8"/>
        <v>62.94</v>
      </c>
      <c r="Q164" s="17">
        <f t="shared" si="9"/>
        <v>52.120000000000005</v>
      </c>
      <c r="R164" s="24">
        <f t="shared" si="10"/>
        <v>0.45298105336346256</v>
      </c>
      <c r="S164" t="s">
        <v>101</v>
      </c>
      <c r="T164" t="s">
        <v>60</v>
      </c>
    </row>
    <row r="165" spans="1:20" hidden="1">
      <c r="A165" t="s">
        <v>233</v>
      </c>
      <c r="B165" s="5">
        <v>45548</v>
      </c>
      <c r="C165" s="8">
        <f>YEAR(Tabla2[[#This Row],[fecha]])</f>
        <v>2024</v>
      </c>
      <c r="D165" s="8">
        <f>MONTH(Tabla2[[#This Row],[fecha]])</f>
        <v>9</v>
      </c>
      <c r="E165" s="8" t="str">
        <f>TEXT(Tabla2[[#This Row],[fecha]], "mmmm")</f>
        <v>septiembre</v>
      </c>
      <c r="F165" s="8" t="str">
        <f>"T"&amp;ROUNDUP(Tabla2[[#This Row],[mes]]/3,0)</f>
        <v>T3</v>
      </c>
      <c r="G165" t="s">
        <v>9</v>
      </c>
      <c r="H165" t="s">
        <v>10</v>
      </c>
      <c r="I165" s="8" t="str">
        <f>IF(Tabla2[[#This Row],[precio_unitario]]&lt;=30,"Económico",IF(Tabla2[[#This Row],[precio_unitario]]&lt;=58.49,"Accesible","Caro"))</f>
        <v>Caro</v>
      </c>
      <c r="J165" t="s">
        <v>8</v>
      </c>
      <c r="K165">
        <v>2</v>
      </c>
      <c r="L165" s="19">
        <v>78.03</v>
      </c>
      <c r="M165" s="19">
        <v>46.18</v>
      </c>
      <c r="N165" s="13">
        <v>0</v>
      </c>
      <c r="O165" s="17">
        <f t="shared" si="11"/>
        <v>156.06</v>
      </c>
      <c r="P165" s="17">
        <f t="shared" si="8"/>
        <v>92.36</v>
      </c>
      <c r="Q165" s="17">
        <f t="shared" si="9"/>
        <v>63.7</v>
      </c>
      <c r="R165" s="24">
        <f t="shared" si="10"/>
        <v>0.40817634243239781</v>
      </c>
      <c r="S165" t="s">
        <v>67</v>
      </c>
      <c r="T165" t="s">
        <v>64</v>
      </c>
    </row>
    <row r="166" spans="1:20" hidden="1">
      <c r="A166" t="s">
        <v>234</v>
      </c>
      <c r="B166" s="5">
        <v>45722</v>
      </c>
      <c r="C166" s="8">
        <f>YEAR(Tabla2[[#This Row],[fecha]])</f>
        <v>2025</v>
      </c>
      <c r="D166" s="8">
        <f>MONTH(Tabla2[[#This Row],[fecha]])</f>
        <v>3</v>
      </c>
      <c r="E166" s="8" t="str">
        <f>TEXT(Tabla2[[#This Row],[fecha]], "mmmm")</f>
        <v>marzo</v>
      </c>
      <c r="F166" s="8" t="str">
        <f>"T"&amp;ROUNDUP(Tabla2[[#This Row],[mes]]/3,0)</f>
        <v>T1</v>
      </c>
      <c r="G166" t="s">
        <v>6</v>
      </c>
      <c r="H166" t="s">
        <v>7</v>
      </c>
      <c r="I166" s="8" t="str">
        <f>IF(Tabla2[[#This Row],[precio_unitario]]&lt;=30,"Económico",IF(Tabla2[[#This Row],[precio_unitario]]&lt;=58.49,"Accesible","Caro"))</f>
        <v>Caro</v>
      </c>
      <c r="J166" t="s">
        <v>8</v>
      </c>
      <c r="K166">
        <v>7</v>
      </c>
      <c r="L166" s="19">
        <v>120.93</v>
      </c>
      <c r="M166" s="19">
        <v>86.28</v>
      </c>
      <c r="N166" s="11">
        <v>0</v>
      </c>
      <c r="O166" s="17">
        <f t="shared" si="11"/>
        <v>846.51</v>
      </c>
      <c r="P166" s="17">
        <f t="shared" si="8"/>
        <v>603.96</v>
      </c>
      <c r="Q166" s="17">
        <f t="shared" si="9"/>
        <v>242.54999999999995</v>
      </c>
      <c r="R166" s="24">
        <f t="shared" si="10"/>
        <v>0.28652939717191761</v>
      </c>
      <c r="S166" t="s">
        <v>63</v>
      </c>
      <c r="T166" t="s">
        <v>60</v>
      </c>
    </row>
    <row r="167" spans="1:20" hidden="1">
      <c r="A167" t="s">
        <v>235</v>
      </c>
      <c r="B167" s="5">
        <v>45851</v>
      </c>
      <c r="C167" s="8">
        <f>YEAR(Tabla2[[#This Row],[fecha]])</f>
        <v>2025</v>
      </c>
      <c r="D167" s="8">
        <f>MONTH(Tabla2[[#This Row],[fecha]])</f>
        <v>7</v>
      </c>
      <c r="E167" s="8" t="str">
        <f>TEXT(Tabla2[[#This Row],[fecha]], "mmmm")</f>
        <v>julio</v>
      </c>
      <c r="F167" s="8" t="str">
        <f>"T"&amp;ROUNDUP(Tabla2[[#This Row],[mes]]/3,0)</f>
        <v>T3</v>
      </c>
      <c r="G167" t="s">
        <v>20</v>
      </c>
      <c r="H167" t="s">
        <v>21</v>
      </c>
      <c r="I167" s="8" t="str">
        <f>IF(Tabla2[[#This Row],[precio_unitario]]&lt;=30,"Económico",IF(Tabla2[[#This Row],[precio_unitario]]&lt;=58.49,"Accesible","Caro"))</f>
        <v>Económico</v>
      </c>
      <c r="J167" t="s">
        <v>17</v>
      </c>
      <c r="K167">
        <v>3</v>
      </c>
      <c r="L167" s="19">
        <v>18.71</v>
      </c>
      <c r="M167" s="19">
        <v>13.16</v>
      </c>
      <c r="N167" s="13">
        <v>0</v>
      </c>
      <c r="O167" s="17">
        <f t="shared" si="11"/>
        <v>56.13</v>
      </c>
      <c r="P167" s="17">
        <f t="shared" si="8"/>
        <v>39.480000000000004</v>
      </c>
      <c r="Q167" s="17">
        <f t="shared" si="9"/>
        <v>16.649999999999999</v>
      </c>
      <c r="R167" s="24">
        <f t="shared" si="10"/>
        <v>0.29663281667557451</v>
      </c>
      <c r="S167" t="s">
        <v>540</v>
      </c>
      <c r="T167" t="s">
        <v>60</v>
      </c>
    </row>
    <row r="168" spans="1:20" hidden="1">
      <c r="A168" t="s">
        <v>236</v>
      </c>
      <c r="B168" s="5">
        <v>45720</v>
      </c>
      <c r="C168" s="8">
        <f>YEAR(Tabla2[[#This Row],[fecha]])</f>
        <v>2025</v>
      </c>
      <c r="D168" s="8">
        <f>MONTH(Tabla2[[#This Row],[fecha]])</f>
        <v>3</v>
      </c>
      <c r="E168" s="8" t="str">
        <f>TEXT(Tabla2[[#This Row],[fecha]], "mmmm")</f>
        <v>marzo</v>
      </c>
      <c r="F168" s="8" t="str">
        <f>"T"&amp;ROUNDUP(Tabla2[[#This Row],[mes]]/3,0)</f>
        <v>T1</v>
      </c>
      <c r="G168" t="s">
        <v>20</v>
      </c>
      <c r="H168" t="s">
        <v>21</v>
      </c>
      <c r="I168" s="8" t="str">
        <f>IF(Tabla2[[#This Row],[precio_unitario]]&lt;=30,"Económico",IF(Tabla2[[#This Row],[precio_unitario]]&lt;=58.49,"Accesible","Caro"))</f>
        <v>Económico</v>
      </c>
      <c r="J168" t="s">
        <v>17</v>
      </c>
      <c r="K168">
        <v>6</v>
      </c>
      <c r="L168" s="19">
        <v>20.37</v>
      </c>
      <c r="M168" s="19">
        <v>13.14</v>
      </c>
      <c r="N168" s="11">
        <v>0</v>
      </c>
      <c r="O168" s="17">
        <f t="shared" si="11"/>
        <v>122.22</v>
      </c>
      <c r="P168" s="17">
        <f t="shared" si="8"/>
        <v>78.84</v>
      </c>
      <c r="Q168" s="17">
        <f t="shared" si="9"/>
        <v>43.379999999999995</v>
      </c>
      <c r="R168" s="24">
        <f t="shared" si="10"/>
        <v>0.35493372606774665</v>
      </c>
      <c r="S168" t="s">
        <v>96</v>
      </c>
      <c r="T168" t="s">
        <v>60</v>
      </c>
    </row>
    <row r="169" spans="1:20" hidden="1">
      <c r="A169" t="s">
        <v>237</v>
      </c>
      <c r="B169" s="5">
        <v>45724</v>
      </c>
      <c r="C169" s="8">
        <f>YEAR(Tabla2[[#This Row],[fecha]])</f>
        <v>2025</v>
      </c>
      <c r="D169" s="8">
        <f>MONTH(Tabla2[[#This Row],[fecha]])</f>
        <v>3</v>
      </c>
      <c r="E169" s="8" t="str">
        <f>TEXT(Tabla2[[#This Row],[fecha]], "mmmm")</f>
        <v>marzo</v>
      </c>
      <c r="F169" s="8" t="str">
        <f>"T"&amp;ROUNDUP(Tabla2[[#This Row],[mes]]/3,0)</f>
        <v>T1</v>
      </c>
      <c r="G169" t="s">
        <v>33</v>
      </c>
      <c r="H169" t="s">
        <v>34</v>
      </c>
      <c r="I169" s="8" t="str">
        <f>IF(Tabla2[[#This Row],[precio_unitario]]&lt;=30,"Económico",IF(Tabla2[[#This Row],[precio_unitario]]&lt;=58.49,"Accesible","Caro"))</f>
        <v>Caro</v>
      </c>
      <c r="J169" t="s">
        <v>35</v>
      </c>
      <c r="K169">
        <v>10</v>
      </c>
      <c r="L169" s="19">
        <v>78</v>
      </c>
      <c r="M169" s="19">
        <v>46.06</v>
      </c>
      <c r="N169" s="11">
        <v>0</v>
      </c>
      <c r="O169" s="17">
        <f t="shared" si="11"/>
        <v>780</v>
      </c>
      <c r="P169" s="17">
        <f t="shared" si="8"/>
        <v>460.6</v>
      </c>
      <c r="Q169" s="17">
        <f t="shared" si="9"/>
        <v>319.39999999999998</v>
      </c>
      <c r="R169" s="24">
        <f t="shared" si="10"/>
        <v>0.40948717948717944</v>
      </c>
      <c r="S169" t="s">
        <v>540</v>
      </c>
      <c r="T169" t="s">
        <v>64</v>
      </c>
    </row>
    <row r="170" spans="1:20">
      <c r="A170" t="s">
        <v>238</v>
      </c>
      <c r="B170" s="5">
        <v>45714</v>
      </c>
      <c r="C170" s="8">
        <f>YEAR(Tabla2[[#This Row],[fecha]])</f>
        <v>2025</v>
      </c>
      <c r="D170" s="8">
        <f>MONTH(Tabla2[[#This Row],[fecha]])</f>
        <v>2</v>
      </c>
      <c r="E170" s="8" t="str">
        <f>TEXT(Tabla2[[#This Row],[fecha]], "mmmm")</f>
        <v>febrero</v>
      </c>
      <c r="F170" s="8" t="str">
        <f>"T"&amp;ROUNDUP(Tabla2[[#This Row],[mes]]/3,0)</f>
        <v>T1</v>
      </c>
      <c r="G170" t="s">
        <v>38</v>
      </c>
      <c r="H170" t="s">
        <v>39</v>
      </c>
      <c r="I170" s="8" t="str">
        <f>IF(Tabla2[[#This Row],[precio_unitario]]&lt;=30,"Económico",IF(Tabla2[[#This Row],[precio_unitario]]&lt;=58.49,"Accesible","Caro"))</f>
        <v>Caro</v>
      </c>
      <c r="J170" t="s">
        <v>35</v>
      </c>
      <c r="K170">
        <v>5</v>
      </c>
      <c r="L170" s="19">
        <v>74.099999999999994</v>
      </c>
      <c r="M170" s="19">
        <v>41.79</v>
      </c>
      <c r="N170" s="11">
        <v>0</v>
      </c>
      <c r="O170" s="17">
        <f t="shared" si="11"/>
        <v>370.5</v>
      </c>
      <c r="P170" s="17">
        <f t="shared" si="8"/>
        <v>208.95</v>
      </c>
      <c r="Q170" s="17">
        <f t="shared" si="9"/>
        <v>161.55000000000001</v>
      </c>
      <c r="R170" s="24">
        <f t="shared" si="10"/>
        <v>0.43603238866396765</v>
      </c>
      <c r="S170" t="s">
        <v>67</v>
      </c>
      <c r="T170" t="s">
        <v>60</v>
      </c>
    </row>
    <row r="171" spans="1:20" hidden="1">
      <c r="A171" t="s">
        <v>239</v>
      </c>
      <c r="B171" s="5">
        <v>45489</v>
      </c>
      <c r="C171" s="8">
        <f>YEAR(Tabla2[[#This Row],[fecha]])</f>
        <v>2024</v>
      </c>
      <c r="D171" s="8">
        <f>MONTH(Tabla2[[#This Row],[fecha]])</f>
        <v>7</v>
      </c>
      <c r="E171" s="8" t="str">
        <f>TEXT(Tabla2[[#This Row],[fecha]], "mmmm")</f>
        <v>julio</v>
      </c>
      <c r="F171" s="8" t="str">
        <f>"T"&amp;ROUNDUP(Tabla2[[#This Row],[mes]]/3,0)</f>
        <v>T3</v>
      </c>
      <c r="G171" t="s">
        <v>20</v>
      </c>
      <c r="H171" t="s">
        <v>21</v>
      </c>
      <c r="I171" s="8" t="str">
        <f>IF(Tabla2[[#This Row],[precio_unitario]]&lt;=30,"Económico",IF(Tabla2[[#This Row],[precio_unitario]]&lt;=58.49,"Accesible","Caro"))</f>
        <v>Económico</v>
      </c>
      <c r="J171" t="s">
        <v>17</v>
      </c>
      <c r="K171">
        <v>1</v>
      </c>
      <c r="L171" s="19">
        <v>19.350000000000001</v>
      </c>
      <c r="M171" s="19">
        <v>13.19</v>
      </c>
      <c r="N171" s="11">
        <v>0</v>
      </c>
      <c r="O171" s="17">
        <f t="shared" si="11"/>
        <v>19.350000000000001</v>
      </c>
      <c r="P171" s="17">
        <f t="shared" si="8"/>
        <v>13.19</v>
      </c>
      <c r="Q171" s="17">
        <f t="shared" si="9"/>
        <v>6.1600000000000019</v>
      </c>
      <c r="R171" s="24">
        <f t="shared" si="10"/>
        <v>0.31834625322997423</v>
      </c>
      <c r="S171" t="s">
        <v>83</v>
      </c>
      <c r="T171" t="s">
        <v>64</v>
      </c>
    </row>
    <row r="172" spans="1:20">
      <c r="A172" t="s">
        <v>240</v>
      </c>
      <c r="B172" s="5">
        <v>45905</v>
      </c>
      <c r="C172" s="8">
        <f>YEAR(Tabla2[[#This Row],[fecha]])</f>
        <v>2025</v>
      </c>
      <c r="D172" s="8">
        <f>MONTH(Tabla2[[#This Row],[fecha]])</f>
        <v>9</v>
      </c>
      <c r="E172" s="8" t="str">
        <f>TEXT(Tabla2[[#This Row],[fecha]], "mmmm")</f>
        <v>septiembre</v>
      </c>
      <c r="F172" s="8" t="str">
        <f>"T"&amp;ROUNDUP(Tabla2[[#This Row],[mes]]/3,0)</f>
        <v>T3</v>
      </c>
      <c r="G172" t="s">
        <v>20</v>
      </c>
      <c r="H172" t="s">
        <v>21</v>
      </c>
      <c r="I172" s="8" t="str">
        <f>IF(Tabla2[[#This Row],[precio_unitario]]&lt;=30,"Económico",IF(Tabla2[[#This Row],[precio_unitario]]&lt;=58.49,"Accesible","Caro"))</f>
        <v>Económico</v>
      </c>
      <c r="J172" t="s">
        <v>17</v>
      </c>
      <c r="K172">
        <v>2</v>
      </c>
      <c r="L172" s="19">
        <v>21.11</v>
      </c>
      <c r="M172" s="19">
        <v>12.63</v>
      </c>
      <c r="N172" s="13">
        <v>0</v>
      </c>
      <c r="O172" s="17">
        <f t="shared" si="11"/>
        <v>42.22</v>
      </c>
      <c r="P172" s="17">
        <f t="shared" si="8"/>
        <v>25.26</v>
      </c>
      <c r="Q172" s="17">
        <f t="shared" si="9"/>
        <v>16.959999999999997</v>
      </c>
      <c r="R172" s="24">
        <f t="shared" si="10"/>
        <v>0.40170535291331116</v>
      </c>
      <c r="S172" t="s">
        <v>67</v>
      </c>
      <c r="T172" t="s">
        <v>64</v>
      </c>
    </row>
    <row r="173" spans="1:20" hidden="1">
      <c r="A173" t="s">
        <v>241</v>
      </c>
      <c r="B173" s="5">
        <v>45375</v>
      </c>
      <c r="C173" s="8">
        <f>YEAR(Tabla2[[#This Row],[fecha]])</f>
        <v>2024</v>
      </c>
      <c r="D173" s="8">
        <f>MONTH(Tabla2[[#This Row],[fecha]])</f>
        <v>3</v>
      </c>
      <c r="E173" s="8" t="str">
        <f>TEXT(Tabla2[[#This Row],[fecha]], "mmmm")</f>
        <v>marzo</v>
      </c>
      <c r="F173" s="8" t="str">
        <f>"T"&amp;ROUNDUP(Tabla2[[#This Row],[mes]]/3,0)</f>
        <v>T1</v>
      </c>
      <c r="G173" t="s">
        <v>38</v>
      </c>
      <c r="H173" t="s">
        <v>39</v>
      </c>
      <c r="I173" s="8" t="str">
        <f>IF(Tabla2[[#This Row],[precio_unitario]]&lt;=30,"Económico",IF(Tabla2[[#This Row],[precio_unitario]]&lt;=58.49,"Accesible","Caro"))</f>
        <v>Caro</v>
      </c>
      <c r="J173" t="s">
        <v>35</v>
      </c>
      <c r="K173">
        <v>2</v>
      </c>
      <c r="L173" s="19">
        <v>83.31</v>
      </c>
      <c r="M173" s="19">
        <v>44.35</v>
      </c>
      <c r="N173" s="13">
        <v>0</v>
      </c>
      <c r="O173" s="17">
        <f t="shared" si="11"/>
        <v>166.62</v>
      </c>
      <c r="P173" s="17">
        <f t="shared" si="8"/>
        <v>88.7</v>
      </c>
      <c r="Q173" s="17">
        <f t="shared" si="9"/>
        <v>77.92</v>
      </c>
      <c r="R173" s="24">
        <f t="shared" si="10"/>
        <v>0.46765094226383386</v>
      </c>
      <c r="S173" t="s">
        <v>96</v>
      </c>
      <c r="T173" t="s">
        <v>64</v>
      </c>
    </row>
    <row r="174" spans="1:20" hidden="1">
      <c r="A174" t="s">
        <v>242</v>
      </c>
      <c r="B174" s="5">
        <v>45909</v>
      </c>
      <c r="C174" s="8">
        <f>YEAR(Tabla2[[#This Row],[fecha]])</f>
        <v>2025</v>
      </c>
      <c r="D174" s="8">
        <f>MONTH(Tabla2[[#This Row],[fecha]])</f>
        <v>9</v>
      </c>
      <c r="E174" s="8" t="str">
        <f>TEXT(Tabla2[[#This Row],[fecha]], "mmmm")</f>
        <v>septiembre</v>
      </c>
      <c r="F174" s="8" t="str">
        <f>"T"&amp;ROUNDUP(Tabla2[[#This Row],[mes]]/3,0)</f>
        <v>T3</v>
      </c>
      <c r="G174" t="s">
        <v>45</v>
      </c>
      <c r="H174" t="s">
        <v>46</v>
      </c>
      <c r="I174" s="8" t="str">
        <f>IF(Tabla2[[#This Row],[precio_unitario]]&lt;=30,"Económico",IF(Tabla2[[#This Row],[precio_unitario]]&lt;=58.49,"Accesible","Caro"))</f>
        <v>Accesible</v>
      </c>
      <c r="J174" t="s">
        <v>44</v>
      </c>
      <c r="K174">
        <v>1</v>
      </c>
      <c r="L174" s="19">
        <v>30.36</v>
      </c>
      <c r="M174" s="19">
        <v>17.600000000000001</v>
      </c>
      <c r="N174" s="11">
        <v>0</v>
      </c>
      <c r="O174" s="17">
        <f t="shared" si="11"/>
        <v>30.36</v>
      </c>
      <c r="P174" s="17">
        <f t="shared" si="8"/>
        <v>17.600000000000001</v>
      </c>
      <c r="Q174" s="17">
        <f t="shared" si="9"/>
        <v>12.759999999999998</v>
      </c>
      <c r="R174" s="24">
        <f t="shared" si="10"/>
        <v>0.42028985507246369</v>
      </c>
      <c r="S174" t="s">
        <v>96</v>
      </c>
      <c r="T174" t="s">
        <v>64</v>
      </c>
    </row>
    <row r="175" spans="1:20" hidden="1">
      <c r="A175" t="s">
        <v>243</v>
      </c>
      <c r="B175" s="5">
        <v>45874</v>
      </c>
      <c r="C175" s="8">
        <f>YEAR(Tabla2[[#This Row],[fecha]])</f>
        <v>2025</v>
      </c>
      <c r="D175" s="8">
        <f>MONTH(Tabla2[[#This Row],[fecha]])</f>
        <v>8</v>
      </c>
      <c r="E175" s="8" t="str">
        <f>TEXT(Tabla2[[#This Row],[fecha]], "mmmm")</f>
        <v>agosto</v>
      </c>
      <c r="F175" s="8" t="str">
        <f>"T"&amp;ROUNDUP(Tabla2[[#This Row],[mes]]/3,0)</f>
        <v>T3</v>
      </c>
      <c r="G175" t="s">
        <v>42</v>
      </c>
      <c r="H175" t="s">
        <v>43</v>
      </c>
      <c r="I175" s="8" t="str">
        <f>IF(Tabla2[[#This Row],[precio_unitario]]&lt;=30,"Económico",IF(Tabla2[[#This Row],[precio_unitario]]&lt;=58.49,"Accesible","Caro"))</f>
        <v>Accesible</v>
      </c>
      <c r="J175" t="s">
        <v>44</v>
      </c>
      <c r="K175">
        <v>5</v>
      </c>
      <c r="L175" s="19">
        <v>52.32</v>
      </c>
      <c r="M175" s="19">
        <v>23.07</v>
      </c>
      <c r="N175" s="11">
        <v>0</v>
      </c>
      <c r="O175" s="17">
        <f t="shared" si="11"/>
        <v>261.60000000000002</v>
      </c>
      <c r="P175" s="17">
        <f t="shared" si="8"/>
        <v>115.35</v>
      </c>
      <c r="Q175" s="17">
        <f t="shared" si="9"/>
        <v>146.25000000000003</v>
      </c>
      <c r="R175" s="24">
        <f t="shared" si="10"/>
        <v>0.55905963302752304</v>
      </c>
      <c r="S175" t="s">
        <v>540</v>
      </c>
      <c r="T175" t="s">
        <v>64</v>
      </c>
    </row>
    <row r="176" spans="1:20" hidden="1">
      <c r="A176" t="s">
        <v>244</v>
      </c>
      <c r="B176" s="5">
        <v>45544</v>
      </c>
      <c r="C176" s="8">
        <f>YEAR(Tabla2[[#This Row],[fecha]])</f>
        <v>2024</v>
      </c>
      <c r="D176" s="8">
        <f>MONTH(Tabla2[[#This Row],[fecha]])</f>
        <v>9</v>
      </c>
      <c r="E176" s="8" t="str">
        <f>TEXT(Tabla2[[#This Row],[fecha]], "mmmm")</f>
        <v>septiembre</v>
      </c>
      <c r="F176" s="8" t="str">
        <f>"T"&amp;ROUNDUP(Tabla2[[#This Row],[mes]]/3,0)</f>
        <v>T3</v>
      </c>
      <c r="G176" t="s">
        <v>13</v>
      </c>
      <c r="H176" t="s">
        <v>14</v>
      </c>
      <c r="I176" s="8" t="str">
        <f>IF(Tabla2[[#This Row],[precio_unitario]]&lt;=30,"Económico",IF(Tabla2[[#This Row],[precio_unitario]]&lt;=58.49,"Accesible","Caro"))</f>
        <v>Caro</v>
      </c>
      <c r="J176" t="s">
        <v>8</v>
      </c>
      <c r="K176">
        <v>1</v>
      </c>
      <c r="L176" s="19">
        <v>160.41</v>
      </c>
      <c r="M176" s="19">
        <v>113.84</v>
      </c>
      <c r="N176" s="11">
        <v>0</v>
      </c>
      <c r="O176" s="17">
        <f t="shared" si="11"/>
        <v>160.41</v>
      </c>
      <c r="P176" s="17">
        <f t="shared" si="8"/>
        <v>113.84</v>
      </c>
      <c r="Q176" s="17">
        <f t="shared" si="9"/>
        <v>46.569999999999993</v>
      </c>
      <c r="R176" s="24">
        <f t="shared" si="10"/>
        <v>0.29031855869334827</v>
      </c>
      <c r="S176" t="s">
        <v>63</v>
      </c>
      <c r="T176" t="s">
        <v>64</v>
      </c>
    </row>
    <row r="177" spans="1:20" hidden="1">
      <c r="A177" t="s">
        <v>245</v>
      </c>
      <c r="B177" s="5">
        <v>45705</v>
      </c>
      <c r="C177" s="8">
        <f>YEAR(Tabla2[[#This Row],[fecha]])</f>
        <v>2025</v>
      </c>
      <c r="D177" s="8">
        <f>MONTH(Tabla2[[#This Row],[fecha]])</f>
        <v>2</v>
      </c>
      <c r="E177" s="8" t="str">
        <f>TEXT(Tabla2[[#This Row],[fecha]], "mmmm")</f>
        <v>febrero</v>
      </c>
      <c r="F177" s="8" t="str">
        <f>"T"&amp;ROUNDUP(Tabla2[[#This Row],[mes]]/3,0)</f>
        <v>T1</v>
      </c>
      <c r="G177" t="s">
        <v>49</v>
      </c>
      <c r="H177" t="s">
        <v>50</v>
      </c>
      <c r="I177" s="8" t="str">
        <f>IF(Tabla2[[#This Row],[precio_unitario]]&lt;=30,"Económico",IF(Tabla2[[#This Row],[precio_unitario]]&lt;=58.49,"Accesible","Caro"))</f>
        <v>Caro</v>
      </c>
      <c r="J177" t="s">
        <v>44</v>
      </c>
      <c r="K177">
        <v>2</v>
      </c>
      <c r="L177" s="19">
        <v>64.709999999999994</v>
      </c>
      <c r="M177" s="19">
        <v>33.69</v>
      </c>
      <c r="N177" s="11">
        <v>0.16</v>
      </c>
      <c r="O177" s="17">
        <f t="shared" si="11"/>
        <v>108.71279999999999</v>
      </c>
      <c r="P177" s="17">
        <f t="shared" si="8"/>
        <v>67.38</v>
      </c>
      <c r="Q177" s="17">
        <f t="shared" si="9"/>
        <v>41.332799999999992</v>
      </c>
      <c r="R177" s="24">
        <f t="shared" si="10"/>
        <v>0.380201779367287</v>
      </c>
      <c r="S177" t="s">
        <v>540</v>
      </c>
      <c r="T177" t="s">
        <v>64</v>
      </c>
    </row>
    <row r="178" spans="1:20">
      <c r="A178" t="s">
        <v>246</v>
      </c>
      <c r="B178" s="5">
        <v>45745</v>
      </c>
      <c r="C178" s="8">
        <f>YEAR(Tabla2[[#This Row],[fecha]])</f>
        <v>2025</v>
      </c>
      <c r="D178" s="8">
        <f>MONTH(Tabla2[[#This Row],[fecha]])</f>
        <v>3</v>
      </c>
      <c r="E178" s="8" t="str">
        <f>TEXT(Tabla2[[#This Row],[fecha]], "mmmm")</f>
        <v>marzo</v>
      </c>
      <c r="F178" s="8" t="str">
        <f>"T"&amp;ROUNDUP(Tabla2[[#This Row],[mes]]/3,0)</f>
        <v>T1</v>
      </c>
      <c r="G178" t="s">
        <v>13</v>
      </c>
      <c r="H178" t="s">
        <v>14</v>
      </c>
      <c r="I178" s="8" t="str">
        <f>IF(Tabla2[[#This Row],[precio_unitario]]&lt;=30,"Económico",IF(Tabla2[[#This Row],[precio_unitario]]&lt;=58.49,"Accesible","Caro"))</f>
        <v>Caro</v>
      </c>
      <c r="J178" t="s">
        <v>8</v>
      </c>
      <c r="K178">
        <v>1</v>
      </c>
      <c r="L178" s="19">
        <v>156.82</v>
      </c>
      <c r="M178" s="19">
        <v>107.89</v>
      </c>
      <c r="N178" s="11">
        <v>0</v>
      </c>
      <c r="O178" s="17">
        <f t="shared" si="11"/>
        <v>156.82</v>
      </c>
      <c r="P178" s="17">
        <f t="shared" si="8"/>
        <v>107.89</v>
      </c>
      <c r="Q178" s="17">
        <f t="shared" si="9"/>
        <v>48.929999999999993</v>
      </c>
      <c r="R178" s="24">
        <f t="shared" si="10"/>
        <v>0.31201377375334777</v>
      </c>
      <c r="S178" t="s">
        <v>67</v>
      </c>
      <c r="T178" t="s">
        <v>64</v>
      </c>
    </row>
    <row r="179" spans="1:20" hidden="1">
      <c r="A179" t="s">
        <v>247</v>
      </c>
      <c r="B179" s="5">
        <v>45793</v>
      </c>
      <c r="C179" s="8">
        <f>YEAR(Tabla2[[#This Row],[fecha]])</f>
        <v>2025</v>
      </c>
      <c r="D179" s="8">
        <f>MONTH(Tabla2[[#This Row],[fecha]])</f>
        <v>5</v>
      </c>
      <c r="E179" s="8" t="str">
        <f>TEXT(Tabla2[[#This Row],[fecha]], "mmmm")</f>
        <v>mayo</v>
      </c>
      <c r="F179" s="8" t="str">
        <f>"T"&amp;ROUNDUP(Tabla2[[#This Row],[mes]]/3,0)</f>
        <v>T2</v>
      </c>
      <c r="G179" t="s">
        <v>40</v>
      </c>
      <c r="H179" t="s">
        <v>41</v>
      </c>
      <c r="I179" s="8" t="str">
        <f>IF(Tabla2[[#This Row],[precio_unitario]]&lt;=30,"Económico",IF(Tabla2[[#This Row],[precio_unitario]]&lt;=58.49,"Accesible","Caro"))</f>
        <v>Caro</v>
      </c>
      <c r="J179" t="s">
        <v>35</v>
      </c>
      <c r="K179">
        <v>2</v>
      </c>
      <c r="L179" s="19">
        <v>73.78</v>
      </c>
      <c r="M179" s="19">
        <v>39.42</v>
      </c>
      <c r="N179" s="11">
        <v>0</v>
      </c>
      <c r="O179" s="17">
        <f t="shared" si="11"/>
        <v>147.56</v>
      </c>
      <c r="P179" s="17">
        <f t="shared" si="8"/>
        <v>78.84</v>
      </c>
      <c r="Q179" s="17">
        <f t="shared" si="9"/>
        <v>68.72</v>
      </c>
      <c r="R179" s="24">
        <f t="shared" si="10"/>
        <v>0.46570886419083762</v>
      </c>
      <c r="S179" t="s">
        <v>63</v>
      </c>
      <c r="T179" t="s">
        <v>60</v>
      </c>
    </row>
    <row r="180" spans="1:20" hidden="1">
      <c r="A180" t="s">
        <v>248</v>
      </c>
      <c r="B180" s="5">
        <v>45419</v>
      </c>
      <c r="C180" s="8">
        <f>YEAR(Tabla2[[#This Row],[fecha]])</f>
        <v>2024</v>
      </c>
      <c r="D180" s="8">
        <f>MONTH(Tabla2[[#This Row],[fecha]])</f>
        <v>5</v>
      </c>
      <c r="E180" s="8" t="str">
        <f>TEXT(Tabla2[[#This Row],[fecha]], "mmmm")</f>
        <v>mayo</v>
      </c>
      <c r="F180" s="8" t="str">
        <f>"T"&amp;ROUNDUP(Tabla2[[#This Row],[mes]]/3,0)</f>
        <v>T2</v>
      </c>
      <c r="G180" t="s">
        <v>18</v>
      </c>
      <c r="H180" t="s">
        <v>19</v>
      </c>
      <c r="I180" s="8" t="str">
        <f>IF(Tabla2[[#This Row],[precio_unitario]]&lt;=30,"Económico",IF(Tabla2[[#This Row],[precio_unitario]]&lt;=58.49,"Accesible","Caro"))</f>
        <v>Accesible</v>
      </c>
      <c r="J180" t="s">
        <v>17</v>
      </c>
      <c r="K180">
        <v>1</v>
      </c>
      <c r="L180" s="19">
        <v>47.92</v>
      </c>
      <c r="M180" s="19">
        <v>26.47</v>
      </c>
      <c r="N180" s="11">
        <v>0.17</v>
      </c>
      <c r="O180" s="17">
        <f t="shared" si="11"/>
        <v>39.773600000000002</v>
      </c>
      <c r="P180" s="17">
        <f t="shared" si="8"/>
        <v>26.47</v>
      </c>
      <c r="Q180" s="17">
        <f t="shared" si="9"/>
        <v>13.303600000000003</v>
      </c>
      <c r="R180" s="24">
        <f t="shared" si="10"/>
        <v>0.3344831747691937</v>
      </c>
      <c r="S180" t="s">
        <v>83</v>
      </c>
      <c r="T180" t="s">
        <v>60</v>
      </c>
    </row>
    <row r="181" spans="1:20" hidden="1">
      <c r="A181" t="s">
        <v>249</v>
      </c>
      <c r="B181" s="5">
        <v>45662</v>
      </c>
      <c r="C181" s="8">
        <f>YEAR(Tabla2[[#This Row],[fecha]])</f>
        <v>2025</v>
      </c>
      <c r="D181" s="8">
        <f>MONTH(Tabla2[[#This Row],[fecha]])</f>
        <v>1</v>
      </c>
      <c r="E181" s="8" t="str">
        <f>TEXT(Tabla2[[#This Row],[fecha]], "mmmm")</f>
        <v>enero</v>
      </c>
      <c r="F181" s="8" t="str">
        <f>"T"&amp;ROUNDUP(Tabla2[[#This Row],[mes]]/3,0)</f>
        <v>T1</v>
      </c>
      <c r="G181" t="s">
        <v>29</v>
      </c>
      <c r="H181" t="s">
        <v>30</v>
      </c>
      <c r="I181" s="8" t="str">
        <f>IF(Tabla2[[#This Row],[precio_unitario]]&lt;=30,"Económico",IF(Tabla2[[#This Row],[precio_unitario]]&lt;=58.49,"Accesible","Caro"))</f>
        <v>Económico</v>
      </c>
      <c r="J181" t="s">
        <v>26</v>
      </c>
      <c r="K181">
        <v>3</v>
      </c>
      <c r="L181" s="19">
        <v>21.41</v>
      </c>
      <c r="M181" s="19">
        <v>11.53</v>
      </c>
      <c r="N181" s="11">
        <v>0</v>
      </c>
      <c r="O181" s="17">
        <f t="shared" si="11"/>
        <v>64.23</v>
      </c>
      <c r="P181" s="17">
        <f t="shared" si="8"/>
        <v>34.589999999999996</v>
      </c>
      <c r="Q181" s="17">
        <f t="shared" si="9"/>
        <v>29.640000000000008</v>
      </c>
      <c r="R181" s="24">
        <f t="shared" si="10"/>
        <v>0.46146660439047182</v>
      </c>
      <c r="S181" t="s">
        <v>83</v>
      </c>
      <c r="T181" t="s">
        <v>60</v>
      </c>
    </row>
    <row r="182" spans="1:20" hidden="1">
      <c r="A182" t="s">
        <v>250</v>
      </c>
      <c r="B182" s="5">
        <v>45461</v>
      </c>
      <c r="C182" s="8">
        <f>YEAR(Tabla2[[#This Row],[fecha]])</f>
        <v>2024</v>
      </c>
      <c r="D182" s="8">
        <f>MONTH(Tabla2[[#This Row],[fecha]])</f>
        <v>6</v>
      </c>
      <c r="E182" s="8" t="str">
        <f>TEXT(Tabla2[[#This Row],[fecha]], "mmmm")</f>
        <v>junio</v>
      </c>
      <c r="F182" s="8" t="str">
        <f>"T"&amp;ROUNDUP(Tabla2[[#This Row],[mes]]/3,0)</f>
        <v>T2</v>
      </c>
      <c r="G182" t="s">
        <v>36</v>
      </c>
      <c r="H182" t="s">
        <v>37</v>
      </c>
      <c r="I182" s="8" t="str">
        <f>IF(Tabla2[[#This Row],[precio_unitario]]&lt;=30,"Económico",IF(Tabla2[[#This Row],[precio_unitario]]&lt;=58.49,"Accesible","Caro"))</f>
        <v>Económico</v>
      </c>
      <c r="J182" t="s">
        <v>35</v>
      </c>
      <c r="K182">
        <v>1</v>
      </c>
      <c r="L182" s="19">
        <v>14.45</v>
      </c>
      <c r="M182" s="19">
        <v>9.4700000000000006</v>
      </c>
      <c r="N182" s="11">
        <v>0</v>
      </c>
      <c r="O182" s="17">
        <f t="shared" si="11"/>
        <v>14.45</v>
      </c>
      <c r="P182" s="17">
        <f t="shared" si="8"/>
        <v>9.4700000000000006</v>
      </c>
      <c r="Q182" s="17">
        <f t="shared" si="9"/>
        <v>4.9799999999999986</v>
      </c>
      <c r="R182" s="24">
        <f t="shared" si="10"/>
        <v>0.34463667820069199</v>
      </c>
      <c r="S182" s="10" t="s">
        <v>2377</v>
      </c>
      <c r="T182" t="s">
        <v>60</v>
      </c>
    </row>
    <row r="183" spans="1:20" hidden="1">
      <c r="A183" t="s">
        <v>251</v>
      </c>
      <c r="B183" s="5">
        <v>45680</v>
      </c>
      <c r="C183" s="8">
        <f>YEAR(Tabla2[[#This Row],[fecha]])</f>
        <v>2025</v>
      </c>
      <c r="D183" s="8">
        <f>MONTH(Tabla2[[#This Row],[fecha]])</f>
        <v>1</v>
      </c>
      <c r="E183" s="8" t="str">
        <f>TEXT(Tabla2[[#This Row],[fecha]], "mmmm")</f>
        <v>enero</v>
      </c>
      <c r="F183" s="8" t="str">
        <f>"T"&amp;ROUNDUP(Tabla2[[#This Row],[mes]]/3,0)</f>
        <v>T1</v>
      </c>
      <c r="G183" t="s">
        <v>22</v>
      </c>
      <c r="H183" t="s">
        <v>23</v>
      </c>
      <c r="I183" s="8" t="str">
        <f>IF(Tabla2[[#This Row],[precio_unitario]]&lt;=30,"Económico",IF(Tabla2[[#This Row],[precio_unitario]]&lt;=58.49,"Accesible","Caro"))</f>
        <v>Caro</v>
      </c>
      <c r="J183" t="s">
        <v>17</v>
      </c>
      <c r="K183">
        <v>1</v>
      </c>
      <c r="L183" s="19">
        <v>98.42</v>
      </c>
      <c r="M183" s="19">
        <v>58.61</v>
      </c>
      <c r="N183" s="11">
        <v>0</v>
      </c>
      <c r="O183" s="17">
        <f t="shared" si="11"/>
        <v>98.42</v>
      </c>
      <c r="P183" s="17">
        <f t="shared" si="8"/>
        <v>58.61</v>
      </c>
      <c r="Q183" s="17">
        <f t="shared" si="9"/>
        <v>39.81</v>
      </c>
      <c r="R183" s="24">
        <f t="shared" si="10"/>
        <v>0.40449095712253608</v>
      </c>
      <c r="S183" t="s">
        <v>83</v>
      </c>
      <c r="T183" t="s">
        <v>64</v>
      </c>
    </row>
    <row r="184" spans="1:20" hidden="1">
      <c r="A184" t="s">
        <v>252</v>
      </c>
      <c r="B184" s="5">
        <v>45473</v>
      </c>
      <c r="C184" s="8">
        <f>YEAR(Tabla2[[#This Row],[fecha]])</f>
        <v>2024</v>
      </c>
      <c r="D184" s="8">
        <f>MONTH(Tabla2[[#This Row],[fecha]])</f>
        <v>6</v>
      </c>
      <c r="E184" s="8" t="str">
        <f>TEXT(Tabla2[[#This Row],[fecha]], "mmmm")</f>
        <v>junio</v>
      </c>
      <c r="F184" s="8" t="str">
        <f>"T"&amp;ROUNDUP(Tabla2[[#This Row],[mes]]/3,0)</f>
        <v>T2</v>
      </c>
      <c r="G184" t="s">
        <v>38</v>
      </c>
      <c r="H184" t="s">
        <v>39</v>
      </c>
      <c r="I184" s="8" t="str">
        <f>IF(Tabla2[[#This Row],[precio_unitario]]&lt;=30,"Económico",IF(Tabla2[[#This Row],[precio_unitario]]&lt;=58.49,"Accesible","Caro"))</f>
        <v>Caro</v>
      </c>
      <c r="J184" t="s">
        <v>35</v>
      </c>
      <c r="K184">
        <v>3</v>
      </c>
      <c r="L184" s="19">
        <v>82</v>
      </c>
      <c r="M184" s="21">
        <f>INDEX(Tabla3[coste_objetivo], MATCH(Tabla2[[#This Row],[id_producto]], Tabla3[id_producto],0))</f>
        <v>42.79</v>
      </c>
      <c r="N184" s="11">
        <v>0</v>
      </c>
      <c r="O184" s="17">
        <f t="shared" si="11"/>
        <v>246</v>
      </c>
      <c r="P184" s="17">
        <f t="shared" si="8"/>
        <v>128.37</v>
      </c>
      <c r="Q184" s="17">
        <f t="shared" si="9"/>
        <v>117.63</v>
      </c>
      <c r="R184" s="24">
        <f t="shared" si="10"/>
        <v>0.47817073170731705</v>
      </c>
      <c r="S184" t="s">
        <v>101</v>
      </c>
      <c r="T184" t="s">
        <v>64</v>
      </c>
    </row>
    <row r="185" spans="1:20" hidden="1">
      <c r="A185" t="s">
        <v>253</v>
      </c>
      <c r="B185" s="5">
        <v>45682</v>
      </c>
      <c r="C185" s="8">
        <f>YEAR(Tabla2[[#This Row],[fecha]])</f>
        <v>2025</v>
      </c>
      <c r="D185" s="8">
        <f>MONTH(Tabla2[[#This Row],[fecha]])</f>
        <v>1</v>
      </c>
      <c r="E185" s="8" t="str">
        <f>TEXT(Tabla2[[#This Row],[fecha]], "mmmm")</f>
        <v>enero</v>
      </c>
      <c r="F185" s="8" t="str">
        <f>"T"&amp;ROUNDUP(Tabla2[[#This Row],[mes]]/3,0)</f>
        <v>T1</v>
      </c>
      <c r="G185" t="s">
        <v>9</v>
      </c>
      <c r="H185" t="s">
        <v>10</v>
      </c>
      <c r="I185" s="8" t="str">
        <f>IF(Tabla2[[#This Row],[precio_unitario]]&lt;=30,"Económico",IF(Tabla2[[#This Row],[precio_unitario]]&lt;=58.49,"Accesible","Caro"))</f>
        <v>Caro</v>
      </c>
      <c r="J185" t="s">
        <v>8</v>
      </c>
      <c r="K185">
        <v>4</v>
      </c>
      <c r="L185" s="19">
        <v>69.89</v>
      </c>
      <c r="M185" s="19">
        <v>48.22</v>
      </c>
      <c r="N185" s="11">
        <v>0</v>
      </c>
      <c r="O185" s="17">
        <f t="shared" si="11"/>
        <v>279.56</v>
      </c>
      <c r="P185" s="17">
        <f t="shared" si="8"/>
        <v>192.88</v>
      </c>
      <c r="Q185" s="17">
        <f t="shared" si="9"/>
        <v>86.68</v>
      </c>
      <c r="R185" s="24">
        <f t="shared" si="10"/>
        <v>0.310058663614251</v>
      </c>
      <c r="S185" t="s">
        <v>96</v>
      </c>
      <c r="T185" t="s">
        <v>60</v>
      </c>
    </row>
    <row r="186" spans="1:20" hidden="1">
      <c r="A186" t="s">
        <v>254</v>
      </c>
      <c r="B186" s="5">
        <v>45947</v>
      </c>
      <c r="C186" s="8">
        <f>YEAR(Tabla2[[#This Row],[fecha]])</f>
        <v>2025</v>
      </c>
      <c r="D186" s="8">
        <f>MONTH(Tabla2[[#This Row],[fecha]])</f>
        <v>10</v>
      </c>
      <c r="E186" s="8" t="str">
        <f>TEXT(Tabla2[[#This Row],[fecha]], "mmmm")</f>
        <v>octubre</v>
      </c>
      <c r="F186" s="8" t="str">
        <f>"T"&amp;ROUNDUP(Tabla2[[#This Row],[mes]]/3,0)</f>
        <v>T4</v>
      </c>
      <c r="G186" t="s">
        <v>49</v>
      </c>
      <c r="H186" t="s">
        <v>50</v>
      </c>
      <c r="I186" s="8" t="str">
        <f>IF(Tabla2[[#This Row],[precio_unitario]]&lt;=30,"Económico",IF(Tabla2[[#This Row],[precio_unitario]]&lt;=58.49,"Accesible","Caro"))</f>
        <v>Accesible</v>
      </c>
      <c r="J186" t="s">
        <v>44</v>
      </c>
      <c r="K186">
        <v>9</v>
      </c>
      <c r="L186" s="19">
        <v>56.54</v>
      </c>
      <c r="M186" s="19">
        <v>32.81</v>
      </c>
      <c r="N186" s="11">
        <v>0</v>
      </c>
      <c r="O186" s="17">
        <f t="shared" si="11"/>
        <v>508.86</v>
      </c>
      <c r="P186" s="17">
        <f t="shared" si="8"/>
        <v>295.29000000000002</v>
      </c>
      <c r="Q186" s="17">
        <f t="shared" si="9"/>
        <v>213.57</v>
      </c>
      <c r="R186" s="24">
        <f t="shared" si="10"/>
        <v>0.41970286522815703</v>
      </c>
      <c r="S186" t="s">
        <v>63</v>
      </c>
      <c r="T186" t="s">
        <v>64</v>
      </c>
    </row>
    <row r="187" spans="1:20">
      <c r="A187" t="s">
        <v>255</v>
      </c>
      <c r="B187" s="5">
        <v>45906</v>
      </c>
      <c r="C187" s="8">
        <f>YEAR(Tabla2[[#This Row],[fecha]])</f>
        <v>2025</v>
      </c>
      <c r="D187" s="8">
        <f>MONTH(Tabla2[[#This Row],[fecha]])</f>
        <v>9</v>
      </c>
      <c r="E187" s="8" t="str">
        <f>TEXT(Tabla2[[#This Row],[fecha]], "mmmm")</f>
        <v>septiembre</v>
      </c>
      <c r="F187" s="8" t="str">
        <f>"T"&amp;ROUNDUP(Tabla2[[#This Row],[mes]]/3,0)</f>
        <v>T3</v>
      </c>
      <c r="G187" t="s">
        <v>24</v>
      </c>
      <c r="H187" t="s">
        <v>25</v>
      </c>
      <c r="I187" s="8" t="str">
        <f>IF(Tabla2[[#This Row],[precio_unitario]]&lt;=30,"Económico",IF(Tabla2[[#This Row],[precio_unitario]]&lt;=58.49,"Accesible","Caro"))</f>
        <v>Económico</v>
      </c>
      <c r="J187" t="s">
        <v>26</v>
      </c>
      <c r="K187">
        <v>1</v>
      </c>
      <c r="L187" s="19">
        <v>7.38</v>
      </c>
      <c r="M187" s="19">
        <v>4.4000000000000004</v>
      </c>
      <c r="N187" s="11">
        <v>0.08</v>
      </c>
      <c r="O187" s="17">
        <f t="shared" si="11"/>
        <v>6.7896000000000001</v>
      </c>
      <c r="P187" s="17">
        <f t="shared" si="8"/>
        <v>4.4000000000000004</v>
      </c>
      <c r="Q187" s="17">
        <f t="shared" si="9"/>
        <v>2.3895999999999997</v>
      </c>
      <c r="R187" s="24">
        <f t="shared" si="10"/>
        <v>0.35195004123954277</v>
      </c>
      <c r="S187" t="s">
        <v>67</v>
      </c>
      <c r="T187" t="s">
        <v>64</v>
      </c>
    </row>
    <row r="188" spans="1:20" hidden="1">
      <c r="A188" t="s">
        <v>256</v>
      </c>
      <c r="B188" s="5">
        <v>45847</v>
      </c>
      <c r="C188" s="8">
        <f>YEAR(Tabla2[[#This Row],[fecha]])</f>
        <v>2025</v>
      </c>
      <c r="D188" s="8">
        <f>MONTH(Tabla2[[#This Row],[fecha]])</f>
        <v>7</v>
      </c>
      <c r="E188" s="8" t="str">
        <f>TEXT(Tabla2[[#This Row],[fecha]], "mmmm")</f>
        <v>julio</v>
      </c>
      <c r="F188" s="8" t="str">
        <f>"T"&amp;ROUNDUP(Tabla2[[#This Row],[mes]]/3,0)</f>
        <v>T3</v>
      </c>
      <c r="G188" t="s">
        <v>18</v>
      </c>
      <c r="H188" t="s">
        <v>19</v>
      </c>
      <c r="I188" s="8" t="str">
        <f>IF(Tabla2[[#This Row],[precio_unitario]]&lt;=30,"Económico",IF(Tabla2[[#This Row],[precio_unitario]]&lt;=58.49,"Accesible","Caro"))</f>
        <v>Accesible</v>
      </c>
      <c r="J188" t="s">
        <v>17</v>
      </c>
      <c r="K188">
        <v>4</v>
      </c>
      <c r="L188" s="19">
        <v>47.72</v>
      </c>
      <c r="M188" s="21">
        <f>INDEX(Tabla3[coste_objetivo], MATCH(Tabla2[[#This Row],[id_producto]], Tabla3[id_producto],0))</f>
        <v>26.63</v>
      </c>
      <c r="N188" s="11">
        <v>0</v>
      </c>
      <c r="O188" s="17">
        <f t="shared" si="11"/>
        <v>190.88</v>
      </c>
      <c r="P188" s="17">
        <f t="shared" si="8"/>
        <v>106.52</v>
      </c>
      <c r="Q188" s="17">
        <f t="shared" si="9"/>
        <v>84.36</v>
      </c>
      <c r="R188" s="24">
        <f t="shared" si="10"/>
        <v>0.44195305951383068</v>
      </c>
      <c r="S188" t="s">
        <v>540</v>
      </c>
      <c r="T188" t="s">
        <v>60</v>
      </c>
    </row>
    <row r="189" spans="1:20" hidden="1">
      <c r="A189" t="s">
        <v>257</v>
      </c>
      <c r="B189" s="5">
        <v>45706</v>
      </c>
      <c r="C189" s="8">
        <f>YEAR(Tabla2[[#This Row],[fecha]])</f>
        <v>2025</v>
      </c>
      <c r="D189" s="8">
        <f>MONTH(Tabla2[[#This Row],[fecha]])</f>
        <v>2</v>
      </c>
      <c r="E189" s="8" t="str">
        <f>TEXT(Tabla2[[#This Row],[fecha]], "mmmm")</f>
        <v>febrero</v>
      </c>
      <c r="F189" s="8" t="str">
        <f>"T"&amp;ROUNDUP(Tabla2[[#This Row],[mes]]/3,0)</f>
        <v>T1</v>
      </c>
      <c r="G189" t="s">
        <v>38</v>
      </c>
      <c r="H189" t="s">
        <v>39</v>
      </c>
      <c r="I189" s="8" t="str">
        <f>IF(Tabla2[[#This Row],[precio_unitario]]&lt;=30,"Económico",IF(Tabla2[[#This Row],[precio_unitario]]&lt;=58.49,"Accesible","Caro"))</f>
        <v>Caro</v>
      </c>
      <c r="J189" t="s">
        <v>35</v>
      </c>
      <c r="K189">
        <v>1</v>
      </c>
      <c r="L189" s="19">
        <v>79.66</v>
      </c>
      <c r="M189" s="19">
        <v>42.57</v>
      </c>
      <c r="N189" s="11">
        <v>0.24</v>
      </c>
      <c r="O189" s="17">
        <f t="shared" si="11"/>
        <v>60.541599999999995</v>
      </c>
      <c r="P189" s="17">
        <f t="shared" si="8"/>
        <v>42.57</v>
      </c>
      <c r="Q189" s="17">
        <f t="shared" si="9"/>
        <v>17.971599999999995</v>
      </c>
      <c r="R189" s="24">
        <f t="shared" si="10"/>
        <v>0.29684712660385582</v>
      </c>
      <c r="S189" t="s">
        <v>63</v>
      </c>
      <c r="T189" t="s">
        <v>64</v>
      </c>
    </row>
    <row r="190" spans="1:20" hidden="1">
      <c r="A190" t="s">
        <v>258</v>
      </c>
      <c r="B190" s="5">
        <v>45718</v>
      </c>
      <c r="C190" s="8">
        <f>YEAR(Tabla2[[#This Row],[fecha]])</f>
        <v>2025</v>
      </c>
      <c r="D190" s="8">
        <f>MONTH(Tabla2[[#This Row],[fecha]])</f>
        <v>3</v>
      </c>
      <c r="E190" s="8" t="str">
        <f>TEXT(Tabla2[[#This Row],[fecha]], "mmmm")</f>
        <v>marzo</v>
      </c>
      <c r="F190" s="8" t="str">
        <f>"T"&amp;ROUNDUP(Tabla2[[#This Row],[mes]]/3,0)</f>
        <v>T1</v>
      </c>
      <c r="G190" t="s">
        <v>13</v>
      </c>
      <c r="H190" t="s">
        <v>14</v>
      </c>
      <c r="I190" s="8" t="str">
        <f>IF(Tabla2[[#This Row],[precio_unitario]]&lt;=30,"Económico",IF(Tabla2[[#This Row],[precio_unitario]]&lt;=58.49,"Accesible","Caro"))</f>
        <v>Caro</v>
      </c>
      <c r="J190" t="s">
        <v>8</v>
      </c>
      <c r="K190">
        <v>5</v>
      </c>
      <c r="L190" s="19">
        <v>149.56</v>
      </c>
      <c r="M190" s="21">
        <f>INDEX(Tabla3[coste_objetivo], MATCH(Tabla2[[#This Row],[id_producto]], Tabla3[id_producto],0))</f>
        <v>110.03</v>
      </c>
      <c r="N190" s="11">
        <v>0</v>
      </c>
      <c r="O190" s="17">
        <f t="shared" si="11"/>
        <v>747.8</v>
      </c>
      <c r="P190" s="17">
        <f t="shared" si="8"/>
        <v>550.15</v>
      </c>
      <c r="Q190" s="17">
        <f t="shared" si="9"/>
        <v>197.64999999999998</v>
      </c>
      <c r="R190" s="24">
        <f t="shared" si="10"/>
        <v>0.26430863867344206</v>
      </c>
      <c r="S190" t="s">
        <v>83</v>
      </c>
      <c r="T190" t="s">
        <v>64</v>
      </c>
    </row>
    <row r="191" spans="1:20" hidden="1">
      <c r="A191" t="s">
        <v>259</v>
      </c>
      <c r="B191" s="5">
        <v>45842</v>
      </c>
      <c r="C191" s="8">
        <f>YEAR(Tabla2[[#This Row],[fecha]])</f>
        <v>2025</v>
      </c>
      <c r="D191" s="8">
        <f>MONTH(Tabla2[[#This Row],[fecha]])</f>
        <v>7</v>
      </c>
      <c r="E191" s="8" t="str">
        <f>TEXT(Tabla2[[#This Row],[fecha]], "mmmm")</f>
        <v>julio</v>
      </c>
      <c r="F191" s="8" t="str">
        <f>"T"&amp;ROUNDUP(Tabla2[[#This Row],[mes]]/3,0)</f>
        <v>T3</v>
      </c>
      <c r="G191" t="s">
        <v>27</v>
      </c>
      <c r="H191" t="s">
        <v>28</v>
      </c>
      <c r="I191" s="8" t="str">
        <f>IF(Tabla2[[#This Row],[precio_unitario]]&lt;=30,"Económico",IF(Tabla2[[#This Row],[precio_unitario]]&lt;=58.49,"Accesible","Caro"))</f>
        <v>Económico</v>
      </c>
      <c r="J191" t="s">
        <v>26</v>
      </c>
      <c r="K191">
        <v>4</v>
      </c>
      <c r="L191" s="19">
        <v>15.25</v>
      </c>
      <c r="M191" s="19">
        <v>11.37</v>
      </c>
      <c r="N191" s="11">
        <v>0</v>
      </c>
      <c r="O191" s="17">
        <f t="shared" si="11"/>
        <v>61</v>
      </c>
      <c r="P191" s="17">
        <f t="shared" si="8"/>
        <v>45.48</v>
      </c>
      <c r="Q191" s="17">
        <f t="shared" si="9"/>
        <v>15.520000000000003</v>
      </c>
      <c r="R191" s="24">
        <f t="shared" si="10"/>
        <v>0.25442622950819677</v>
      </c>
      <c r="S191" t="s">
        <v>83</v>
      </c>
      <c r="T191" t="s">
        <v>64</v>
      </c>
    </row>
    <row r="192" spans="1:20" hidden="1">
      <c r="A192" t="s">
        <v>260</v>
      </c>
      <c r="B192" s="5">
        <v>45521</v>
      </c>
      <c r="C192" s="8">
        <f>YEAR(Tabla2[[#This Row],[fecha]])</f>
        <v>2024</v>
      </c>
      <c r="D192" s="8">
        <f>MONTH(Tabla2[[#This Row],[fecha]])</f>
        <v>8</v>
      </c>
      <c r="E192" s="8" t="str">
        <f>TEXT(Tabla2[[#This Row],[fecha]], "mmmm")</f>
        <v>agosto</v>
      </c>
      <c r="F192" s="8" t="str">
        <f>"T"&amp;ROUNDUP(Tabla2[[#This Row],[mes]]/3,0)</f>
        <v>T3</v>
      </c>
      <c r="G192" t="s">
        <v>13</v>
      </c>
      <c r="H192" t="s">
        <v>14</v>
      </c>
      <c r="I192" s="8" t="str">
        <f>IF(Tabla2[[#This Row],[precio_unitario]]&lt;=30,"Económico",IF(Tabla2[[#This Row],[precio_unitario]]&lt;=58.49,"Accesible","Caro"))</f>
        <v>Caro</v>
      </c>
      <c r="J192" t="s">
        <v>8</v>
      </c>
      <c r="K192">
        <v>3</v>
      </c>
      <c r="L192" s="19">
        <v>170.2</v>
      </c>
      <c r="M192" s="19">
        <v>109.77</v>
      </c>
      <c r="N192" s="11">
        <v>0</v>
      </c>
      <c r="O192" s="17">
        <f t="shared" si="11"/>
        <v>510.59999999999997</v>
      </c>
      <c r="P192" s="17">
        <f t="shared" si="8"/>
        <v>329.31</v>
      </c>
      <c r="Q192" s="17">
        <f t="shared" si="9"/>
        <v>181.28999999999996</v>
      </c>
      <c r="R192" s="24">
        <f t="shared" si="10"/>
        <v>0.35505287896592241</v>
      </c>
      <c r="S192" t="s">
        <v>63</v>
      </c>
      <c r="T192" t="s">
        <v>60</v>
      </c>
    </row>
    <row r="193" spans="1:20">
      <c r="A193" t="s">
        <v>261</v>
      </c>
      <c r="B193" s="5">
        <v>45804</v>
      </c>
      <c r="C193" s="8">
        <f>YEAR(Tabla2[[#This Row],[fecha]])</f>
        <v>2025</v>
      </c>
      <c r="D193" s="8">
        <f>MONTH(Tabla2[[#This Row],[fecha]])</f>
        <v>5</v>
      </c>
      <c r="E193" s="8" t="str">
        <f>TEXT(Tabla2[[#This Row],[fecha]], "mmmm")</f>
        <v>mayo</v>
      </c>
      <c r="F193" s="8" t="str">
        <f>"T"&amp;ROUNDUP(Tabla2[[#This Row],[mes]]/3,0)</f>
        <v>T2</v>
      </c>
      <c r="G193" t="s">
        <v>40</v>
      </c>
      <c r="H193" t="s">
        <v>41</v>
      </c>
      <c r="I193" s="8" t="str">
        <f>IF(Tabla2[[#This Row],[precio_unitario]]&lt;=30,"Económico",IF(Tabla2[[#This Row],[precio_unitario]]&lt;=58.49,"Accesible","Caro"))</f>
        <v>Caro</v>
      </c>
      <c r="J193" t="s">
        <v>35</v>
      </c>
      <c r="K193">
        <v>3</v>
      </c>
      <c r="L193" s="19">
        <v>76.48</v>
      </c>
      <c r="M193" s="19">
        <v>40.299999999999997</v>
      </c>
      <c r="N193" s="13">
        <v>0</v>
      </c>
      <c r="O193" s="17">
        <f t="shared" si="11"/>
        <v>229.44</v>
      </c>
      <c r="P193" s="17">
        <f t="shared" si="8"/>
        <v>120.89999999999999</v>
      </c>
      <c r="Q193" s="17">
        <f t="shared" si="9"/>
        <v>108.54</v>
      </c>
      <c r="R193" s="24">
        <f t="shared" si="10"/>
        <v>0.47306485355648537</v>
      </c>
      <c r="S193" t="s">
        <v>67</v>
      </c>
      <c r="T193" t="s">
        <v>60</v>
      </c>
    </row>
    <row r="194" spans="1:20" hidden="1">
      <c r="A194" t="s">
        <v>262</v>
      </c>
      <c r="B194" s="5">
        <v>45885</v>
      </c>
      <c r="C194" s="8">
        <f>YEAR(Tabla2[[#This Row],[fecha]])</f>
        <v>2025</v>
      </c>
      <c r="D194" s="8">
        <f>MONTH(Tabla2[[#This Row],[fecha]])</f>
        <v>8</v>
      </c>
      <c r="E194" s="8" t="str">
        <f>TEXT(Tabla2[[#This Row],[fecha]], "mmmm")</f>
        <v>agosto</v>
      </c>
      <c r="F194" s="8" t="str">
        <f>"T"&amp;ROUNDUP(Tabla2[[#This Row],[mes]]/3,0)</f>
        <v>T3</v>
      </c>
      <c r="G194" t="s">
        <v>36</v>
      </c>
      <c r="H194" t="s">
        <v>37</v>
      </c>
      <c r="I194" s="8" t="str">
        <f>IF(Tabla2[[#This Row],[precio_unitario]]&lt;=30,"Económico",IF(Tabla2[[#This Row],[precio_unitario]]&lt;=58.49,"Accesible","Caro"))</f>
        <v>Económico</v>
      </c>
      <c r="J194" t="s">
        <v>35</v>
      </c>
      <c r="K194">
        <v>2</v>
      </c>
      <c r="L194" s="19">
        <v>14.87</v>
      </c>
      <c r="M194" s="19">
        <v>9.49</v>
      </c>
      <c r="N194" s="11">
        <v>0</v>
      </c>
      <c r="O194" s="17">
        <f t="shared" si="11"/>
        <v>29.74</v>
      </c>
      <c r="P194" s="17">
        <f t="shared" ref="P194:P257" si="12">M194*K194</f>
        <v>18.98</v>
      </c>
      <c r="Q194" s="17">
        <f t="shared" ref="Q194:Q257" si="13">O194-P194</f>
        <v>10.759999999999998</v>
      </c>
      <c r="R194" s="24">
        <f t="shared" ref="R194:R257" si="14">IFERROR(Q194/O194,0)</f>
        <v>0.36180228648285134</v>
      </c>
      <c r="S194" t="s">
        <v>96</v>
      </c>
      <c r="T194" t="s">
        <v>64</v>
      </c>
    </row>
    <row r="195" spans="1:20" hidden="1">
      <c r="A195" t="s">
        <v>263</v>
      </c>
      <c r="B195" s="5">
        <v>45779</v>
      </c>
      <c r="C195" s="8">
        <f>YEAR(Tabla2[[#This Row],[fecha]])</f>
        <v>2025</v>
      </c>
      <c r="D195" s="8">
        <f>MONTH(Tabla2[[#This Row],[fecha]])</f>
        <v>5</v>
      </c>
      <c r="E195" s="8" t="str">
        <f>TEXT(Tabla2[[#This Row],[fecha]], "mmmm")</f>
        <v>mayo</v>
      </c>
      <c r="F195" s="8" t="str">
        <f>"T"&amp;ROUNDUP(Tabla2[[#This Row],[mes]]/3,0)</f>
        <v>T2</v>
      </c>
      <c r="G195" t="s">
        <v>13</v>
      </c>
      <c r="H195" t="s">
        <v>14</v>
      </c>
      <c r="I195" s="8" t="str">
        <f>IF(Tabla2[[#This Row],[precio_unitario]]&lt;=30,"Económico",IF(Tabla2[[#This Row],[precio_unitario]]&lt;=58.49,"Accesible","Caro"))</f>
        <v>Caro</v>
      </c>
      <c r="J195" t="s">
        <v>8</v>
      </c>
      <c r="K195">
        <v>8</v>
      </c>
      <c r="L195" s="19">
        <v>148.88</v>
      </c>
      <c r="M195" s="19">
        <v>109.77</v>
      </c>
      <c r="N195" s="11">
        <v>0</v>
      </c>
      <c r="O195" s="17">
        <f t="shared" ref="O195:O258" si="15">K195*L195*(1-N195)</f>
        <v>1191.04</v>
      </c>
      <c r="P195" s="17">
        <f t="shared" si="12"/>
        <v>878.16</v>
      </c>
      <c r="Q195" s="17">
        <f t="shared" si="13"/>
        <v>312.88</v>
      </c>
      <c r="R195" s="24">
        <f t="shared" si="14"/>
        <v>0.26269478774852228</v>
      </c>
      <c r="S195" t="s">
        <v>540</v>
      </c>
      <c r="T195" t="s">
        <v>60</v>
      </c>
    </row>
    <row r="196" spans="1:20" hidden="1">
      <c r="A196" t="s">
        <v>264</v>
      </c>
      <c r="B196" s="5">
        <v>45630</v>
      </c>
      <c r="C196" s="8">
        <f>YEAR(Tabla2[[#This Row],[fecha]])</f>
        <v>2024</v>
      </c>
      <c r="D196" s="8">
        <f>MONTH(Tabla2[[#This Row],[fecha]])</f>
        <v>12</v>
      </c>
      <c r="E196" s="8" t="str">
        <f>TEXT(Tabla2[[#This Row],[fecha]], "mmmm")</f>
        <v>diciembre</v>
      </c>
      <c r="F196" s="8" t="str">
        <f>"T"&amp;ROUNDUP(Tabla2[[#This Row],[mes]]/3,0)</f>
        <v>T4</v>
      </c>
      <c r="G196" t="s">
        <v>20</v>
      </c>
      <c r="H196" t="s">
        <v>21</v>
      </c>
      <c r="I196" s="8" t="str">
        <f>IF(Tabla2[[#This Row],[precio_unitario]]&lt;=30,"Económico",IF(Tabla2[[#This Row],[precio_unitario]]&lt;=58.49,"Accesible","Caro"))</f>
        <v>Económico</v>
      </c>
      <c r="J196" t="s">
        <v>17</v>
      </c>
      <c r="K196">
        <v>3</v>
      </c>
      <c r="L196" s="19">
        <v>18.37</v>
      </c>
      <c r="M196" s="19">
        <v>12.43</v>
      </c>
      <c r="N196" s="11">
        <v>0.17</v>
      </c>
      <c r="O196" s="17">
        <f t="shared" si="15"/>
        <v>45.741299999999995</v>
      </c>
      <c r="P196" s="17">
        <f t="shared" si="12"/>
        <v>37.29</v>
      </c>
      <c r="Q196" s="17">
        <f t="shared" si="13"/>
        <v>8.4512999999999963</v>
      </c>
      <c r="R196" s="24">
        <f t="shared" si="14"/>
        <v>0.18476300411225735</v>
      </c>
      <c r="S196" t="s">
        <v>96</v>
      </c>
      <c r="T196" t="s">
        <v>265</v>
      </c>
    </row>
    <row r="197" spans="1:20" hidden="1">
      <c r="A197" t="s">
        <v>266</v>
      </c>
      <c r="B197" s="5">
        <v>45739</v>
      </c>
      <c r="C197" s="8">
        <f>YEAR(Tabla2[[#This Row],[fecha]])</f>
        <v>2025</v>
      </c>
      <c r="D197" s="8">
        <f>MONTH(Tabla2[[#This Row],[fecha]])</f>
        <v>3</v>
      </c>
      <c r="E197" s="8" t="str">
        <f>TEXT(Tabla2[[#This Row],[fecha]], "mmmm")</f>
        <v>marzo</v>
      </c>
      <c r="F197" s="8" t="str">
        <f>"T"&amp;ROUNDUP(Tabla2[[#This Row],[mes]]/3,0)</f>
        <v>T1</v>
      </c>
      <c r="G197" t="s">
        <v>45</v>
      </c>
      <c r="H197" t="s">
        <v>46</v>
      </c>
      <c r="I197" s="8" t="str">
        <f>IF(Tabla2[[#This Row],[precio_unitario]]&lt;=30,"Económico",IF(Tabla2[[#This Row],[precio_unitario]]&lt;=58.49,"Accesible","Caro"))</f>
        <v>Accesible</v>
      </c>
      <c r="J197" t="s">
        <v>44</v>
      </c>
      <c r="K197">
        <v>5</v>
      </c>
      <c r="L197" s="19">
        <v>30.31</v>
      </c>
      <c r="M197" s="19">
        <v>16.899999999999999</v>
      </c>
      <c r="N197" s="11">
        <v>0</v>
      </c>
      <c r="O197" s="17">
        <f t="shared" si="15"/>
        <v>151.54999999999998</v>
      </c>
      <c r="P197" s="17">
        <f t="shared" si="12"/>
        <v>84.5</v>
      </c>
      <c r="Q197" s="17">
        <f t="shared" si="13"/>
        <v>67.049999999999983</v>
      </c>
      <c r="R197" s="24">
        <f t="shared" si="14"/>
        <v>0.44242824150445392</v>
      </c>
      <c r="S197" t="s">
        <v>540</v>
      </c>
      <c r="T197" t="s">
        <v>60</v>
      </c>
    </row>
    <row r="198" spans="1:20">
      <c r="A198" t="s">
        <v>267</v>
      </c>
      <c r="B198" s="5">
        <v>45829</v>
      </c>
      <c r="C198" s="8">
        <f>YEAR(Tabla2[[#This Row],[fecha]])</f>
        <v>2025</v>
      </c>
      <c r="D198" s="8">
        <f>MONTH(Tabla2[[#This Row],[fecha]])</f>
        <v>6</v>
      </c>
      <c r="E198" s="8" t="str">
        <f>TEXT(Tabla2[[#This Row],[fecha]], "mmmm")</f>
        <v>junio</v>
      </c>
      <c r="F198" s="8" t="str">
        <f>"T"&amp;ROUNDUP(Tabla2[[#This Row],[mes]]/3,0)</f>
        <v>T2</v>
      </c>
      <c r="G198" t="s">
        <v>47</v>
      </c>
      <c r="H198" t="s">
        <v>48</v>
      </c>
      <c r="I198" s="8" t="str">
        <f>IF(Tabla2[[#This Row],[precio_unitario]]&lt;=30,"Económico",IF(Tabla2[[#This Row],[precio_unitario]]&lt;=58.49,"Accesible","Caro"))</f>
        <v>Caro</v>
      </c>
      <c r="J198" t="s">
        <v>44</v>
      </c>
      <c r="K198">
        <v>1</v>
      </c>
      <c r="L198" s="19">
        <v>62.34</v>
      </c>
      <c r="M198" s="19">
        <v>32.119999999999997</v>
      </c>
      <c r="N198" s="11">
        <v>0</v>
      </c>
      <c r="O198" s="17">
        <f t="shared" si="15"/>
        <v>62.34</v>
      </c>
      <c r="P198" s="17">
        <f t="shared" si="12"/>
        <v>32.119999999999997</v>
      </c>
      <c r="Q198" s="17">
        <f t="shared" si="13"/>
        <v>30.220000000000006</v>
      </c>
      <c r="R198" s="24">
        <f t="shared" si="14"/>
        <v>0.48476098812961188</v>
      </c>
      <c r="S198" t="s">
        <v>67</v>
      </c>
      <c r="T198" t="s">
        <v>64</v>
      </c>
    </row>
    <row r="199" spans="1:20" hidden="1">
      <c r="A199" t="s">
        <v>268</v>
      </c>
      <c r="B199" s="5">
        <v>45513</v>
      </c>
      <c r="C199" s="8">
        <f>YEAR(Tabla2[[#This Row],[fecha]])</f>
        <v>2024</v>
      </c>
      <c r="D199" s="8">
        <f>MONTH(Tabla2[[#This Row],[fecha]])</f>
        <v>8</v>
      </c>
      <c r="E199" s="8" t="str">
        <f>TEXT(Tabla2[[#This Row],[fecha]], "mmmm")</f>
        <v>agosto</v>
      </c>
      <c r="F199" s="8" t="str">
        <f>"T"&amp;ROUNDUP(Tabla2[[#This Row],[mes]]/3,0)</f>
        <v>T3</v>
      </c>
      <c r="G199" t="s">
        <v>11</v>
      </c>
      <c r="H199" t="s">
        <v>12</v>
      </c>
      <c r="I199" s="8" t="str">
        <f>IF(Tabla2[[#This Row],[precio_unitario]]&lt;=30,"Económico",IF(Tabla2[[#This Row],[precio_unitario]]&lt;=58.49,"Accesible","Caro"))</f>
        <v>Caro</v>
      </c>
      <c r="J199" t="s">
        <v>8</v>
      </c>
      <c r="K199">
        <v>8</v>
      </c>
      <c r="L199" s="20">
        <f>INDEX(Tabla3[precio_venta_recomendado], MATCH(Tabla2[[#This Row],[id_producto]], Tabla3[id_producto], 0))</f>
        <v>177.72</v>
      </c>
      <c r="M199" s="19">
        <v>97.21</v>
      </c>
      <c r="N199" s="11">
        <v>0.21</v>
      </c>
      <c r="O199" s="17">
        <f t="shared" si="15"/>
        <v>1123.1904</v>
      </c>
      <c r="P199" s="17">
        <f t="shared" si="12"/>
        <v>777.68</v>
      </c>
      <c r="Q199" s="17">
        <f t="shared" si="13"/>
        <v>345.5104</v>
      </c>
      <c r="R199" s="24">
        <f t="shared" si="14"/>
        <v>0.30761516480197837</v>
      </c>
      <c r="S199" t="s">
        <v>540</v>
      </c>
      <c r="T199" t="s">
        <v>64</v>
      </c>
    </row>
    <row r="200" spans="1:20">
      <c r="A200" t="s">
        <v>269</v>
      </c>
      <c r="B200" s="5">
        <v>45928</v>
      </c>
      <c r="C200" s="8">
        <f>YEAR(Tabla2[[#This Row],[fecha]])</f>
        <v>2025</v>
      </c>
      <c r="D200" s="8">
        <f>MONTH(Tabla2[[#This Row],[fecha]])</f>
        <v>9</v>
      </c>
      <c r="E200" s="8" t="str">
        <f>TEXT(Tabla2[[#This Row],[fecha]], "mmmm")</f>
        <v>septiembre</v>
      </c>
      <c r="F200" s="8" t="str">
        <f>"T"&amp;ROUNDUP(Tabla2[[#This Row],[mes]]/3,0)</f>
        <v>T3</v>
      </c>
      <c r="G200" t="s">
        <v>49</v>
      </c>
      <c r="H200" t="s">
        <v>50</v>
      </c>
      <c r="I200" s="8" t="str">
        <f>IF(Tabla2[[#This Row],[precio_unitario]]&lt;=30,"Económico",IF(Tabla2[[#This Row],[precio_unitario]]&lt;=58.49,"Accesible","Caro"))</f>
        <v>Accesible</v>
      </c>
      <c r="J200" t="s">
        <v>44</v>
      </c>
      <c r="K200">
        <v>1</v>
      </c>
      <c r="L200" s="19">
        <v>55.73</v>
      </c>
      <c r="M200" s="21">
        <f>INDEX(Tabla3[coste_objetivo], MATCH(Tabla2[[#This Row],[id_producto]], Tabla3[id_producto],0))</f>
        <v>33.78</v>
      </c>
      <c r="N200" s="11">
        <v>0</v>
      </c>
      <c r="O200" s="17">
        <f t="shared" si="15"/>
        <v>55.73</v>
      </c>
      <c r="P200" s="17">
        <f t="shared" si="12"/>
        <v>33.78</v>
      </c>
      <c r="Q200" s="17">
        <f t="shared" si="13"/>
        <v>21.949999999999996</v>
      </c>
      <c r="R200" s="24">
        <f t="shared" si="14"/>
        <v>0.39386326933429028</v>
      </c>
      <c r="S200" t="s">
        <v>67</v>
      </c>
      <c r="T200" t="s">
        <v>60</v>
      </c>
    </row>
    <row r="201" spans="1:20" hidden="1">
      <c r="A201" t="s">
        <v>270</v>
      </c>
      <c r="B201" s="5">
        <v>45918</v>
      </c>
      <c r="C201" s="8">
        <f>YEAR(Tabla2[[#This Row],[fecha]])</f>
        <v>2025</v>
      </c>
      <c r="D201" s="8">
        <f>MONTH(Tabla2[[#This Row],[fecha]])</f>
        <v>9</v>
      </c>
      <c r="E201" s="8" t="str">
        <f>TEXT(Tabla2[[#This Row],[fecha]], "mmmm")</f>
        <v>septiembre</v>
      </c>
      <c r="F201" s="8" t="str">
        <f>"T"&amp;ROUNDUP(Tabla2[[#This Row],[mes]]/3,0)</f>
        <v>T3</v>
      </c>
      <c r="G201" t="s">
        <v>29</v>
      </c>
      <c r="H201" t="s">
        <v>30</v>
      </c>
      <c r="I201" s="8" t="str">
        <f>IF(Tabla2[[#This Row],[precio_unitario]]&lt;=30,"Económico",IF(Tabla2[[#This Row],[precio_unitario]]&lt;=58.49,"Accesible","Caro"))</f>
        <v>Económico</v>
      </c>
      <c r="J201" t="s">
        <v>26</v>
      </c>
      <c r="K201">
        <v>2</v>
      </c>
      <c r="L201" s="19">
        <v>20.82</v>
      </c>
      <c r="M201" s="19">
        <v>11.21</v>
      </c>
      <c r="N201" s="11">
        <v>0</v>
      </c>
      <c r="O201" s="17">
        <f t="shared" si="15"/>
        <v>41.64</v>
      </c>
      <c r="P201" s="17">
        <f t="shared" si="12"/>
        <v>22.42</v>
      </c>
      <c r="Q201" s="17">
        <f t="shared" si="13"/>
        <v>19.22</v>
      </c>
      <c r="R201" s="24">
        <f t="shared" si="14"/>
        <v>0.46157540826128718</v>
      </c>
      <c r="S201" t="s">
        <v>540</v>
      </c>
      <c r="T201" t="s">
        <v>64</v>
      </c>
    </row>
    <row r="202" spans="1:20" hidden="1">
      <c r="A202" t="s">
        <v>271</v>
      </c>
      <c r="B202" s="5">
        <v>45843</v>
      </c>
      <c r="C202" s="8">
        <f>YEAR(Tabla2[[#This Row],[fecha]])</f>
        <v>2025</v>
      </c>
      <c r="D202" s="8">
        <f>MONTH(Tabla2[[#This Row],[fecha]])</f>
        <v>7</v>
      </c>
      <c r="E202" s="8" t="str">
        <f>TEXT(Tabla2[[#This Row],[fecha]], "mmmm")</f>
        <v>julio</v>
      </c>
      <c r="F202" s="8" t="str">
        <f>"T"&amp;ROUNDUP(Tabla2[[#This Row],[mes]]/3,0)</f>
        <v>T3</v>
      </c>
      <c r="G202" t="s">
        <v>27</v>
      </c>
      <c r="H202" t="s">
        <v>28</v>
      </c>
      <c r="I202" s="8" t="str">
        <f>IF(Tabla2[[#This Row],[precio_unitario]]&lt;=30,"Económico",IF(Tabla2[[#This Row],[precio_unitario]]&lt;=58.49,"Accesible","Caro"))</f>
        <v>Económico</v>
      </c>
      <c r="J202" t="s">
        <v>26</v>
      </c>
      <c r="K202">
        <v>3</v>
      </c>
      <c r="L202" s="19">
        <v>15.2</v>
      </c>
      <c r="M202" s="19">
        <v>11.82</v>
      </c>
      <c r="N202" s="11">
        <v>0</v>
      </c>
      <c r="O202" s="17">
        <f t="shared" si="15"/>
        <v>45.599999999999994</v>
      </c>
      <c r="P202" s="17">
        <f t="shared" si="12"/>
        <v>35.46</v>
      </c>
      <c r="Q202" s="17">
        <f t="shared" si="13"/>
        <v>10.139999999999993</v>
      </c>
      <c r="R202" s="24">
        <f t="shared" si="14"/>
        <v>0.22236842105263147</v>
      </c>
      <c r="S202" t="s">
        <v>101</v>
      </c>
      <c r="T202" t="s">
        <v>64</v>
      </c>
    </row>
    <row r="203" spans="1:20" hidden="1">
      <c r="A203" t="s">
        <v>272</v>
      </c>
      <c r="B203" s="5">
        <v>45617</v>
      </c>
      <c r="C203" s="8">
        <f>YEAR(Tabla2[[#This Row],[fecha]])</f>
        <v>2024</v>
      </c>
      <c r="D203" s="8">
        <f>MONTH(Tabla2[[#This Row],[fecha]])</f>
        <v>11</v>
      </c>
      <c r="E203" s="8" t="str">
        <f>TEXT(Tabla2[[#This Row],[fecha]], "mmmm")</f>
        <v>noviembre</v>
      </c>
      <c r="F203" s="8" t="str">
        <f>"T"&amp;ROUNDUP(Tabla2[[#This Row],[mes]]/3,0)</f>
        <v>T4</v>
      </c>
      <c r="G203" t="s">
        <v>18</v>
      </c>
      <c r="H203" t="s">
        <v>19</v>
      </c>
      <c r="I203" s="8" t="str">
        <f>IF(Tabla2[[#This Row],[precio_unitario]]&lt;=30,"Económico",IF(Tabla2[[#This Row],[precio_unitario]]&lt;=58.49,"Accesible","Caro"))</f>
        <v>Accesible</v>
      </c>
      <c r="J203" t="s">
        <v>17</v>
      </c>
      <c r="K203">
        <v>1</v>
      </c>
      <c r="L203" s="19">
        <v>50.1</v>
      </c>
      <c r="M203" s="19">
        <v>26.35</v>
      </c>
      <c r="N203" s="11">
        <v>0</v>
      </c>
      <c r="O203" s="17">
        <f t="shared" si="15"/>
        <v>50.1</v>
      </c>
      <c r="P203" s="17">
        <f t="shared" si="12"/>
        <v>26.35</v>
      </c>
      <c r="Q203" s="17">
        <f t="shared" si="13"/>
        <v>23.75</v>
      </c>
      <c r="R203" s="24">
        <f t="shared" si="14"/>
        <v>0.47405189620758481</v>
      </c>
      <c r="S203" t="s">
        <v>63</v>
      </c>
      <c r="T203" t="s">
        <v>64</v>
      </c>
    </row>
    <row r="204" spans="1:20" hidden="1">
      <c r="A204" t="s">
        <v>273</v>
      </c>
      <c r="B204" s="5">
        <v>45432</v>
      </c>
      <c r="C204" s="8">
        <f>YEAR(Tabla2[[#This Row],[fecha]])</f>
        <v>2024</v>
      </c>
      <c r="D204" s="8">
        <f>MONTH(Tabla2[[#This Row],[fecha]])</f>
        <v>5</v>
      </c>
      <c r="E204" s="8" t="str">
        <f>TEXT(Tabla2[[#This Row],[fecha]], "mmmm")</f>
        <v>mayo</v>
      </c>
      <c r="F204" s="8" t="str">
        <f>"T"&amp;ROUNDUP(Tabla2[[#This Row],[mes]]/3,0)</f>
        <v>T2</v>
      </c>
      <c r="G204" t="s">
        <v>33</v>
      </c>
      <c r="H204" t="s">
        <v>34</v>
      </c>
      <c r="I204" s="8" t="str">
        <f>IF(Tabla2[[#This Row],[precio_unitario]]&lt;=30,"Económico",IF(Tabla2[[#This Row],[precio_unitario]]&lt;=58.49,"Accesible","Caro"))</f>
        <v>Caro</v>
      </c>
      <c r="J204" t="s">
        <v>35</v>
      </c>
      <c r="K204">
        <v>1</v>
      </c>
      <c r="L204" s="19">
        <v>73.099999999999994</v>
      </c>
      <c r="M204" s="21">
        <f>INDEX(Tabla3[coste_objetivo], MATCH(Tabla2[[#This Row],[id_producto]], Tabla3[id_producto],0))</f>
        <v>47.62</v>
      </c>
      <c r="N204" s="11">
        <v>0</v>
      </c>
      <c r="O204" s="17">
        <f t="shared" si="15"/>
        <v>73.099999999999994</v>
      </c>
      <c r="P204" s="17">
        <f t="shared" si="12"/>
        <v>47.62</v>
      </c>
      <c r="Q204" s="17">
        <f t="shared" si="13"/>
        <v>25.479999999999997</v>
      </c>
      <c r="R204" s="24">
        <f t="shared" si="14"/>
        <v>0.34856361149110804</v>
      </c>
      <c r="S204" t="s">
        <v>540</v>
      </c>
      <c r="T204" t="s">
        <v>64</v>
      </c>
    </row>
    <row r="205" spans="1:20" hidden="1">
      <c r="A205" t="s">
        <v>274</v>
      </c>
      <c r="B205" s="5">
        <v>45900</v>
      </c>
      <c r="C205" s="8">
        <f>YEAR(Tabla2[[#This Row],[fecha]])</f>
        <v>2025</v>
      </c>
      <c r="D205" s="8">
        <f>MONTH(Tabla2[[#This Row],[fecha]])</f>
        <v>8</v>
      </c>
      <c r="E205" s="8" t="str">
        <f>TEXT(Tabla2[[#This Row],[fecha]], "mmmm")</f>
        <v>agosto</v>
      </c>
      <c r="F205" s="8" t="str">
        <f>"T"&amp;ROUNDUP(Tabla2[[#This Row],[mes]]/3,0)</f>
        <v>T3</v>
      </c>
      <c r="G205" t="s">
        <v>45</v>
      </c>
      <c r="H205" t="s">
        <v>46</v>
      </c>
      <c r="I205" s="8" t="str">
        <f>IF(Tabla2[[#This Row],[precio_unitario]]&lt;=30,"Económico",IF(Tabla2[[#This Row],[precio_unitario]]&lt;=58.49,"Accesible","Caro"))</f>
        <v>Accesible</v>
      </c>
      <c r="J205" t="s">
        <v>44</v>
      </c>
      <c r="K205">
        <v>1</v>
      </c>
      <c r="L205" s="19">
        <v>33.08</v>
      </c>
      <c r="M205" s="19">
        <v>17.79</v>
      </c>
      <c r="N205" s="11">
        <v>0</v>
      </c>
      <c r="O205" s="17">
        <f t="shared" si="15"/>
        <v>33.08</v>
      </c>
      <c r="P205" s="17">
        <f t="shared" si="12"/>
        <v>17.79</v>
      </c>
      <c r="Q205" s="17">
        <f t="shared" si="13"/>
        <v>15.29</v>
      </c>
      <c r="R205" s="24">
        <f t="shared" si="14"/>
        <v>0.46221281741233372</v>
      </c>
      <c r="S205" t="s">
        <v>540</v>
      </c>
      <c r="T205" t="s">
        <v>64</v>
      </c>
    </row>
    <row r="206" spans="1:20">
      <c r="A206" t="s">
        <v>275</v>
      </c>
      <c r="B206" s="5">
        <v>45764</v>
      </c>
      <c r="C206" s="8">
        <f>YEAR(Tabla2[[#This Row],[fecha]])</f>
        <v>2025</v>
      </c>
      <c r="D206" s="8">
        <f>MONTH(Tabla2[[#This Row],[fecha]])</f>
        <v>4</v>
      </c>
      <c r="E206" s="8" t="str">
        <f>TEXT(Tabla2[[#This Row],[fecha]], "mmmm")</f>
        <v>abril</v>
      </c>
      <c r="F206" s="8" t="str">
        <f>"T"&amp;ROUNDUP(Tabla2[[#This Row],[mes]]/3,0)</f>
        <v>T2</v>
      </c>
      <c r="G206" t="s">
        <v>49</v>
      </c>
      <c r="H206" t="s">
        <v>50</v>
      </c>
      <c r="I206" s="8" t="str">
        <f>IF(Tabla2[[#This Row],[precio_unitario]]&lt;=30,"Económico",IF(Tabla2[[#This Row],[precio_unitario]]&lt;=58.49,"Accesible","Caro"))</f>
        <v>Accesible</v>
      </c>
      <c r="J206" t="s">
        <v>44</v>
      </c>
      <c r="K206">
        <v>1</v>
      </c>
      <c r="L206" s="19">
        <v>57.04</v>
      </c>
      <c r="M206" s="19">
        <v>32.46</v>
      </c>
      <c r="N206" s="11">
        <v>0</v>
      </c>
      <c r="O206" s="17">
        <f t="shared" si="15"/>
        <v>57.04</v>
      </c>
      <c r="P206" s="17">
        <f t="shared" si="12"/>
        <v>32.46</v>
      </c>
      <c r="Q206" s="17">
        <f t="shared" si="13"/>
        <v>24.58</v>
      </c>
      <c r="R206" s="24">
        <f t="shared" si="14"/>
        <v>0.43092566619915845</v>
      </c>
      <c r="S206" t="s">
        <v>67</v>
      </c>
      <c r="T206" t="s">
        <v>64</v>
      </c>
    </row>
    <row r="207" spans="1:20" hidden="1">
      <c r="A207" t="s">
        <v>276</v>
      </c>
      <c r="B207" s="5">
        <v>45685</v>
      </c>
      <c r="C207" s="8">
        <f>YEAR(Tabla2[[#This Row],[fecha]])</f>
        <v>2025</v>
      </c>
      <c r="D207" s="8">
        <f>MONTH(Tabla2[[#This Row],[fecha]])</f>
        <v>1</v>
      </c>
      <c r="E207" s="8" t="str">
        <f>TEXT(Tabla2[[#This Row],[fecha]], "mmmm")</f>
        <v>enero</v>
      </c>
      <c r="F207" s="8" t="str">
        <f>"T"&amp;ROUNDUP(Tabla2[[#This Row],[mes]]/3,0)</f>
        <v>T1</v>
      </c>
      <c r="G207" t="s">
        <v>15</v>
      </c>
      <c r="H207" t="s">
        <v>16</v>
      </c>
      <c r="I207" s="8" t="str">
        <f>IF(Tabla2[[#This Row],[precio_unitario]]&lt;=30,"Económico",IF(Tabla2[[#This Row],[precio_unitario]]&lt;=58.49,"Accesible","Caro"))</f>
        <v>Accesible</v>
      </c>
      <c r="J207" t="s">
        <v>17</v>
      </c>
      <c r="K207">
        <v>1</v>
      </c>
      <c r="L207" s="19">
        <v>56.85</v>
      </c>
      <c r="M207" s="19">
        <v>41.88</v>
      </c>
      <c r="N207" s="11">
        <v>0</v>
      </c>
      <c r="O207" s="17">
        <f t="shared" si="15"/>
        <v>56.85</v>
      </c>
      <c r="P207" s="17">
        <f t="shared" si="12"/>
        <v>41.88</v>
      </c>
      <c r="Q207" s="17">
        <f t="shared" si="13"/>
        <v>14.969999999999999</v>
      </c>
      <c r="R207" s="24">
        <f t="shared" si="14"/>
        <v>0.26332453825857516</v>
      </c>
      <c r="S207" t="s">
        <v>96</v>
      </c>
      <c r="T207" t="s">
        <v>64</v>
      </c>
    </row>
    <row r="208" spans="1:20" hidden="1">
      <c r="A208" t="s">
        <v>277</v>
      </c>
      <c r="B208" s="5">
        <v>45634</v>
      </c>
      <c r="C208" s="8">
        <f>YEAR(Tabla2[[#This Row],[fecha]])</f>
        <v>2024</v>
      </c>
      <c r="D208" s="8">
        <f>MONTH(Tabla2[[#This Row],[fecha]])</f>
        <v>12</v>
      </c>
      <c r="E208" s="8" t="str">
        <f>TEXT(Tabla2[[#This Row],[fecha]], "mmmm")</f>
        <v>diciembre</v>
      </c>
      <c r="F208" s="8" t="str">
        <f>"T"&amp;ROUNDUP(Tabla2[[#This Row],[mes]]/3,0)</f>
        <v>T4</v>
      </c>
      <c r="G208" t="s">
        <v>45</v>
      </c>
      <c r="H208" t="s">
        <v>46</v>
      </c>
      <c r="I208" s="8" t="str">
        <f>IF(Tabla2[[#This Row],[precio_unitario]]&lt;=30,"Económico",IF(Tabla2[[#This Row],[precio_unitario]]&lt;=58.49,"Accesible","Caro"))</f>
        <v>Accesible</v>
      </c>
      <c r="J208" t="s">
        <v>44</v>
      </c>
      <c r="K208">
        <v>4</v>
      </c>
      <c r="L208" s="19">
        <v>31.31</v>
      </c>
      <c r="M208" s="19">
        <v>17.170000000000002</v>
      </c>
      <c r="N208" s="11">
        <v>0</v>
      </c>
      <c r="O208" s="17">
        <f t="shared" si="15"/>
        <v>125.24</v>
      </c>
      <c r="P208" s="17">
        <f t="shared" si="12"/>
        <v>68.680000000000007</v>
      </c>
      <c r="Q208" s="17">
        <f t="shared" si="13"/>
        <v>56.559999999999988</v>
      </c>
      <c r="R208" s="24">
        <f t="shared" si="14"/>
        <v>0.45161290322580638</v>
      </c>
      <c r="S208" t="s">
        <v>63</v>
      </c>
      <c r="T208" t="s">
        <v>64</v>
      </c>
    </row>
    <row r="209" spans="1:20" hidden="1">
      <c r="A209" t="s">
        <v>278</v>
      </c>
      <c r="B209" s="5">
        <v>45574</v>
      </c>
      <c r="C209" s="8">
        <f>YEAR(Tabla2[[#This Row],[fecha]])</f>
        <v>2024</v>
      </c>
      <c r="D209" s="8">
        <f>MONTH(Tabla2[[#This Row],[fecha]])</f>
        <v>10</v>
      </c>
      <c r="E209" s="8" t="str">
        <f>TEXT(Tabla2[[#This Row],[fecha]], "mmmm")</f>
        <v>octubre</v>
      </c>
      <c r="F209" s="8" t="str">
        <f>"T"&amp;ROUNDUP(Tabla2[[#This Row],[mes]]/3,0)</f>
        <v>T4</v>
      </c>
      <c r="G209" t="s">
        <v>22</v>
      </c>
      <c r="H209" t="s">
        <v>23</v>
      </c>
      <c r="I209" s="8" t="str">
        <f>IF(Tabla2[[#This Row],[precio_unitario]]&lt;=30,"Económico",IF(Tabla2[[#This Row],[precio_unitario]]&lt;=58.49,"Accesible","Caro"))</f>
        <v>Caro</v>
      </c>
      <c r="J209" t="s">
        <v>17</v>
      </c>
      <c r="K209">
        <v>5</v>
      </c>
      <c r="L209" s="19">
        <v>105.45</v>
      </c>
      <c r="M209" s="19">
        <v>55.78</v>
      </c>
      <c r="N209" s="11">
        <v>0.12</v>
      </c>
      <c r="O209" s="17">
        <f t="shared" si="15"/>
        <v>463.98</v>
      </c>
      <c r="P209" s="17">
        <f t="shared" si="12"/>
        <v>278.89999999999998</v>
      </c>
      <c r="Q209" s="17">
        <f t="shared" si="13"/>
        <v>185.08000000000004</v>
      </c>
      <c r="R209" s="24">
        <f t="shared" si="14"/>
        <v>0.3988965041596621</v>
      </c>
      <c r="S209" t="s">
        <v>67</v>
      </c>
      <c r="T209" t="s">
        <v>60</v>
      </c>
    </row>
    <row r="210" spans="1:20">
      <c r="A210" t="s">
        <v>279</v>
      </c>
      <c r="B210" s="5">
        <v>45785</v>
      </c>
      <c r="C210" s="8">
        <f>YEAR(Tabla2[[#This Row],[fecha]])</f>
        <v>2025</v>
      </c>
      <c r="D210" s="8">
        <f>MONTH(Tabla2[[#This Row],[fecha]])</f>
        <v>5</v>
      </c>
      <c r="E210" s="8" t="str">
        <f>TEXT(Tabla2[[#This Row],[fecha]], "mmmm")</f>
        <v>mayo</v>
      </c>
      <c r="F210" s="8" t="str">
        <f>"T"&amp;ROUNDUP(Tabla2[[#This Row],[mes]]/3,0)</f>
        <v>T2</v>
      </c>
      <c r="G210" t="s">
        <v>9</v>
      </c>
      <c r="H210" t="s">
        <v>10</v>
      </c>
      <c r="I210" s="8" t="str">
        <f>IF(Tabla2[[#This Row],[precio_unitario]]&lt;=30,"Económico",IF(Tabla2[[#This Row],[precio_unitario]]&lt;=58.49,"Accesible","Caro"))</f>
        <v>Caro</v>
      </c>
      <c r="J210" t="s">
        <v>8</v>
      </c>
      <c r="K210">
        <v>11</v>
      </c>
      <c r="L210" s="19">
        <v>74.680000000000007</v>
      </c>
      <c r="M210" s="19">
        <v>46.17</v>
      </c>
      <c r="N210" s="11">
        <v>0.24</v>
      </c>
      <c r="O210" s="17">
        <f t="shared" si="15"/>
        <v>624.32479999999998</v>
      </c>
      <c r="P210" s="17">
        <f t="shared" si="12"/>
        <v>507.87</v>
      </c>
      <c r="Q210" s="17">
        <f t="shared" si="13"/>
        <v>116.45479999999998</v>
      </c>
      <c r="R210" s="24">
        <f t="shared" si="14"/>
        <v>0.18652919121585429</v>
      </c>
      <c r="S210" t="s">
        <v>67</v>
      </c>
      <c r="T210" t="s">
        <v>60</v>
      </c>
    </row>
    <row r="211" spans="1:20" hidden="1">
      <c r="A211" t="s">
        <v>280</v>
      </c>
      <c r="B211" s="5">
        <v>45529</v>
      </c>
      <c r="C211" s="8">
        <f>YEAR(Tabla2[[#This Row],[fecha]])</f>
        <v>2024</v>
      </c>
      <c r="D211" s="8">
        <f>MONTH(Tabla2[[#This Row],[fecha]])</f>
        <v>8</v>
      </c>
      <c r="E211" s="8" t="str">
        <f>TEXT(Tabla2[[#This Row],[fecha]], "mmmm")</f>
        <v>agosto</v>
      </c>
      <c r="F211" s="8" t="str">
        <f>"T"&amp;ROUNDUP(Tabla2[[#This Row],[mes]]/3,0)</f>
        <v>T3</v>
      </c>
      <c r="G211" t="s">
        <v>40</v>
      </c>
      <c r="H211" t="s">
        <v>41</v>
      </c>
      <c r="I211" s="8" t="str">
        <f>IF(Tabla2[[#This Row],[precio_unitario]]&lt;=30,"Económico",IF(Tabla2[[#This Row],[precio_unitario]]&lt;=58.49,"Accesible","Caro"))</f>
        <v>Caro</v>
      </c>
      <c r="J211" t="s">
        <v>35</v>
      </c>
      <c r="K211">
        <v>2</v>
      </c>
      <c r="L211" s="19">
        <v>73.36</v>
      </c>
      <c r="M211" s="19">
        <v>42.62</v>
      </c>
      <c r="N211" s="11">
        <v>0</v>
      </c>
      <c r="O211" s="17">
        <f t="shared" si="15"/>
        <v>146.72</v>
      </c>
      <c r="P211" s="17">
        <f t="shared" si="12"/>
        <v>85.24</v>
      </c>
      <c r="Q211" s="17">
        <f t="shared" si="13"/>
        <v>61.480000000000004</v>
      </c>
      <c r="R211" s="24">
        <f t="shared" si="14"/>
        <v>0.41902944383860419</v>
      </c>
      <c r="S211" t="s">
        <v>63</v>
      </c>
      <c r="T211" t="s">
        <v>64</v>
      </c>
    </row>
    <row r="212" spans="1:20" hidden="1">
      <c r="A212" t="s">
        <v>281</v>
      </c>
      <c r="B212" s="5">
        <v>45377</v>
      </c>
      <c r="C212" s="8">
        <f>YEAR(Tabla2[[#This Row],[fecha]])</f>
        <v>2024</v>
      </c>
      <c r="D212" s="8">
        <f>MONTH(Tabla2[[#This Row],[fecha]])</f>
        <v>3</v>
      </c>
      <c r="E212" s="8" t="str">
        <f>TEXT(Tabla2[[#This Row],[fecha]], "mmmm")</f>
        <v>marzo</v>
      </c>
      <c r="F212" s="8" t="str">
        <f>"T"&amp;ROUNDUP(Tabla2[[#This Row],[mes]]/3,0)</f>
        <v>T1</v>
      </c>
      <c r="G212" t="s">
        <v>36</v>
      </c>
      <c r="H212" t="s">
        <v>37</v>
      </c>
      <c r="I212" s="8" t="str">
        <f>IF(Tabla2[[#This Row],[precio_unitario]]&lt;=30,"Económico",IF(Tabla2[[#This Row],[precio_unitario]]&lt;=58.49,"Accesible","Caro"))</f>
        <v>Económico</v>
      </c>
      <c r="J212" t="s">
        <v>35</v>
      </c>
      <c r="K212">
        <v>1</v>
      </c>
      <c r="L212" s="19">
        <v>14.14</v>
      </c>
      <c r="M212" s="19">
        <v>9.68</v>
      </c>
      <c r="N212" s="13">
        <v>0</v>
      </c>
      <c r="O212" s="17">
        <f t="shared" si="15"/>
        <v>14.14</v>
      </c>
      <c r="P212" s="17">
        <f t="shared" si="12"/>
        <v>9.68</v>
      </c>
      <c r="Q212" s="17">
        <f t="shared" si="13"/>
        <v>4.4600000000000009</v>
      </c>
      <c r="R212" s="24">
        <f t="shared" si="14"/>
        <v>0.31541725601131548</v>
      </c>
      <c r="S212" t="s">
        <v>96</v>
      </c>
      <c r="T212" t="s">
        <v>60</v>
      </c>
    </row>
    <row r="213" spans="1:20" hidden="1">
      <c r="A213" t="s">
        <v>282</v>
      </c>
      <c r="B213" s="5">
        <v>45534</v>
      </c>
      <c r="C213" s="8">
        <f>YEAR(Tabla2[[#This Row],[fecha]])</f>
        <v>2024</v>
      </c>
      <c r="D213" s="8">
        <f>MONTH(Tabla2[[#This Row],[fecha]])</f>
        <v>8</v>
      </c>
      <c r="E213" s="8" t="str">
        <f>TEXT(Tabla2[[#This Row],[fecha]], "mmmm")</f>
        <v>agosto</v>
      </c>
      <c r="F213" s="8" t="str">
        <f>"T"&amp;ROUNDUP(Tabla2[[#This Row],[mes]]/3,0)</f>
        <v>T3</v>
      </c>
      <c r="G213" t="s">
        <v>15</v>
      </c>
      <c r="H213" t="s">
        <v>16</v>
      </c>
      <c r="I213" s="8" t="str">
        <f>IF(Tabla2[[#This Row],[precio_unitario]]&lt;=30,"Económico",IF(Tabla2[[#This Row],[precio_unitario]]&lt;=58.49,"Accesible","Caro"))</f>
        <v>Accesible</v>
      </c>
      <c r="J213" t="s">
        <v>17</v>
      </c>
      <c r="K213">
        <v>7</v>
      </c>
      <c r="L213" s="19">
        <v>55.13</v>
      </c>
      <c r="M213" s="19">
        <v>42.14</v>
      </c>
      <c r="N213" s="13">
        <v>0</v>
      </c>
      <c r="O213" s="17">
        <f t="shared" si="15"/>
        <v>385.91</v>
      </c>
      <c r="P213" s="17">
        <f t="shared" si="12"/>
        <v>294.98</v>
      </c>
      <c r="Q213" s="17">
        <f t="shared" si="13"/>
        <v>90.93</v>
      </c>
      <c r="R213" s="24">
        <f t="shared" si="14"/>
        <v>0.23562488663159806</v>
      </c>
      <c r="S213" t="s">
        <v>96</v>
      </c>
      <c r="T213" t="s">
        <v>64</v>
      </c>
    </row>
    <row r="214" spans="1:20" hidden="1">
      <c r="A214" t="s">
        <v>283</v>
      </c>
      <c r="B214" s="5">
        <v>45567</v>
      </c>
      <c r="C214" s="8">
        <f>YEAR(Tabla2[[#This Row],[fecha]])</f>
        <v>2024</v>
      </c>
      <c r="D214" s="8">
        <f>MONTH(Tabla2[[#This Row],[fecha]])</f>
        <v>10</v>
      </c>
      <c r="E214" s="8" t="str">
        <f>TEXT(Tabla2[[#This Row],[fecha]], "mmmm")</f>
        <v>octubre</v>
      </c>
      <c r="F214" s="8" t="str">
        <f>"T"&amp;ROUNDUP(Tabla2[[#This Row],[mes]]/3,0)</f>
        <v>T4</v>
      </c>
      <c r="G214" t="s">
        <v>20</v>
      </c>
      <c r="H214" t="s">
        <v>21</v>
      </c>
      <c r="I214" s="8" t="str">
        <f>IF(Tabla2[[#This Row],[precio_unitario]]&lt;=30,"Económico",IF(Tabla2[[#This Row],[precio_unitario]]&lt;=58.49,"Accesible","Caro"))</f>
        <v>Económico</v>
      </c>
      <c r="J214" t="s">
        <v>17</v>
      </c>
      <c r="K214">
        <v>9</v>
      </c>
      <c r="L214" s="19">
        <v>20.43</v>
      </c>
      <c r="M214" s="19">
        <v>12.87</v>
      </c>
      <c r="N214" s="11">
        <v>0.09</v>
      </c>
      <c r="O214" s="17">
        <f t="shared" si="15"/>
        <v>167.32170000000002</v>
      </c>
      <c r="P214" s="17">
        <f t="shared" si="12"/>
        <v>115.83</v>
      </c>
      <c r="Q214" s="17">
        <f t="shared" si="13"/>
        <v>51.491700000000023</v>
      </c>
      <c r="R214" s="24">
        <f t="shared" si="14"/>
        <v>0.30774071743234749</v>
      </c>
      <c r="S214" t="s">
        <v>83</v>
      </c>
      <c r="T214" t="s">
        <v>64</v>
      </c>
    </row>
    <row r="215" spans="1:20" hidden="1">
      <c r="A215" t="s">
        <v>284</v>
      </c>
      <c r="B215" s="5">
        <v>45666</v>
      </c>
      <c r="C215" s="8">
        <f>YEAR(Tabla2[[#This Row],[fecha]])</f>
        <v>2025</v>
      </c>
      <c r="D215" s="8">
        <f>MONTH(Tabla2[[#This Row],[fecha]])</f>
        <v>1</v>
      </c>
      <c r="E215" s="8" t="str">
        <f>TEXT(Tabla2[[#This Row],[fecha]], "mmmm")</f>
        <v>enero</v>
      </c>
      <c r="F215" s="8" t="str">
        <f>"T"&amp;ROUNDUP(Tabla2[[#This Row],[mes]]/3,0)</f>
        <v>T1</v>
      </c>
      <c r="G215" t="s">
        <v>11</v>
      </c>
      <c r="H215" t="s">
        <v>12</v>
      </c>
      <c r="I215" s="8" t="str">
        <f>IF(Tabla2[[#This Row],[precio_unitario]]&lt;=30,"Económico",IF(Tabla2[[#This Row],[precio_unitario]]&lt;=58.49,"Accesible","Caro"))</f>
        <v>Caro</v>
      </c>
      <c r="J215" t="s">
        <v>8</v>
      </c>
      <c r="K215">
        <v>1</v>
      </c>
      <c r="L215" s="20">
        <f>INDEX(Tabla3[precio_venta_recomendado], MATCH(Tabla2[[#This Row],[id_producto]], Tabla3[id_producto], 0))</f>
        <v>177.72</v>
      </c>
      <c r="M215" s="19">
        <v>95.58</v>
      </c>
      <c r="N215" s="11">
        <v>0.06</v>
      </c>
      <c r="O215" s="17">
        <f t="shared" si="15"/>
        <v>167.05679999999998</v>
      </c>
      <c r="P215" s="17">
        <f t="shared" si="12"/>
        <v>95.58</v>
      </c>
      <c r="Q215" s="17">
        <f t="shared" si="13"/>
        <v>71.476799999999983</v>
      </c>
      <c r="R215" s="24">
        <f t="shared" si="14"/>
        <v>0.42785926702774141</v>
      </c>
      <c r="S215" t="s">
        <v>540</v>
      </c>
      <c r="T215" t="s">
        <v>64</v>
      </c>
    </row>
    <row r="216" spans="1:20" hidden="1">
      <c r="A216" t="s">
        <v>285</v>
      </c>
      <c r="B216" s="5">
        <v>45648</v>
      </c>
      <c r="C216" s="8">
        <f>YEAR(Tabla2[[#This Row],[fecha]])</f>
        <v>2024</v>
      </c>
      <c r="D216" s="8">
        <f>MONTH(Tabla2[[#This Row],[fecha]])</f>
        <v>12</v>
      </c>
      <c r="E216" s="8" t="str">
        <f>TEXT(Tabla2[[#This Row],[fecha]], "mmmm")</f>
        <v>diciembre</v>
      </c>
      <c r="F216" s="8" t="str">
        <f>"T"&amp;ROUNDUP(Tabla2[[#This Row],[mes]]/3,0)</f>
        <v>T4</v>
      </c>
      <c r="G216" t="s">
        <v>27</v>
      </c>
      <c r="H216" t="s">
        <v>28</v>
      </c>
      <c r="I216" s="8" t="str">
        <f>IF(Tabla2[[#This Row],[precio_unitario]]&lt;=30,"Económico",IF(Tabla2[[#This Row],[precio_unitario]]&lt;=58.49,"Accesible","Caro"))</f>
        <v>Económico</v>
      </c>
      <c r="J216" t="s">
        <v>26</v>
      </c>
      <c r="K216">
        <v>1</v>
      </c>
      <c r="L216" s="19">
        <v>17.59</v>
      </c>
      <c r="M216" s="19">
        <v>11.58</v>
      </c>
      <c r="N216" s="11">
        <v>0</v>
      </c>
      <c r="O216" s="17">
        <f t="shared" si="15"/>
        <v>17.59</v>
      </c>
      <c r="P216" s="17">
        <f t="shared" si="12"/>
        <v>11.58</v>
      </c>
      <c r="Q216" s="17">
        <f t="shared" si="13"/>
        <v>6.01</v>
      </c>
      <c r="R216" s="24">
        <f t="shared" si="14"/>
        <v>0.34167140420693576</v>
      </c>
      <c r="S216" t="s">
        <v>540</v>
      </c>
      <c r="T216" t="s">
        <v>64</v>
      </c>
    </row>
    <row r="217" spans="1:20" hidden="1">
      <c r="A217" t="s">
        <v>286</v>
      </c>
      <c r="B217" s="5">
        <v>45617</v>
      </c>
      <c r="C217" s="8">
        <f>YEAR(Tabla2[[#This Row],[fecha]])</f>
        <v>2024</v>
      </c>
      <c r="D217" s="8">
        <f>MONTH(Tabla2[[#This Row],[fecha]])</f>
        <v>11</v>
      </c>
      <c r="E217" s="8" t="str">
        <f>TEXT(Tabla2[[#This Row],[fecha]], "mmmm")</f>
        <v>noviembre</v>
      </c>
      <c r="F217" s="8" t="str">
        <f>"T"&amp;ROUNDUP(Tabla2[[#This Row],[mes]]/3,0)</f>
        <v>T4</v>
      </c>
      <c r="G217" t="s">
        <v>18</v>
      </c>
      <c r="H217" t="s">
        <v>19</v>
      </c>
      <c r="I217" s="8" t="str">
        <f>IF(Tabla2[[#This Row],[precio_unitario]]&lt;=30,"Económico",IF(Tabla2[[#This Row],[precio_unitario]]&lt;=58.49,"Accesible","Caro"))</f>
        <v>Accesible</v>
      </c>
      <c r="J217" t="s">
        <v>17</v>
      </c>
      <c r="K217">
        <v>5</v>
      </c>
      <c r="L217" s="19">
        <v>49.26</v>
      </c>
      <c r="M217" s="19">
        <v>25.69</v>
      </c>
      <c r="N217" s="11">
        <v>0.13</v>
      </c>
      <c r="O217" s="17">
        <f t="shared" si="15"/>
        <v>214.28099999999998</v>
      </c>
      <c r="P217" s="17">
        <f t="shared" si="12"/>
        <v>128.45000000000002</v>
      </c>
      <c r="Q217" s="17">
        <f t="shared" si="13"/>
        <v>85.83099999999996</v>
      </c>
      <c r="R217" s="24">
        <f t="shared" si="14"/>
        <v>0.40055347884320108</v>
      </c>
      <c r="S217" t="s">
        <v>67</v>
      </c>
      <c r="T217" t="s">
        <v>64</v>
      </c>
    </row>
    <row r="218" spans="1:20">
      <c r="A218" t="s">
        <v>287</v>
      </c>
      <c r="B218" s="5">
        <v>45955</v>
      </c>
      <c r="C218" s="8">
        <f>YEAR(Tabla2[[#This Row],[fecha]])</f>
        <v>2025</v>
      </c>
      <c r="D218" s="8">
        <f>MONTH(Tabla2[[#This Row],[fecha]])</f>
        <v>10</v>
      </c>
      <c r="E218" s="8" t="str">
        <f>TEXT(Tabla2[[#This Row],[fecha]], "mmmm")</f>
        <v>octubre</v>
      </c>
      <c r="F218" s="8" t="str">
        <f>"T"&amp;ROUNDUP(Tabla2[[#This Row],[mes]]/3,0)</f>
        <v>T4</v>
      </c>
      <c r="G218" t="s">
        <v>42</v>
      </c>
      <c r="H218" t="s">
        <v>43</v>
      </c>
      <c r="I218" s="8" t="str">
        <f>IF(Tabla2[[#This Row],[precio_unitario]]&lt;=30,"Económico",IF(Tabla2[[#This Row],[precio_unitario]]&lt;=58.49,"Accesible","Caro"))</f>
        <v>Accesible</v>
      </c>
      <c r="J218" t="s">
        <v>44</v>
      </c>
      <c r="K218">
        <v>1</v>
      </c>
      <c r="L218" s="19">
        <v>50.88</v>
      </c>
      <c r="M218" s="19">
        <v>22.96</v>
      </c>
      <c r="N218" s="11">
        <v>0</v>
      </c>
      <c r="O218" s="17">
        <f t="shared" si="15"/>
        <v>50.88</v>
      </c>
      <c r="P218" s="17">
        <f t="shared" si="12"/>
        <v>22.96</v>
      </c>
      <c r="Q218" s="17">
        <f t="shared" si="13"/>
        <v>27.92</v>
      </c>
      <c r="R218" s="24">
        <f t="shared" si="14"/>
        <v>0.54874213836477992</v>
      </c>
      <c r="S218" t="s">
        <v>67</v>
      </c>
      <c r="T218" t="s">
        <v>60</v>
      </c>
    </row>
    <row r="219" spans="1:20" hidden="1">
      <c r="A219" t="s">
        <v>288</v>
      </c>
      <c r="B219" s="5">
        <v>45595</v>
      </c>
      <c r="C219" s="8">
        <f>YEAR(Tabla2[[#This Row],[fecha]])</f>
        <v>2024</v>
      </c>
      <c r="D219" s="8">
        <f>MONTH(Tabla2[[#This Row],[fecha]])</f>
        <v>10</v>
      </c>
      <c r="E219" s="8" t="str">
        <f>TEXT(Tabla2[[#This Row],[fecha]], "mmmm")</f>
        <v>octubre</v>
      </c>
      <c r="F219" s="8" t="str">
        <f>"T"&amp;ROUNDUP(Tabla2[[#This Row],[mes]]/3,0)</f>
        <v>T4</v>
      </c>
      <c r="G219" t="s">
        <v>15</v>
      </c>
      <c r="H219" t="s">
        <v>16</v>
      </c>
      <c r="I219" s="8" t="str">
        <f>IF(Tabla2[[#This Row],[precio_unitario]]&lt;=30,"Económico",IF(Tabla2[[#This Row],[precio_unitario]]&lt;=58.49,"Accesible","Caro"))</f>
        <v>Accesible</v>
      </c>
      <c r="J219" t="s">
        <v>17</v>
      </c>
      <c r="K219">
        <v>1</v>
      </c>
      <c r="L219" s="19">
        <v>58.11</v>
      </c>
      <c r="M219" s="19">
        <v>40.07</v>
      </c>
      <c r="N219" s="13">
        <v>0</v>
      </c>
      <c r="O219" s="17">
        <f t="shared" si="15"/>
        <v>58.11</v>
      </c>
      <c r="P219" s="17">
        <f t="shared" si="12"/>
        <v>40.07</v>
      </c>
      <c r="Q219" s="17">
        <f t="shared" si="13"/>
        <v>18.04</v>
      </c>
      <c r="R219" s="24">
        <f t="shared" si="14"/>
        <v>0.31044570641886077</v>
      </c>
      <c r="S219" t="s">
        <v>96</v>
      </c>
      <c r="T219" t="s">
        <v>60</v>
      </c>
    </row>
    <row r="220" spans="1:20" hidden="1">
      <c r="A220" t="s">
        <v>289</v>
      </c>
      <c r="B220" s="5">
        <v>45634</v>
      </c>
      <c r="C220" s="8">
        <f>YEAR(Tabla2[[#This Row],[fecha]])</f>
        <v>2024</v>
      </c>
      <c r="D220" s="8">
        <f>MONTH(Tabla2[[#This Row],[fecha]])</f>
        <v>12</v>
      </c>
      <c r="E220" s="8" t="str">
        <f>TEXT(Tabla2[[#This Row],[fecha]], "mmmm")</f>
        <v>diciembre</v>
      </c>
      <c r="F220" s="8" t="str">
        <f>"T"&amp;ROUNDUP(Tabla2[[#This Row],[mes]]/3,0)</f>
        <v>T4</v>
      </c>
      <c r="G220" t="s">
        <v>29</v>
      </c>
      <c r="H220" t="s">
        <v>30</v>
      </c>
      <c r="I220" s="8" t="str">
        <f>IF(Tabla2[[#This Row],[precio_unitario]]&lt;=30,"Económico",IF(Tabla2[[#This Row],[precio_unitario]]&lt;=58.49,"Accesible","Caro"))</f>
        <v>Económico</v>
      </c>
      <c r="J220" t="s">
        <v>26</v>
      </c>
      <c r="K220">
        <v>2</v>
      </c>
      <c r="L220" s="19">
        <v>20.94</v>
      </c>
      <c r="M220" s="19">
        <v>10.92</v>
      </c>
      <c r="N220" s="11">
        <v>0</v>
      </c>
      <c r="O220" s="17">
        <f t="shared" si="15"/>
        <v>41.88</v>
      </c>
      <c r="P220" s="17">
        <f t="shared" si="12"/>
        <v>21.84</v>
      </c>
      <c r="Q220" s="17">
        <f t="shared" si="13"/>
        <v>20.040000000000003</v>
      </c>
      <c r="R220" s="24">
        <f t="shared" si="14"/>
        <v>0.47851002865329517</v>
      </c>
      <c r="S220" t="s">
        <v>67</v>
      </c>
      <c r="T220" t="s">
        <v>64</v>
      </c>
    </row>
    <row r="221" spans="1:20" hidden="1">
      <c r="A221" t="s">
        <v>290</v>
      </c>
      <c r="B221" s="5">
        <v>45512</v>
      </c>
      <c r="C221" s="8">
        <f>YEAR(Tabla2[[#This Row],[fecha]])</f>
        <v>2024</v>
      </c>
      <c r="D221" s="8">
        <f>MONTH(Tabla2[[#This Row],[fecha]])</f>
        <v>8</v>
      </c>
      <c r="E221" s="8" t="str">
        <f>TEXT(Tabla2[[#This Row],[fecha]], "mmmm")</f>
        <v>agosto</v>
      </c>
      <c r="F221" s="8" t="str">
        <f>"T"&amp;ROUNDUP(Tabla2[[#This Row],[mes]]/3,0)</f>
        <v>T3</v>
      </c>
      <c r="G221" t="s">
        <v>6</v>
      </c>
      <c r="H221" t="s">
        <v>7</v>
      </c>
      <c r="I221" s="8" t="str">
        <f>IF(Tabla2[[#This Row],[precio_unitario]]&lt;=30,"Económico",IF(Tabla2[[#This Row],[precio_unitario]]&lt;=58.49,"Accesible","Caro"))</f>
        <v>Caro</v>
      </c>
      <c r="J221" t="s">
        <v>8</v>
      </c>
      <c r="K221">
        <v>1</v>
      </c>
      <c r="L221" s="19">
        <v>127.87</v>
      </c>
      <c r="M221" s="19">
        <v>86.41</v>
      </c>
      <c r="N221" s="13">
        <v>0</v>
      </c>
      <c r="O221" s="17">
        <f t="shared" si="15"/>
        <v>127.87</v>
      </c>
      <c r="P221" s="17">
        <f t="shared" si="12"/>
        <v>86.41</v>
      </c>
      <c r="Q221" s="17">
        <f t="shared" si="13"/>
        <v>41.460000000000008</v>
      </c>
      <c r="R221" s="24">
        <f t="shared" si="14"/>
        <v>0.32423555173222812</v>
      </c>
      <c r="S221" t="s">
        <v>540</v>
      </c>
      <c r="T221" t="s">
        <v>64</v>
      </c>
    </row>
    <row r="222" spans="1:20">
      <c r="A222" t="s">
        <v>291</v>
      </c>
      <c r="B222" s="5">
        <v>45862</v>
      </c>
      <c r="C222" s="8">
        <f>YEAR(Tabla2[[#This Row],[fecha]])</f>
        <v>2025</v>
      </c>
      <c r="D222" s="8">
        <f>MONTH(Tabla2[[#This Row],[fecha]])</f>
        <v>7</v>
      </c>
      <c r="E222" s="8" t="str">
        <f>TEXT(Tabla2[[#This Row],[fecha]], "mmmm")</f>
        <v>julio</v>
      </c>
      <c r="F222" s="8" t="str">
        <f>"T"&amp;ROUNDUP(Tabla2[[#This Row],[mes]]/3,0)</f>
        <v>T3</v>
      </c>
      <c r="G222" t="s">
        <v>33</v>
      </c>
      <c r="H222" t="s">
        <v>34</v>
      </c>
      <c r="I222" s="8" t="str">
        <f>IF(Tabla2[[#This Row],[precio_unitario]]&lt;=30,"Económico",IF(Tabla2[[#This Row],[precio_unitario]]&lt;=58.49,"Accesible","Caro"))</f>
        <v>Caro</v>
      </c>
      <c r="J222" t="s">
        <v>35</v>
      </c>
      <c r="K222">
        <v>1</v>
      </c>
      <c r="L222" s="19">
        <v>76.25</v>
      </c>
      <c r="M222" s="19">
        <v>48.44</v>
      </c>
      <c r="N222" s="11">
        <v>0</v>
      </c>
      <c r="O222" s="17">
        <f t="shared" si="15"/>
        <v>76.25</v>
      </c>
      <c r="P222" s="17">
        <f t="shared" si="12"/>
        <v>48.44</v>
      </c>
      <c r="Q222" s="17">
        <f t="shared" si="13"/>
        <v>27.810000000000002</v>
      </c>
      <c r="R222" s="24">
        <f t="shared" si="14"/>
        <v>0.36472131147540987</v>
      </c>
      <c r="S222" t="s">
        <v>67</v>
      </c>
      <c r="T222" t="s">
        <v>64</v>
      </c>
    </row>
    <row r="223" spans="1:20" hidden="1">
      <c r="A223" t="s">
        <v>292</v>
      </c>
      <c r="B223" s="5">
        <v>45545</v>
      </c>
      <c r="C223" s="8">
        <f>YEAR(Tabla2[[#This Row],[fecha]])</f>
        <v>2024</v>
      </c>
      <c r="D223" s="8">
        <f>MONTH(Tabla2[[#This Row],[fecha]])</f>
        <v>9</v>
      </c>
      <c r="E223" s="8" t="str">
        <f>TEXT(Tabla2[[#This Row],[fecha]], "mmmm")</f>
        <v>septiembre</v>
      </c>
      <c r="F223" s="8" t="str">
        <f>"T"&amp;ROUNDUP(Tabla2[[#This Row],[mes]]/3,0)</f>
        <v>T3</v>
      </c>
      <c r="G223" t="s">
        <v>18</v>
      </c>
      <c r="H223" t="s">
        <v>19</v>
      </c>
      <c r="I223" s="8" t="str">
        <f>IF(Tabla2[[#This Row],[precio_unitario]]&lt;=30,"Económico",IF(Tabla2[[#This Row],[precio_unitario]]&lt;=58.49,"Accesible","Caro"))</f>
        <v>Accesible</v>
      </c>
      <c r="J223" t="s">
        <v>17</v>
      </c>
      <c r="K223">
        <v>2</v>
      </c>
      <c r="L223" s="19">
        <v>48.54</v>
      </c>
      <c r="M223" s="19">
        <v>26.7</v>
      </c>
      <c r="N223" s="11">
        <v>0.28999999999999998</v>
      </c>
      <c r="O223" s="17">
        <f t="shared" si="15"/>
        <v>68.9268</v>
      </c>
      <c r="P223" s="17">
        <f t="shared" si="12"/>
        <v>53.4</v>
      </c>
      <c r="Q223" s="17">
        <f t="shared" si="13"/>
        <v>15.526800000000001</v>
      </c>
      <c r="R223" s="24">
        <f t="shared" si="14"/>
        <v>0.22526506380682118</v>
      </c>
      <c r="S223" t="s">
        <v>96</v>
      </c>
      <c r="T223" t="s">
        <v>60</v>
      </c>
    </row>
    <row r="224" spans="1:20" hidden="1">
      <c r="A224" t="s">
        <v>293</v>
      </c>
      <c r="B224" s="5">
        <v>45966</v>
      </c>
      <c r="C224" s="8">
        <f>YEAR(Tabla2[[#This Row],[fecha]])</f>
        <v>2025</v>
      </c>
      <c r="D224" s="8">
        <f>MONTH(Tabla2[[#This Row],[fecha]])</f>
        <v>11</v>
      </c>
      <c r="E224" s="8" t="str">
        <f>TEXT(Tabla2[[#This Row],[fecha]], "mmmm")</f>
        <v>noviembre</v>
      </c>
      <c r="F224" s="8" t="str">
        <f>"T"&amp;ROUNDUP(Tabla2[[#This Row],[mes]]/3,0)</f>
        <v>T4</v>
      </c>
      <c r="G224" t="s">
        <v>6</v>
      </c>
      <c r="H224" t="s">
        <v>7</v>
      </c>
      <c r="I224" s="8" t="str">
        <f>IF(Tabla2[[#This Row],[precio_unitario]]&lt;=30,"Económico",IF(Tabla2[[#This Row],[precio_unitario]]&lt;=58.49,"Accesible","Caro"))</f>
        <v>Caro</v>
      </c>
      <c r="J224" t="s">
        <v>8</v>
      </c>
      <c r="K224">
        <v>4</v>
      </c>
      <c r="L224" s="19">
        <v>120.07</v>
      </c>
      <c r="M224" s="19">
        <v>85.54</v>
      </c>
      <c r="N224" s="11">
        <v>0</v>
      </c>
      <c r="O224" s="17">
        <f t="shared" si="15"/>
        <v>480.28</v>
      </c>
      <c r="P224" s="17">
        <f t="shared" si="12"/>
        <v>342.16</v>
      </c>
      <c r="Q224" s="17">
        <f t="shared" si="13"/>
        <v>138.11999999999995</v>
      </c>
      <c r="R224" s="24">
        <f t="shared" si="14"/>
        <v>0.28758224369118007</v>
      </c>
      <c r="S224" t="s">
        <v>96</v>
      </c>
      <c r="T224" t="s">
        <v>60</v>
      </c>
    </row>
    <row r="225" spans="1:20" hidden="1">
      <c r="A225" t="s">
        <v>294</v>
      </c>
      <c r="B225" s="5">
        <v>45495</v>
      </c>
      <c r="C225" s="8">
        <f>YEAR(Tabla2[[#This Row],[fecha]])</f>
        <v>2024</v>
      </c>
      <c r="D225" s="8">
        <f>MONTH(Tabla2[[#This Row],[fecha]])</f>
        <v>7</v>
      </c>
      <c r="E225" s="8" t="str">
        <f>TEXT(Tabla2[[#This Row],[fecha]], "mmmm")</f>
        <v>julio</v>
      </c>
      <c r="F225" s="8" t="str">
        <f>"T"&amp;ROUNDUP(Tabla2[[#This Row],[mes]]/3,0)</f>
        <v>T3</v>
      </c>
      <c r="G225" t="s">
        <v>9</v>
      </c>
      <c r="H225" t="s">
        <v>10</v>
      </c>
      <c r="I225" s="8" t="str">
        <f>IF(Tabla2[[#This Row],[precio_unitario]]&lt;=30,"Económico",IF(Tabla2[[#This Row],[precio_unitario]]&lt;=58.49,"Accesible","Caro"))</f>
        <v>Caro</v>
      </c>
      <c r="J225" t="s">
        <v>8</v>
      </c>
      <c r="K225">
        <v>3</v>
      </c>
      <c r="L225" s="19">
        <v>73.48</v>
      </c>
      <c r="M225" s="19">
        <v>48.09</v>
      </c>
      <c r="N225" s="11">
        <v>0</v>
      </c>
      <c r="O225" s="17">
        <f t="shared" si="15"/>
        <v>220.44</v>
      </c>
      <c r="P225" s="17">
        <f t="shared" si="12"/>
        <v>144.27000000000001</v>
      </c>
      <c r="Q225" s="17">
        <f t="shared" si="13"/>
        <v>76.169999999999987</v>
      </c>
      <c r="R225" s="24">
        <f t="shared" si="14"/>
        <v>0.34553620032661941</v>
      </c>
      <c r="S225" t="s">
        <v>540</v>
      </c>
      <c r="T225" t="s">
        <v>64</v>
      </c>
    </row>
    <row r="226" spans="1:20" hidden="1">
      <c r="A226" t="s">
        <v>295</v>
      </c>
      <c r="B226" s="5">
        <v>46015</v>
      </c>
      <c r="C226" s="8">
        <f>YEAR(Tabla2[[#This Row],[fecha]])</f>
        <v>2025</v>
      </c>
      <c r="D226" s="8">
        <f>MONTH(Tabla2[[#This Row],[fecha]])</f>
        <v>12</v>
      </c>
      <c r="E226" s="8" t="str">
        <f>TEXT(Tabla2[[#This Row],[fecha]], "mmmm")</f>
        <v>diciembre</v>
      </c>
      <c r="F226" s="8" t="str">
        <f>"T"&amp;ROUNDUP(Tabla2[[#This Row],[mes]]/3,0)</f>
        <v>T4</v>
      </c>
      <c r="G226" t="s">
        <v>40</v>
      </c>
      <c r="H226" t="s">
        <v>41</v>
      </c>
      <c r="I226" s="8" t="str">
        <f>IF(Tabla2[[#This Row],[precio_unitario]]&lt;=30,"Económico",IF(Tabla2[[#This Row],[precio_unitario]]&lt;=58.49,"Accesible","Caro"))</f>
        <v>Caro</v>
      </c>
      <c r="J226" t="s">
        <v>35</v>
      </c>
      <c r="K226">
        <v>5</v>
      </c>
      <c r="L226" s="19">
        <v>74.94</v>
      </c>
      <c r="M226" s="19">
        <v>42.47</v>
      </c>
      <c r="N226" s="11">
        <v>0</v>
      </c>
      <c r="O226" s="17">
        <f t="shared" si="15"/>
        <v>374.7</v>
      </c>
      <c r="P226" s="17">
        <f t="shared" si="12"/>
        <v>212.35</v>
      </c>
      <c r="Q226" s="17">
        <f t="shared" si="13"/>
        <v>162.35</v>
      </c>
      <c r="R226" s="24">
        <f t="shared" si="14"/>
        <v>0.43327995729917268</v>
      </c>
      <c r="S226" s="10" t="s">
        <v>2377</v>
      </c>
      <c r="T226" t="s">
        <v>60</v>
      </c>
    </row>
    <row r="227" spans="1:20" hidden="1">
      <c r="A227" t="s">
        <v>296</v>
      </c>
      <c r="B227" s="5">
        <v>45577</v>
      </c>
      <c r="C227" s="8">
        <f>YEAR(Tabla2[[#This Row],[fecha]])</f>
        <v>2024</v>
      </c>
      <c r="D227" s="8">
        <f>MONTH(Tabla2[[#This Row],[fecha]])</f>
        <v>10</v>
      </c>
      <c r="E227" s="8" t="str">
        <f>TEXT(Tabla2[[#This Row],[fecha]], "mmmm")</f>
        <v>octubre</v>
      </c>
      <c r="F227" s="8" t="str">
        <f>"T"&amp;ROUNDUP(Tabla2[[#This Row],[mes]]/3,0)</f>
        <v>T4</v>
      </c>
      <c r="G227" t="s">
        <v>40</v>
      </c>
      <c r="H227" t="s">
        <v>41</v>
      </c>
      <c r="I227" s="8" t="str">
        <f>IF(Tabla2[[#This Row],[precio_unitario]]&lt;=30,"Económico",IF(Tabla2[[#This Row],[precio_unitario]]&lt;=58.49,"Accesible","Caro"))</f>
        <v>Caro</v>
      </c>
      <c r="J227" t="s">
        <v>35</v>
      </c>
      <c r="K227">
        <v>3</v>
      </c>
      <c r="L227" s="19">
        <v>82.67</v>
      </c>
      <c r="M227" s="19">
        <v>42.83</v>
      </c>
      <c r="N227" s="11">
        <v>0</v>
      </c>
      <c r="O227" s="17">
        <f t="shared" si="15"/>
        <v>248.01</v>
      </c>
      <c r="P227" s="17">
        <f t="shared" si="12"/>
        <v>128.49</v>
      </c>
      <c r="Q227" s="17">
        <f t="shared" si="13"/>
        <v>119.51999999999998</v>
      </c>
      <c r="R227" s="24">
        <f t="shared" si="14"/>
        <v>0.48191605177210589</v>
      </c>
      <c r="S227" t="s">
        <v>63</v>
      </c>
      <c r="T227" t="s">
        <v>64</v>
      </c>
    </row>
    <row r="228" spans="1:20" hidden="1">
      <c r="A228" t="s">
        <v>297</v>
      </c>
      <c r="B228" s="5">
        <v>45611</v>
      </c>
      <c r="C228" s="8">
        <f>YEAR(Tabla2[[#This Row],[fecha]])</f>
        <v>2024</v>
      </c>
      <c r="D228" s="8">
        <f>MONTH(Tabla2[[#This Row],[fecha]])</f>
        <v>11</v>
      </c>
      <c r="E228" s="8" t="str">
        <f>TEXT(Tabla2[[#This Row],[fecha]], "mmmm")</f>
        <v>noviembre</v>
      </c>
      <c r="F228" s="8" t="str">
        <f>"T"&amp;ROUNDUP(Tabla2[[#This Row],[mes]]/3,0)</f>
        <v>T4</v>
      </c>
      <c r="G228" t="s">
        <v>24</v>
      </c>
      <c r="H228" t="s">
        <v>25</v>
      </c>
      <c r="I228" s="8" t="str">
        <f>IF(Tabla2[[#This Row],[precio_unitario]]&lt;=30,"Económico",IF(Tabla2[[#This Row],[precio_unitario]]&lt;=58.49,"Accesible","Caro"))</f>
        <v>Económico</v>
      </c>
      <c r="J228" t="s">
        <v>26</v>
      </c>
      <c r="K228">
        <v>10</v>
      </c>
      <c r="L228" s="19">
        <v>7.75</v>
      </c>
      <c r="M228" s="19">
        <v>4.2</v>
      </c>
      <c r="N228" s="11">
        <v>0</v>
      </c>
      <c r="O228" s="17">
        <f t="shared" si="15"/>
        <v>77.5</v>
      </c>
      <c r="P228" s="17">
        <f t="shared" si="12"/>
        <v>42</v>
      </c>
      <c r="Q228" s="17">
        <f t="shared" si="13"/>
        <v>35.5</v>
      </c>
      <c r="R228" s="24">
        <f t="shared" si="14"/>
        <v>0.45806451612903226</v>
      </c>
      <c r="S228" t="s">
        <v>540</v>
      </c>
      <c r="T228" t="s">
        <v>60</v>
      </c>
    </row>
    <row r="229" spans="1:20" hidden="1">
      <c r="A229" t="s">
        <v>298</v>
      </c>
      <c r="B229" s="5">
        <v>45466</v>
      </c>
      <c r="C229" s="8">
        <f>YEAR(Tabla2[[#This Row],[fecha]])</f>
        <v>2024</v>
      </c>
      <c r="D229" s="8">
        <f>MONTH(Tabla2[[#This Row],[fecha]])</f>
        <v>6</v>
      </c>
      <c r="E229" s="8" t="str">
        <f>TEXT(Tabla2[[#This Row],[fecha]], "mmmm")</f>
        <v>junio</v>
      </c>
      <c r="F229" s="8" t="str">
        <f>"T"&amp;ROUNDUP(Tabla2[[#This Row],[mes]]/3,0)</f>
        <v>T2</v>
      </c>
      <c r="G229" t="s">
        <v>40</v>
      </c>
      <c r="H229" t="s">
        <v>41</v>
      </c>
      <c r="I229" s="8" t="str">
        <f>IF(Tabla2[[#This Row],[precio_unitario]]&lt;=30,"Económico",IF(Tabla2[[#This Row],[precio_unitario]]&lt;=58.49,"Accesible","Caro"))</f>
        <v>Caro</v>
      </c>
      <c r="J229" t="s">
        <v>35</v>
      </c>
      <c r="K229">
        <v>1</v>
      </c>
      <c r="L229" s="19">
        <v>77.84</v>
      </c>
      <c r="M229" s="19">
        <v>39</v>
      </c>
      <c r="N229" s="11">
        <v>0.3</v>
      </c>
      <c r="O229" s="17">
        <f t="shared" si="15"/>
        <v>54.488</v>
      </c>
      <c r="P229" s="17">
        <f t="shared" si="12"/>
        <v>39</v>
      </c>
      <c r="Q229" s="17">
        <f t="shared" si="13"/>
        <v>15.488</v>
      </c>
      <c r="R229" s="24">
        <f t="shared" si="14"/>
        <v>0.28424607252973133</v>
      </c>
      <c r="S229" t="s">
        <v>83</v>
      </c>
      <c r="T229" t="s">
        <v>64</v>
      </c>
    </row>
    <row r="230" spans="1:20" hidden="1">
      <c r="A230" t="s">
        <v>299</v>
      </c>
      <c r="B230" s="5">
        <v>45803</v>
      </c>
      <c r="C230" s="8">
        <f>YEAR(Tabla2[[#This Row],[fecha]])</f>
        <v>2025</v>
      </c>
      <c r="D230" s="8">
        <f>MONTH(Tabla2[[#This Row],[fecha]])</f>
        <v>5</v>
      </c>
      <c r="E230" s="8" t="str">
        <f>TEXT(Tabla2[[#This Row],[fecha]], "mmmm")</f>
        <v>mayo</v>
      </c>
      <c r="F230" s="8" t="str">
        <f>"T"&amp;ROUNDUP(Tabla2[[#This Row],[mes]]/3,0)</f>
        <v>T2</v>
      </c>
      <c r="G230" t="s">
        <v>15</v>
      </c>
      <c r="H230" t="s">
        <v>16</v>
      </c>
      <c r="I230" s="8" t="str">
        <f>IF(Tabla2[[#This Row],[precio_unitario]]&lt;=30,"Económico",IF(Tabla2[[#This Row],[precio_unitario]]&lt;=58.49,"Accesible","Caro"))</f>
        <v>Accesible</v>
      </c>
      <c r="J230" t="s">
        <v>17</v>
      </c>
      <c r="K230">
        <v>5</v>
      </c>
      <c r="L230" s="19">
        <v>57.6</v>
      </c>
      <c r="M230" s="19">
        <v>42.72</v>
      </c>
      <c r="N230" s="11">
        <v>0</v>
      </c>
      <c r="O230" s="17">
        <f t="shared" si="15"/>
        <v>288</v>
      </c>
      <c r="P230" s="17">
        <f t="shared" si="12"/>
        <v>213.6</v>
      </c>
      <c r="Q230" s="17">
        <f t="shared" si="13"/>
        <v>74.400000000000006</v>
      </c>
      <c r="R230" s="24">
        <f t="shared" si="14"/>
        <v>0.25833333333333336</v>
      </c>
      <c r="S230" t="s">
        <v>96</v>
      </c>
      <c r="T230" t="s">
        <v>64</v>
      </c>
    </row>
    <row r="231" spans="1:20">
      <c r="A231" t="s">
        <v>300</v>
      </c>
      <c r="B231" s="5">
        <v>45811</v>
      </c>
      <c r="C231" s="8">
        <f>YEAR(Tabla2[[#This Row],[fecha]])</f>
        <v>2025</v>
      </c>
      <c r="D231" s="8">
        <f>MONTH(Tabla2[[#This Row],[fecha]])</f>
        <v>6</v>
      </c>
      <c r="E231" s="8" t="str">
        <f>TEXT(Tabla2[[#This Row],[fecha]], "mmmm")</f>
        <v>junio</v>
      </c>
      <c r="F231" s="8" t="str">
        <f>"T"&amp;ROUNDUP(Tabla2[[#This Row],[mes]]/3,0)</f>
        <v>T2</v>
      </c>
      <c r="G231" t="s">
        <v>45</v>
      </c>
      <c r="H231" t="s">
        <v>46</v>
      </c>
      <c r="I231" s="8" t="str">
        <f>IF(Tabla2[[#This Row],[precio_unitario]]&lt;=30,"Económico",IF(Tabla2[[#This Row],[precio_unitario]]&lt;=58.49,"Accesible","Caro"))</f>
        <v>Económico</v>
      </c>
      <c r="J231" t="s">
        <v>44</v>
      </c>
      <c r="K231">
        <v>4</v>
      </c>
      <c r="L231" s="19">
        <v>29.4</v>
      </c>
      <c r="M231" s="19">
        <v>17.82</v>
      </c>
      <c r="N231" s="11">
        <v>0</v>
      </c>
      <c r="O231" s="17">
        <f t="shared" si="15"/>
        <v>117.6</v>
      </c>
      <c r="P231" s="17">
        <f t="shared" si="12"/>
        <v>71.28</v>
      </c>
      <c r="Q231" s="17">
        <f t="shared" si="13"/>
        <v>46.319999999999993</v>
      </c>
      <c r="R231" s="24">
        <f t="shared" si="14"/>
        <v>0.39387755102040811</v>
      </c>
      <c r="S231" t="s">
        <v>67</v>
      </c>
      <c r="T231" t="s">
        <v>64</v>
      </c>
    </row>
    <row r="232" spans="1:20" hidden="1">
      <c r="A232" t="s">
        <v>301</v>
      </c>
      <c r="B232" s="5">
        <v>45594</v>
      </c>
      <c r="C232" s="8">
        <f>YEAR(Tabla2[[#This Row],[fecha]])</f>
        <v>2024</v>
      </c>
      <c r="D232" s="8">
        <f>MONTH(Tabla2[[#This Row],[fecha]])</f>
        <v>10</v>
      </c>
      <c r="E232" s="8" t="str">
        <f>TEXT(Tabla2[[#This Row],[fecha]], "mmmm")</f>
        <v>octubre</v>
      </c>
      <c r="F232" s="8" t="str">
        <f>"T"&amp;ROUNDUP(Tabla2[[#This Row],[mes]]/3,0)</f>
        <v>T4</v>
      </c>
      <c r="G232" t="s">
        <v>18</v>
      </c>
      <c r="H232" t="s">
        <v>19</v>
      </c>
      <c r="I232" s="8" t="str">
        <f>IF(Tabla2[[#This Row],[precio_unitario]]&lt;=30,"Económico",IF(Tabla2[[#This Row],[precio_unitario]]&lt;=58.49,"Accesible","Caro"))</f>
        <v>Accesible</v>
      </c>
      <c r="J232" t="s">
        <v>17</v>
      </c>
      <c r="K232">
        <v>1</v>
      </c>
      <c r="L232" s="19">
        <v>45.7</v>
      </c>
      <c r="M232" s="19">
        <v>27.36</v>
      </c>
      <c r="N232" s="11">
        <v>0</v>
      </c>
      <c r="O232" s="17">
        <f t="shared" si="15"/>
        <v>45.7</v>
      </c>
      <c r="P232" s="17">
        <f t="shared" si="12"/>
        <v>27.36</v>
      </c>
      <c r="Q232" s="17">
        <f t="shared" si="13"/>
        <v>18.340000000000003</v>
      </c>
      <c r="R232" s="24">
        <f t="shared" si="14"/>
        <v>0.40131291028446392</v>
      </c>
      <c r="S232" t="s">
        <v>67</v>
      </c>
      <c r="T232" t="s">
        <v>64</v>
      </c>
    </row>
    <row r="233" spans="1:20" hidden="1">
      <c r="A233" t="s">
        <v>302</v>
      </c>
      <c r="B233" s="5">
        <v>45742</v>
      </c>
      <c r="C233" s="8">
        <f>YEAR(Tabla2[[#This Row],[fecha]])</f>
        <v>2025</v>
      </c>
      <c r="D233" s="8">
        <f>MONTH(Tabla2[[#This Row],[fecha]])</f>
        <v>3</v>
      </c>
      <c r="E233" s="8" t="str">
        <f>TEXT(Tabla2[[#This Row],[fecha]], "mmmm")</f>
        <v>marzo</v>
      </c>
      <c r="F233" s="8" t="str">
        <f>"T"&amp;ROUNDUP(Tabla2[[#This Row],[mes]]/3,0)</f>
        <v>T1</v>
      </c>
      <c r="G233" t="s">
        <v>45</v>
      </c>
      <c r="H233" t="s">
        <v>46</v>
      </c>
      <c r="I233" s="8" t="str">
        <f>IF(Tabla2[[#This Row],[precio_unitario]]&lt;=30,"Económico",IF(Tabla2[[#This Row],[precio_unitario]]&lt;=58.49,"Accesible","Caro"))</f>
        <v>Accesible</v>
      </c>
      <c r="J233" t="s">
        <v>44</v>
      </c>
      <c r="K233">
        <v>1</v>
      </c>
      <c r="L233" s="19">
        <v>31.91</v>
      </c>
      <c r="M233" s="19">
        <v>17.899999999999999</v>
      </c>
      <c r="N233" s="11">
        <v>0</v>
      </c>
      <c r="O233" s="17">
        <f t="shared" si="15"/>
        <v>31.91</v>
      </c>
      <c r="P233" s="17">
        <f t="shared" si="12"/>
        <v>17.899999999999999</v>
      </c>
      <c r="Q233" s="17">
        <f t="shared" si="13"/>
        <v>14.010000000000002</v>
      </c>
      <c r="R233" s="24">
        <f t="shared" si="14"/>
        <v>0.43904732058915708</v>
      </c>
      <c r="S233" t="s">
        <v>63</v>
      </c>
      <c r="T233" t="s">
        <v>64</v>
      </c>
    </row>
    <row r="234" spans="1:20" hidden="1">
      <c r="A234" t="s">
        <v>303</v>
      </c>
      <c r="B234" s="5">
        <v>45553</v>
      </c>
      <c r="C234" s="8">
        <f>YEAR(Tabla2[[#This Row],[fecha]])</f>
        <v>2024</v>
      </c>
      <c r="D234" s="8">
        <f>MONTH(Tabla2[[#This Row],[fecha]])</f>
        <v>9</v>
      </c>
      <c r="E234" s="8" t="str">
        <f>TEXT(Tabla2[[#This Row],[fecha]], "mmmm")</f>
        <v>septiembre</v>
      </c>
      <c r="F234" s="8" t="str">
        <f>"T"&amp;ROUNDUP(Tabla2[[#This Row],[mes]]/3,0)</f>
        <v>T3</v>
      </c>
      <c r="G234" t="s">
        <v>38</v>
      </c>
      <c r="H234" t="s">
        <v>39</v>
      </c>
      <c r="I234" s="8" t="str">
        <f>IF(Tabla2[[#This Row],[precio_unitario]]&lt;=30,"Económico",IF(Tabla2[[#This Row],[precio_unitario]]&lt;=58.49,"Accesible","Caro"))</f>
        <v>Caro</v>
      </c>
      <c r="J234" t="s">
        <v>35</v>
      </c>
      <c r="K234">
        <v>6</v>
      </c>
      <c r="L234" s="19">
        <v>79.34</v>
      </c>
      <c r="M234" s="19">
        <v>43.33</v>
      </c>
      <c r="N234" s="11">
        <v>0</v>
      </c>
      <c r="O234" s="17">
        <f t="shared" si="15"/>
        <v>476.04</v>
      </c>
      <c r="P234" s="17">
        <f t="shared" si="12"/>
        <v>259.98</v>
      </c>
      <c r="Q234" s="17">
        <f t="shared" si="13"/>
        <v>216.06</v>
      </c>
      <c r="R234" s="24">
        <f t="shared" si="14"/>
        <v>0.45386942273758507</v>
      </c>
      <c r="S234" t="s">
        <v>83</v>
      </c>
      <c r="T234" t="s">
        <v>60</v>
      </c>
    </row>
    <row r="235" spans="1:20" hidden="1">
      <c r="A235" t="s">
        <v>304</v>
      </c>
      <c r="B235" s="5">
        <v>45632</v>
      </c>
      <c r="C235" s="8">
        <f>YEAR(Tabla2[[#This Row],[fecha]])</f>
        <v>2024</v>
      </c>
      <c r="D235" s="8">
        <f>MONTH(Tabla2[[#This Row],[fecha]])</f>
        <v>12</v>
      </c>
      <c r="E235" s="8" t="str">
        <f>TEXT(Tabla2[[#This Row],[fecha]], "mmmm")</f>
        <v>diciembre</v>
      </c>
      <c r="F235" s="8" t="str">
        <f>"T"&amp;ROUNDUP(Tabla2[[#This Row],[mes]]/3,0)</f>
        <v>T4</v>
      </c>
      <c r="G235" t="s">
        <v>6</v>
      </c>
      <c r="H235" t="s">
        <v>7</v>
      </c>
      <c r="I235" s="8" t="str">
        <f>IF(Tabla2[[#This Row],[precio_unitario]]&lt;=30,"Económico",IF(Tabla2[[#This Row],[precio_unitario]]&lt;=58.49,"Accesible","Caro"))</f>
        <v>Caro</v>
      </c>
      <c r="J235" t="s">
        <v>8</v>
      </c>
      <c r="K235">
        <v>2</v>
      </c>
      <c r="L235" s="19">
        <v>130.12</v>
      </c>
      <c r="M235" s="19">
        <v>85.04</v>
      </c>
      <c r="N235" s="13">
        <v>0</v>
      </c>
      <c r="O235" s="17">
        <f t="shared" si="15"/>
        <v>260.24</v>
      </c>
      <c r="P235" s="17">
        <f t="shared" si="12"/>
        <v>170.08</v>
      </c>
      <c r="Q235" s="17">
        <f t="shared" si="13"/>
        <v>90.16</v>
      </c>
      <c r="R235" s="24">
        <f t="shared" si="14"/>
        <v>0.34644943129418998</v>
      </c>
      <c r="S235" t="s">
        <v>96</v>
      </c>
      <c r="T235" t="s">
        <v>64</v>
      </c>
    </row>
    <row r="236" spans="1:20" hidden="1">
      <c r="A236" t="s">
        <v>305</v>
      </c>
      <c r="B236" s="5">
        <v>45592</v>
      </c>
      <c r="C236" s="8">
        <f>YEAR(Tabla2[[#This Row],[fecha]])</f>
        <v>2024</v>
      </c>
      <c r="D236" s="8">
        <f>MONTH(Tabla2[[#This Row],[fecha]])</f>
        <v>10</v>
      </c>
      <c r="E236" s="8" t="str">
        <f>TEXT(Tabla2[[#This Row],[fecha]], "mmmm")</f>
        <v>octubre</v>
      </c>
      <c r="F236" s="8" t="str">
        <f>"T"&amp;ROUNDUP(Tabla2[[#This Row],[mes]]/3,0)</f>
        <v>T4</v>
      </c>
      <c r="G236" t="s">
        <v>42</v>
      </c>
      <c r="H236" t="s">
        <v>43</v>
      </c>
      <c r="I236" s="8" t="str">
        <f>IF(Tabla2[[#This Row],[precio_unitario]]&lt;=30,"Económico",IF(Tabla2[[#This Row],[precio_unitario]]&lt;=58.49,"Accesible","Caro"))</f>
        <v>Accesible</v>
      </c>
      <c r="J236" t="s">
        <v>44</v>
      </c>
      <c r="K236">
        <v>3</v>
      </c>
      <c r="L236" s="19">
        <v>49.51</v>
      </c>
      <c r="M236" s="19">
        <v>23.79</v>
      </c>
      <c r="N236" s="11">
        <v>0</v>
      </c>
      <c r="O236" s="17">
        <f t="shared" si="15"/>
        <v>148.53</v>
      </c>
      <c r="P236" s="17">
        <f t="shared" si="12"/>
        <v>71.37</v>
      </c>
      <c r="Q236" s="17">
        <f t="shared" si="13"/>
        <v>77.16</v>
      </c>
      <c r="R236" s="24">
        <f t="shared" si="14"/>
        <v>0.51949101191678448</v>
      </c>
      <c r="S236" t="s">
        <v>83</v>
      </c>
      <c r="T236" t="s">
        <v>64</v>
      </c>
    </row>
    <row r="237" spans="1:20">
      <c r="A237" t="s">
        <v>306</v>
      </c>
      <c r="B237" s="5">
        <v>45837</v>
      </c>
      <c r="C237" s="8">
        <f>YEAR(Tabla2[[#This Row],[fecha]])</f>
        <v>2025</v>
      </c>
      <c r="D237" s="8">
        <f>MONTH(Tabla2[[#This Row],[fecha]])</f>
        <v>6</v>
      </c>
      <c r="E237" s="8" t="str">
        <f>TEXT(Tabla2[[#This Row],[fecha]], "mmmm")</f>
        <v>junio</v>
      </c>
      <c r="F237" s="8" t="str">
        <f>"T"&amp;ROUNDUP(Tabla2[[#This Row],[mes]]/3,0)</f>
        <v>T2</v>
      </c>
      <c r="G237" t="s">
        <v>36</v>
      </c>
      <c r="H237" t="s">
        <v>37</v>
      </c>
      <c r="I237" s="8" t="str">
        <f>IF(Tabla2[[#This Row],[precio_unitario]]&lt;=30,"Económico",IF(Tabla2[[#This Row],[precio_unitario]]&lt;=58.49,"Accesible","Caro"))</f>
        <v>Económico</v>
      </c>
      <c r="J237" t="s">
        <v>35</v>
      </c>
      <c r="K237">
        <v>3</v>
      </c>
      <c r="L237" s="19">
        <v>13.02</v>
      </c>
      <c r="M237" s="19">
        <v>9.68</v>
      </c>
      <c r="N237" s="11">
        <v>0</v>
      </c>
      <c r="O237" s="17">
        <f t="shared" si="15"/>
        <v>39.06</v>
      </c>
      <c r="P237" s="17">
        <f t="shared" si="12"/>
        <v>29.04</v>
      </c>
      <c r="Q237" s="17">
        <f t="shared" si="13"/>
        <v>10.020000000000003</v>
      </c>
      <c r="R237" s="24">
        <f t="shared" si="14"/>
        <v>0.25652841781874047</v>
      </c>
      <c r="S237" t="s">
        <v>67</v>
      </c>
      <c r="T237" t="s">
        <v>60</v>
      </c>
    </row>
    <row r="238" spans="1:20" hidden="1">
      <c r="A238" t="s">
        <v>307</v>
      </c>
      <c r="B238" s="5">
        <v>45387</v>
      </c>
      <c r="C238" s="8">
        <f>YEAR(Tabla2[[#This Row],[fecha]])</f>
        <v>2024</v>
      </c>
      <c r="D238" s="8">
        <f>MONTH(Tabla2[[#This Row],[fecha]])</f>
        <v>4</v>
      </c>
      <c r="E238" s="8" t="str">
        <f>TEXT(Tabla2[[#This Row],[fecha]], "mmmm")</f>
        <v>abril</v>
      </c>
      <c r="F238" s="8" t="str">
        <f>"T"&amp;ROUNDUP(Tabla2[[#This Row],[mes]]/3,0)</f>
        <v>T2</v>
      </c>
      <c r="G238" t="s">
        <v>36</v>
      </c>
      <c r="H238" t="s">
        <v>37</v>
      </c>
      <c r="I238" s="8" t="str">
        <f>IF(Tabla2[[#This Row],[precio_unitario]]&lt;=30,"Económico",IF(Tabla2[[#This Row],[precio_unitario]]&lt;=58.49,"Accesible","Caro"))</f>
        <v>Económico</v>
      </c>
      <c r="J238" t="s">
        <v>35</v>
      </c>
      <c r="K238">
        <v>1</v>
      </c>
      <c r="L238" s="19">
        <v>14.02</v>
      </c>
      <c r="M238" s="19">
        <v>9.4499999999999993</v>
      </c>
      <c r="N238" s="13">
        <v>0</v>
      </c>
      <c r="O238" s="17">
        <f t="shared" si="15"/>
        <v>14.02</v>
      </c>
      <c r="P238" s="17">
        <f t="shared" si="12"/>
        <v>9.4499999999999993</v>
      </c>
      <c r="Q238" s="17">
        <f t="shared" si="13"/>
        <v>4.57</v>
      </c>
      <c r="R238" s="24">
        <f t="shared" si="14"/>
        <v>0.32596291012838807</v>
      </c>
      <c r="S238" t="s">
        <v>83</v>
      </c>
      <c r="T238" t="s">
        <v>60</v>
      </c>
    </row>
    <row r="239" spans="1:20">
      <c r="A239" t="s">
        <v>308</v>
      </c>
      <c r="B239" s="5">
        <v>46022</v>
      </c>
      <c r="C239" s="8">
        <f>YEAR(Tabla2[[#This Row],[fecha]])</f>
        <v>2025</v>
      </c>
      <c r="D239" s="8">
        <f>MONTH(Tabla2[[#This Row],[fecha]])</f>
        <v>12</v>
      </c>
      <c r="E239" s="8" t="str">
        <f>TEXT(Tabla2[[#This Row],[fecha]], "mmmm")</f>
        <v>diciembre</v>
      </c>
      <c r="F239" s="8" t="str">
        <f>"T"&amp;ROUNDUP(Tabla2[[#This Row],[mes]]/3,0)</f>
        <v>T4</v>
      </c>
      <c r="G239" t="s">
        <v>11</v>
      </c>
      <c r="H239" t="s">
        <v>12</v>
      </c>
      <c r="I239" s="8" t="str">
        <f>IF(Tabla2[[#This Row],[precio_unitario]]&lt;=30,"Económico",IF(Tabla2[[#This Row],[precio_unitario]]&lt;=58.49,"Accesible","Caro"))</f>
        <v>Caro</v>
      </c>
      <c r="J239" t="s">
        <v>8</v>
      </c>
      <c r="K239">
        <v>2</v>
      </c>
      <c r="L239" s="19">
        <v>167.44</v>
      </c>
      <c r="M239" s="21">
        <f>INDEX(Tabla3[coste_objetivo], MATCH(Tabla2[[#This Row],[id_producto]], Tabla3[id_producto],0))</f>
        <v>94.19</v>
      </c>
      <c r="N239" s="11">
        <v>0</v>
      </c>
      <c r="O239" s="17">
        <f t="shared" si="15"/>
        <v>334.88</v>
      </c>
      <c r="P239" s="17">
        <f t="shared" si="12"/>
        <v>188.38</v>
      </c>
      <c r="Q239" s="17">
        <f t="shared" si="13"/>
        <v>146.5</v>
      </c>
      <c r="R239" s="24">
        <f t="shared" si="14"/>
        <v>0.4374701385570951</v>
      </c>
      <c r="S239" t="s">
        <v>67</v>
      </c>
      <c r="T239" t="s">
        <v>60</v>
      </c>
    </row>
    <row r="240" spans="1:20" hidden="1">
      <c r="A240" t="s">
        <v>309</v>
      </c>
      <c r="B240" s="5">
        <v>45908</v>
      </c>
      <c r="C240" s="8">
        <f>YEAR(Tabla2[[#This Row],[fecha]])</f>
        <v>2025</v>
      </c>
      <c r="D240" s="8">
        <f>MONTH(Tabla2[[#This Row],[fecha]])</f>
        <v>9</v>
      </c>
      <c r="E240" s="8" t="str">
        <f>TEXT(Tabla2[[#This Row],[fecha]], "mmmm")</f>
        <v>septiembre</v>
      </c>
      <c r="F240" s="8" t="str">
        <f>"T"&amp;ROUNDUP(Tabla2[[#This Row],[mes]]/3,0)</f>
        <v>T3</v>
      </c>
      <c r="G240" t="s">
        <v>33</v>
      </c>
      <c r="H240" t="s">
        <v>34</v>
      </c>
      <c r="I240" s="8" t="str">
        <f>IF(Tabla2[[#This Row],[precio_unitario]]&lt;=30,"Económico",IF(Tabla2[[#This Row],[precio_unitario]]&lt;=58.49,"Accesible","Caro"))</f>
        <v>Caro</v>
      </c>
      <c r="J240" t="s">
        <v>35</v>
      </c>
      <c r="K240">
        <v>2</v>
      </c>
      <c r="L240" s="19">
        <v>75.56</v>
      </c>
      <c r="M240" s="19">
        <v>47.49</v>
      </c>
      <c r="N240" s="11">
        <v>0</v>
      </c>
      <c r="O240" s="17">
        <f t="shared" si="15"/>
        <v>151.12</v>
      </c>
      <c r="P240" s="17">
        <f t="shared" si="12"/>
        <v>94.98</v>
      </c>
      <c r="Q240" s="17">
        <f t="shared" si="13"/>
        <v>56.14</v>
      </c>
      <c r="R240" s="24">
        <f t="shared" si="14"/>
        <v>0.37149285336156695</v>
      </c>
      <c r="S240" t="s">
        <v>83</v>
      </c>
      <c r="T240" t="s">
        <v>60</v>
      </c>
    </row>
    <row r="241" spans="1:20" hidden="1">
      <c r="A241" t="s">
        <v>310</v>
      </c>
      <c r="B241" s="5">
        <v>45489</v>
      </c>
      <c r="C241" s="8">
        <f>YEAR(Tabla2[[#This Row],[fecha]])</f>
        <v>2024</v>
      </c>
      <c r="D241" s="8">
        <f>MONTH(Tabla2[[#This Row],[fecha]])</f>
        <v>7</v>
      </c>
      <c r="E241" s="8" t="str">
        <f>TEXT(Tabla2[[#This Row],[fecha]], "mmmm")</f>
        <v>julio</v>
      </c>
      <c r="F241" s="8" t="str">
        <f>"T"&amp;ROUNDUP(Tabla2[[#This Row],[mes]]/3,0)</f>
        <v>T3</v>
      </c>
      <c r="G241" t="s">
        <v>33</v>
      </c>
      <c r="H241" t="s">
        <v>34</v>
      </c>
      <c r="I241" s="8" t="str">
        <f>IF(Tabla2[[#This Row],[precio_unitario]]&lt;=30,"Económico",IF(Tabla2[[#This Row],[precio_unitario]]&lt;=58.49,"Accesible","Caro"))</f>
        <v>Caro</v>
      </c>
      <c r="J241" t="s">
        <v>35</v>
      </c>
      <c r="K241">
        <v>1</v>
      </c>
      <c r="L241" s="19">
        <v>75.72</v>
      </c>
      <c r="M241" s="19">
        <v>47.99</v>
      </c>
      <c r="N241" s="11">
        <v>0</v>
      </c>
      <c r="O241" s="17">
        <f t="shared" si="15"/>
        <v>75.72</v>
      </c>
      <c r="P241" s="17">
        <f t="shared" si="12"/>
        <v>47.99</v>
      </c>
      <c r="Q241" s="17">
        <f t="shared" si="13"/>
        <v>27.729999999999997</v>
      </c>
      <c r="R241" s="24">
        <f t="shared" si="14"/>
        <v>0.36621764395139988</v>
      </c>
      <c r="S241" t="s">
        <v>63</v>
      </c>
      <c r="T241" t="s">
        <v>60</v>
      </c>
    </row>
    <row r="242" spans="1:20" hidden="1">
      <c r="A242" t="s">
        <v>311</v>
      </c>
      <c r="B242" s="5">
        <v>45968</v>
      </c>
      <c r="C242" s="8">
        <f>YEAR(Tabla2[[#This Row],[fecha]])</f>
        <v>2025</v>
      </c>
      <c r="D242" s="8">
        <f>MONTH(Tabla2[[#This Row],[fecha]])</f>
        <v>11</v>
      </c>
      <c r="E242" s="8" t="str">
        <f>TEXT(Tabla2[[#This Row],[fecha]], "mmmm")</f>
        <v>noviembre</v>
      </c>
      <c r="F242" s="8" t="str">
        <f>"T"&amp;ROUNDUP(Tabla2[[#This Row],[mes]]/3,0)</f>
        <v>T4</v>
      </c>
      <c r="G242" t="s">
        <v>6</v>
      </c>
      <c r="H242" t="s">
        <v>7</v>
      </c>
      <c r="I242" s="8" t="str">
        <f>IF(Tabla2[[#This Row],[precio_unitario]]&lt;=30,"Económico",IF(Tabla2[[#This Row],[precio_unitario]]&lt;=58.49,"Accesible","Caro"))</f>
        <v>Caro</v>
      </c>
      <c r="J242" t="s">
        <v>8</v>
      </c>
      <c r="K242">
        <v>3</v>
      </c>
      <c r="L242" s="19">
        <v>131.30000000000001</v>
      </c>
      <c r="M242" s="19">
        <v>88.12</v>
      </c>
      <c r="N242" s="13">
        <v>0</v>
      </c>
      <c r="O242" s="17">
        <f t="shared" si="15"/>
        <v>393.90000000000003</v>
      </c>
      <c r="P242" s="17">
        <f t="shared" si="12"/>
        <v>264.36</v>
      </c>
      <c r="Q242" s="17">
        <f t="shared" si="13"/>
        <v>129.54000000000002</v>
      </c>
      <c r="R242" s="24">
        <f t="shared" si="14"/>
        <v>0.32886519421172888</v>
      </c>
      <c r="S242" t="s">
        <v>96</v>
      </c>
      <c r="T242" t="s">
        <v>64</v>
      </c>
    </row>
    <row r="243" spans="1:20" hidden="1">
      <c r="A243" t="s">
        <v>312</v>
      </c>
      <c r="B243" s="5">
        <v>45823</v>
      </c>
      <c r="C243" s="8">
        <f>YEAR(Tabla2[[#This Row],[fecha]])</f>
        <v>2025</v>
      </c>
      <c r="D243" s="8">
        <f>MONTH(Tabla2[[#This Row],[fecha]])</f>
        <v>6</v>
      </c>
      <c r="E243" s="8" t="str">
        <f>TEXT(Tabla2[[#This Row],[fecha]], "mmmm")</f>
        <v>junio</v>
      </c>
      <c r="F243" s="8" t="str">
        <f>"T"&amp;ROUNDUP(Tabla2[[#This Row],[mes]]/3,0)</f>
        <v>T2</v>
      </c>
      <c r="G243" t="s">
        <v>40</v>
      </c>
      <c r="H243" t="s">
        <v>41</v>
      </c>
      <c r="I243" s="8" t="str">
        <f>IF(Tabla2[[#This Row],[precio_unitario]]&lt;=30,"Económico",IF(Tabla2[[#This Row],[precio_unitario]]&lt;=58.49,"Accesible","Caro"))</f>
        <v>Caro</v>
      </c>
      <c r="J243" t="s">
        <v>35</v>
      </c>
      <c r="K243">
        <v>3</v>
      </c>
      <c r="L243" s="19">
        <v>80.3</v>
      </c>
      <c r="M243" s="19">
        <v>39.630000000000003</v>
      </c>
      <c r="N243" s="13">
        <v>0</v>
      </c>
      <c r="O243" s="17">
        <f t="shared" si="15"/>
        <v>240.89999999999998</v>
      </c>
      <c r="P243" s="17">
        <f t="shared" si="12"/>
        <v>118.89000000000001</v>
      </c>
      <c r="Q243" s="17">
        <f t="shared" si="13"/>
        <v>122.00999999999996</v>
      </c>
      <c r="R243" s="24">
        <f t="shared" si="14"/>
        <v>0.50647571606475705</v>
      </c>
      <c r="S243" t="s">
        <v>540</v>
      </c>
      <c r="T243" t="s">
        <v>64</v>
      </c>
    </row>
    <row r="244" spans="1:20" hidden="1">
      <c r="A244" t="s">
        <v>313</v>
      </c>
      <c r="B244" s="5">
        <v>45586</v>
      </c>
      <c r="C244" s="8">
        <f>YEAR(Tabla2[[#This Row],[fecha]])</f>
        <v>2024</v>
      </c>
      <c r="D244" s="8">
        <f>MONTH(Tabla2[[#This Row],[fecha]])</f>
        <v>10</v>
      </c>
      <c r="E244" s="8" t="str">
        <f>TEXT(Tabla2[[#This Row],[fecha]], "mmmm")</f>
        <v>octubre</v>
      </c>
      <c r="F244" s="8" t="str">
        <f>"T"&amp;ROUNDUP(Tabla2[[#This Row],[mes]]/3,0)</f>
        <v>T4</v>
      </c>
      <c r="G244" t="s">
        <v>15</v>
      </c>
      <c r="H244" t="s">
        <v>16</v>
      </c>
      <c r="I244" s="8" t="str">
        <f>IF(Tabla2[[#This Row],[precio_unitario]]&lt;=30,"Económico",IF(Tabla2[[#This Row],[precio_unitario]]&lt;=58.49,"Accesible","Caro"))</f>
        <v>Accesible</v>
      </c>
      <c r="J244" t="s">
        <v>17</v>
      </c>
      <c r="K244">
        <v>1</v>
      </c>
      <c r="L244" s="19">
        <v>55.11</v>
      </c>
      <c r="M244" s="19">
        <v>39.97</v>
      </c>
      <c r="N244" s="11">
        <v>0</v>
      </c>
      <c r="O244" s="17">
        <f t="shared" si="15"/>
        <v>55.11</v>
      </c>
      <c r="P244" s="17">
        <f t="shared" si="12"/>
        <v>39.97</v>
      </c>
      <c r="Q244" s="17">
        <f t="shared" si="13"/>
        <v>15.14</v>
      </c>
      <c r="R244" s="24">
        <f t="shared" si="14"/>
        <v>0.2747232807113047</v>
      </c>
      <c r="S244" t="s">
        <v>67</v>
      </c>
      <c r="T244" t="s">
        <v>64</v>
      </c>
    </row>
    <row r="245" spans="1:20" hidden="1">
      <c r="A245" t="s">
        <v>314</v>
      </c>
      <c r="B245" s="5">
        <v>45561</v>
      </c>
      <c r="C245" s="8">
        <f>YEAR(Tabla2[[#This Row],[fecha]])</f>
        <v>2024</v>
      </c>
      <c r="D245" s="8">
        <f>MONTH(Tabla2[[#This Row],[fecha]])</f>
        <v>9</v>
      </c>
      <c r="E245" s="8" t="str">
        <f>TEXT(Tabla2[[#This Row],[fecha]], "mmmm")</f>
        <v>septiembre</v>
      </c>
      <c r="F245" s="8" t="str">
        <f>"T"&amp;ROUNDUP(Tabla2[[#This Row],[mes]]/3,0)</f>
        <v>T3</v>
      </c>
      <c r="G245" t="s">
        <v>33</v>
      </c>
      <c r="H245" t="s">
        <v>34</v>
      </c>
      <c r="I245" s="8" t="str">
        <f>IF(Tabla2[[#This Row],[precio_unitario]]&lt;=30,"Económico",IF(Tabla2[[#This Row],[precio_unitario]]&lt;=58.49,"Accesible","Caro"))</f>
        <v>Caro</v>
      </c>
      <c r="J245" t="s">
        <v>35</v>
      </c>
      <c r="K245">
        <v>7</v>
      </c>
      <c r="L245" s="19">
        <v>79.52</v>
      </c>
      <c r="M245" s="19">
        <v>49.82</v>
      </c>
      <c r="N245" s="11">
        <v>0</v>
      </c>
      <c r="O245" s="17">
        <f t="shared" si="15"/>
        <v>556.64</v>
      </c>
      <c r="P245" s="17">
        <f t="shared" si="12"/>
        <v>348.74</v>
      </c>
      <c r="Q245" s="17">
        <f t="shared" si="13"/>
        <v>207.89999999999998</v>
      </c>
      <c r="R245" s="24">
        <f t="shared" si="14"/>
        <v>0.37349094567404423</v>
      </c>
      <c r="S245" t="s">
        <v>67</v>
      </c>
      <c r="T245" t="s">
        <v>64</v>
      </c>
    </row>
    <row r="246" spans="1:20" hidden="1">
      <c r="A246" t="s">
        <v>315</v>
      </c>
      <c r="B246" s="5">
        <v>45669</v>
      </c>
      <c r="C246" s="8">
        <f>YEAR(Tabla2[[#This Row],[fecha]])</f>
        <v>2025</v>
      </c>
      <c r="D246" s="8">
        <f>MONTH(Tabla2[[#This Row],[fecha]])</f>
        <v>1</v>
      </c>
      <c r="E246" s="8" t="str">
        <f>TEXT(Tabla2[[#This Row],[fecha]], "mmmm")</f>
        <v>enero</v>
      </c>
      <c r="F246" s="8" t="str">
        <f>"T"&amp;ROUNDUP(Tabla2[[#This Row],[mes]]/3,0)</f>
        <v>T1</v>
      </c>
      <c r="G246" t="s">
        <v>18</v>
      </c>
      <c r="H246" t="s">
        <v>19</v>
      </c>
      <c r="I246" s="8" t="str">
        <f>IF(Tabla2[[#This Row],[precio_unitario]]&lt;=30,"Económico",IF(Tabla2[[#This Row],[precio_unitario]]&lt;=58.49,"Accesible","Caro"))</f>
        <v>Accesible</v>
      </c>
      <c r="J246" t="s">
        <v>17</v>
      </c>
      <c r="K246">
        <v>1</v>
      </c>
      <c r="L246" s="19">
        <v>48</v>
      </c>
      <c r="M246" s="19">
        <v>27.15</v>
      </c>
      <c r="N246" s="13">
        <v>0</v>
      </c>
      <c r="O246" s="17">
        <f t="shared" si="15"/>
        <v>48</v>
      </c>
      <c r="P246" s="17">
        <f t="shared" si="12"/>
        <v>27.15</v>
      </c>
      <c r="Q246" s="17">
        <f t="shared" si="13"/>
        <v>20.85</v>
      </c>
      <c r="R246" s="24">
        <f t="shared" si="14"/>
        <v>0.43437500000000001</v>
      </c>
      <c r="S246" t="s">
        <v>101</v>
      </c>
      <c r="T246" t="s">
        <v>64</v>
      </c>
    </row>
    <row r="247" spans="1:20">
      <c r="A247" t="s">
        <v>316</v>
      </c>
      <c r="B247" s="5">
        <v>45849</v>
      </c>
      <c r="C247" s="8">
        <f>YEAR(Tabla2[[#This Row],[fecha]])</f>
        <v>2025</v>
      </c>
      <c r="D247" s="8">
        <f>MONTH(Tabla2[[#This Row],[fecha]])</f>
        <v>7</v>
      </c>
      <c r="E247" s="8" t="str">
        <f>TEXT(Tabla2[[#This Row],[fecha]], "mmmm")</f>
        <v>julio</v>
      </c>
      <c r="F247" s="8" t="str">
        <f>"T"&amp;ROUNDUP(Tabla2[[#This Row],[mes]]/3,0)</f>
        <v>T3</v>
      </c>
      <c r="G247" t="s">
        <v>13</v>
      </c>
      <c r="H247" t="s">
        <v>14</v>
      </c>
      <c r="I247" s="8" t="str">
        <f>IF(Tabla2[[#This Row],[precio_unitario]]&lt;=30,"Económico",IF(Tabla2[[#This Row],[precio_unitario]]&lt;=58.49,"Accesible","Caro"))</f>
        <v>Caro</v>
      </c>
      <c r="J247" t="s">
        <v>8</v>
      </c>
      <c r="K247">
        <v>2</v>
      </c>
      <c r="L247" s="19">
        <v>165.83</v>
      </c>
      <c r="M247" s="19">
        <v>107.01</v>
      </c>
      <c r="N247" s="11">
        <v>0</v>
      </c>
      <c r="O247" s="17">
        <f t="shared" si="15"/>
        <v>331.66</v>
      </c>
      <c r="P247" s="17">
        <f t="shared" si="12"/>
        <v>214.02</v>
      </c>
      <c r="Q247" s="17">
        <f t="shared" si="13"/>
        <v>117.64000000000001</v>
      </c>
      <c r="R247" s="24">
        <f t="shared" si="14"/>
        <v>0.35470059699692458</v>
      </c>
      <c r="S247" t="s">
        <v>67</v>
      </c>
      <c r="T247" t="s">
        <v>64</v>
      </c>
    </row>
    <row r="248" spans="1:20" hidden="1">
      <c r="A248" t="s">
        <v>317</v>
      </c>
      <c r="B248" s="5">
        <v>45728</v>
      </c>
      <c r="C248" s="8">
        <f>YEAR(Tabla2[[#This Row],[fecha]])</f>
        <v>2025</v>
      </c>
      <c r="D248" s="8">
        <f>MONTH(Tabla2[[#This Row],[fecha]])</f>
        <v>3</v>
      </c>
      <c r="E248" s="8" t="str">
        <f>TEXT(Tabla2[[#This Row],[fecha]], "mmmm")</f>
        <v>marzo</v>
      </c>
      <c r="F248" s="8" t="str">
        <f>"T"&amp;ROUNDUP(Tabla2[[#This Row],[mes]]/3,0)</f>
        <v>T1</v>
      </c>
      <c r="G248" t="s">
        <v>40</v>
      </c>
      <c r="H248" t="s">
        <v>41</v>
      </c>
      <c r="I248" s="8" t="str">
        <f>IF(Tabla2[[#This Row],[precio_unitario]]&lt;=30,"Económico",IF(Tabla2[[#This Row],[precio_unitario]]&lt;=58.49,"Accesible","Caro"))</f>
        <v>Caro</v>
      </c>
      <c r="J248" t="s">
        <v>35</v>
      </c>
      <c r="K248">
        <v>1</v>
      </c>
      <c r="L248" s="19">
        <v>79.61</v>
      </c>
      <c r="M248" s="19">
        <v>41.5</v>
      </c>
      <c r="N248" s="13">
        <v>0</v>
      </c>
      <c r="O248" s="17">
        <f t="shared" si="15"/>
        <v>79.61</v>
      </c>
      <c r="P248" s="17">
        <f t="shared" si="12"/>
        <v>41.5</v>
      </c>
      <c r="Q248" s="17">
        <f t="shared" si="13"/>
        <v>38.11</v>
      </c>
      <c r="R248" s="24">
        <f t="shared" si="14"/>
        <v>0.47870870493656575</v>
      </c>
      <c r="S248" t="s">
        <v>540</v>
      </c>
      <c r="T248" t="s">
        <v>64</v>
      </c>
    </row>
    <row r="249" spans="1:20" hidden="1">
      <c r="A249" t="s">
        <v>318</v>
      </c>
      <c r="B249" s="5">
        <v>45327</v>
      </c>
      <c r="C249" s="8">
        <f>YEAR(Tabla2[[#This Row],[fecha]])</f>
        <v>2024</v>
      </c>
      <c r="D249" s="8">
        <f>MONTH(Tabla2[[#This Row],[fecha]])</f>
        <v>2</v>
      </c>
      <c r="E249" s="8" t="str">
        <f>TEXT(Tabla2[[#This Row],[fecha]], "mmmm")</f>
        <v>febrero</v>
      </c>
      <c r="F249" s="8" t="str">
        <f>"T"&amp;ROUNDUP(Tabla2[[#This Row],[mes]]/3,0)</f>
        <v>T1</v>
      </c>
      <c r="G249" t="s">
        <v>6</v>
      </c>
      <c r="H249" t="s">
        <v>7</v>
      </c>
      <c r="I249" s="8" t="str">
        <f>IF(Tabla2[[#This Row],[precio_unitario]]&lt;=30,"Económico",IF(Tabla2[[#This Row],[precio_unitario]]&lt;=58.49,"Accesible","Caro"))</f>
        <v>Caro</v>
      </c>
      <c r="J249" t="s">
        <v>8</v>
      </c>
      <c r="K249">
        <v>2</v>
      </c>
      <c r="L249" s="19">
        <v>131.47999999999999</v>
      </c>
      <c r="M249" s="19">
        <v>84.65</v>
      </c>
      <c r="N249" s="11">
        <v>0</v>
      </c>
      <c r="O249" s="17">
        <f t="shared" si="15"/>
        <v>262.95999999999998</v>
      </c>
      <c r="P249" s="17">
        <f t="shared" si="12"/>
        <v>169.3</v>
      </c>
      <c r="Q249" s="17">
        <f t="shared" si="13"/>
        <v>93.659999999999968</v>
      </c>
      <c r="R249" s="24">
        <f t="shared" si="14"/>
        <v>0.35617584423486454</v>
      </c>
      <c r="S249" t="s">
        <v>83</v>
      </c>
      <c r="T249" t="s">
        <v>64</v>
      </c>
    </row>
    <row r="250" spans="1:20" hidden="1">
      <c r="A250" t="s">
        <v>319</v>
      </c>
      <c r="B250" s="5">
        <v>45479</v>
      </c>
      <c r="C250" s="8">
        <f>YEAR(Tabla2[[#This Row],[fecha]])</f>
        <v>2024</v>
      </c>
      <c r="D250" s="8">
        <f>MONTH(Tabla2[[#This Row],[fecha]])</f>
        <v>7</v>
      </c>
      <c r="E250" s="8" t="str">
        <f>TEXT(Tabla2[[#This Row],[fecha]], "mmmm")</f>
        <v>julio</v>
      </c>
      <c r="F250" s="8" t="str">
        <f>"T"&amp;ROUNDUP(Tabla2[[#This Row],[mes]]/3,0)</f>
        <v>T3</v>
      </c>
      <c r="G250" t="s">
        <v>42</v>
      </c>
      <c r="H250" t="s">
        <v>43</v>
      </c>
      <c r="I250" s="8" t="str">
        <f>IF(Tabla2[[#This Row],[precio_unitario]]&lt;=30,"Económico",IF(Tabla2[[#This Row],[precio_unitario]]&lt;=58.49,"Accesible","Caro"))</f>
        <v>Accesible</v>
      </c>
      <c r="J250" t="s">
        <v>44</v>
      </c>
      <c r="K250">
        <v>2</v>
      </c>
      <c r="L250" s="19">
        <v>53.23</v>
      </c>
      <c r="M250" s="19">
        <v>21.72</v>
      </c>
      <c r="N250" s="13">
        <v>0</v>
      </c>
      <c r="O250" s="17">
        <f t="shared" si="15"/>
        <v>106.46</v>
      </c>
      <c r="P250" s="17">
        <f t="shared" si="12"/>
        <v>43.44</v>
      </c>
      <c r="Q250" s="17">
        <f t="shared" si="13"/>
        <v>63.019999999999996</v>
      </c>
      <c r="R250" s="24">
        <f t="shared" si="14"/>
        <v>0.59195942137892166</v>
      </c>
      <c r="S250" t="s">
        <v>67</v>
      </c>
      <c r="T250" t="s">
        <v>60</v>
      </c>
    </row>
    <row r="251" spans="1:20" hidden="1">
      <c r="A251" t="s">
        <v>320</v>
      </c>
      <c r="B251" s="5">
        <v>45301</v>
      </c>
      <c r="C251" s="8">
        <f>YEAR(Tabla2[[#This Row],[fecha]])</f>
        <v>2024</v>
      </c>
      <c r="D251" s="8">
        <f>MONTH(Tabla2[[#This Row],[fecha]])</f>
        <v>1</v>
      </c>
      <c r="E251" s="8" t="str">
        <f>TEXT(Tabla2[[#This Row],[fecha]], "mmmm")</f>
        <v>enero</v>
      </c>
      <c r="F251" s="8" t="str">
        <f>"T"&amp;ROUNDUP(Tabla2[[#This Row],[mes]]/3,0)</f>
        <v>T1</v>
      </c>
      <c r="G251" t="s">
        <v>15</v>
      </c>
      <c r="H251" t="s">
        <v>16</v>
      </c>
      <c r="I251" s="8" t="str">
        <f>IF(Tabla2[[#This Row],[precio_unitario]]&lt;=30,"Económico",IF(Tabla2[[#This Row],[precio_unitario]]&lt;=58.49,"Accesible","Caro"))</f>
        <v>Caro</v>
      </c>
      <c r="J251" t="s">
        <v>17</v>
      </c>
      <c r="K251">
        <v>1</v>
      </c>
      <c r="L251" s="19">
        <v>61.45</v>
      </c>
      <c r="M251" s="19">
        <v>42.17</v>
      </c>
      <c r="N251" s="11">
        <v>0</v>
      </c>
      <c r="O251" s="17">
        <f t="shared" si="15"/>
        <v>61.45</v>
      </c>
      <c r="P251" s="17">
        <f t="shared" si="12"/>
        <v>42.17</v>
      </c>
      <c r="Q251" s="17">
        <f t="shared" si="13"/>
        <v>19.28</v>
      </c>
      <c r="R251" s="24">
        <f t="shared" si="14"/>
        <v>0.31375101708706266</v>
      </c>
      <c r="S251" t="s">
        <v>67</v>
      </c>
      <c r="T251" t="s">
        <v>64</v>
      </c>
    </row>
    <row r="252" spans="1:20" hidden="1">
      <c r="A252" t="s">
        <v>321</v>
      </c>
      <c r="B252" s="5">
        <v>45608</v>
      </c>
      <c r="C252" s="8">
        <f>YEAR(Tabla2[[#This Row],[fecha]])</f>
        <v>2024</v>
      </c>
      <c r="D252" s="8">
        <f>MONTH(Tabla2[[#This Row],[fecha]])</f>
        <v>11</v>
      </c>
      <c r="E252" s="8" t="str">
        <f>TEXT(Tabla2[[#This Row],[fecha]], "mmmm")</f>
        <v>noviembre</v>
      </c>
      <c r="F252" s="8" t="str">
        <f>"T"&amp;ROUNDUP(Tabla2[[#This Row],[mes]]/3,0)</f>
        <v>T4</v>
      </c>
      <c r="G252" t="s">
        <v>9</v>
      </c>
      <c r="H252" t="s">
        <v>10</v>
      </c>
      <c r="I252" s="8" t="str">
        <f>IF(Tabla2[[#This Row],[precio_unitario]]&lt;=30,"Económico",IF(Tabla2[[#This Row],[precio_unitario]]&lt;=58.49,"Accesible","Caro"))</f>
        <v>Caro</v>
      </c>
      <c r="J252" t="s">
        <v>8</v>
      </c>
      <c r="K252">
        <v>2</v>
      </c>
      <c r="L252" s="19">
        <v>78.64</v>
      </c>
      <c r="M252" s="19">
        <v>46.41</v>
      </c>
      <c r="N252" s="11">
        <v>0</v>
      </c>
      <c r="O252" s="17">
        <f t="shared" si="15"/>
        <v>157.28</v>
      </c>
      <c r="P252" s="17">
        <f t="shared" si="12"/>
        <v>92.82</v>
      </c>
      <c r="Q252" s="17">
        <f t="shared" si="13"/>
        <v>64.460000000000008</v>
      </c>
      <c r="R252" s="24">
        <f t="shared" si="14"/>
        <v>0.4098423194303154</v>
      </c>
      <c r="S252" t="s">
        <v>63</v>
      </c>
      <c r="T252" t="s">
        <v>60</v>
      </c>
    </row>
    <row r="253" spans="1:20" hidden="1">
      <c r="A253" t="s">
        <v>322</v>
      </c>
      <c r="B253" s="5">
        <v>46015</v>
      </c>
      <c r="C253" s="8">
        <f>YEAR(Tabla2[[#This Row],[fecha]])</f>
        <v>2025</v>
      </c>
      <c r="D253" s="8">
        <f>MONTH(Tabla2[[#This Row],[fecha]])</f>
        <v>12</v>
      </c>
      <c r="E253" s="8" t="str">
        <f>TEXT(Tabla2[[#This Row],[fecha]], "mmmm")</f>
        <v>diciembre</v>
      </c>
      <c r="F253" s="8" t="str">
        <f>"T"&amp;ROUNDUP(Tabla2[[#This Row],[mes]]/3,0)</f>
        <v>T4</v>
      </c>
      <c r="G253" t="s">
        <v>13</v>
      </c>
      <c r="H253" t="s">
        <v>14</v>
      </c>
      <c r="I253" s="8" t="str">
        <f>IF(Tabla2[[#This Row],[precio_unitario]]&lt;=30,"Económico",IF(Tabla2[[#This Row],[precio_unitario]]&lt;=58.49,"Accesible","Caro"))</f>
        <v>Caro</v>
      </c>
      <c r="J253" t="s">
        <v>8</v>
      </c>
      <c r="K253">
        <v>1</v>
      </c>
      <c r="L253" s="19">
        <v>156.07</v>
      </c>
      <c r="M253" s="19">
        <v>111.89</v>
      </c>
      <c r="N253" s="13">
        <v>0</v>
      </c>
      <c r="O253" s="17">
        <f t="shared" si="15"/>
        <v>156.07</v>
      </c>
      <c r="P253" s="17">
        <f t="shared" si="12"/>
        <v>111.89</v>
      </c>
      <c r="Q253" s="17">
        <f t="shared" si="13"/>
        <v>44.179999999999993</v>
      </c>
      <c r="R253" s="24">
        <f t="shared" si="14"/>
        <v>0.28307810597808675</v>
      </c>
      <c r="S253" t="s">
        <v>96</v>
      </c>
      <c r="T253" t="s">
        <v>60</v>
      </c>
    </row>
    <row r="254" spans="1:20" hidden="1">
      <c r="A254" t="s">
        <v>323</v>
      </c>
      <c r="B254" s="5">
        <v>45871</v>
      </c>
      <c r="C254" s="8">
        <f>YEAR(Tabla2[[#This Row],[fecha]])</f>
        <v>2025</v>
      </c>
      <c r="D254" s="8">
        <f>MONTH(Tabla2[[#This Row],[fecha]])</f>
        <v>8</v>
      </c>
      <c r="E254" s="8" t="str">
        <f>TEXT(Tabla2[[#This Row],[fecha]], "mmmm")</f>
        <v>agosto</v>
      </c>
      <c r="F254" s="8" t="str">
        <f>"T"&amp;ROUNDUP(Tabla2[[#This Row],[mes]]/3,0)</f>
        <v>T3</v>
      </c>
      <c r="G254" t="s">
        <v>29</v>
      </c>
      <c r="H254" t="s">
        <v>30</v>
      </c>
      <c r="I254" s="8" t="str">
        <f>IF(Tabla2[[#This Row],[precio_unitario]]&lt;=30,"Económico",IF(Tabla2[[#This Row],[precio_unitario]]&lt;=58.49,"Accesible","Caro"))</f>
        <v>Económico</v>
      </c>
      <c r="J254" t="s">
        <v>26</v>
      </c>
      <c r="K254">
        <v>3</v>
      </c>
      <c r="L254" s="19">
        <v>21.25</v>
      </c>
      <c r="M254" s="19">
        <v>11.02</v>
      </c>
      <c r="N254" s="11">
        <v>0.28999999999999998</v>
      </c>
      <c r="O254" s="17">
        <f t="shared" si="15"/>
        <v>45.262499999999996</v>
      </c>
      <c r="P254" s="17">
        <f t="shared" si="12"/>
        <v>33.06</v>
      </c>
      <c r="Q254" s="17">
        <f t="shared" si="13"/>
        <v>12.202499999999993</v>
      </c>
      <c r="R254" s="24">
        <f t="shared" si="14"/>
        <v>0.26959403479701727</v>
      </c>
      <c r="S254" t="s">
        <v>96</v>
      </c>
      <c r="T254" t="s">
        <v>60</v>
      </c>
    </row>
    <row r="255" spans="1:20" hidden="1">
      <c r="A255" t="s">
        <v>324</v>
      </c>
      <c r="B255" s="5">
        <v>45563</v>
      </c>
      <c r="C255" s="8">
        <f>YEAR(Tabla2[[#This Row],[fecha]])</f>
        <v>2024</v>
      </c>
      <c r="D255" s="8">
        <f>MONTH(Tabla2[[#This Row],[fecha]])</f>
        <v>9</v>
      </c>
      <c r="E255" s="8" t="str">
        <f>TEXT(Tabla2[[#This Row],[fecha]], "mmmm")</f>
        <v>septiembre</v>
      </c>
      <c r="F255" s="8" t="str">
        <f>"T"&amp;ROUNDUP(Tabla2[[#This Row],[mes]]/3,0)</f>
        <v>T3</v>
      </c>
      <c r="G255" t="s">
        <v>18</v>
      </c>
      <c r="H255" t="s">
        <v>19</v>
      </c>
      <c r="I255" s="8" t="str">
        <f>IF(Tabla2[[#This Row],[precio_unitario]]&lt;=30,"Económico",IF(Tabla2[[#This Row],[precio_unitario]]&lt;=58.49,"Accesible","Caro"))</f>
        <v>Accesible</v>
      </c>
      <c r="J255" t="s">
        <v>17</v>
      </c>
      <c r="K255">
        <v>1</v>
      </c>
      <c r="L255" s="19">
        <v>46.35</v>
      </c>
      <c r="M255" s="19">
        <v>26.84</v>
      </c>
      <c r="N255" s="11">
        <v>0</v>
      </c>
      <c r="O255" s="17">
        <f t="shared" si="15"/>
        <v>46.35</v>
      </c>
      <c r="P255" s="17">
        <f t="shared" si="12"/>
        <v>26.84</v>
      </c>
      <c r="Q255" s="17">
        <f t="shared" si="13"/>
        <v>19.510000000000002</v>
      </c>
      <c r="R255" s="24">
        <f t="shared" si="14"/>
        <v>0.42092772384034521</v>
      </c>
      <c r="S255" t="s">
        <v>540</v>
      </c>
      <c r="T255" t="s">
        <v>64</v>
      </c>
    </row>
    <row r="256" spans="1:20">
      <c r="A256" t="s">
        <v>325</v>
      </c>
      <c r="B256" s="5">
        <v>45773</v>
      </c>
      <c r="C256" s="8">
        <f>YEAR(Tabla2[[#This Row],[fecha]])</f>
        <v>2025</v>
      </c>
      <c r="D256" s="8">
        <f>MONTH(Tabla2[[#This Row],[fecha]])</f>
        <v>4</v>
      </c>
      <c r="E256" s="8" t="str">
        <f>TEXT(Tabla2[[#This Row],[fecha]], "mmmm")</f>
        <v>abril</v>
      </c>
      <c r="F256" s="8" t="str">
        <f>"T"&amp;ROUNDUP(Tabla2[[#This Row],[mes]]/3,0)</f>
        <v>T2</v>
      </c>
      <c r="G256" t="s">
        <v>6</v>
      </c>
      <c r="H256" t="s">
        <v>7</v>
      </c>
      <c r="I256" s="8" t="str">
        <f>IF(Tabla2[[#This Row],[precio_unitario]]&lt;=30,"Económico",IF(Tabla2[[#This Row],[precio_unitario]]&lt;=58.49,"Accesible","Caro"))</f>
        <v>Caro</v>
      </c>
      <c r="J256" t="s">
        <v>8</v>
      </c>
      <c r="K256">
        <v>1</v>
      </c>
      <c r="L256" s="19">
        <v>129.30000000000001</v>
      </c>
      <c r="M256" s="19">
        <v>84.39</v>
      </c>
      <c r="N256" s="11">
        <v>0</v>
      </c>
      <c r="O256" s="17">
        <f t="shared" si="15"/>
        <v>129.30000000000001</v>
      </c>
      <c r="P256" s="17">
        <f t="shared" si="12"/>
        <v>84.39</v>
      </c>
      <c r="Q256" s="17">
        <f t="shared" si="13"/>
        <v>44.910000000000011</v>
      </c>
      <c r="R256" s="24">
        <f t="shared" si="14"/>
        <v>0.34733178654292346</v>
      </c>
      <c r="S256" t="s">
        <v>67</v>
      </c>
      <c r="T256" t="s">
        <v>64</v>
      </c>
    </row>
    <row r="257" spans="1:20" hidden="1">
      <c r="A257" t="s">
        <v>326</v>
      </c>
      <c r="B257" s="5">
        <v>45523</v>
      </c>
      <c r="C257" s="8">
        <f>YEAR(Tabla2[[#This Row],[fecha]])</f>
        <v>2024</v>
      </c>
      <c r="D257" s="8">
        <f>MONTH(Tabla2[[#This Row],[fecha]])</f>
        <v>8</v>
      </c>
      <c r="E257" s="8" t="str">
        <f>TEXT(Tabla2[[#This Row],[fecha]], "mmmm")</f>
        <v>agosto</v>
      </c>
      <c r="F257" s="8" t="str">
        <f>"T"&amp;ROUNDUP(Tabla2[[#This Row],[mes]]/3,0)</f>
        <v>T3</v>
      </c>
      <c r="G257" t="s">
        <v>9</v>
      </c>
      <c r="H257" t="s">
        <v>10</v>
      </c>
      <c r="I257" s="8" t="str">
        <f>IF(Tabla2[[#This Row],[precio_unitario]]&lt;=30,"Económico",IF(Tabla2[[#This Row],[precio_unitario]]&lt;=58.49,"Accesible","Caro"))</f>
        <v>Caro</v>
      </c>
      <c r="J257" t="s">
        <v>8</v>
      </c>
      <c r="K257">
        <v>7</v>
      </c>
      <c r="L257" s="19">
        <v>71.260000000000005</v>
      </c>
      <c r="M257" s="19">
        <v>48.57</v>
      </c>
      <c r="N257" s="11">
        <v>0</v>
      </c>
      <c r="O257" s="17">
        <f t="shared" si="15"/>
        <v>498.82000000000005</v>
      </c>
      <c r="P257" s="17">
        <f t="shared" si="12"/>
        <v>339.99</v>
      </c>
      <c r="Q257" s="17">
        <f t="shared" si="13"/>
        <v>158.83000000000004</v>
      </c>
      <c r="R257" s="24">
        <f t="shared" si="14"/>
        <v>0.3184114510244177</v>
      </c>
      <c r="S257" t="s">
        <v>96</v>
      </c>
      <c r="T257" t="s">
        <v>64</v>
      </c>
    </row>
    <row r="258" spans="1:20" hidden="1">
      <c r="A258" t="s">
        <v>327</v>
      </c>
      <c r="B258" s="5">
        <v>45853</v>
      </c>
      <c r="C258" s="8">
        <f>YEAR(Tabla2[[#This Row],[fecha]])</f>
        <v>2025</v>
      </c>
      <c r="D258" s="8">
        <f>MONTH(Tabla2[[#This Row],[fecha]])</f>
        <v>7</v>
      </c>
      <c r="E258" s="8" t="str">
        <f>TEXT(Tabla2[[#This Row],[fecha]], "mmmm")</f>
        <v>julio</v>
      </c>
      <c r="F258" s="8" t="str">
        <f>"T"&amp;ROUNDUP(Tabla2[[#This Row],[mes]]/3,0)</f>
        <v>T3</v>
      </c>
      <c r="G258" t="s">
        <v>33</v>
      </c>
      <c r="H258" t="s">
        <v>34</v>
      </c>
      <c r="I258" s="8" t="str">
        <f>IF(Tabla2[[#This Row],[precio_unitario]]&lt;=30,"Económico",IF(Tabla2[[#This Row],[precio_unitario]]&lt;=58.49,"Accesible","Caro"))</f>
        <v>Caro</v>
      </c>
      <c r="J258" t="s">
        <v>35</v>
      </c>
      <c r="K258">
        <v>1</v>
      </c>
      <c r="L258" s="19">
        <v>78.12</v>
      </c>
      <c r="M258" s="19">
        <v>46.77</v>
      </c>
      <c r="N258" s="11">
        <v>0</v>
      </c>
      <c r="O258" s="17">
        <f t="shared" si="15"/>
        <v>78.12</v>
      </c>
      <c r="P258" s="17">
        <f t="shared" ref="P258:P321" si="16">M258*K258</f>
        <v>46.77</v>
      </c>
      <c r="Q258" s="17">
        <f t="shared" ref="Q258:Q321" si="17">O258-P258</f>
        <v>31.35</v>
      </c>
      <c r="R258" s="24">
        <f t="shared" ref="R258:R321" si="18">IFERROR(Q258/O258,0)</f>
        <v>0.40130568356374807</v>
      </c>
      <c r="S258" t="s">
        <v>96</v>
      </c>
      <c r="T258" t="s">
        <v>60</v>
      </c>
    </row>
    <row r="259" spans="1:20" hidden="1">
      <c r="A259" t="s">
        <v>328</v>
      </c>
      <c r="B259" s="5">
        <v>45528</v>
      </c>
      <c r="C259" s="8">
        <f>YEAR(Tabla2[[#This Row],[fecha]])</f>
        <v>2024</v>
      </c>
      <c r="D259" s="8">
        <f>MONTH(Tabla2[[#This Row],[fecha]])</f>
        <v>8</v>
      </c>
      <c r="E259" s="8" t="str">
        <f>TEXT(Tabla2[[#This Row],[fecha]], "mmmm")</f>
        <v>agosto</v>
      </c>
      <c r="F259" s="8" t="str">
        <f>"T"&amp;ROUNDUP(Tabla2[[#This Row],[mes]]/3,0)</f>
        <v>T3</v>
      </c>
      <c r="G259" t="s">
        <v>40</v>
      </c>
      <c r="H259" t="s">
        <v>41</v>
      </c>
      <c r="I259" s="8" t="str">
        <f>IF(Tabla2[[#This Row],[precio_unitario]]&lt;=30,"Económico",IF(Tabla2[[#This Row],[precio_unitario]]&lt;=58.49,"Accesible","Caro"))</f>
        <v>Caro</v>
      </c>
      <c r="J259" t="s">
        <v>35</v>
      </c>
      <c r="K259">
        <v>4</v>
      </c>
      <c r="L259" s="19">
        <v>72.92</v>
      </c>
      <c r="M259" s="19">
        <v>42.89</v>
      </c>
      <c r="N259" s="11">
        <v>0</v>
      </c>
      <c r="O259" s="17">
        <f t="shared" ref="O259:O322" si="19">K259*L259*(1-N259)</f>
        <v>291.68</v>
      </c>
      <c r="P259" s="17">
        <f t="shared" si="16"/>
        <v>171.56</v>
      </c>
      <c r="Q259" s="17">
        <f t="shared" si="17"/>
        <v>120.12</v>
      </c>
      <c r="R259" s="24">
        <f t="shared" si="18"/>
        <v>0.41182117388919365</v>
      </c>
      <c r="S259" t="s">
        <v>67</v>
      </c>
      <c r="T259" t="s">
        <v>64</v>
      </c>
    </row>
    <row r="260" spans="1:20" hidden="1">
      <c r="A260" t="s">
        <v>329</v>
      </c>
      <c r="B260" s="5">
        <v>45539</v>
      </c>
      <c r="C260" s="8">
        <f>YEAR(Tabla2[[#This Row],[fecha]])</f>
        <v>2024</v>
      </c>
      <c r="D260" s="8">
        <f>MONTH(Tabla2[[#This Row],[fecha]])</f>
        <v>9</v>
      </c>
      <c r="E260" s="8" t="str">
        <f>TEXT(Tabla2[[#This Row],[fecha]], "mmmm")</f>
        <v>septiembre</v>
      </c>
      <c r="F260" s="8" t="str">
        <f>"T"&amp;ROUNDUP(Tabla2[[#This Row],[mes]]/3,0)</f>
        <v>T3</v>
      </c>
      <c r="G260" t="s">
        <v>11</v>
      </c>
      <c r="H260" t="s">
        <v>12</v>
      </c>
      <c r="I260" s="8" t="str">
        <f>IF(Tabla2[[#This Row],[precio_unitario]]&lt;=30,"Económico",IF(Tabla2[[#This Row],[precio_unitario]]&lt;=58.49,"Accesible","Caro"))</f>
        <v>Caro</v>
      </c>
      <c r="J260" t="s">
        <v>8</v>
      </c>
      <c r="K260">
        <v>6</v>
      </c>
      <c r="L260" s="20">
        <f>INDEX(Tabla3[precio_venta_recomendado], MATCH(Tabla2[[#This Row],[id_producto]], Tabla3[id_producto], 0))</f>
        <v>177.72</v>
      </c>
      <c r="M260" s="19">
        <v>94.1</v>
      </c>
      <c r="N260" s="11">
        <v>0</v>
      </c>
      <c r="O260" s="17">
        <f t="shared" si="19"/>
        <v>1066.32</v>
      </c>
      <c r="P260" s="17">
        <f t="shared" si="16"/>
        <v>564.59999999999991</v>
      </c>
      <c r="Q260" s="17">
        <f t="shared" si="17"/>
        <v>501.72</v>
      </c>
      <c r="R260" s="24">
        <f t="shared" si="18"/>
        <v>0.47051541751069104</v>
      </c>
      <c r="S260" t="s">
        <v>63</v>
      </c>
      <c r="T260" t="s">
        <v>64</v>
      </c>
    </row>
    <row r="261" spans="1:20" hidden="1">
      <c r="A261" t="s">
        <v>330</v>
      </c>
      <c r="B261" s="5">
        <v>45325</v>
      </c>
      <c r="C261" s="8">
        <f>YEAR(Tabla2[[#This Row],[fecha]])</f>
        <v>2024</v>
      </c>
      <c r="D261" s="8">
        <f>MONTH(Tabla2[[#This Row],[fecha]])</f>
        <v>2</v>
      </c>
      <c r="E261" s="8" t="str">
        <f>TEXT(Tabla2[[#This Row],[fecha]], "mmmm")</f>
        <v>febrero</v>
      </c>
      <c r="F261" s="8" t="str">
        <f>"T"&amp;ROUNDUP(Tabla2[[#This Row],[mes]]/3,0)</f>
        <v>T1</v>
      </c>
      <c r="G261" t="s">
        <v>47</v>
      </c>
      <c r="H261" t="s">
        <v>48</v>
      </c>
      <c r="I261" s="8" t="str">
        <f>IF(Tabla2[[#This Row],[precio_unitario]]&lt;=30,"Económico",IF(Tabla2[[#This Row],[precio_unitario]]&lt;=58.49,"Accesible","Caro"))</f>
        <v>Caro</v>
      </c>
      <c r="J261" t="s">
        <v>44</v>
      </c>
      <c r="K261">
        <v>6</v>
      </c>
      <c r="L261" s="19">
        <v>59.7</v>
      </c>
      <c r="M261" s="19">
        <v>32.35</v>
      </c>
      <c r="N261" s="13">
        <v>0</v>
      </c>
      <c r="O261" s="17">
        <f t="shared" si="19"/>
        <v>358.20000000000005</v>
      </c>
      <c r="P261" s="17">
        <f t="shared" si="16"/>
        <v>194.10000000000002</v>
      </c>
      <c r="Q261" s="17">
        <f t="shared" si="17"/>
        <v>164.10000000000002</v>
      </c>
      <c r="R261" s="24">
        <f t="shared" si="18"/>
        <v>0.45812395309882747</v>
      </c>
      <c r="S261" t="s">
        <v>83</v>
      </c>
      <c r="T261" t="s">
        <v>64</v>
      </c>
    </row>
    <row r="262" spans="1:20" hidden="1">
      <c r="A262" t="s">
        <v>331</v>
      </c>
      <c r="B262" s="5">
        <v>45461</v>
      </c>
      <c r="C262" s="8">
        <f>YEAR(Tabla2[[#This Row],[fecha]])</f>
        <v>2024</v>
      </c>
      <c r="D262" s="8">
        <f>MONTH(Tabla2[[#This Row],[fecha]])</f>
        <v>6</v>
      </c>
      <c r="E262" s="8" t="str">
        <f>TEXT(Tabla2[[#This Row],[fecha]], "mmmm")</f>
        <v>junio</v>
      </c>
      <c r="F262" s="8" t="str">
        <f>"T"&amp;ROUNDUP(Tabla2[[#This Row],[mes]]/3,0)</f>
        <v>T2</v>
      </c>
      <c r="G262" t="s">
        <v>38</v>
      </c>
      <c r="H262" t="s">
        <v>39</v>
      </c>
      <c r="I262" s="8" t="str">
        <f>IF(Tabla2[[#This Row],[precio_unitario]]&lt;=30,"Económico",IF(Tabla2[[#This Row],[precio_unitario]]&lt;=58.49,"Accesible","Caro"))</f>
        <v>Caro</v>
      </c>
      <c r="J262" t="s">
        <v>35</v>
      </c>
      <c r="K262">
        <v>1</v>
      </c>
      <c r="L262" s="19">
        <v>73.53</v>
      </c>
      <c r="M262" s="19">
        <v>43.23</v>
      </c>
      <c r="N262" s="11">
        <v>0</v>
      </c>
      <c r="O262" s="17">
        <f t="shared" si="19"/>
        <v>73.53</v>
      </c>
      <c r="P262" s="17">
        <f t="shared" si="16"/>
        <v>43.23</v>
      </c>
      <c r="Q262" s="17">
        <f t="shared" si="17"/>
        <v>30.300000000000004</v>
      </c>
      <c r="R262" s="24">
        <f t="shared" si="18"/>
        <v>0.41207670338637298</v>
      </c>
      <c r="S262" t="s">
        <v>67</v>
      </c>
      <c r="T262" t="s">
        <v>64</v>
      </c>
    </row>
    <row r="263" spans="1:20" hidden="1">
      <c r="A263" t="s">
        <v>332</v>
      </c>
      <c r="B263" s="5">
        <v>45408</v>
      </c>
      <c r="C263" s="8">
        <f>YEAR(Tabla2[[#This Row],[fecha]])</f>
        <v>2024</v>
      </c>
      <c r="D263" s="8">
        <f>MONTH(Tabla2[[#This Row],[fecha]])</f>
        <v>4</v>
      </c>
      <c r="E263" s="8" t="str">
        <f>TEXT(Tabla2[[#This Row],[fecha]], "mmmm")</f>
        <v>abril</v>
      </c>
      <c r="F263" s="8" t="str">
        <f>"T"&amp;ROUNDUP(Tabla2[[#This Row],[mes]]/3,0)</f>
        <v>T2</v>
      </c>
      <c r="G263" t="s">
        <v>31</v>
      </c>
      <c r="H263" t="s">
        <v>32</v>
      </c>
      <c r="I263" s="8" t="str">
        <f>IF(Tabla2[[#This Row],[precio_unitario]]&lt;=30,"Económico",IF(Tabla2[[#This Row],[precio_unitario]]&lt;=58.49,"Accesible","Caro"))</f>
        <v>Económico</v>
      </c>
      <c r="J263" t="s">
        <v>26</v>
      </c>
      <c r="K263">
        <v>2</v>
      </c>
      <c r="L263" s="19">
        <v>8.3000000000000007</v>
      </c>
      <c r="M263" s="19">
        <v>5.6</v>
      </c>
      <c r="N263" s="11">
        <v>0</v>
      </c>
      <c r="O263" s="17">
        <f t="shared" si="19"/>
        <v>16.600000000000001</v>
      </c>
      <c r="P263" s="17">
        <f t="shared" si="16"/>
        <v>11.2</v>
      </c>
      <c r="Q263" s="17">
        <f t="shared" si="17"/>
        <v>5.4000000000000021</v>
      </c>
      <c r="R263" s="24">
        <f t="shared" si="18"/>
        <v>0.32530120481927721</v>
      </c>
      <c r="S263" t="s">
        <v>67</v>
      </c>
      <c r="T263" t="s">
        <v>60</v>
      </c>
    </row>
    <row r="264" spans="1:20">
      <c r="A264" t="s">
        <v>333</v>
      </c>
      <c r="B264" s="5">
        <v>45710</v>
      </c>
      <c r="C264" s="8">
        <f>YEAR(Tabla2[[#This Row],[fecha]])</f>
        <v>2025</v>
      </c>
      <c r="D264" s="8">
        <f>MONTH(Tabla2[[#This Row],[fecha]])</f>
        <v>2</v>
      </c>
      <c r="E264" s="8" t="str">
        <f>TEXT(Tabla2[[#This Row],[fecha]], "mmmm")</f>
        <v>febrero</v>
      </c>
      <c r="F264" s="8" t="str">
        <f>"T"&amp;ROUNDUP(Tabla2[[#This Row],[mes]]/3,0)</f>
        <v>T1</v>
      </c>
      <c r="G264" t="s">
        <v>47</v>
      </c>
      <c r="H264" t="s">
        <v>48</v>
      </c>
      <c r="I264" s="8" t="str">
        <f>IF(Tabla2[[#This Row],[precio_unitario]]&lt;=30,"Económico",IF(Tabla2[[#This Row],[precio_unitario]]&lt;=58.49,"Accesible","Caro"))</f>
        <v>Accesible</v>
      </c>
      <c r="J264" t="s">
        <v>44</v>
      </c>
      <c r="K264">
        <v>3</v>
      </c>
      <c r="L264" s="19">
        <v>56.65</v>
      </c>
      <c r="M264" s="19">
        <v>32.159999999999997</v>
      </c>
      <c r="N264" s="11">
        <v>0</v>
      </c>
      <c r="O264" s="17">
        <f t="shared" si="19"/>
        <v>169.95</v>
      </c>
      <c r="P264" s="17">
        <f t="shared" si="16"/>
        <v>96.47999999999999</v>
      </c>
      <c r="Q264" s="17">
        <f t="shared" si="17"/>
        <v>73.47</v>
      </c>
      <c r="R264" s="24">
        <f t="shared" si="18"/>
        <v>0.43230361871138573</v>
      </c>
      <c r="S264" t="s">
        <v>67</v>
      </c>
      <c r="T264" t="s">
        <v>60</v>
      </c>
    </row>
    <row r="265" spans="1:20" hidden="1">
      <c r="A265" t="s">
        <v>334</v>
      </c>
      <c r="B265" s="5">
        <v>45500</v>
      </c>
      <c r="C265" s="8">
        <f>YEAR(Tabla2[[#This Row],[fecha]])</f>
        <v>2024</v>
      </c>
      <c r="D265" s="8">
        <f>MONTH(Tabla2[[#This Row],[fecha]])</f>
        <v>7</v>
      </c>
      <c r="E265" s="8" t="str">
        <f>TEXT(Tabla2[[#This Row],[fecha]], "mmmm")</f>
        <v>julio</v>
      </c>
      <c r="F265" s="8" t="str">
        <f>"T"&amp;ROUNDUP(Tabla2[[#This Row],[mes]]/3,0)</f>
        <v>T3</v>
      </c>
      <c r="G265" t="s">
        <v>33</v>
      </c>
      <c r="H265" t="s">
        <v>34</v>
      </c>
      <c r="I265" s="8" t="str">
        <f>IF(Tabla2[[#This Row],[precio_unitario]]&lt;=30,"Económico",IF(Tabla2[[#This Row],[precio_unitario]]&lt;=58.49,"Accesible","Caro"))</f>
        <v>Caro</v>
      </c>
      <c r="J265" t="s">
        <v>35</v>
      </c>
      <c r="K265">
        <v>3</v>
      </c>
      <c r="L265" s="19">
        <v>77.48</v>
      </c>
      <c r="M265" s="19">
        <v>46.45</v>
      </c>
      <c r="N265" s="11">
        <v>0</v>
      </c>
      <c r="O265" s="17">
        <f t="shared" si="19"/>
        <v>232.44</v>
      </c>
      <c r="P265" s="17">
        <f t="shared" si="16"/>
        <v>139.35000000000002</v>
      </c>
      <c r="Q265" s="17">
        <f t="shared" si="17"/>
        <v>93.089999999999975</v>
      </c>
      <c r="R265" s="24">
        <f t="shared" si="18"/>
        <v>0.40049044914816717</v>
      </c>
      <c r="S265" t="s">
        <v>540</v>
      </c>
      <c r="T265" t="s">
        <v>64</v>
      </c>
    </row>
    <row r="266" spans="1:20" hidden="1">
      <c r="A266" t="s">
        <v>335</v>
      </c>
      <c r="B266" s="5">
        <v>45449</v>
      </c>
      <c r="C266" s="8">
        <f>YEAR(Tabla2[[#This Row],[fecha]])</f>
        <v>2024</v>
      </c>
      <c r="D266" s="8">
        <f>MONTH(Tabla2[[#This Row],[fecha]])</f>
        <v>6</v>
      </c>
      <c r="E266" s="8" t="str">
        <f>TEXT(Tabla2[[#This Row],[fecha]], "mmmm")</f>
        <v>junio</v>
      </c>
      <c r="F266" s="8" t="str">
        <f>"T"&amp;ROUNDUP(Tabla2[[#This Row],[mes]]/3,0)</f>
        <v>T2</v>
      </c>
      <c r="G266" t="s">
        <v>13</v>
      </c>
      <c r="H266" t="s">
        <v>14</v>
      </c>
      <c r="I266" s="8" t="str">
        <f>IF(Tabla2[[#This Row],[precio_unitario]]&lt;=30,"Económico",IF(Tabla2[[#This Row],[precio_unitario]]&lt;=58.49,"Accesible","Caro"))</f>
        <v>Caro</v>
      </c>
      <c r="J266" t="s">
        <v>8</v>
      </c>
      <c r="K266">
        <v>1</v>
      </c>
      <c r="L266" s="19">
        <v>160.22999999999999</v>
      </c>
      <c r="M266" s="19">
        <v>109.1</v>
      </c>
      <c r="N266" s="11">
        <v>0</v>
      </c>
      <c r="O266" s="17">
        <f t="shared" si="19"/>
        <v>160.22999999999999</v>
      </c>
      <c r="P266" s="17">
        <f t="shared" si="16"/>
        <v>109.1</v>
      </c>
      <c r="Q266" s="17">
        <f t="shared" si="17"/>
        <v>51.129999999999995</v>
      </c>
      <c r="R266" s="24">
        <f t="shared" si="18"/>
        <v>0.31910378830431252</v>
      </c>
      <c r="S266" t="s">
        <v>83</v>
      </c>
      <c r="T266" t="s">
        <v>60</v>
      </c>
    </row>
    <row r="267" spans="1:20" hidden="1">
      <c r="A267" t="s">
        <v>336</v>
      </c>
      <c r="B267" s="5">
        <v>46020</v>
      </c>
      <c r="C267" s="8">
        <f>YEAR(Tabla2[[#This Row],[fecha]])</f>
        <v>2025</v>
      </c>
      <c r="D267" s="8">
        <f>MONTH(Tabla2[[#This Row],[fecha]])</f>
        <v>12</v>
      </c>
      <c r="E267" s="8" t="str">
        <f>TEXT(Tabla2[[#This Row],[fecha]], "mmmm")</f>
        <v>diciembre</v>
      </c>
      <c r="F267" s="8" t="str">
        <f>"T"&amp;ROUNDUP(Tabla2[[#This Row],[mes]]/3,0)</f>
        <v>T4</v>
      </c>
      <c r="G267" t="s">
        <v>29</v>
      </c>
      <c r="H267" t="s">
        <v>30</v>
      </c>
      <c r="I267" s="8" t="str">
        <f>IF(Tabla2[[#This Row],[precio_unitario]]&lt;=30,"Económico",IF(Tabla2[[#This Row],[precio_unitario]]&lt;=58.49,"Accesible","Caro"))</f>
        <v>Económico</v>
      </c>
      <c r="J267" t="s">
        <v>26</v>
      </c>
      <c r="K267">
        <v>1</v>
      </c>
      <c r="L267" s="19">
        <v>22.25</v>
      </c>
      <c r="M267" s="19">
        <v>11.61</v>
      </c>
      <c r="N267" s="11">
        <v>0</v>
      </c>
      <c r="O267" s="17">
        <f t="shared" si="19"/>
        <v>22.25</v>
      </c>
      <c r="P267" s="17">
        <f t="shared" si="16"/>
        <v>11.61</v>
      </c>
      <c r="Q267" s="17">
        <f t="shared" si="17"/>
        <v>10.64</v>
      </c>
      <c r="R267" s="24">
        <f t="shared" si="18"/>
        <v>0.47820224719101129</v>
      </c>
      <c r="S267" t="s">
        <v>63</v>
      </c>
      <c r="T267" t="s">
        <v>64</v>
      </c>
    </row>
    <row r="268" spans="1:20" hidden="1">
      <c r="A268" t="s">
        <v>337</v>
      </c>
      <c r="B268" s="5">
        <v>45482</v>
      </c>
      <c r="C268" s="8">
        <f>YEAR(Tabla2[[#This Row],[fecha]])</f>
        <v>2024</v>
      </c>
      <c r="D268" s="8">
        <f>MONTH(Tabla2[[#This Row],[fecha]])</f>
        <v>7</v>
      </c>
      <c r="E268" s="8" t="str">
        <f>TEXT(Tabla2[[#This Row],[fecha]], "mmmm")</f>
        <v>julio</v>
      </c>
      <c r="F268" s="8" t="str">
        <f>"T"&amp;ROUNDUP(Tabla2[[#This Row],[mes]]/3,0)</f>
        <v>T3</v>
      </c>
      <c r="G268" t="s">
        <v>11</v>
      </c>
      <c r="H268" t="s">
        <v>12</v>
      </c>
      <c r="I268" s="8" t="str">
        <f>IF(Tabla2[[#This Row],[precio_unitario]]&lt;=30,"Económico",IF(Tabla2[[#This Row],[precio_unitario]]&lt;=58.49,"Accesible","Caro"))</f>
        <v>Caro</v>
      </c>
      <c r="J268" t="s">
        <v>8</v>
      </c>
      <c r="K268">
        <v>1</v>
      </c>
      <c r="L268" s="19">
        <v>170.13</v>
      </c>
      <c r="M268" s="19">
        <v>89.95</v>
      </c>
      <c r="N268" s="11">
        <v>0.13</v>
      </c>
      <c r="O268" s="17">
        <f t="shared" si="19"/>
        <v>148.01310000000001</v>
      </c>
      <c r="P268" s="17">
        <f t="shared" si="16"/>
        <v>89.95</v>
      </c>
      <c r="Q268" s="17">
        <f t="shared" si="17"/>
        <v>58.063100000000006</v>
      </c>
      <c r="R268" s="24">
        <f t="shared" si="18"/>
        <v>0.39228352085051932</v>
      </c>
      <c r="S268" t="s">
        <v>67</v>
      </c>
      <c r="T268" t="s">
        <v>64</v>
      </c>
    </row>
    <row r="269" spans="1:20">
      <c r="A269" t="s">
        <v>338</v>
      </c>
      <c r="B269" s="5">
        <v>45674</v>
      </c>
      <c r="C269" s="8">
        <f>YEAR(Tabla2[[#This Row],[fecha]])</f>
        <v>2025</v>
      </c>
      <c r="D269" s="8">
        <f>MONTH(Tabla2[[#This Row],[fecha]])</f>
        <v>1</v>
      </c>
      <c r="E269" s="8" t="str">
        <f>TEXT(Tabla2[[#This Row],[fecha]], "mmmm")</f>
        <v>enero</v>
      </c>
      <c r="F269" s="8" t="str">
        <f>"T"&amp;ROUNDUP(Tabla2[[#This Row],[mes]]/3,0)</f>
        <v>T1</v>
      </c>
      <c r="G269" t="s">
        <v>45</v>
      </c>
      <c r="H269" t="s">
        <v>46</v>
      </c>
      <c r="I269" s="8" t="str">
        <f>IF(Tabla2[[#This Row],[precio_unitario]]&lt;=30,"Económico",IF(Tabla2[[#This Row],[precio_unitario]]&lt;=58.49,"Accesible","Caro"))</f>
        <v>Accesible</v>
      </c>
      <c r="J269" t="s">
        <v>44</v>
      </c>
      <c r="K269">
        <v>6</v>
      </c>
      <c r="L269" s="19">
        <v>31.61</v>
      </c>
      <c r="M269" s="19">
        <v>17.75</v>
      </c>
      <c r="N269" s="11">
        <v>0.08</v>
      </c>
      <c r="O269" s="17">
        <f t="shared" si="19"/>
        <v>174.4872</v>
      </c>
      <c r="P269" s="17">
        <f t="shared" si="16"/>
        <v>106.5</v>
      </c>
      <c r="Q269" s="17">
        <f t="shared" si="17"/>
        <v>67.987200000000001</v>
      </c>
      <c r="R269" s="24">
        <f t="shared" si="18"/>
        <v>0.38964004236413902</v>
      </c>
      <c r="S269" t="s">
        <v>67</v>
      </c>
      <c r="T269" t="s">
        <v>60</v>
      </c>
    </row>
    <row r="270" spans="1:20" hidden="1">
      <c r="A270" t="s">
        <v>339</v>
      </c>
      <c r="B270" s="5">
        <v>45436</v>
      </c>
      <c r="C270" s="8">
        <f>YEAR(Tabla2[[#This Row],[fecha]])</f>
        <v>2024</v>
      </c>
      <c r="D270" s="8">
        <f>MONTH(Tabla2[[#This Row],[fecha]])</f>
        <v>5</v>
      </c>
      <c r="E270" s="8" t="str">
        <f>TEXT(Tabla2[[#This Row],[fecha]], "mmmm")</f>
        <v>mayo</v>
      </c>
      <c r="F270" s="8" t="str">
        <f>"T"&amp;ROUNDUP(Tabla2[[#This Row],[mes]]/3,0)</f>
        <v>T2</v>
      </c>
      <c r="G270" t="s">
        <v>18</v>
      </c>
      <c r="H270" t="s">
        <v>19</v>
      </c>
      <c r="I270" s="8" t="str">
        <f>IF(Tabla2[[#This Row],[precio_unitario]]&lt;=30,"Económico",IF(Tabla2[[#This Row],[precio_unitario]]&lt;=58.49,"Accesible","Caro"))</f>
        <v>Accesible</v>
      </c>
      <c r="J270" t="s">
        <v>17</v>
      </c>
      <c r="K270">
        <v>3</v>
      </c>
      <c r="L270" s="19">
        <v>43.38</v>
      </c>
      <c r="M270" s="19">
        <v>27.18</v>
      </c>
      <c r="N270" s="11">
        <v>0</v>
      </c>
      <c r="O270" s="17">
        <f t="shared" si="19"/>
        <v>130.14000000000001</v>
      </c>
      <c r="P270" s="17">
        <f t="shared" si="16"/>
        <v>81.539999999999992</v>
      </c>
      <c r="Q270" s="17">
        <f t="shared" si="17"/>
        <v>48.600000000000023</v>
      </c>
      <c r="R270" s="24">
        <f t="shared" si="18"/>
        <v>0.37344398340248974</v>
      </c>
      <c r="S270" t="s">
        <v>83</v>
      </c>
      <c r="T270" t="s">
        <v>64</v>
      </c>
    </row>
    <row r="271" spans="1:20">
      <c r="A271" t="s">
        <v>340</v>
      </c>
      <c r="B271" s="5">
        <v>46006</v>
      </c>
      <c r="C271" s="8">
        <f>YEAR(Tabla2[[#This Row],[fecha]])</f>
        <v>2025</v>
      </c>
      <c r="D271" s="8">
        <f>MONTH(Tabla2[[#This Row],[fecha]])</f>
        <v>12</v>
      </c>
      <c r="E271" s="8" t="str">
        <f>TEXT(Tabla2[[#This Row],[fecha]], "mmmm")</f>
        <v>diciembre</v>
      </c>
      <c r="F271" s="8" t="str">
        <f>"T"&amp;ROUNDUP(Tabla2[[#This Row],[mes]]/3,0)</f>
        <v>T4</v>
      </c>
      <c r="G271" t="s">
        <v>47</v>
      </c>
      <c r="H271" t="s">
        <v>48</v>
      </c>
      <c r="I271" s="8" t="str">
        <f>IF(Tabla2[[#This Row],[precio_unitario]]&lt;=30,"Económico",IF(Tabla2[[#This Row],[precio_unitario]]&lt;=58.49,"Accesible","Caro"))</f>
        <v>Caro</v>
      </c>
      <c r="J271" t="s">
        <v>44</v>
      </c>
      <c r="K271">
        <v>1</v>
      </c>
      <c r="L271" s="19">
        <v>63.35</v>
      </c>
      <c r="M271" s="19">
        <v>32.659999999999997</v>
      </c>
      <c r="N271" s="11">
        <v>0</v>
      </c>
      <c r="O271" s="17">
        <f t="shared" si="19"/>
        <v>63.35</v>
      </c>
      <c r="P271" s="17">
        <f t="shared" si="16"/>
        <v>32.659999999999997</v>
      </c>
      <c r="Q271" s="17">
        <f t="shared" si="17"/>
        <v>30.690000000000005</v>
      </c>
      <c r="R271" s="24">
        <f t="shared" si="18"/>
        <v>0.48445146014206797</v>
      </c>
      <c r="S271" t="s">
        <v>67</v>
      </c>
      <c r="T271" t="s">
        <v>64</v>
      </c>
    </row>
    <row r="272" spans="1:20" hidden="1">
      <c r="A272" t="s">
        <v>341</v>
      </c>
      <c r="B272" s="5">
        <v>45535</v>
      </c>
      <c r="C272" s="8">
        <f>YEAR(Tabla2[[#This Row],[fecha]])</f>
        <v>2024</v>
      </c>
      <c r="D272" s="8">
        <f>MONTH(Tabla2[[#This Row],[fecha]])</f>
        <v>8</v>
      </c>
      <c r="E272" s="8" t="str">
        <f>TEXT(Tabla2[[#This Row],[fecha]], "mmmm")</f>
        <v>agosto</v>
      </c>
      <c r="F272" s="8" t="str">
        <f>"T"&amp;ROUNDUP(Tabla2[[#This Row],[mes]]/3,0)</f>
        <v>T3</v>
      </c>
      <c r="G272" t="s">
        <v>9</v>
      </c>
      <c r="H272" t="s">
        <v>10</v>
      </c>
      <c r="I272" s="8" t="str">
        <f>IF(Tabla2[[#This Row],[precio_unitario]]&lt;=30,"Económico",IF(Tabla2[[#This Row],[precio_unitario]]&lt;=58.49,"Accesible","Caro"))</f>
        <v>Caro</v>
      </c>
      <c r="J272" t="s">
        <v>8</v>
      </c>
      <c r="K272">
        <v>2</v>
      </c>
      <c r="L272" s="19">
        <v>75.5</v>
      </c>
      <c r="M272" s="19">
        <v>48.46</v>
      </c>
      <c r="N272" s="11">
        <v>0</v>
      </c>
      <c r="O272" s="17">
        <f t="shared" si="19"/>
        <v>151</v>
      </c>
      <c r="P272" s="17">
        <f t="shared" si="16"/>
        <v>96.92</v>
      </c>
      <c r="Q272" s="17">
        <f t="shared" si="17"/>
        <v>54.08</v>
      </c>
      <c r="R272" s="24">
        <f t="shared" si="18"/>
        <v>0.3581456953642384</v>
      </c>
      <c r="S272" t="s">
        <v>101</v>
      </c>
      <c r="T272" t="s">
        <v>64</v>
      </c>
    </row>
    <row r="273" spans="1:20" hidden="1">
      <c r="A273" t="s">
        <v>342</v>
      </c>
      <c r="B273" s="5">
        <v>45707</v>
      </c>
      <c r="C273" s="8">
        <f>YEAR(Tabla2[[#This Row],[fecha]])</f>
        <v>2025</v>
      </c>
      <c r="D273" s="8">
        <f>MONTH(Tabla2[[#This Row],[fecha]])</f>
        <v>2</v>
      </c>
      <c r="E273" s="8" t="str">
        <f>TEXT(Tabla2[[#This Row],[fecha]], "mmmm")</f>
        <v>febrero</v>
      </c>
      <c r="F273" s="8" t="str">
        <f>"T"&amp;ROUNDUP(Tabla2[[#This Row],[mes]]/3,0)</f>
        <v>T1</v>
      </c>
      <c r="G273" t="s">
        <v>15</v>
      </c>
      <c r="H273" t="s">
        <v>16</v>
      </c>
      <c r="I273" s="8" t="str">
        <f>IF(Tabla2[[#This Row],[precio_unitario]]&lt;=30,"Económico",IF(Tabla2[[#This Row],[precio_unitario]]&lt;=58.49,"Accesible","Caro"))</f>
        <v>Accesible</v>
      </c>
      <c r="J273" t="s">
        <v>17</v>
      </c>
      <c r="K273">
        <v>4</v>
      </c>
      <c r="L273" s="19">
        <v>57.44</v>
      </c>
      <c r="M273" s="19">
        <v>42.34</v>
      </c>
      <c r="N273" s="11">
        <v>0</v>
      </c>
      <c r="O273" s="17">
        <f t="shared" si="19"/>
        <v>229.76</v>
      </c>
      <c r="P273" s="17">
        <f t="shared" si="16"/>
        <v>169.36</v>
      </c>
      <c r="Q273" s="17">
        <f t="shared" si="17"/>
        <v>60.399999999999977</v>
      </c>
      <c r="R273" s="24">
        <f t="shared" si="18"/>
        <v>0.26288300835654588</v>
      </c>
      <c r="S273" t="s">
        <v>83</v>
      </c>
      <c r="T273" t="s">
        <v>60</v>
      </c>
    </row>
    <row r="274" spans="1:20" hidden="1">
      <c r="A274" t="s">
        <v>343</v>
      </c>
      <c r="B274" s="5">
        <v>45580</v>
      </c>
      <c r="C274" s="8">
        <f>YEAR(Tabla2[[#This Row],[fecha]])</f>
        <v>2024</v>
      </c>
      <c r="D274" s="8">
        <f>MONTH(Tabla2[[#This Row],[fecha]])</f>
        <v>10</v>
      </c>
      <c r="E274" s="8" t="str">
        <f>TEXT(Tabla2[[#This Row],[fecha]], "mmmm")</f>
        <v>octubre</v>
      </c>
      <c r="F274" s="8" t="str">
        <f>"T"&amp;ROUNDUP(Tabla2[[#This Row],[mes]]/3,0)</f>
        <v>T4</v>
      </c>
      <c r="G274" t="s">
        <v>20</v>
      </c>
      <c r="H274" t="s">
        <v>21</v>
      </c>
      <c r="I274" s="8" t="str">
        <f>IF(Tabla2[[#This Row],[precio_unitario]]&lt;=30,"Económico",IF(Tabla2[[#This Row],[precio_unitario]]&lt;=58.49,"Accesible","Caro"))</f>
        <v>Económico</v>
      </c>
      <c r="J274" t="s">
        <v>17</v>
      </c>
      <c r="K274">
        <v>1</v>
      </c>
      <c r="L274" s="19">
        <v>21.2</v>
      </c>
      <c r="M274" s="19">
        <v>13.44</v>
      </c>
      <c r="N274" s="13">
        <v>0</v>
      </c>
      <c r="O274" s="17">
        <f t="shared" si="19"/>
        <v>21.2</v>
      </c>
      <c r="P274" s="17">
        <f t="shared" si="16"/>
        <v>13.44</v>
      </c>
      <c r="Q274" s="17">
        <f t="shared" si="17"/>
        <v>7.76</v>
      </c>
      <c r="R274" s="24">
        <f t="shared" si="18"/>
        <v>0.36603773584905663</v>
      </c>
      <c r="S274" t="s">
        <v>67</v>
      </c>
      <c r="T274" t="s">
        <v>64</v>
      </c>
    </row>
    <row r="275" spans="1:20">
      <c r="A275" t="s">
        <v>344</v>
      </c>
      <c r="B275" s="5">
        <v>45679</v>
      </c>
      <c r="C275" s="8">
        <f>YEAR(Tabla2[[#This Row],[fecha]])</f>
        <v>2025</v>
      </c>
      <c r="D275" s="8">
        <f>MONTH(Tabla2[[#This Row],[fecha]])</f>
        <v>1</v>
      </c>
      <c r="E275" s="8" t="str">
        <f>TEXT(Tabla2[[#This Row],[fecha]], "mmmm")</f>
        <v>enero</v>
      </c>
      <c r="F275" s="8" t="str">
        <f>"T"&amp;ROUNDUP(Tabla2[[#This Row],[mes]]/3,0)</f>
        <v>T1</v>
      </c>
      <c r="G275" t="s">
        <v>40</v>
      </c>
      <c r="H275" t="s">
        <v>41</v>
      </c>
      <c r="I275" s="8" t="str">
        <f>IF(Tabla2[[#This Row],[precio_unitario]]&lt;=30,"Económico",IF(Tabla2[[#This Row],[precio_unitario]]&lt;=58.49,"Accesible","Caro"))</f>
        <v>Caro</v>
      </c>
      <c r="J275" t="s">
        <v>35</v>
      </c>
      <c r="K275">
        <v>3</v>
      </c>
      <c r="L275" s="19">
        <v>83.83</v>
      </c>
      <c r="M275" s="19">
        <v>39.4</v>
      </c>
      <c r="N275" s="11">
        <v>0</v>
      </c>
      <c r="O275" s="17">
        <f t="shared" si="19"/>
        <v>251.49</v>
      </c>
      <c r="P275" s="17">
        <f t="shared" si="16"/>
        <v>118.19999999999999</v>
      </c>
      <c r="Q275" s="17">
        <f t="shared" si="17"/>
        <v>133.29000000000002</v>
      </c>
      <c r="R275" s="24">
        <f t="shared" si="18"/>
        <v>0.5300011928903734</v>
      </c>
      <c r="S275" t="s">
        <v>67</v>
      </c>
      <c r="T275" t="s">
        <v>60</v>
      </c>
    </row>
    <row r="276" spans="1:20" hidden="1">
      <c r="A276" t="s">
        <v>345</v>
      </c>
      <c r="B276" s="5">
        <v>45804</v>
      </c>
      <c r="C276" s="8">
        <f>YEAR(Tabla2[[#This Row],[fecha]])</f>
        <v>2025</v>
      </c>
      <c r="D276" s="8">
        <f>MONTH(Tabla2[[#This Row],[fecha]])</f>
        <v>5</v>
      </c>
      <c r="E276" s="8" t="str">
        <f>TEXT(Tabla2[[#This Row],[fecha]], "mmmm")</f>
        <v>mayo</v>
      </c>
      <c r="F276" s="8" t="str">
        <f>"T"&amp;ROUNDUP(Tabla2[[#This Row],[mes]]/3,0)</f>
        <v>T2</v>
      </c>
      <c r="G276" t="s">
        <v>18</v>
      </c>
      <c r="H276" t="s">
        <v>19</v>
      </c>
      <c r="I276" s="8" t="str">
        <f>IF(Tabla2[[#This Row],[precio_unitario]]&lt;=30,"Económico",IF(Tabla2[[#This Row],[precio_unitario]]&lt;=58.49,"Accesible","Caro"))</f>
        <v>Accesible</v>
      </c>
      <c r="J276" t="s">
        <v>17</v>
      </c>
      <c r="K276">
        <v>3</v>
      </c>
      <c r="L276" s="19">
        <v>49.11</v>
      </c>
      <c r="M276" s="19">
        <v>27.33</v>
      </c>
      <c r="N276" s="11">
        <v>0</v>
      </c>
      <c r="O276" s="17">
        <f t="shared" si="19"/>
        <v>147.32999999999998</v>
      </c>
      <c r="P276" s="17">
        <f t="shared" si="16"/>
        <v>81.99</v>
      </c>
      <c r="Q276" s="17">
        <f t="shared" si="17"/>
        <v>65.339999999999989</v>
      </c>
      <c r="R276" s="24">
        <f t="shared" si="18"/>
        <v>0.44349419670128282</v>
      </c>
      <c r="S276" t="s">
        <v>63</v>
      </c>
      <c r="T276" t="s">
        <v>64</v>
      </c>
    </row>
    <row r="277" spans="1:20" hidden="1">
      <c r="A277" t="s">
        <v>346</v>
      </c>
      <c r="B277" s="5">
        <v>45643</v>
      </c>
      <c r="C277" s="8">
        <f>YEAR(Tabla2[[#This Row],[fecha]])</f>
        <v>2024</v>
      </c>
      <c r="D277" s="8">
        <f>MONTH(Tabla2[[#This Row],[fecha]])</f>
        <v>12</v>
      </c>
      <c r="E277" s="8" t="str">
        <f>TEXT(Tabla2[[#This Row],[fecha]], "mmmm")</f>
        <v>diciembre</v>
      </c>
      <c r="F277" s="8" t="str">
        <f>"T"&amp;ROUNDUP(Tabla2[[#This Row],[mes]]/3,0)</f>
        <v>T4</v>
      </c>
      <c r="G277" t="s">
        <v>20</v>
      </c>
      <c r="H277" t="s">
        <v>21</v>
      </c>
      <c r="I277" s="8" t="str">
        <f>IF(Tabla2[[#This Row],[precio_unitario]]&lt;=30,"Económico",IF(Tabla2[[#This Row],[precio_unitario]]&lt;=58.49,"Accesible","Caro"))</f>
        <v>Económico</v>
      </c>
      <c r="J277" t="s">
        <v>17</v>
      </c>
      <c r="K277">
        <v>1</v>
      </c>
      <c r="L277" s="19">
        <v>21.14</v>
      </c>
      <c r="M277" s="19">
        <v>13.35</v>
      </c>
      <c r="N277" s="13">
        <v>0</v>
      </c>
      <c r="O277" s="17">
        <f t="shared" si="19"/>
        <v>21.14</v>
      </c>
      <c r="P277" s="17">
        <f t="shared" si="16"/>
        <v>13.35</v>
      </c>
      <c r="Q277" s="17">
        <f t="shared" si="17"/>
        <v>7.7900000000000009</v>
      </c>
      <c r="R277" s="24">
        <f t="shared" si="18"/>
        <v>0.36849574266792812</v>
      </c>
      <c r="S277" t="s">
        <v>67</v>
      </c>
      <c r="T277" t="s">
        <v>64</v>
      </c>
    </row>
    <row r="278" spans="1:20">
      <c r="A278" t="s">
        <v>347</v>
      </c>
      <c r="B278" s="5">
        <v>45869</v>
      </c>
      <c r="C278" s="8">
        <f>YEAR(Tabla2[[#This Row],[fecha]])</f>
        <v>2025</v>
      </c>
      <c r="D278" s="8">
        <f>MONTH(Tabla2[[#This Row],[fecha]])</f>
        <v>7</v>
      </c>
      <c r="E278" s="8" t="str">
        <f>TEXT(Tabla2[[#This Row],[fecha]], "mmmm")</f>
        <v>julio</v>
      </c>
      <c r="F278" s="8" t="str">
        <f>"T"&amp;ROUNDUP(Tabla2[[#This Row],[mes]]/3,0)</f>
        <v>T3</v>
      </c>
      <c r="G278" t="s">
        <v>31</v>
      </c>
      <c r="H278" t="s">
        <v>32</v>
      </c>
      <c r="I278" s="8" t="str">
        <f>IF(Tabla2[[#This Row],[precio_unitario]]&lt;=30,"Económico",IF(Tabla2[[#This Row],[precio_unitario]]&lt;=58.49,"Accesible","Caro"))</f>
        <v>Económico</v>
      </c>
      <c r="J278" t="s">
        <v>26</v>
      </c>
      <c r="K278">
        <v>4</v>
      </c>
      <c r="L278" s="19">
        <v>8.66</v>
      </c>
      <c r="M278" s="19">
        <v>5.65</v>
      </c>
      <c r="N278" s="11">
        <v>0</v>
      </c>
      <c r="O278" s="17">
        <f t="shared" si="19"/>
        <v>34.64</v>
      </c>
      <c r="P278" s="17">
        <f t="shared" si="16"/>
        <v>22.6</v>
      </c>
      <c r="Q278" s="17">
        <f t="shared" si="17"/>
        <v>12.04</v>
      </c>
      <c r="R278" s="24">
        <f t="shared" si="18"/>
        <v>0.34757505773672054</v>
      </c>
      <c r="S278" t="s">
        <v>67</v>
      </c>
      <c r="T278" t="s">
        <v>60</v>
      </c>
    </row>
    <row r="279" spans="1:20" hidden="1">
      <c r="A279" t="s">
        <v>348</v>
      </c>
      <c r="B279" s="5">
        <v>45483</v>
      </c>
      <c r="C279" s="8">
        <f>YEAR(Tabla2[[#This Row],[fecha]])</f>
        <v>2024</v>
      </c>
      <c r="D279" s="8">
        <f>MONTH(Tabla2[[#This Row],[fecha]])</f>
        <v>7</v>
      </c>
      <c r="E279" s="8" t="str">
        <f>TEXT(Tabla2[[#This Row],[fecha]], "mmmm")</f>
        <v>julio</v>
      </c>
      <c r="F279" s="8" t="str">
        <f>"T"&amp;ROUNDUP(Tabla2[[#This Row],[mes]]/3,0)</f>
        <v>T3</v>
      </c>
      <c r="G279" t="s">
        <v>40</v>
      </c>
      <c r="H279" t="s">
        <v>41</v>
      </c>
      <c r="I279" s="8" t="str">
        <f>IF(Tabla2[[#This Row],[precio_unitario]]&lt;=30,"Económico",IF(Tabla2[[#This Row],[precio_unitario]]&lt;=58.49,"Accesible","Caro"))</f>
        <v>Caro</v>
      </c>
      <c r="J279" t="s">
        <v>35</v>
      </c>
      <c r="K279">
        <v>1</v>
      </c>
      <c r="L279" s="19">
        <v>84.56</v>
      </c>
      <c r="M279" s="19">
        <v>42.47</v>
      </c>
      <c r="N279" s="11">
        <v>0</v>
      </c>
      <c r="O279" s="17">
        <f t="shared" si="19"/>
        <v>84.56</v>
      </c>
      <c r="P279" s="17">
        <f t="shared" si="16"/>
        <v>42.47</v>
      </c>
      <c r="Q279" s="17">
        <f t="shared" si="17"/>
        <v>42.09</v>
      </c>
      <c r="R279" s="24">
        <f t="shared" si="18"/>
        <v>0.49775307473982972</v>
      </c>
      <c r="S279" t="s">
        <v>63</v>
      </c>
      <c r="T279" t="s">
        <v>60</v>
      </c>
    </row>
    <row r="280" spans="1:20" hidden="1">
      <c r="A280" t="s">
        <v>349</v>
      </c>
      <c r="B280" s="5">
        <v>45347</v>
      </c>
      <c r="C280" s="8">
        <f>YEAR(Tabla2[[#This Row],[fecha]])</f>
        <v>2024</v>
      </c>
      <c r="D280" s="8">
        <f>MONTH(Tabla2[[#This Row],[fecha]])</f>
        <v>2</v>
      </c>
      <c r="E280" s="8" t="str">
        <f>TEXT(Tabla2[[#This Row],[fecha]], "mmmm")</f>
        <v>febrero</v>
      </c>
      <c r="F280" s="8" t="str">
        <f>"T"&amp;ROUNDUP(Tabla2[[#This Row],[mes]]/3,0)</f>
        <v>T1</v>
      </c>
      <c r="G280" t="s">
        <v>6</v>
      </c>
      <c r="H280" t="s">
        <v>7</v>
      </c>
      <c r="I280" s="8" t="str">
        <f>IF(Tabla2[[#This Row],[precio_unitario]]&lt;=30,"Económico",IF(Tabla2[[#This Row],[precio_unitario]]&lt;=58.49,"Accesible","Caro"))</f>
        <v>Caro</v>
      </c>
      <c r="J280" t="s">
        <v>8</v>
      </c>
      <c r="K280">
        <v>3</v>
      </c>
      <c r="L280" s="19">
        <v>112.99</v>
      </c>
      <c r="M280" s="19">
        <v>86.19</v>
      </c>
      <c r="N280" s="11">
        <v>0</v>
      </c>
      <c r="O280" s="17">
        <f t="shared" si="19"/>
        <v>338.96999999999997</v>
      </c>
      <c r="P280" s="17">
        <f t="shared" si="16"/>
        <v>258.57</v>
      </c>
      <c r="Q280" s="17">
        <f t="shared" si="17"/>
        <v>80.399999999999977</v>
      </c>
      <c r="R280" s="24">
        <f t="shared" si="18"/>
        <v>0.23718913178157355</v>
      </c>
      <c r="S280" t="s">
        <v>67</v>
      </c>
      <c r="T280" t="s">
        <v>64</v>
      </c>
    </row>
    <row r="281" spans="1:20" hidden="1">
      <c r="A281" t="s">
        <v>350</v>
      </c>
      <c r="B281" s="5">
        <v>45379</v>
      </c>
      <c r="C281" s="8">
        <f>YEAR(Tabla2[[#This Row],[fecha]])</f>
        <v>2024</v>
      </c>
      <c r="D281" s="8">
        <f>MONTH(Tabla2[[#This Row],[fecha]])</f>
        <v>3</v>
      </c>
      <c r="E281" s="8" t="str">
        <f>TEXT(Tabla2[[#This Row],[fecha]], "mmmm")</f>
        <v>marzo</v>
      </c>
      <c r="F281" s="8" t="str">
        <f>"T"&amp;ROUNDUP(Tabla2[[#This Row],[mes]]/3,0)</f>
        <v>T1</v>
      </c>
      <c r="G281" t="s">
        <v>31</v>
      </c>
      <c r="H281" t="s">
        <v>32</v>
      </c>
      <c r="I281" s="8" t="str">
        <f>IF(Tabla2[[#This Row],[precio_unitario]]&lt;=30,"Económico",IF(Tabla2[[#This Row],[precio_unitario]]&lt;=58.49,"Accesible","Caro"))</f>
        <v>Económico</v>
      </c>
      <c r="J281" t="s">
        <v>26</v>
      </c>
      <c r="K281">
        <v>6</v>
      </c>
      <c r="L281" s="19">
        <v>9.3699999999999992</v>
      </c>
      <c r="M281" s="19">
        <v>5.7</v>
      </c>
      <c r="N281" s="13">
        <v>0</v>
      </c>
      <c r="O281" s="17">
        <f t="shared" si="19"/>
        <v>56.22</v>
      </c>
      <c r="P281" s="17">
        <f t="shared" si="16"/>
        <v>34.200000000000003</v>
      </c>
      <c r="Q281" s="17">
        <f t="shared" si="17"/>
        <v>22.019999999999996</v>
      </c>
      <c r="R281" s="24">
        <f t="shared" si="18"/>
        <v>0.391675560298826</v>
      </c>
      <c r="S281" t="s">
        <v>540</v>
      </c>
      <c r="T281" t="s">
        <v>60</v>
      </c>
    </row>
    <row r="282" spans="1:20" hidden="1">
      <c r="A282" t="s">
        <v>351</v>
      </c>
      <c r="B282" s="5">
        <v>45526</v>
      </c>
      <c r="C282" s="8">
        <f>YEAR(Tabla2[[#This Row],[fecha]])</f>
        <v>2024</v>
      </c>
      <c r="D282" s="8">
        <f>MONTH(Tabla2[[#This Row],[fecha]])</f>
        <v>8</v>
      </c>
      <c r="E282" s="8" t="str">
        <f>TEXT(Tabla2[[#This Row],[fecha]], "mmmm")</f>
        <v>agosto</v>
      </c>
      <c r="F282" s="8" t="str">
        <f>"T"&amp;ROUNDUP(Tabla2[[#This Row],[mes]]/3,0)</f>
        <v>T3</v>
      </c>
      <c r="G282" t="s">
        <v>15</v>
      </c>
      <c r="H282" t="s">
        <v>16</v>
      </c>
      <c r="I282" s="8" t="str">
        <f>IF(Tabla2[[#This Row],[precio_unitario]]&lt;=30,"Económico",IF(Tabla2[[#This Row],[precio_unitario]]&lt;=58.49,"Accesible","Caro"))</f>
        <v>Accesible</v>
      </c>
      <c r="J282" t="s">
        <v>17</v>
      </c>
      <c r="K282">
        <v>1</v>
      </c>
      <c r="L282" s="19">
        <v>56.29</v>
      </c>
      <c r="M282" s="19">
        <v>39.18</v>
      </c>
      <c r="N282" s="11">
        <v>0.27</v>
      </c>
      <c r="O282" s="17">
        <f t="shared" si="19"/>
        <v>41.091699999999996</v>
      </c>
      <c r="P282" s="17">
        <f t="shared" si="16"/>
        <v>39.18</v>
      </c>
      <c r="Q282" s="17">
        <f t="shared" si="17"/>
        <v>1.9116999999999962</v>
      </c>
      <c r="R282" s="24">
        <f t="shared" si="18"/>
        <v>4.6522777105838804E-2</v>
      </c>
      <c r="S282" t="s">
        <v>67</v>
      </c>
      <c r="T282" t="s">
        <v>60</v>
      </c>
    </row>
    <row r="283" spans="1:20" hidden="1">
      <c r="A283" t="s">
        <v>352</v>
      </c>
      <c r="B283" s="5">
        <v>45579</v>
      </c>
      <c r="C283" s="8">
        <f>YEAR(Tabla2[[#This Row],[fecha]])</f>
        <v>2024</v>
      </c>
      <c r="D283" s="8">
        <f>MONTH(Tabla2[[#This Row],[fecha]])</f>
        <v>10</v>
      </c>
      <c r="E283" s="8" t="str">
        <f>TEXT(Tabla2[[#This Row],[fecha]], "mmmm")</f>
        <v>octubre</v>
      </c>
      <c r="F283" s="8" t="str">
        <f>"T"&amp;ROUNDUP(Tabla2[[#This Row],[mes]]/3,0)</f>
        <v>T4</v>
      </c>
      <c r="G283" t="s">
        <v>47</v>
      </c>
      <c r="H283" t="s">
        <v>48</v>
      </c>
      <c r="I283" s="8" t="str">
        <f>IF(Tabla2[[#This Row],[precio_unitario]]&lt;=30,"Económico",IF(Tabla2[[#This Row],[precio_unitario]]&lt;=58.49,"Accesible","Caro"))</f>
        <v>Caro</v>
      </c>
      <c r="J283" t="s">
        <v>44</v>
      </c>
      <c r="K283">
        <v>1</v>
      </c>
      <c r="L283" s="19">
        <v>60.88</v>
      </c>
      <c r="M283" s="19">
        <v>33.159999999999997</v>
      </c>
      <c r="N283" s="11">
        <v>0</v>
      </c>
      <c r="O283" s="17">
        <f t="shared" si="19"/>
        <v>60.88</v>
      </c>
      <c r="P283" s="17">
        <f t="shared" si="16"/>
        <v>33.159999999999997</v>
      </c>
      <c r="Q283" s="17">
        <f t="shared" si="17"/>
        <v>27.720000000000006</v>
      </c>
      <c r="R283" s="24">
        <f t="shared" si="18"/>
        <v>0.45532194480946131</v>
      </c>
      <c r="S283" t="s">
        <v>540</v>
      </c>
      <c r="T283" t="s">
        <v>64</v>
      </c>
    </row>
    <row r="284" spans="1:20" hidden="1">
      <c r="A284" t="s">
        <v>353</v>
      </c>
      <c r="B284" s="5">
        <v>45490</v>
      </c>
      <c r="C284" s="8">
        <f>YEAR(Tabla2[[#This Row],[fecha]])</f>
        <v>2024</v>
      </c>
      <c r="D284" s="8">
        <f>MONTH(Tabla2[[#This Row],[fecha]])</f>
        <v>7</v>
      </c>
      <c r="E284" s="8" t="str">
        <f>TEXT(Tabla2[[#This Row],[fecha]], "mmmm")</f>
        <v>julio</v>
      </c>
      <c r="F284" s="8" t="str">
        <f>"T"&amp;ROUNDUP(Tabla2[[#This Row],[mes]]/3,0)</f>
        <v>T3</v>
      </c>
      <c r="G284" t="s">
        <v>33</v>
      </c>
      <c r="H284" t="s">
        <v>34</v>
      </c>
      <c r="I284" s="8" t="str">
        <f>IF(Tabla2[[#This Row],[precio_unitario]]&lt;=30,"Económico",IF(Tabla2[[#This Row],[precio_unitario]]&lt;=58.49,"Accesible","Caro"))</f>
        <v>Caro</v>
      </c>
      <c r="J284" t="s">
        <v>35</v>
      </c>
      <c r="K284">
        <v>6</v>
      </c>
      <c r="L284" s="19">
        <v>79.8</v>
      </c>
      <c r="M284" s="19">
        <v>46.68</v>
      </c>
      <c r="N284" s="11">
        <v>0</v>
      </c>
      <c r="O284" s="17">
        <f t="shared" si="19"/>
        <v>478.79999999999995</v>
      </c>
      <c r="P284" s="17">
        <f t="shared" si="16"/>
        <v>280.08</v>
      </c>
      <c r="Q284" s="17">
        <f t="shared" si="17"/>
        <v>198.71999999999997</v>
      </c>
      <c r="R284" s="24">
        <f t="shared" si="18"/>
        <v>0.41503759398496237</v>
      </c>
      <c r="S284" t="s">
        <v>96</v>
      </c>
      <c r="T284" t="s">
        <v>64</v>
      </c>
    </row>
    <row r="285" spans="1:20" hidden="1">
      <c r="A285" t="s">
        <v>354</v>
      </c>
      <c r="B285" s="5">
        <v>45583</v>
      </c>
      <c r="C285" s="8">
        <f>YEAR(Tabla2[[#This Row],[fecha]])</f>
        <v>2024</v>
      </c>
      <c r="D285" s="8">
        <f>MONTH(Tabla2[[#This Row],[fecha]])</f>
        <v>10</v>
      </c>
      <c r="E285" s="8" t="str">
        <f>TEXT(Tabla2[[#This Row],[fecha]], "mmmm")</f>
        <v>octubre</v>
      </c>
      <c r="F285" s="8" t="str">
        <f>"T"&amp;ROUNDUP(Tabla2[[#This Row],[mes]]/3,0)</f>
        <v>T4</v>
      </c>
      <c r="G285" t="s">
        <v>18</v>
      </c>
      <c r="H285" t="s">
        <v>19</v>
      </c>
      <c r="I285" s="8" t="str">
        <f>IF(Tabla2[[#This Row],[precio_unitario]]&lt;=30,"Económico",IF(Tabla2[[#This Row],[precio_unitario]]&lt;=58.49,"Accesible","Caro"))</f>
        <v>Accesible</v>
      </c>
      <c r="J285" t="s">
        <v>17</v>
      </c>
      <c r="K285">
        <v>3</v>
      </c>
      <c r="L285" s="19">
        <v>49.63</v>
      </c>
      <c r="M285" s="19">
        <v>26.31</v>
      </c>
      <c r="N285" s="11">
        <v>0</v>
      </c>
      <c r="O285" s="17">
        <f t="shared" si="19"/>
        <v>148.89000000000001</v>
      </c>
      <c r="P285" s="17">
        <f t="shared" si="16"/>
        <v>78.929999999999993</v>
      </c>
      <c r="Q285" s="17">
        <f t="shared" si="17"/>
        <v>69.960000000000022</v>
      </c>
      <c r="R285" s="24">
        <f t="shared" si="18"/>
        <v>0.46987709046947423</v>
      </c>
      <c r="S285" t="s">
        <v>67</v>
      </c>
      <c r="T285" t="s">
        <v>64</v>
      </c>
    </row>
    <row r="286" spans="1:20" hidden="1">
      <c r="A286" t="s">
        <v>355</v>
      </c>
      <c r="B286" s="5">
        <v>45778</v>
      </c>
      <c r="C286" s="8">
        <f>YEAR(Tabla2[[#This Row],[fecha]])</f>
        <v>2025</v>
      </c>
      <c r="D286" s="8">
        <f>MONTH(Tabla2[[#This Row],[fecha]])</f>
        <v>5</v>
      </c>
      <c r="E286" s="8" t="str">
        <f>TEXT(Tabla2[[#This Row],[fecha]], "mmmm")</f>
        <v>mayo</v>
      </c>
      <c r="F286" s="8" t="str">
        <f>"T"&amp;ROUNDUP(Tabla2[[#This Row],[mes]]/3,0)</f>
        <v>T2</v>
      </c>
      <c r="G286" t="s">
        <v>38</v>
      </c>
      <c r="H286" t="s">
        <v>39</v>
      </c>
      <c r="I286" s="8" t="str">
        <f>IF(Tabla2[[#This Row],[precio_unitario]]&lt;=30,"Económico",IF(Tabla2[[#This Row],[precio_unitario]]&lt;=58.49,"Accesible","Caro"))</f>
        <v>Caro</v>
      </c>
      <c r="J286" t="s">
        <v>35</v>
      </c>
      <c r="K286">
        <v>3</v>
      </c>
      <c r="L286" s="19">
        <v>80.260000000000005</v>
      </c>
      <c r="M286" s="19">
        <v>43.43</v>
      </c>
      <c r="N286" s="11">
        <v>0</v>
      </c>
      <c r="O286" s="17">
        <f t="shared" si="19"/>
        <v>240.78000000000003</v>
      </c>
      <c r="P286" s="17">
        <f t="shared" si="16"/>
        <v>130.29</v>
      </c>
      <c r="Q286" s="17">
        <f t="shared" si="17"/>
        <v>110.49000000000004</v>
      </c>
      <c r="R286" s="24">
        <f t="shared" si="18"/>
        <v>0.45888362820832307</v>
      </c>
      <c r="S286" t="s">
        <v>101</v>
      </c>
      <c r="T286" t="s">
        <v>60</v>
      </c>
    </row>
    <row r="287" spans="1:20" hidden="1">
      <c r="A287" t="s">
        <v>356</v>
      </c>
      <c r="B287" s="15"/>
      <c r="C287" s="8">
        <f>YEAR(Tabla2[[#This Row],[fecha]])</f>
        <v>1900</v>
      </c>
      <c r="D287" s="8">
        <f>MONTH(Tabla2[[#This Row],[fecha]])</f>
        <v>1</v>
      </c>
      <c r="E287" s="8" t="str">
        <f>TEXT(Tabla2[[#This Row],[fecha]], "mmmm")</f>
        <v>enero</v>
      </c>
      <c r="F287" s="8" t="str">
        <f>"T"&amp;ROUNDUP(Tabla2[[#This Row],[mes]]/3,0)</f>
        <v>T1</v>
      </c>
      <c r="G287" t="s">
        <v>42</v>
      </c>
      <c r="H287" t="s">
        <v>43</v>
      </c>
      <c r="I287" s="8" t="str">
        <f>IF(Tabla2[[#This Row],[precio_unitario]]&lt;=30,"Económico",IF(Tabla2[[#This Row],[precio_unitario]]&lt;=58.49,"Accesible","Caro"))</f>
        <v>Accesible</v>
      </c>
      <c r="J287" t="s">
        <v>44</v>
      </c>
      <c r="K287">
        <v>1</v>
      </c>
      <c r="L287" s="19">
        <v>47.93</v>
      </c>
      <c r="M287" s="19">
        <v>22.12</v>
      </c>
      <c r="N287" s="11">
        <v>0.28999999999999998</v>
      </c>
      <c r="O287" s="17">
        <f t="shared" si="19"/>
        <v>34.030299999999997</v>
      </c>
      <c r="P287" s="17">
        <f t="shared" si="16"/>
        <v>22.12</v>
      </c>
      <c r="Q287" s="17">
        <f t="shared" si="17"/>
        <v>11.910299999999996</v>
      </c>
      <c r="R287" s="24">
        <f t="shared" si="18"/>
        <v>0.34999103739902371</v>
      </c>
      <c r="S287" t="s">
        <v>540</v>
      </c>
      <c r="T287" t="s">
        <v>60</v>
      </c>
    </row>
    <row r="288" spans="1:20" hidden="1">
      <c r="A288" t="s">
        <v>357</v>
      </c>
      <c r="B288" s="5">
        <v>45855</v>
      </c>
      <c r="C288" s="8">
        <f>YEAR(Tabla2[[#This Row],[fecha]])</f>
        <v>2025</v>
      </c>
      <c r="D288" s="8">
        <f>MONTH(Tabla2[[#This Row],[fecha]])</f>
        <v>7</v>
      </c>
      <c r="E288" s="8" t="str">
        <f>TEXT(Tabla2[[#This Row],[fecha]], "mmmm")</f>
        <v>julio</v>
      </c>
      <c r="F288" s="8" t="str">
        <f>"T"&amp;ROUNDUP(Tabla2[[#This Row],[mes]]/3,0)</f>
        <v>T3</v>
      </c>
      <c r="G288" t="s">
        <v>31</v>
      </c>
      <c r="H288" t="s">
        <v>32</v>
      </c>
      <c r="I288" s="8" t="str">
        <f>IF(Tabla2[[#This Row],[precio_unitario]]&lt;=30,"Económico",IF(Tabla2[[#This Row],[precio_unitario]]&lt;=58.49,"Accesible","Caro"))</f>
        <v>Económico</v>
      </c>
      <c r="J288" t="s">
        <v>26</v>
      </c>
      <c r="K288">
        <v>2</v>
      </c>
      <c r="L288" s="19">
        <v>8.36</v>
      </c>
      <c r="M288" s="19">
        <v>5.98</v>
      </c>
      <c r="N288" s="11">
        <v>0</v>
      </c>
      <c r="O288" s="17">
        <f t="shared" si="19"/>
        <v>16.72</v>
      </c>
      <c r="P288" s="17">
        <f t="shared" si="16"/>
        <v>11.96</v>
      </c>
      <c r="Q288" s="17">
        <f t="shared" si="17"/>
        <v>4.759999999999998</v>
      </c>
      <c r="R288" s="24">
        <f t="shared" si="18"/>
        <v>0.28468899521531088</v>
      </c>
      <c r="S288" s="10" t="s">
        <v>2377</v>
      </c>
      <c r="T288" t="s">
        <v>64</v>
      </c>
    </row>
    <row r="289" spans="1:20" hidden="1">
      <c r="A289" t="s">
        <v>358</v>
      </c>
      <c r="B289" s="5">
        <v>45767</v>
      </c>
      <c r="C289" s="8">
        <f>YEAR(Tabla2[[#This Row],[fecha]])</f>
        <v>2025</v>
      </c>
      <c r="D289" s="8">
        <f>MONTH(Tabla2[[#This Row],[fecha]])</f>
        <v>4</v>
      </c>
      <c r="E289" s="8" t="str">
        <f>TEXT(Tabla2[[#This Row],[fecha]], "mmmm")</f>
        <v>abril</v>
      </c>
      <c r="F289" s="8" t="str">
        <f>"T"&amp;ROUNDUP(Tabla2[[#This Row],[mes]]/3,0)</f>
        <v>T2</v>
      </c>
      <c r="G289" t="s">
        <v>42</v>
      </c>
      <c r="H289" t="s">
        <v>43</v>
      </c>
      <c r="I289" s="8" t="str">
        <f>IF(Tabla2[[#This Row],[precio_unitario]]&lt;=30,"Económico",IF(Tabla2[[#This Row],[precio_unitario]]&lt;=58.49,"Accesible","Caro"))</f>
        <v>Accesible</v>
      </c>
      <c r="J289" t="s">
        <v>44</v>
      </c>
      <c r="K289">
        <v>1</v>
      </c>
      <c r="L289" s="19">
        <v>48.81</v>
      </c>
      <c r="M289" s="19">
        <v>22.24</v>
      </c>
      <c r="N289" s="11">
        <v>0</v>
      </c>
      <c r="O289" s="17">
        <f t="shared" si="19"/>
        <v>48.81</v>
      </c>
      <c r="P289" s="17">
        <f t="shared" si="16"/>
        <v>22.24</v>
      </c>
      <c r="Q289" s="17">
        <f t="shared" si="17"/>
        <v>26.570000000000004</v>
      </c>
      <c r="R289" s="24">
        <f t="shared" si="18"/>
        <v>0.5443556648227823</v>
      </c>
      <c r="S289" t="s">
        <v>63</v>
      </c>
      <c r="T289" t="s">
        <v>64</v>
      </c>
    </row>
    <row r="290" spans="1:20" hidden="1">
      <c r="A290" t="s">
        <v>359</v>
      </c>
      <c r="B290" s="5">
        <v>46004</v>
      </c>
      <c r="C290" s="8">
        <f>YEAR(Tabla2[[#This Row],[fecha]])</f>
        <v>2025</v>
      </c>
      <c r="D290" s="8">
        <f>MONTH(Tabla2[[#This Row],[fecha]])</f>
        <v>12</v>
      </c>
      <c r="E290" s="8" t="str">
        <f>TEXT(Tabla2[[#This Row],[fecha]], "mmmm")</f>
        <v>diciembre</v>
      </c>
      <c r="F290" s="8" t="str">
        <f>"T"&amp;ROUNDUP(Tabla2[[#This Row],[mes]]/3,0)</f>
        <v>T4</v>
      </c>
      <c r="G290" t="s">
        <v>13</v>
      </c>
      <c r="H290" t="s">
        <v>14</v>
      </c>
      <c r="I290" s="8" t="str">
        <f>IF(Tabla2[[#This Row],[precio_unitario]]&lt;=30,"Económico",IF(Tabla2[[#This Row],[precio_unitario]]&lt;=58.49,"Accesible","Caro"))</f>
        <v>Caro</v>
      </c>
      <c r="J290" t="s">
        <v>8</v>
      </c>
      <c r="K290">
        <v>1</v>
      </c>
      <c r="L290" s="19">
        <v>152.27000000000001</v>
      </c>
      <c r="M290" s="19">
        <v>109.79</v>
      </c>
      <c r="N290" s="13">
        <v>0</v>
      </c>
      <c r="O290" s="17">
        <f t="shared" si="19"/>
        <v>152.27000000000001</v>
      </c>
      <c r="P290" s="17">
        <f t="shared" si="16"/>
        <v>109.79</v>
      </c>
      <c r="Q290" s="17">
        <f t="shared" si="17"/>
        <v>42.480000000000004</v>
      </c>
      <c r="R290" s="24">
        <f t="shared" si="18"/>
        <v>0.27897813095159912</v>
      </c>
      <c r="S290" t="s">
        <v>83</v>
      </c>
      <c r="T290" t="s">
        <v>64</v>
      </c>
    </row>
    <row r="291" spans="1:20" hidden="1">
      <c r="A291" t="s">
        <v>360</v>
      </c>
      <c r="B291" s="5">
        <v>45798</v>
      </c>
      <c r="C291" s="8">
        <f>YEAR(Tabla2[[#This Row],[fecha]])</f>
        <v>2025</v>
      </c>
      <c r="D291" s="8">
        <f>MONTH(Tabla2[[#This Row],[fecha]])</f>
        <v>5</v>
      </c>
      <c r="E291" s="8" t="str">
        <f>TEXT(Tabla2[[#This Row],[fecha]], "mmmm")</f>
        <v>mayo</v>
      </c>
      <c r="F291" s="8" t="str">
        <f>"T"&amp;ROUNDUP(Tabla2[[#This Row],[mes]]/3,0)</f>
        <v>T2</v>
      </c>
      <c r="G291" t="s">
        <v>22</v>
      </c>
      <c r="H291" t="s">
        <v>23</v>
      </c>
      <c r="I291" s="8" t="str">
        <f>IF(Tabla2[[#This Row],[precio_unitario]]&lt;=30,"Económico",IF(Tabla2[[#This Row],[precio_unitario]]&lt;=58.49,"Accesible","Caro"))</f>
        <v>Caro</v>
      </c>
      <c r="J291" t="s">
        <v>17</v>
      </c>
      <c r="K291">
        <v>4</v>
      </c>
      <c r="L291" s="19">
        <v>109</v>
      </c>
      <c r="M291" s="19">
        <v>54.67</v>
      </c>
      <c r="N291" s="11">
        <v>0</v>
      </c>
      <c r="O291" s="17">
        <f t="shared" si="19"/>
        <v>436</v>
      </c>
      <c r="P291" s="17">
        <f t="shared" si="16"/>
        <v>218.68</v>
      </c>
      <c r="Q291" s="17">
        <f t="shared" si="17"/>
        <v>217.32</v>
      </c>
      <c r="R291" s="24">
        <f t="shared" si="18"/>
        <v>0.49844036697247707</v>
      </c>
      <c r="S291" t="s">
        <v>540</v>
      </c>
      <c r="T291" t="s">
        <v>60</v>
      </c>
    </row>
    <row r="292" spans="1:20" hidden="1">
      <c r="A292" t="s">
        <v>361</v>
      </c>
      <c r="B292" s="5">
        <v>45683</v>
      </c>
      <c r="C292" s="8">
        <f>YEAR(Tabla2[[#This Row],[fecha]])</f>
        <v>2025</v>
      </c>
      <c r="D292" s="8">
        <f>MONTH(Tabla2[[#This Row],[fecha]])</f>
        <v>1</v>
      </c>
      <c r="E292" s="8" t="str">
        <f>TEXT(Tabla2[[#This Row],[fecha]], "mmmm")</f>
        <v>enero</v>
      </c>
      <c r="F292" s="8" t="str">
        <f>"T"&amp;ROUNDUP(Tabla2[[#This Row],[mes]]/3,0)</f>
        <v>T1</v>
      </c>
      <c r="G292" t="s">
        <v>38</v>
      </c>
      <c r="H292" t="s">
        <v>39</v>
      </c>
      <c r="I292" s="8" t="str">
        <f>IF(Tabla2[[#This Row],[precio_unitario]]&lt;=30,"Económico",IF(Tabla2[[#This Row],[precio_unitario]]&lt;=58.49,"Accesible","Caro"))</f>
        <v>Caro</v>
      </c>
      <c r="J292" t="s">
        <v>35</v>
      </c>
      <c r="K292">
        <v>2</v>
      </c>
      <c r="L292" s="19">
        <v>72.8</v>
      </c>
      <c r="M292" s="19">
        <v>43.45</v>
      </c>
      <c r="N292" s="13">
        <v>0</v>
      </c>
      <c r="O292" s="17">
        <f t="shared" si="19"/>
        <v>145.6</v>
      </c>
      <c r="P292" s="17">
        <f t="shared" si="16"/>
        <v>86.9</v>
      </c>
      <c r="Q292" s="17">
        <f t="shared" si="17"/>
        <v>58.699999999999989</v>
      </c>
      <c r="R292" s="24">
        <f t="shared" si="18"/>
        <v>0.40315934065934061</v>
      </c>
      <c r="S292" t="s">
        <v>83</v>
      </c>
      <c r="T292" t="s">
        <v>64</v>
      </c>
    </row>
    <row r="293" spans="1:20">
      <c r="A293" t="s">
        <v>362</v>
      </c>
      <c r="B293" s="5">
        <v>45955</v>
      </c>
      <c r="C293" s="8">
        <f>YEAR(Tabla2[[#This Row],[fecha]])</f>
        <v>2025</v>
      </c>
      <c r="D293" s="8">
        <f>MONTH(Tabla2[[#This Row],[fecha]])</f>
        <v>10</v>
      </c>
      <c r="E293" s="8" t="str">
        <f>TEXT(Tabla2[[#This Row],[fecha]], "mmmm")</f>
        <v>octubre</v>
      </c>
      <c r="F293" s="8" t="str">
        <f>"T"&amp;ROUNDUP(Tabla2[[#This Row],[mes]]/3,0)</f>
        <v>T4</v>
      </c>
      <c r="G293" t="s">
        <v>47</v>
      </c>
      <c r="H293" t="s">
        <v>48</v>
      </c>
      <c r="I293" s="8" t="str">
        <f>IF(Tabla2[[#This Row],[precio_unitario]]&lt;=30,"Económico",IF(Tabla2[[#This Row],[precio_unitario]]&lt;=58.49,"Accesible","Caro"))</f>
        <v>Caro</v>
      </c>
      <c r="J293" t="s">
        <v>44</v>
      </c>
      <c r="K293">
        <v>2</v>
      </c>
      <c r="L293" s="19">
        <v>62.91</v>
      </c>
      <c r="M293" s="19">
        <v>34.06</v>
      </c>
      <c r="N293" s="13">
        <v>0</v>
      </c>
      <c r="O293" s="17">
        <f t="shared" si="19"/>
        <v>125.82</v>
      </c>
      <c r="P293" s="17">
        <f t="shared" si="16"/>
        <v>68.12</v>
      </c>
      <c r="Q293" s="17">
        <f t="shared" si="17"/>
        <v>57.699999999999989</v>
      </c>
      <c r="R293" s="24">
        <f t="shared" si="18"/>
        <v>0.4585916388491495</v>
      </c>
      <c r="S293" t="s">
        <v>67</v>
      </c>
      <c r="T293" t="s">
        <v>64</v>
      </c>
    </row>
    <row r="294" spans="1:20">
      <c r="A294" t="s">
        <v>363</v>
      </c>
      <c r="B294" s="5">
        <v>45700</v>
      </c>
      <c r="C294" s="8">
        <f>YEAR(Tabla2[[#This Row],[fecha]])</f>
        <v>2025</v>
      </c>
      <c r="D294" s="8">
        <f>MONTH(Tabla2[[#This Row],[fecha]])</f>
        <v>2</v>
      </c>
      <c r="E294" s="8" t="str">
        <f>TEXT(Tabla2[[#This Row],[fecha]], "mmmm")</f>
        <v>febrero</v>
      </c>
      <c r="F294" s="8" t="str">
        <f>"T"&amp;ROUNDUP(Tabla2[[#This Row],[mes]]/3,0)</f>
        <v>T1</v>
      </c>
      <c r="G294" t="s">
        <v>31</v>
      </c>
      <c r="H294" t="s">
        <v>32</v>
      </c>
      <c r="I294" s="8" t="str">
        <f>IF(Tabla2[[#This Row],[precio_unitario]]&lt;=30,"Económico",IF(Tabla2[[#This Row],[precio_unitario]]&lt;=58.49,"Accesible","Caro"))</f>
        <v>Económico</v>
      </c>
      <c r="J294" t="s">
        <v>26</v>
      </c>
      <c r="K294">
        <v>3</v>
      </c>
      <c r="L294" s="19">
        <v>8.69</v>
      </c>
      <c r="M294" s="19">
        <v>5.64</v>
      </c>
      <c r="N294" s="11">
        <v>0</v>
      </c>
      <c r="O294" s="17">
        <f t="shared" si="19"/>
        <v>26.07</v>
      </c>
      <c r="P294" s="17">
        <f t="shared" si="16"/>
        <v>16.919999999999998</v>
      </c>
      <c r="Q294" s="17">
        <f t="shared" si="17"/>
        <v>9.1500000000000021</v>
      </c>
      <c r="R294" s="24">
        <f t="shared" si="18"/>
        <v>0.35097813578826242</v>
      </c>
      <c r="S294" t="s">
        <v>67</v>
      </c>
      <c r="T294" t="s">
        <v>60</v>
      </c>
    </row>
    <row r="295" spans="1:20" hidden="1">
      <c r="A295" t="s">
        <v>364</v>
      </c>
      <c r="B295" s="5">
        <v>45542</v>
      </c>
      <c r="C295" s="8">
        <f>YEAR(Tabla2[[#This Row],[fecha]])</f>
        <v>2024</v>
      </c>
      <c r="D295" s="8">
        <f>MONTH(Tabla2[[#This Row],[fecha]])</f>
        <v>9</v>
      </c>
      <c r="E295" s="8" t="str">
        <f>TEXT(Tabla2[[#This Row],[fecha]], "mmmm")</f>
        <v>septiembre</v>
      </c>
      <c r="F295" s="8" t="str">
        <f>"T"&amp;ROUNDUP(Tabla2[[#This Row],[mes]]/3,0)</f>
        <v>T3</v>
      </c>
      <c r="G295" t="s">
        <v>33</v>
      </c>
      <c r="H295" t="s">
        <v>34</v>
      </c>
      <c r="I295" s="8" t="str">
        <f>IF(Tabla2[[#This Row],[precio_unitario]]&lt;=30,"Económico",IF(Tabla2[[#This Row],[precio_unitario]]&lt;=58.49,"Accesible","Caro"))</f>
        <v>Caro</v>
      </c>
      <c r="J295" t="s">
        <v>35</v>
      </c>
      <c r="K295">
        <v>4</v>
      </c>
      <c r="L295" s="19">
        <v>77.91</v>
      </c>
      <c r="M295" s="19">
        <v>46.56</v>
      </c>
      <c r="N295" s="11">
        <v>0.16</v>
      </c>
      <c r="O295" s="17">
        <f t="shared" si="19"/>
        <v>261.77760000000001</v>
      </c>
      <c r="P295" s="17">
        <f t="shared" si="16"/>
        <v>186.24</v>
      </c>
      <c r="Q295" s="17">
        <f t="shared" si="17"/>
        <v>75.537599999999998</v>
      </c>
      <c r="R295" s="24">
        <f t="shared" si="18"/>
        <v>0.28855639290756735</v>
      </c>
      <c r="S295" t="s">
        <v>67</v>
      </c>
      <c r="T295" t="s">
        <v>60</v>
      </c>
    </row>
    <row r="296" spans="1:20" hidden="1">
      <c r="A296" t="s">
        <v>365</v>
      </c>
      <c r="B296" s="5">
        <v>45414</v>
      </c>
      <c r="C296" s="8">
        <f>YEAR(Tabla2[[#This Row],[fecha]])</f>
        <v>2024</v>
      </c>
      <c r="D296" s="8">
        <f>MONTH(Tabla2[[#This Row],[fecha]])</f>
        <v>5</v>
      </c>
      <c r="E296" s="8" t="str">
        <f>TEXT(Tabla2[[#This Row],[fecha]], "mmmm")</f>
        <v>mayo</v>
      </c>
      <c r="F296" s="8" t="str">
        <f>"T"&amp;ROUNDUP(Tabla2[[#This Row],[mes]]/3,0)</f>
        <v>T2</v>
      </c>
      <c r="G296" t="s">
        <v>47</v>
      </c>
      <c r="H296" t="s">
        <v>48</v>
      </c>
      <c r="I296" s="8" t="str">
        <f>IF(Tabla2[[#This Row],[precio_unitario]]&lt;=30,"Económico",IF(Tabla2[[#This Row],[precio_unitario]]&lt;=58.49,"Accesible","Caro"))</f>
        <v>Accesible</v>
      </c>
      <c r="J296" t="s">
        <v>44</v>
      </c>
      <c r="K296">
        <v>1</v>
      </c>
      <c r="L296" s="19">
        <v>56.2</v>
      </c>
      <c r="M296" s="19">
        <v>31.68</v>
      </c>
      <c r="N296" s="11">
        <v>0</v>
      </c>
      <c r="O296" s="17">
        <f t="shared" si="19"/>
        <v>56.2</v>
      </c>
      <c r="P296" s="17">
        <f t="shared" si="16"/>
        <v>31.68</v>
      </c>
      <c r="Q296" s="17">
        <f t="shared" si="17"/>
        <v>24.520000000000003</v>
      </c>
      <c r="R296" s="24">
        <f t="shared" si="18"/>
        <v>0.4362989323843417</v>
      </c>
      <c r="S296" t="s">
        <v>63</v>
      </c>
      <c r="T296" t="s">
        <v>60</v>
      </c>
    </row>
    <row r="297" spans="1:20" hidden="1">
      <c r="A297" t="s">
        <v>366</v>
      </c>
      <c r="B297" s="5">
        <v>45683</v>
      </c>
      <c r="C297" s="8">
        <f>YEAR(Tabla2[[#This Row],[fecha]])</f>
        <v>2025</v>
      </c>
      <c r="D297" s="8">
        <f>MONTH(Tabla2[[#This Row],[fecha]])</f>
        <v>1</v>
      </c>
      <c r="E297" s="8" t="str">
        <f>TEXT(Tabla2[[#This Row],[fecha]], "mmmm")</f>
        <v>enero</v>
      </c>
      <c r="F297" s="8" t="str">
        <f>"T"&amp;ROUNDUP(Tabla2[[#This Row],[mes]]/3,0)</f>
        <v>T1</v>
      </c>
      <c r="G297" t="s">
        <v>38</v>
      </c>
      <c r="H297" t="s">
        <v>39</v>
      </c>
      <c r="I297" s="8" t="str">
        <f>IF(Tabla2[[#This Row],[precio_unitario]]&lt;=30,"Económico",IF(Tabla2[[#This Row],[precio_unitario]]&lt;=58.49,"Accesible","Caro"))</f>
        <v>Caro</v>
      </c>
      <c r="J297" t="s">
        <v>35</v>
      </c>
      <c r="K297">
        <v>5</v>
      </c>
      <c r="L297" s="19">
        <v>78.41</v>
      </c>
      <c r="M297" s="19">
        <v>41.43</v>
      </c>
      <c r="N297" s="13">
        <v>0</v>
      </c>
      <c r="O297" s="17">
        <f t="shared" si="19"/>
        <v>392.04999999999995</v>
      </c>
      <c r="P297" s="17">
        <f t="shared" si="16"/>
        <v>207.15</v>
      </c>
      <c r="Q297" s="17">
        <f t="shared" si="17"/>
        <v>184.89999999999995</v>
      </c>
      <c r="R297" s="24">
        <f t="shared" si="18"/>
        <v>0.47162351740849373</v>
      </c>
      <c r="S297" t="s">
        <v>96</v>
      </c>
      <c r="T297" t="s">
        <v>64</v>
      </c>
    </row>
    <row r="298" spans="1:20" hidden="1">
      <c r="A298" t="s">
        <v>367</v>
      </c>
      <c r="B298" s="5">
        <v>45649</v>
      </c>
      <c r="C298" s="8">
        <f>YEAR(Tabla2[[#This Row],[fecha]])</f>
        <v>2024</v>
      </c>
      <c r="D298" s="8">
        <f>MONTH(Tabla2[[#This Row],[fecha]])</f>
        <v>12</v>
      </c>
      <c r="E298" s="8" t="str">
        <f>TEXT(Tabla2[[#This Row],[fecha]], "mmmm")</f>
        <v>diciembre</v>
      </c>
      <c r="F298" s="8" t="str">
        <f>"T"&amp;ROUNDUP(Tabla2[[#This Row],[mes]]/3,0)</f>
        <v>T4</v>
      </c>
      <c r="G298" t="s">
        <v>31</v>
      </c>
      <c r="H298" t="s">
        <v>32</v>
      </c>
      <c r="I298" s="8" t="str">
        <f>IF(Tabla2[[#This Row],[precio_unitario]]&lt;=30,"Económico",IF(Tabla2[[#This Row],[precio_unitario]]&lt;=58.49,"Accesible","Caro"))</f>
        <v>Económico</v>
      </c>
      <c r="J298" t="s">
        <v>26</v>
      </c>
      <c r="K298">
        <v>6</v>
      </c>
      <c r="L298" s="19">
        <v>8.57</v>
      </c>
      <c r="M298" s="19">
        <v>5.73</v>
      </c>
      <c r="N298" s="11">
        <v>0</v>
      </c>
      <c r="O298" s="17">
        <f t="shared" si="19"/>
        <v>51.42</v>
      </c>
      <c r="P298" s="17">
        <f t="shared" si="16"/>
        <v>34.380000000000003</v>
      </c>
      <c r="Q298" s="17">
        <f t="shared" si="17"/>
        <v>17.04</v>
      </c>
      <c r="R298" s="24">
        <f t="shared" si="18"/>
        <v>0.33138856476079342</v>
      </c>
      <c r="S298" t="s">
        <v>63</v>
      </c>
      <c r="T298" t="s">
        <v>64</v>
      </c>
    </row>
    <row r="299" spans="1:20" hidden="1">
      <c r="A299" t="s">
        <v>368</v>
      </c>
      <c r="B299" s="5">
        <v>45888</v>
      </c>
      <c r="C299" s="8">
        <f>YEAR(Tabla2[[#This Row],[fecha]])</f>
        <v>2025</v>
      </c>
      <c r="D299" s="8">
        <f>MONTH(Tabla2[[#This Row],[fecha]])</f>
        <v>8</v>
      </c>
      <c r="E299" s="8" t="str">
        <f>TEXT(Tabla2[[#This Row],[fecha]], "mmmm")</f>
        <v>agosto</v>
      </c>
      <c r="F299" s="8" t="str">
        <f>"T"&amp;ROUNDUP(Tabla2[[#This Row],[mes]]/3,0)</f>
        <v>T3</v>
      </c>
      <c r="G299" t="s">
        <v>27</v>
      </c>
      <c r="H299" t="s">
        <v>28</v>
      </c>
      <c r="I299" s="8" t="str">
        <f>IF(Tabla2[[#This Row],[precio_unitario]]&lt;=30,"Económico",IF(Tabla2[[#This Row],[precio_unitario]]&lt;=58.49,"Accesible","Caro"))</f>
        <v>Económico</v>
      </c>
      <c r="J299" t="s">
        <v>26</v>
      </c>
      <c r="K299">
        <v>4</v>
      </c>
      <c r="L299" s="19">
        <v>15.21</v>
      </c>
      <c r="M299" s="19">
        <v>11.81</v>
      </c>
      <c r="N299" s="11">
        <v>0</v>
      </c>
      <c r="O299" s="17">
        <f t="shared" si="19"/>
        <v>60.84</v>
      </c>
      <c r="P299" s="17">
        <f t="shared" si="16"/>
        <v>47.24</v>
      </c>
      <c r="Q299" s="17">
        <f t="shared" si="17"/>
        <v>13.600000000000001</v>
      </c>
      <c r="R299" s="24">
        <f t="shared" si="18"/>
        <v>0.2235371466140697</v>
      </c>
      <c r="S299" t="s">
        <v>83</v>
      </c>
      <c r="T299" t="s">
        <v>60</v>
      </c>
    </row>
    <row r="300" spans="1:20" hidden="1">
      <c r="A300" t="s">
        <v>369</v>
      </c>
      <c r="B300" s="5">
        <v>45510</v>
      </c>
      <c r="C300" s="8">
        <f>YEAR(Tabla2[[#This Row],[fecha]])</f>
        <v>2024</v>
      </c>
      <c r="D300" s="8">
        <f>MONTH(Tabla2[[#This Row],[fecha]])</f>
        <v>8</v>
      </c>
      <c r="E300" s="8" t="str">
        <f>TEXT(Tabla2[[#This Row],[fecha]], "mmmm")</f>
        <v>agosto</v>
      </c>
      <c r="F300" s="8" t="str">
        <f>"T"&amp;ROUNDUP(Tabla2[[#This Row],[mes]]/3,0)</f>
        <v>T3</v>
      </c>
      <c r="G300" t="s">
        <v>22</v>
      </c>
      <c r="H300" t="s">
        <v>23</v>
      </c>
      <c r="I300" s="8" t="str">
        <f>IF(Tabla2[[#This Row],[precio_unitario]]&lt;=30,"Económico",IF(Tabla2[[#This Row],[precio_unitario]]&lt;=58.49,"Accesible","Caro"))</f>
        <v>Caro</v>
      </c>
      <c r="J300" t="s">
        <v>17</v>
      </c>
      <c r="K300">
        <v>1</v>
      </c>
      <c r="L300" s="19">
        <v>94.61</v>
      </c>
      <c r="M300" s="19">
        <v>55.82</v>
      </c>
      <c r="N300" s="11">
        <v>0</v>
      </c>
      <c r="O300" s="17">
        <f t="shared" si="19"/>
        <v>94.61</v>
      </c>
      <c r="P300" s="17">
        <f t="shared" si="16"/>
        <v>55.82</v>
      </c>
      <c r="Q300" s="17">
        <f t="shared" si="17"/>
        <v>38.79</v>
      </c>
      <c r="R300" s="24">
        <f t="shared" si="18"/>
        <v>0.40999894302927808</v>
      </c>
      <c r="S300" t="s">
        <v>67</v>
      </c>
      <c r="T300" t="s">
        <v>60</v>
      </c>
    </row>
    <row r="301" spans="1:20" hidden="1">
      <c r="A301" t="s">
        <v>370</v>
      </c>
      <c r="B301" s="5">
        <v>45506</v>
      </c>
      <c r="C301" s="8">
        <f>YEAR(Tabla2[[#This Row],[fecha]])</f>
        <v>2024</v>
      </c>
      <c r="D301" s="8">
        <f>MONTH(Tabla2[[#This Row],[fecha]])</f>
        <v>8</v>
      </c>
      <c r="E301" s="8" t="str">
        <f>TEXT(Tabla2[[#This Row],[fecha]], "mmmm")</f>
        <v>agosto</v>
      </c>
      <c r="F301" s="8" t="str">
        <f>"T"&amp;ROUNDUP(Tabla2[[#This Row],[mes]]/3,0)</f>
        <v>T3</v>
      </c>
      <c r="G301" t="s">
        <v>24</v>
      </c>
      <c r="H301" t="s">
        <v>25</v>
      </c>
      <c r="I301" s="8" t="str">
        <f>IF(Tabla2[[#This Row],[precio_unitario]]&lt;=30,"Económico",IF(Tabla2[[#This Row],[precio_unitario]]&lt;=58.49,"Accesible","Caro"))</f>
        <v>Económico</v>
      </c>
      <c r="J301" t="s">
        <v>26</v>
      </c>
      <c r="K301">
        <v>3</v>
      </c>
      <c r="L301" s="19">
        <v>7.52</v>
      </c>
      <c r="M301" s="19">
        <v>4.47</v>
      </c>
      <c r="N301" s="11">
        <v>0</v>
      </c>
      <c r="O301" s="17">
        <f t="shared" si="19"/>
        <v>22.56</v>
      </c>
      <c r="P301" s="17">
        <f t="shared" si="16"/>
        <v>13.41</v>
      </c>
      <c r="Q301" s="17">
        <f t="shared" si="17"/>
        <v>9.1499999999999986</v>
      </c>
      <c r="R301" s="24">
        <f t="shared" si="18"/>
        <v>0.40558510638297868</v>
      </c>
      <c r="S301" t="s">
        <v>63</v>
      </c>
      <c r="T301" t="s">
        <v>60</v>
      </c>
    </row>
    <row r="302" spans="1:20" hidden="1">
      <c r="A302" t="s">
        <v>371</v>
      </c>
      <c r="B302" s="5">
        <v>45911</v>
      </c>
      <c r="C302" s="8">
        <f>YEAR(Tabla2[[#This Row],[fecha]])</f>
        <v>2025</v>
      </c>
      <c r="D302" s="8">
        <f>MONTH(Tabla2[[#This Row],[fecha]])</f>
        <v>9</v>
      </c>
      <c r="E302" s="8" t="str">
        <f>TEXT(Tabla2[[#This Row],[fecha]], "mmmm")</f>
        <v>septiembre</v>
      </c>
      <c r="F302" s="8" t="str">
        <f>"T"&amp;ROUNDUP(Tabla2[[#This Row],[mes]]/3,0)</f>
        <v>T3</v>
      </c>
      <c r="G302" t="s">
        <v>45</v>
      </c>
      <c r="H302" t="s">
        <v>46</v>
      </c>
      <c r="I302" s="8" t="str">
        <f>IF(Tabla2[[#This Row],[precio_unitario]]&lt;=30,"Económico",IF(Tabla2[[#This Row],[precio_unitario]]&lt;=58.49,"Accesible","Caro"))</f>
        <v>Accesible</v>
      </c>
      <c r="J302" t="s">
        <v>44</v>
      </c>
      <c r="K302">
        <v>2</v>
      </c>
      <c r="L302" s="19">
        <v>31.61</v>
      </c>
      <c r="M302" s="19">
        <v>17.88</v>
      </c>
      <c r="N302" s="13">
        <v>0</v>
      </c>
      <c r="O302" s="17">
        <f t="shared" si="19"/>
        <v>63.22</v>
      </c>
      <c r="P302" s="17">
        <f t="shared" si="16"/>
        <v>35.76</v>
      </c>
      <c r="Q302" s="17">
        <f t="shared" si="17"/>
        <v>27.46</v>
      </c>
      <c r="R302" s="24">
        <f t="shared" si="18"/>
        <v>0.43435621638721927</v>
      </c>
      <c r="S302" t="s">
        <v>96</v>
      </c>
      <c r="T302" t="s">
        <v>64</v>
      </c>
    </row>
    <row r="303" spans="1:20" hidden="1">
      <c r="A303" t="s">
        <v>372</v>
      </c>
      <c r="B303" s="5">
        <v>45741</v>
      </c>
      <c r="C303" s="8">
        <f>YEAR(Tabla2[[#This Row],[fecha]])</f>
        <v>2025</v>
      </c>
      <c r="D303" s="8">
        <f>MONTH(Tabla2[[#This Row],[fecha]])</f>
        <v>3</v>
      </c>
      <c r="E303" s="8" t="str">
        <f>TEXT(Tabla2[[#This Row],[fecha]], "mmmm")</f>
        <v>marzo</v>
      </c>
      <c r="F303" s="8" t="str">
        <f>"T"&amp;ROUNDUP(Tabla2[[#This Row],[mes]]/3,0)</f>
        <v>T1</v>
      </c>
      <c r="G303" t="s">
        <v>31</v>
      </c>
      <c r="H303" t="s">
        <v>32</v>
      </c>
      <c r="I303" s="8" t="str">
        <f>IF(Tabla2[[#This Row],[precio_unitario]]&lt;=30,"Económico",IF(Tabla2[[#This Row],[precio_unitario]]&lt;=58.49,"Accesible","Caro"))</f>
        <v>Económico</v>
      </c>
      <c r="J303" t="s">
        <v>26</v>
      </c>
      <c r="K303">
        <v>2</v>
      </c>
      <c r="L303" s="19">
        <v>8.39</v>
      </c>
      <c r="M303" s="19">
        <v>5.5</v>
      </c>
      <c r="N303" s="11">
        <v>0</v>
      </c>
      <c r="O303" s="17">
        <f t="shared" si="19"/>
        <v>16.78</v>
      </c>
      <c r="P303" s="17">
        <f t="shared" si="16"/>
        <v>11</v>
      </c>
      <c r="Q303" s="17">
        <f t="shared" si="17"/>
        <v>5.7800000000000011</v>
      </c>
      <c r="R303" s="24">
        <f t="shared" si="18"/>
        <v>0.3444576877234804</v>
      </c>
      <c r="S303" t="s">
        <v>63</v>
      </c>
      <c r="T303" t="s">
        <v>60</v>
      </c>
    </row>
    <row r="304" spans="1:20" hidden="1">
      <c r="A304" t="s">
        <v>373</v>
      </c>
      <c r="B304" s="5">
        <v>45298</v>
      </c>
      <c r="C304" s="8">
        <f>YEAR(Tabla2[[#This Row],[fecha]])</f>
        <v>2024</v>
      </c>
      <c r="D304" s="8">
        <f>MONTH(Tabla2[[#This Row],[fecha]])</f>
        <v>1</v>
      </c>
      <c r="E304" s="8" t="str">
        <f>TEXT(Tabla2[[#This Row],[fecha]], "mmmm")</f>
        <v>enero</v>
      </c>
      <c r="F304" s="8" t="str">
        <f>"T"&amp;ROUNDUP(Tabla2[[#This Row],[mes]]/3,0)</f>
        <v>T1</v>
      </c>
      <c r="G304" t="s">
        <v>27</v>
      </c>
      <c r="H304" t="s">
        <v>28</v>
      </c>
      <c r="I304" s="8" t="str">
        <f>IF(Tabla2[[#This Row],[precio_unitario]]&lt;=30,"Económico",IF(Tabla2[[#This Row],[precio_unitario]]&lt;=58.49,"Accesible","Caro"))</f>
        <v>Económico</v>
      </c>
      <c r="J304" t="s">
        <v>26</v>
      </c>
      <c r="K304">
        <v>5</v>
      </c>
      <c r="L304" s="19">
        <v>16.739999999999998</v>
      </c>
      <c r="M304" s="19">
        <v>11.71</v>
      </c>
      <c r="N304" s="11">
        <v>0.14000000000000001</v>
      </c>
      <c r="O304" s="17">
        <f t="shared" si="19"/>
        <v>71.981999999999985</v>
      </c>
      <c r="P304" s="17">
        <f t="shared" si="16"/>
        <v>58.550000000000004</v>
      </c>
      <c r="Q304" s="17">
        <f t="shared" si="17"/>
        <v>13.431999999999981</v>
      </c>
      <c r="R304" s="24">
        <f t="shared" si="18"/>
        <v>0.18660220610708209</v>
      </c>
      <c r="S304" t="s">
        <v>101</v>
      </c>
      <c r="T304" t="s">
        <v>374</v>
      </c>
    </row>
    <row r="305" spans="1:20" hidden="1">
      <c r="A305" t="s">
        <v>375</v>
      </c>
      <c r="B305" s="5">
        <v>45532</v>
      </c>
      <c r="C305" s="8">
        <f>YEAR(Tabla2[[#This Row],[fecha]])</f>
        <v>2024</v>
      </c>
      <c r="D305" s="8">
        <f>MONTH(Tabla2[[#This Row],[fecha]])</f>
        <v>8</v>
      </c>
      <c r="E305" s="8" t="str">
        <f>TEXT(Tabla2[[#This Row],[fecha]], "mmmm")</f>
        <v>agosto</v>
      </c>
      <c r="F305" s="8" t="str">
        <f>"T"&amp;ROUNDUP(Tabla2[[#This Row],[mes]]/3,0)</f>
        <v>T3</v>
      </c>
      <c r="G305" t="s">
        <v>47</v>
      </c>
      <c r="H305" t="s">
        <v>48</v>
      </c>
      <c r="I305" s="8" t="str">
        <f>IF(Tabla2[[#This Row],[precio_unitario]]&lt;=30,"Económico",IF(Tabla2[[#This Row],[precio_unitario]]&lt;=58.49,"Accesible","Caro"))</f>
        <v>Accesible</v>
      </c>
      <c r="J305" t="s">
        <v>44</v>
      </c>
      <c r="K305">
        <v>4</v>
      </c>
      <c r="L305" s="19">
        <v>57.52</v>
      </c>
      <c r="M305" s="19">
        <v>31.8</v>
      </c>
      <c r="N305" s="11">
        <v>0</v>
      </c>
      <c r="O305" s="17">
        <f t="shared" si="19"/>
        <v>230.08</v>
      </c>
      <c r="P305" s="17">
        <f t="shared" si="16"/>
        <v>127.2</v>
      </c>
      <c r="Q305" s="17">
        <f t="shared" si="17"/>
        <v>102.88000000000001</v>
      </c>
      <c r="R305" s="24">
        <f t="shared" si="18"/>
        <v>0.44714881780250348</v>
      </c>
      <c r="S305" s="10" t="s">
        <v>2377</v>
      </c>
      <c r="T305" t="s">
        <v>64</v>
      </c>
    </row>
    <row r="306" spans="1:20" hidden="1">
      <c r="A306" t="s">
        <v>376</v>
      </c>
      <c r="B306" s="5">
        <v>45919</v>
      </c>
      <c r="C306" s="8">
        <f>YEAR(Tabla2[[#This Row],[fecha]])</f>
        <v>2025</v>
      </c>
      <c r="D306" s="8">
        <f>MONTH(Tabla2[[#This Row],[fecha]])</f>
        <v>9</v>
      </c>
      <c r="E306" s="8" t="str">
        <f>TEXT(Tabla2[[#This Row],[fecha]], "mmmm")</f>
        <v>septiembre</v>
      </c>
      <c r="F306" s="8" t="str">
        <f>"T"&amp;ROUNDUP(Tabla2[[#This Row],[mes]]/3,0)</f>
        <v>T3</v>
      </c>
      <c r="G306" t="s">
        <v>47</v>
      </c>
      <c r="H306" t="s">
        <v>48</v>
      </c>
      <c r="I306" s="8" t="str">
        <f>IF(Tabla2[[#This Row],[precio_unitario]]&lt;=30,"Económico",IF(Tabla2[[#This Row],[precio_unitario]]&lt;=58.49,"Accesible","Caro"))</f>
        <v>Accesible</v>
      </c>
      <c r="J306" t="s">
        <v>44</v>
      </c>
      <c r="K306">
        <v>6</v>
      </c>
      <c r="L306" s="19">
        <v>55.04</v>
      </c>
      <c r="M306" s="19">
        <v>34.200000000000003</v>
      </c>
      <c r="N306" s="11">
        <v>0</v>
      </c>
      <c r="O306" s="17">
        <f t="shared" si="19"/>
        <v>330.24</v>
      </c>
      <c r="P306" s="17">
        <f t="shared" si="16"/>
        <v>205.20000000000002</v>
      </c>
      <c r="Q306" s="17">
        <f t="shared" si="17"/>
        <v>125.03999999999999</v>
      </c>
      <c r="R306" s="24">
        <f t="shared" si="18"/>
        <v>0.37863372093023251</v>
      </c>
      <c r="S306" t="s">
        <v>101</v>
      </c>
      <c r="T306" t="s">
        <v>60</v>
      </c>
    </row>
    <row r="307" spans="1:20" hidden="1">
      <c r="A307" t="s">
        <v>377</v>
      </c>
      <c r="B307" s="5">
        <v>45895</v>
      </c>
      <c r="C307" s="8">
        <f>YEAR(Tabla2[[#This Row],[fecha]])</f>
        <v>2025</v>
      </c>
      <c r="D307" s="8">
        <f>MONTH(Tabla2[[#This Row],[fecha]])</f>
        <v>8</v>
      </c>
      <c r="E307" s="8" t="str">
        <f>TEXT(Tabla2[[#This Row],[fecha]], "mmmm")</f>
        <v>agosto</v>
      </c>
      <c r="F307" s="8" t="str">
        <f>"T"&amp;ROUNDUP(Tabla2[[#This Row],[mes]]/3,0)</f>
        <v>T3</v>
      </c>
      <c r="G307" t="s">
        <v>20</v>
      </c>
      <c r="H307" t="s">
        <v>21</v>
      </c>
      <c r="I307" s="8" t="str">
        <f>IF(Tabla2[[#This Row],[precio_unitario]]&lt;=30,"Económico",IF(Tabla2[[#This Row],[precio_unitario]]&lt;=58.49,"Accesible","Caro"))</f>
        <v>Económico</v>
      </c>
      <c r="J307" t="s">
        <v>17</v>
      </c>
      <c r="K307">
        <v>6</v>
      </c>
      <c r="L307" s="19">
        <v>19.829999999999998</v>
      </c>
      <c r="M307" s="19">
        <v>12.48</v>
      </c>
      <c r="N307" s="11">
        <v>0</v>
      </c>
      <c r="O307" s="17">
        <f t="shared" si="19"/>
        <v>118.97999999999999</v>
      </c>
      <c r="P307" s="17">
        <f t="shared" si="16"/>
        <v>74.88</v>
      </c>
      <c r="Q307" s="17">
        <f t="shared" si="17"/>
        <v>44.099999999999994</v>
      </c>
      <c r="R307" s="24">
        <f t="shared" si="18"/>
        <v>0.37065052950075639</v>
      </c>
      <c r="S307" t="s">
        <v>63</v>
      </c>
      <c r="T307" t="s">
        <v>64</v>
      </c>
    </row>
    <row r="308" spans="1:20" hidden="1">
      <c r="A308" t="s">
        <v>378</v>
      </c>
      <c r="B308" s="5">
        <v>45622</v>
      </c>
      <c r="C308" s="8">
        <f>YEAR(Tabla2[[#This Row],[fecha]])</f>
        <v>2024</v>
      </c>
      <c r="D308" s="8">
        <f>MONTH(Tabla2[[#This Row],[fecha]])</f>
        <v>11</v>
      </c>
      <c r="E308" s="8" t="str">
        <f>TEXT(Tabla2[[#This Row],[fecha]], "mmmm")</f>
        <v>noviembre</v>
      </c>
      <c r="F308" s="8" t="str">
        <f>"T"&amp;ROUNDUP(Tabla2[[#This Row],[mes]]/3,0)</f>
        <v>T4</v>
      </c>
      <c r="G308" t="s">
        <v>11</v>
      </c>
      <c r="H308" t="s">
        <v>12</v>
      </c>
      <c r="I308" s="8" t="str">
        <f>IF(Tabla2[[#This Row],[precio_unitario]]&lt;=30,"Económico",IF(Tabla2[[#This Row],[precio_unitario]]&lt;=58.49,"Accesible","Caro"))</f>
        <v>Caro</v>
      </c>
      <c r="J308" t="s">
        <v>8</v>
      </c>
      <c r="K308">
        <v>4</v>
      </c>
      <c r="L308" s="20">
        <f>INDEX(Tabla3[precio_venta_recomendado], MATCH(Tabla2[[#This Row],[id_producto]], Tabla3[id_producto], 0))</f>
        <v>177.72</v>
      </c>
      <c r="M308" s="19">
        <v>94.01</v>
      </c>
      <c r="N308" s="11">
        <v>0</v>
      </c>
      <c r="O308" s="17">
        <f t="shared" si="19"/>
        <v>710.88</v>
      </c>
      <c r="P308" s="17">
        <f t="shared" si="16"/>
        <v>376.04</v>
      </c>
      <c r="Q308" s="17">
        <f t="shared" si="17"/>
        <v>334.84</v>
      </c>
      <c r="R308" s="24">
        <f t="shared" si="18"/>
        <v>0.47102183209543097</v>
      </c>
      <c r="S308" t="s">
        <v>67</v>
      </c>
      <c r="T308" t="s">
        <v>64</v>
      </c>
    </row>
    <row r="309" spans="1:20" hidden="1">
      <c r="A309" t="s">
        <v>379</v>
      </c>
      <c r="B309" s="5">
        <v>45763</v>
      </c>
      <c r="C309" s="8">
        <f>YEAR(Tabla2[[#This Row],[fecha]])</f>
        <v>2025</v>
      </c>
      <c r="D309" s="8">
        <f>MONTH(Tabla2[[#This Row],[fecha]])</f>
        <v>4</v>
      </c>
      <c r="E309" s="8" t="str">
        <f>TEXT(Tabla2[[#This Row],[fecha]], "mmmm")</f>
        <v>abril</v>
      </c>
      <c r="F309" s="8" t="str">
        <f>"T"&amp;ROUNDUP(Tabla2[[#This Row],[mes]]/3,0)</f>
        <v>T2</v>
      </c>
      <c r="G309" t="s">
        <v>13</v>
      </c>
      <c r="H309" t="s">
        <v>14</v>
      </c>
      <c r="I309" s="8" t="str">
        <f>IF(Tabla2[[#This Row],[precio_unitario]]&lt;=30,"Económico",IF(Tabla2[[#This Row],[precio_unitario]]&lt;=58.49,"Accesible","Caro"))</f>
        <v>Caro</v>
      </c>
      <c r="J309" t="s">
        <v>8</v>
      </c>
      <c r="K309">
        <v>1</v>
      </c>
      <c r="L309" s="19">
        <v>161.51</v>
      </c>
      <c r="M309" s="19">
        <v>108.77</v>
      </c>
      <c r="N309" s="11">
        <v>7.0000000000000007E-2</v>
      </c>
      <c r="O309" s="17">
        <f t="shared" si="19"/>
        <v>150.20429999999999</v>
      </c>
      <c r="P309" s="17">
        <f t="shared" si="16"/>
        <v>108.77</v>
      </c>
      <c r="Q309" s="17">
        <f t="shared" si="17"/>
        <v>41.434299999999993</v>
      </c>
      <c r="R309" s="24">
        <f t="shared" si="18"/>
        <v>0.2758529549420356</v>
      </c>
      <c r="S309" t="s">
        <v>540</v>
      </c>
      <c r="T309" t="s">
        <v>60</v>
      </c>
    </row>
    <row r="310" spans="1:20" hidden="1">
      <c r="A310" t="s">
        <v>380</v>
      </c>
      <c r="B310" s="5">
        <v>45872</v>
      </c>
      <c r="C310" s="8">
        <f>YEAR(Tabla2[[#This Row],[fecha]])</f>
        <v>2025</v>
      </c>
      <c r="D310" s="8">
        <f>MONTH(Tabla2[[#This Row],[fecha]])</f>
        <v>8</v>
      </c>
      <c r="E310" s="8" t="str">
        <f>TEXT(Tabla2[[#This Row],[fecha]], "mmmm")</f>
        <v>agosto</v>
      </c>
      <c r="F310" s="8" t="str">
        <f>"T"&amp;ROUNDUP(Tabla2[[#This Row],[mes]]/3,0)</f>
        <v>T3</v>
      </c>
      <c r="G310" t="s">
        <v>38</v>
      </c>
      <c r="H310" t="s">
        <v>39</v>
      </c>
      <c r="I310" s="8" t="str">
        <f>IF(Tabla2[[#This Row],[precio_unitario]]&lt;=30,"Económico",IF(Tabla2[[#This Row],[precio_unitario]]&lt;=58.49,"Accesible","Caro"))</f>
        <v>Caro</v>
      </c>
      <c r="J310" t="s">
        <v>35</v>
      </c>
      <c r="K310">
        <v>1</v>
      </c>
      <c r="L310" s="19">
        <v>73.78</v>
      </c>
      <c r="M310" s="19">
        <v>44.84</v>
      </c>
      <c r="N310" s="11">
        <v>0</v>
      </c>
      <c r="O310" s="17">
        <f t="shared" si="19"/>
        <v>73.78</v>
      </c>
      <c r="P310" s="17">
        <f t="shared" si="16"/>
        <v>44.84</v>
      </c>
      <c r="Q310" s="17">
        <f t="shared" si="17"/>
        <v>28.939999999999998</v>
      </c>
      <c r="R310" s="24">
        <f t="shared" si="18"/>
        <v>0.3922472214692328</v>
      </c>
      <c r="S310" t="s">
        <v>540</v>
      </c>
      <c r="T310" t="s">
        <v>60</v>
      </c>
    </row>
    <row r="311" spans="1:20" hidden="1">
      <c r="A311" t="s">
        <v>381</v>
      </c>
      <c r="B311" s="5">
        <v>45542</v>
      </c>
      <c r="C311" s="8">
        <f>YEAR(Tabla2[[#This Row],[fecha]])</f>
        <v>2024</v>
      </c>
      <c r="D311" s="8">
        <f>MONTH(Tabla2[[#This Row],[fecha]])</f>
        <v>9</v>
      </c>
      <c r="E311" s="8" t="str">
        <f>TEXT(Tabla2[[#This Row],[fecha]], "mmmm")</f>
        <v>septiembre</v>
      </c>
      <c r="F311" s="8" t="str">
        <f>"T"&amp;ROUNDUP(Tabla2[[#This Row],[mes]]/3,0)</f>
        <v>T3</v>
      </c>
      <c r="G311" t="s">
        <v>47</v>
      </c>
      <c r="H311" t="s">
        <v>48</v>
      </c>
      <c r="I311" s="8" t="str">
        <f>IF(Tabla2[[#This Row],[precio_unitario]]&lt;=30,"Económico",IF(Tabla2[[#This Row],[precio_unitario]]&lt;=58.49,"Accesible","Caro"))</f>
        <v>Accesible</v>
      </c>
      <c r="J311" t="s">
        <v>44</v>
      </c>
      <c r="K311">
        <v>5</v>
      </c>
      <c r="L311" s="19">
        <v>57.29</v>
      </c>
      <c r="M311" s="19">
        <v>32.520000000000003</v>
      </c>
      <c r="N311" s="11">
        <v>0</v>
      </c>
      <c r="O311" s="17">
        <f t="shared" si="19"/>
        <v>286.45</v>
      </c>
      <c r="P311" s="17">
        <f t="shared" si="16"/>
        <v>162.60000000000002</v>
      </c>
      <c r="Q311" s="17">
        <f t="shared" si="17"/>
        <v>123.84999999999997</v>
      </c>
      <c r="R311" s="24">
        <f t="shared" si="18"/>
        <v>0.43236166870308945</v>
      </c>
      <c r="S311" t="s">
        <v>63</v>
      </c>
      <c r="T311" t="s">
        <v>60</v>
      </c>
    </row>
    <row r="312" spans="1:20" hidden="1">
      <c r="A312" t="s">
        <v>382</v>
      </c>
      <c r="B312" s="5">
        <v>45647</v>
      </c>
      <c r="C312" s="8">
        <f>YEAR(Tabla2[[#This Row],[fecha]])</f>
        <v>2024</v>
      </c>
      <c r="D312" s="8">
        <f>MONTH(Tabla2[[#This Row],[fecha]])</f>
        <v>12</v>
      </c>
      <c r="E312" s="8" t="str">
        <f>TEXT(Tabla2[[#This Row],[fecha]], "mmmm")</f>
        <v>diciembre</v>
      </c>
      <c r="F312" s="8" t="str">
        <f>"T"&amp;ROUNDUP(Tabla2[[#This Row],[mes]]/3,0)</f>
        <v>T4</v>
      </c>
      <c r="G312" t="s">
        <v>49</v>
      </c>
      <c r="H312" t="s">
        <v>50</v>
      </c>
      <c r="I312" s="8" t="str">
        <f>IF(Tabla2[[#This Row],[precio_unitario]]&lt;=30,"Económico",IF(Tabla2[[#This Row],[precio_unitario]]&lt;=58.49,"Accesible","Caro"))</f>
        <v>Accesible</v>
      </c>
      <c r="J312" t="s">
        <v>44</v>
      </c>
      <c r="K312">
        <v>5</v>
      </c>
      <c r="L312" s="19">
        <v>57.04</v>
      </c>
      <c r="M312" s="19">
        <v>32.72</v>
      </c>
      <c r="N312" s="11">
        <v>0.12</v>
      </c>
      <c r="O312" s="17">
        <f t="shared" si="19"/>
        <v>250.976</v>
      </c>
      <c r="P312" s="17">
        <f t="shared" si="16"/>
        <v>163.6</v>
      </c>
      <c r="Q312" s="17">
        <f t="shared" si="17"/>
        <v>87.376000000000005</v>
      </c>
      <c r="R312" s="24">
        <f t="shared" si="18"/>
        <v>0.34814484253474437</v>
      </c>
      <c r="S312" t="s">
        <v>67</v>
      </c>
      <c r="T312" t="s">
        <v>60</v>
      </c>
    </row>
    <row r="313" spans="1:20" hidden="1">
      <c r="A313" t="s">
        <v>383</v>
      </c>
      <c r="B313" s="5">
        <v>46002</v>
      </c>
      <c r="C313" s="8">
        <f>YEAR(Tabla2[[#This Row],[fecha]])</f>
        <v>2025</v>
      </c>
      <c r="D313" s="8">
        <f>MONTH(Tabla2[[#This Row],[fecha]])</f>
        <v>12</v>
      </c>
      <c r="E313" s="8" t="str">
        <f>TEXT(Tabla2[[#This Row],[fecha]], "mmmm")</f>
        <v>diciembre</v>
      </c>
      <c r="F313" s="8" t="str">
        <f>"T"&amp;ROUNDUP(Tabla2[[#This Row],[mes]]/3,0)</f>
        <v>T4</v>
      </c>
      <c r="G313" t="s">
        <v>40</v>
      </c>
      <c r="H313" t="s">
        <v>41</v>
      </c>
      <c r="I313" s="8" t="str">
        <f>IF(Tabla2[[#This Row],[precio_unitario]]&lt;=30,"Económico",IF(Tabla2[[#This Row],[precio_unitario]]&lt;=58.49,"Accesible","Caro"))</f>
        <v>Caro</v>
      </c>
      <c r="J313" t="s">
        <v>35</v>
      </c>
      <c r="K313">
        <v>4</v>
      </c>
      <c r="L313" s="19">
        <v>84.47</v>
      </c>
      <c r="M313" s="19">
        <v>42.74</v>
      </c>
      <c r="N313" s="11">
        <v>0</v>
      </c>
      <c r="O313" s="17">
        <f t="shared" si="19"/>
        <v>337.88</v>
      </c>
      <c r="P313" s="17">
        <f t="shared" si="16"/>
        <v>170.96</v>
      </c>
      <c r="Q313" s="17">
        <f t="shared" si="17"/>
        <v>166.92</v>
      </c>
      <c r="R313" s="24">
        <f t="shared" si="18"/>
        <v>0.49402154611104532</v>
      </c>
      <c r="S313" t="s">
        <v>101</v>
      </c>
      <c r="T313" t="s">
        <v>64</v>
      </c>
    </row>
    <row r="314" spans="1:20" hidden="1">
      <c r="A314" t="s">
        <v>384</v>
      </c>
      <c r="B314" s="5">
        <v>45531</v>
      </c>
      <c r="C314" s="8">
        <f>YEAR(Tabla2[[#This Row],[fecha]])</f>
        <v>2024</v>
      </c>
      <c r="D314" s="8">
        <f>MONTH(Tabla2[[#This Row],[fecha]])</f>
        <v>8</v>
      </c>
      <c r="E314" s="8" t="str">
        <f>TEXT(Tabla2[[#This Row],[fecha]], "mmmm")</f>
        <v>agosto</v>
      </c>
      <c r="F314" s="8" t="str">
        <f>"T"&amp;ROUNDUP(Tabla2[[#This Row],[mes]]/3,0)</f>
        <v>T3</v>
      </c>
      <c r="G314" t="s">
        <v>38</v>
      </c>
      <c r="H314" t="s">
        <v>39</v>
      </c>
      <c r="I314" s="8" t="str">
        <f>IF(Tabla2[[#This Row],[precio_unitario]]&lt;=30,"Económico",IF(Tabla2[[#This Row],[precio_unitario]]&lt;=58.49,"Accesible","Caro"))</f>
        <v>Caro</v>
      </c>
      <c r="J314" t="s">
        <v>35</v>
      </c>
      <c r="K314">
        <v>7</v>
      </c>
      <c r="L314" s="19">
        <v>81.97</v>
      </c>
      <c r="M314" s="19">
        <v>42.22</v>
      </c>
      <c r="N314" s="11">
        <v>0</v>
      </c>
      <c r="O314" s="17">
        <f t="shared" si="19"/>
        <v>573.79</v>
      </c>
      <c r="P314" s="17">
        <f t="shared" si="16"/>
        <v>295.53999999999996</v>
      </c>
      <c r="Q314" s="17">
        <f t="shared" si="17"/>
        <v>278.25</v>
      </c>
      <c r="R314" s="24">
        <f t="shared" si="18"/>
        <v>0.48493351226058318</v>
      </c>
      <c r="S314" t="s">
        <v>540</v>
      </c>
      <c r="T314" t="s">
        <v>60</v>
      </c>
    </row>
    <row r="315" spans="1:20">
      <c r="A315" t="s">
        <v>385</v>
      </c>
      <c r="B315" s="5">
        <v>45867</v>
      </c>
      <c r="C315" s="8">
        <f>YEAR(Tabla2[[#This Row],[fecha]])</f>
        <v>2025</v>
      </c>
      <c r="D315" s="8">
        <f>MONTH(Tabla2[[#This Row],[fecha]])</f>
        <v>7</v>
      </c>
      <c r="E315" s="8" t="str">
        <f>TEXT(Tabla2[[#This Row],[fecha]], "mmmm")</f>
        <v>julio</v>
      </c>
      <c r="F315" s="8" t="str">
        <f>"T"&amp;ROUNDUP(Tabla2[[#This Row],[mes]]/3,0)</f>
        <v>T3</v>
      </c>
      <c r="G315" t="s">
        <v>42</v>
      </c>
      <c r="H315" t="s">
        <v>43</v>
      </c>
      <c r="I315" s="8" t="str">
        <f>IF(Tabla2[[#This Row],[precio_unitario]]&lt;=30,"Económico",IF(Tabla2[[#This Row],[precio_unitario]]&lt;=58.49,"Accesible","Caro"))</f>
        <v>Accesible</v>
      </c>
      <c r="J315" t="s">
        <v>44</v>
      </c>
      <c r="K315">
        <v>1</v>
      </c>
      <c r="L315" s="19">
        <v>48.97</v>
      </c>
      <c r="M315" s="19">
        <v>22.83</v>
      </c>
      <c r="N315" s="11">
        <v>0</v>
      </c>
      <c r="O315" s="17">
        <f t="shared" si="19"/>
        <v>48.97</v>
      </c>
      <c r="P315" s="17">
        <f t="shared" si="16"/>
        <v>22.83</v>
      </c>
      <c r="Q315" s="17">
        <f t="shared" si="17"/>
        <v>26.14</v>
      </c>
      <c r="R315" s="24">
        <f t="shared" si="18"/>
        <v>0.53379620175617726</v>
      </c>
      <c r="S315" t="s">
        <v>67</v>
      </c>
      <c r="T315" t="s">
        <v>64</v>
      </c>
    </row>
    <row r="316" spans="1:20" hidden="1">
      <c r="A316" t="s">
        <v>386</v>
      </c>
      <c r="B316" s="5">
        <v>45787</v>
      </c>
      <c r="C316" s="8">
        <f>YEAR(Tabla2[[#This Row],[fecha]])</f>
        <v>2025</v>
      </c>
      <c r="D316" s="8">
        <f>MONTH(Tabla2[[#This Row],[fecha]])</f>
        <v>5</v>
      </c>
      <c r="E316" s="8" t="str">
        <f>TEXT(Tabla2[[#This Row],[fecha]], "mmmm")</f>
        <v>mayo</v>
      </c>
      <c r="F316" s="8" t="str">
        <f>"T"&amp;ROUNDUP(Tabla2[[#This Row],[mes]]/3,0)</f>
        <v>T2</v>
      </c>
      <c r="G316" t="s">
        <v>15</v>
      </c>
      <c r="H316" t="s">
        <v>16</v>
      </c>
      <c r="I316" s="8" t="str">
        <f>IF(Tabla2[[#This Row],[precio_unitario]]&lt;=30,"Económico",IF(Tabla2[[#This Row],[precio_unitario]]&lt;=58.49,"Accesible","Caro"))</f>
        <v>Accesible</v>
      </c>
      <c r="J316" t="s">
        <v>17</v>
      </c>
      <c r="K316">
        <v>4</v>
      </c>
      <c r="L316" s="19">
        <v>55.17</v>
      </c>
      <c r="M316" s="19">
        <v>40.21</v>
      </c>
      <c r="N316" s="11">
        <v>0.26</v>
      </c>
      <c r="O316" s="17">
        <f t="shared" si="19"/>
        <v>163.3032</v>
      </c>
      <c r="P316" s="17">
        <f t="shared" si="16"/>
        <v>160.84</v>
      </c>
      <c r="Q316" s="17">
        <f t="shared" si="17"/>
        <v>2.4632000000000005</v>
      </c>
      <c r="R316" s="24">
        <f t="shared" si="18"/>
        <v>1.5083599096649671E-2</v>
      </c>
      <c r="S316" t="s">
        <v>96</v>
      </c>
      <c r="T316" t="s">
        <v>374</v>
      </c>
    </row>
    <row r="317" spans="1:20" hidden="1">
      <c r="A317" t="s">
        <v>387</v>
      </c>
      <c r="B317" s="5">
        <v>45530</v>
      </c>
      <c r="C317" s="8">
        <f>YEAR(Tabla2[[#This Row],[fecha]])</f>
        <v>2024</v>
      </c>
      <c r="D317" s="8">
        <f>MONTH(Tabla2[[#This Row],[fecha]])</f>
        <v>8</v>
      </c>
      <c r="E317" s="8" t="str">
        <f>TEXT(Tabla2[[#This Row],[fecha]], "mmmm")</f>
        <v>agosto</v>
      </c>
      <c r="F317" s="8" t="str">
        <f>"T"&amp;ROUNDUP(Tabla2[[#This Row],[mes]]/3,0)</f>
        <v>T3</v>
      </c>
      <c r="G317" t="s">
        <v>6</v>
      </c>
      <c r="H317" t="s">
        <v>7</v>
      </c>
      <c r="I317" s="8" t="str">
        <f>IF(Tabla2[[#This Row],[precio_unitario]]&lt;=30,"Económico",IF(Tabla2[[#This Row],[precio_unitario]]&lt;=58.49,"Accesible","Caro"))</f>
        <v>Caro</v>
      </c>
      <c r="J317" t="s">
        <v>8</v>
      </c>
      <c r="K317">
        <v>1</v>
      </c>
      <c r="L317" s="19">
        <v>127.78</v>
      </c>
      <c r="M317" s="19">
        <v>84.3</v>
      </c>
      <c r="N317" s="11">
        <v>0</v>
      </c>
      <c r="O317" s="17">
        <f t="shared" si="19"/>
        <v>127.78</v>
      </c>
      <c r="P317" s="17">
        <f t="shared" si="16"/>
        <v>84.3</v>
      </c>
      <c r="Q317" s="17">
        <f t="shared" si="17"/>
        <v>43.480000000000004</v>
      </c>
      <c r="R317" s="24">
        <f t="shared" si="18"/>
        <v>0.3402723430896854</v>
      </c>
      <c r="S317" t="s">
        <v>67</v>
      </c>
      <c r="T317" t="s">
        <v>60</v>
      </c>
    </row>
    <row r="318" spans="1:20" hidden="1">
      <c r="A318" t="s">
        <v>388</v>
      </c>
      <c r="B318" s="5">
        <v>45589</v>
      </c>
      <c r="C318" s="8">
        <f>YEAR(Tabla2[[#This Row],[fecha]])</f>
        <v>2024</v>
      </c>
      <c r="D318" s="8">
        <f>MONTH(Tabla2[[#This Row],[fecha]])</f>
        <v>10</v>
      </c>
      <c r="E318" s="8" t="str">
        <f>TEXT(Tabla2[[#This Row],[fecha]], "mmmm")</f>
        <v>octubre</v>
      </c>
      <c r="F318" s="8" t="str">
        <f>"T"&amp;ROUNDUP(Tabla2[[#This Row],[mes]]/3,0)</f>
        <v>T4</v>
      </c>
      <c r="G318" t="s">
        <v>22</v>
      </c>
      <c r="H318" t="s">
        <v>23</v>
      </c>
      <c r="I318" s="8" t="str">
        <f>IF(Tabla2[[#This Row],[precio_unitario]]&lt;=30,"Económico",IF(Tabla2[[#This Row],[precio_unitario]]&lt;=58.49,"Accesible","Caro"))</f>
        <v>Caro</v>
      </c>
      <c r="J318" t="s">
        <v>17</v>
      </c>
      <c r="K318">
        <v>2</v>
      </c>
      <c r="L318" s="19">
        <v>106.45</v>
      </c>
      <c r="M318" s="19">
        <v>60</v>
      </c>
      <c r="N318" s="11">
        <v>0.06</v>
      </c>
      <c r="O318" s="17">
        <f t="shared" si="19"/>
        <v>200.126</v>
      </c>
      <c r="P318" s="17">
        <f t="shared" si="16"/>
        <v>120</v>
      </c>
      <c r="Q318" s="17">
        <f t="shared" si="17"/>
        <v>80.126000000000005</v>
      </c>
      <c r="R318" s="24">
        <f t="shared" si="18"/>
        <v>0.40037776200993375</v>
      </c>
      <c r="S318" t="s">
        <v>63</v>
      </c>
      <c r="T318" t="s">
        <v>64</v>
      </c>
    </row>
    <row r="319" spans="1:20" hidden="1">
      <c r="A319" t="s">
        <v>389</v>
      </c>
      <c r="B319" s="5">
        <v>45383</v>
      </c>
      <c r="C319" s="8">
        <f>YEAR(Tabla2[[#This Row],[fecha]])</f>
        <v>2024</v>
      </c>
      <c r="D319" s="8">
        <f>MONTH(Tabla2[[#This Row],[fecha]])</f>
        <v>4</v>
      </c>
      <c r="E319" s="8" t="str">
        <f>TEXT(Tabla2[[#This Row],[fecha]], "mmmm")</f>
        <v>abril</v>
      </c>
      <c r="F319" s="8" t="str">
        <f>"T"&amp;ROUNDUP(Tabla2[[#This Row],[mes]]/3,0)</f>
        <v>T2</v>
      </c>
      <c r="G319" t="s">
        <v>11</v>
      </c>
      <c r="H319" t="s">
        <v>12</v>
      </c>
      <c r="I319" s="8" t="str">
        <f>IF(Tabla2[[#This Row],[precio_unitario]]&lt;=30,"Económico",IF(Tabla2[[#This Row],[precio_unitario]]&lt;=58.49,"Accesible","Caro"))</f>
        <v>Caro</v>
      </c>
      <c r="J319" t="s">
        <v>8</v>
      </c>
      <c r="K319">
        <v>7</v>
      </c>
      <c r="L319" s="20">
        <f>INDEX(Tabla3[precio_venta_recomendado], MATCH(Tabla2[[#This Row],[id_producto]], Tabla3[id_producto], 0))</f>
        <v>177.72</v>
      </c>
      <c r="M319" s="19">
        <v>96.31</v>
      </c>
      <c r="N319" s="11">
        <v>0</v>
      </c>
      <c r="O319" s="17">
        <f t="shared" si="19"/>
        <v>1244.04</v>
      </c>
      <c r="P319" s="17">
        <f t="shared" si="16"/>
        <v>674.17000000000007</v>
      </c>
      <c r="Q319" s="17">
        <f t="shared" si="17"/>
        <v>569.86999999999989</v>
      </c>
      <c r="R319" s="24">
        <f t="shared" si="18"/>
        <v>0.45808012604096326</v>
      </c>
      <c r="S319" t="s">
        <v>67</v>
      </c>
      <c r="T319" t="s">
        <v>60</v>
      </c>
    </row>
    <row r="320" spans="1:20" hidden="1">
      <c r="A320" t="s">
        <v>390</v>
      </c>
      <c r="B320" s="5">
        <v>45632</v>
      </c>
      <c r="C320" s="8">
        <f>YEAR(Tabla2[[#This Row],[fecha]])</f>
        <v>2024</v>
      </c>
      <c r="D320" s="8">
        <f>MONTH(Tabla2[[#This Row],[fecha]])</f>
        <v>12</v>
      </c>
      <c r="E320" s="8" t="str">
        <f>TEXT(Tabla2[[#This Row],[fecha]], "mmmm")</f>
        <v>diciembre</v>
      </c>
      <c r="F320" s="8" t="str">
        <f>"T"&amp;ROUNDUP(Tabla2[[#This Row],[mes]]/3,0)</f>
        <v>T4</v>
      </c>
      <c r="G320" t="s">
        <v>9</v>
      </c>
      <c r="H320" t="s">
        <v>10</v>
      </c>
      <c r="I320" s="8" t="str">
        <f>IF(Tabla2[[#This Row],[precio_unitario]]&lt;=30,"Económico",IF(Tabla2[[#This Row],[precio_unitario]]&lt;=58.49,"Accesible","Caro"))</f>
        <v>Caro</v>
      </c>
      <c r="J320" t="s">
        <v>8</v>
      </c>
      <c r="K320">
        <v>2</v>
      </c>
      <c r="L320" s="19">
        <v>75.819999999999993</v>
      </c>
      <c r="M320" s="19">
        <v>48.66</v>
      </c>
      <c r="N320" s="11">
        <v>0</v>
      </c>
      <c r="O320" s="17">
        <f t="shared" si="19"/>
        <v>151.63999999999999</v>
      </c>
      <c r="P320" s="17">
        <f t="shared" si="16"/>
        <v>97.32</v>
      </c>
      <c r="Q320" s="17">
        <f t="shared" si="17"/>
        <v>54.319999999999993</v>
      </c>
      <c r="R320" s="24">
        <f t="shared" si="18"/>
        <v>0.35821682933262988</v>
      </c>
      <c r="S320" t="s">
        <v>101</v>
      </c>
      <c r="T320" t="s">
        <v>64</v>
      </c>
    </row>
    <row r="321" spans="1:20">
      <c r="A321" t="s">
        <v>391</v>
      </c>
      <c r="B321" s="5">
        <v>46001</v>
      </c>
      <c r="C321" s="8">
        <f>YEAR(Tabla2[[#This Row],[fecha]])</f>
        <v>2025</v>
      </c>
      <c r="D321" s="8">
        <f>MONTH(Tabla2[[#This Row],[fecha]])</f>
        <v>12</v>
      </c>
      <c r="E321" s="8" t="str">
        <f>TEXT(Tabla2[[#This Row],[fecha]], "mmmm")</f>
        <v>diciembre</v>
      </c>
      <c r="F321" s="8" t="str">
        <f>"T"&amp;ROUNDUP(Tabla2[[#This Row],[mes]]/3,0)</f>
        <v>T4</v>
      </c>
      <c r="G321" t="s">
        <v>36</v>
      </c>
      <c r="H321" t="s">
        <v>37</v>
      </c>
      <c r="I321" s="8" t="str">
        <f>IF(Tabla2[[#This Row],[precio_unitario]]&lt;=30,"Económico",IF(Tabla2[[#This Row],[precio_unitario]]&lt;=58.49,"Accesible","Caro"))</f>
        <v>Económico</v>
      </c>
      <c r="J321" t="s">
        <v>35</v>
      </c>
      <c r="K321">
        <v>1</v>
      </c>
      <c r="L321" s="19">
        <v>13.06</v>
      </c>
      <c r="M321" s="19">
        <v>9.3699999999999992</v>
      </c>
      <c r="N321" s="11">
        <v>0</v>
      </c>
      <c r="O321" s="17">
        <f t="shared" si="19"/>
        <v>13.06</v>
      </c>
      <c r="P321" s="17">
        <f t="shared" si="16"/>
        <v>9.3699999999999992</v>
      </c>
      <c r="Q321" s="17">
        <f t="shared" si="17"/>
        <v>3.6900000000000013</v>
      </c>
      <c r="R321" s="24">
        <f t="shared" si="18"/>
        <v>0.28254211332312412</v>
      </c>
      <c r="S321" t="s">
        <v>67</v>
      </c>
      <c r="T321" t="s">
        <v>60</v>
      </c>
    </row>
    <row r="322" spans="1:20" hidden="1">
      <c r="A322" t="s">
        <v>392</v>
      </c>
      <c r="B322" s="5">
        <v>45936</v>
      </c>
      <c r="C322" s="8">
        <f>YEAR(Tabla2[[#This Row],[fecha]])</f>
        <v>2025</v>
      </c>
      <c r="D322" s="8">
        <f>MONTH(Tabla2[[#This Row],[fecha]])</f>
        <v>10</v>
      </c>
      <c r="E322" s="8" t="str">
        <f>TEXT(Tabla2[[#This Row],[fecha]], "mmmm")</f>
        <v>octubre</v>
      </c>
      <c r="F322" s="8" t="str">
        <f>"T"&amp;ROUNDUP(Tabla2[[#This Row],[mes]]/3,0)</f>
        <v>T4</v>
      </c>
      <c r="G322" t="s">
        <v>42</v>
      </c>
      <c r="H322" t="s">
        <v>43</v>
      </c>
      <c r="I322" s="8" t="str">
        <f>IF(Tabla2[[#This Row],[precio_unitario]]&lt;=30,"Económico",IF(Tabla2[[#This Row],[precio_unitario]]&lt;=58.49,"Accesible","Caro"))</f>
        <v>Accesible</v>
      </c>
      <c r="J322" t="s">
        <v>44</v>
      </c>
      <c r="K322">
        <v>1</v>
      </c>
      <c r="L322" s="19">
        <v>50.92</v>
      </c>
      <c r="M322" s="19">
        <v>23.58</v>
      </c>
      <c r="N322" s="13">
        <v>0</v>
      </c>
      <c r="O322" s="17">
        <f t="shared" si="19"/>
        <v>50.92</v>
      </c>
      <c r="P322" s="17">
        <f t="shared" ref="P322:P385" si="20">M322*K322</f>
        <v>23.58</v>
      </c>
      <c r="Q322" s="17">
        <f t="shared" ref="Q322:Q385" si="21">O322-P322</f>
        <v>27.340000000000003</v>
      </c>
      <c r="R322" s="24">
        <f t="shared" ref="R322:R385" si="22">IFERROR(Q322/O322,0)</f>
        <v>0.53692065985860182</v>
      </c>
      <c r="S322" t="s">
        <v>96</v>
      </c>
      <c r="T322" t="s">
        <v>60</v>
      </c>
    </row>
    <row r="323" spans="1:20" hidden="1">
      <c r="A323" t="s">
        <v>393</v>
      </c>
      <c r="B323" s="5">
        <v>45357</v>
      </c>
      <c r="C323" s="8">
        <f>YEAR(Tabla2[[#This Row],[fecha]])</f>
        <v>2024</v>
      </c>
      <c r="D323" s="8">
        <f>MONTH(Tabla2[[#This Row],[fecha]])</f>
        <v>3</v>
      </c>
      <c r="E323" s="8" t="str">
        <f>TEXT(Tabla2[[#This Row],[fecha]], "mmmm")</f>
        <v>marzo</v>
      </c>
      <c r="F323" s="8" t="str">
        <f>"T"&amp;ROUNDUP(Tabla2[[#This Row],[mes]]/3,0)</f>
        <v>T1</v>
      </c>
      <c r="G323" t="s">
        <v>47</v>
      </c>
      <c r="H323" t="s">
        <v>48</v>
      </c>
      <c r="I323" s="8" t="str">
        <f>IF(Tabla2[[#This Row],[precio_unitario]]&lt;=30,"Económico",IF(Tabla2[[#This Row],[precio_unitario]]&lt;=58.49,"Accesible","Caro"))</f>
        <v>Accesible</v>
      </c>
      <c r="J323" t="s">
        <v>44</v>
      </c>
      <c r="K323">
        <v>3</v>
      </c>
      <c r="L323" s="19">
        <v>56.76</v>
      </c>
      <c r="M323" s="19">
        <v>33.67</v>
      </c>
      <c r="N323" s="11">
        <v>0</v>
      </c>
      <c r="O323" s="17">
        <f t="shared" ref="O323:O386" si="23">K323*L323*(1-N323)</f>
        <v>170.28</v>
      </c>
      <c r="P323" s="17">
        <f t="shared" si="20"/>
        <v>101.01</v>
      </c>
      <c r="Q323" s="17">
        <f t="shared" si="21"/>
        <v>69.27</v>
      </c>
      <c r="R323" s="24">
        <f t="shared" si="22"/>
        <v>0.40680056377730794</v>
      </c>
      <c r="S323" t="s">
        <v>63</v>
      </c>
      <c r="T323" t="s">
        <v>60</v>
      </c>
    </row>
    <row r="324" spans="1:20" hidden="1">
      <c r="A324" t="s">
        <v>394</v>
      </c>
      <c r="B324" s="5">
        <v>45398</v>
      </c>
      <c r="C324" s="8">
        <f>YEAR(Tabla2[[#This Row],[fecha]])</f>
        <v>2024</v>
      </c>
      <c r="D324" s="8">
        <f>MONTH(Tabla2[[#This Row],[fecha]])</f>
        <v>4</v>
      </c>
      <c r="E324" s="8" t="str">
        <f>TEXT(Tabla2[[#This Row],[fecha]], "mmmm")</f>
        <v>abril</v>
      </c>
      <c r="F324" s="8" t="str">
        <f>"T"&amp;ROUNDUP(Tabla2[[#This Row],[mes]]/3,0)</f>
        <v>T2</v>
      </c>
      <c r="G324" t="s">
        <v>18</v>
      </c>
      <c r="H324" t="s">
        <v>19</v>
      </c>
      <c r="I324" s="8" t="str">
        <f>IF(Tabla2[[#This Row],[precio_unitario]]&lt;=30,"Económico",IF(Tabla2[[#This Row],[precio_unitario]]&lt;=58.49,"Accesible","Caro"))</f>
        <v>Accesible</v>
      </c>
      <c r="J324" t="s">
        <v>17</v>
      </c>
      <c r="K324">
        <v>7</v>
      </c>
      <c r="L324" s="19">
        <v>44.34</v>
      </c>
      <c r="M324" s="19">
        <v>26.31</v>
      </c>
      <c r="N324" s="11">
        <v>0</v>
      </c>
      <c r="O324" s="17">
        <f t="shared" si="23"/>
        <v>310.38</v>
      </c>
      <c r="P324" s="17">
        <f t="shared" si="20"/>
        <v>184.17</v>
      </c>
      <c r="Q324" s="17">
        <f t="shared" si="21"/>
        <v>126.21000000000001</v>
      </c>
      <c r="R324" s="24">
        <f t="shared" si="22"/>
        <v>0.40663058186738837</v>
      </c>
      <c r="S324" t="s">
        <v>540</v>
      </c>
      <c r="T324" t="s">
        <v>64</v>
      </c>
    </row>
    <row r="325" spans="1:20" hidden="1">
      <c r="A325" t="s">
        <v>395</v>
      </c>
      <c r="B325" s="5">
        <v>45980</v>
      </c>
      <c r="C325" s="8">
        <f>YEAR(Tabla2[[#This Row],[fecha]])</f>
        <v>2025</v>
      </c>
      <c r="D325" s="8">
        <f>MONTH(Tabla2[[#This Row],[fecha]])</f>
        <v>11</v>
      </c>
      <c r="E325" s="8" t="str">
        <f>TEXT(Tabla2[[#This Row],[fecha]], "mmmm")</f>
        <v>noviembre</v>
      </c>
      <c r="F325" s="8" t="str">
        <f>"T"&amp;ROUNDUP(Tabla2[[#This Row],[mes]]/3,0)</f>
        <v>T4</v>
      </c>
      <c r="G325" t="s">
        <v>49</v>
      </c>
      <c r="H325" t="s">
        <v>50</v>
      </c>
      <c r="I325" s="8" t="str">
        <f>IF(Tabla2[[#This Row],[precio_unitario]]&lt;=30,"Económico",IF(Tabla2[[#This Row],[precio_unitario]]&lt;=58.49,"Accesible","Caro"))</f>
        <v>Accesible</v>
      </c>
      <c r="J325" t="s">
        <v>44</v>
      </c>
      <c r="K325">
        <v>5</v>
      </c>
      <c r="L325" s="19">
        <v>57.76</v>
      </c>
      <c r="M325" s="19">
        <v>32.82</v>
      </c>
      <c r="N325" s="11">
        <v>0</v>
      </c>
      <c r="O325" s="17">
        <f t="shared" si="23"/>
        <v>288.8</v>
      </c>
      <c r="P325" s="17">
        <f t="shared" si="20"/>
        <v>164.1</v>
      </c>
      <c r="Q325" s="17">
        <f t="shared" si="21"/>
        <v>124.70000000000002</v>
      </c>
      <c r="R325" s="24">
        <f t="shared" si="22"/>
        <v>0.4317867036011081</v>
      </c>
      <c r="S325" t="s">
        <v>83</v>
      </c>
      <c r="T325" t="s">
        <v>60</v>
      </c>
    </row>
    <row r="326" spans="1:20">
      <c r="A326" t="s">
        <v>396</v>
      </c>
      <c r="B326" s="5">
        <v>45668</v>
      </c>
      <c r="C326" s="8">
        <f>YEAR(Tabla2[[#This Row],[fecha]])</f>
        <v>2025</v>
      </c>
      <c r="D326" s="8">
        <f>MONTH(Tabla2[[#This Row],[fecha]])</f>
        <v>1</v>
      </c>
      <c r="E326" s="8" t="str">
        <f>TEXT(Tabla2[[#This Row],[fecha]], "mmmm")</f>
        <v>enero</v>
      </c>
      <c r="F326" s="8" t="str">
        <f>"T"&amp;ROUNDUP(Tabla2[[#This Row],[mes]]/3,0)</f>
        <v>T1</v>
      </c>
      <c r="G326" t="s">
        <v>6</v>
      </c>
      <c r="H326" t="s">
        <v>7</v>
      </c>
      <c r="I326" s="8" t="str">
        <f>IF(Tabla2[[#This Row],[precio_unitario]]&lt;=30,"Económico",IF(Tabla2[[#This Row],[precio_unitario]]&lt;=58.49,"Accesible","Caro"))</f>
        <v>Caro</v>
      </c>
      <c r="J326" t="s">
        <v>8</v>
      </c>
      <c r="K326">
        <v>4</v>
      </c>
      <c r="L326" s="19">
        <v>113.7</v>
      </c>
      <c r="M326" s="19">
        <v>81.67</v>
      </c>
      <c r="N326" s="13">
        <v>0</v>
      </c>
      <c r="O326" s="17">
        <f t="shared" si="23"/>
        <v>454.8</v>
      </c>
      <c r="P326" s="17">
        <f t="shared" si="20"/>
        <v>326.68</v>
      </c>
      <c r="Q326" s="17">
        <f t="shared" si="21"/>
        <v>128.12</v>
      </c>
      <c r="R326" s="24">
        <f t="shared" si="22"/>
        <v>0.2817062445030783</v>
      </c>
      <c r="S326" t="s">
        <v>67</v>
      </c>
      <c r="T326" t="s">
        <v>64</v>
      </c>
    </row>
    <row r="327" spans="1:20" hidden="1">
      <c r="A327" t="s">
        <v>397</v>
      </c>
      <c r="B327" s="5">
        <v>45644</v>
      </c>
      <c r="C327" s="8">
        <f>YEAR(Tabla2[[#This Row],[fecha]])</f>
        <v>2024</v>
      </c>
      <c r="D327" s="8">
        <f>MONTH(Tabla2[[#This Row],[fecha]])</f>
        <v>12</v>
      </c>
      <c r="E327" s="8" t="str">
        <f>TEXT(Tabla2[[#This Row],[fecha]], "mmmm")</f>
        <v>diciembre</v>
      </c>
      <c r="F327" s="8" t="str">
        <f>"T"&amp;ROUNDUP(Tabla2[[#This Row],[mes]]/3,0)</f>
        <v>T4</v>
      </c>
      <c r="G327" t="s">
        <v>33</v>
      </c>
      <c r="H327" t="s">
        <v>34</v>
      </c>
      <c r="I327" s="8" t="str">
        <f>IF(Tabla2[[#This Row],[precio_unitario]]&lt;=30,"Económico",IF(Tabla2[[#This Row],[precio_unitario]]&lt;=58.49,"Accesible","Caro"))</f>
        <v>Caro</v>
      </c>
      <c r="J327" t="s">
        <v>35</v>
      </c>
      <c r="K327">
        <v>3</v>
      </c>
      <c r="L327" s="19">
        <v>78.92</v>
      </c>
      <c r="M327" s="19">
        <v>48.5</v>
      </c>
      <c r="N327" s="11">
        <v>0.1</v>
      </c>
      <c r="O327" s="17">
        <f t="shared" si="23"/>
        <v>213.084</v>
      </c>
      <c r="P327" s="17">
        <f t="shared" si="20"/>
        <v>145.5</v>
      </c>
      <c r="Q327" s="17">
        <f t="shared" si="21"/>
        <v>67.584000000000003</v>
      </c>
      <c r="R327" s="24">
        <f t="shared" si="22"/>
        <v>0.31717069324773328</v>
      </c>
      <c r="S327" t="s">
        <v>540</v>
      </c>
      <c r="T327" t="s">
        <v>60</v>
      </c>
    </row>
    <row r="328" spans="1:20">
      <c r="A328" t="s">
        <v>398</v>
      </c>
      <c r="B328" s="5">
        <v>45858</v>
      </c>
      <c r="C328" s="8">
        <f>YEAR(Tabla2[[#This Row],[fecha]])</f>
        <v>2025</v>
      </c>
      <c r="D328" s="8">
        <f>MONTH(Tabla2[[#This Row],[fecha]])</f>
        <v>7</v>
      </c>
      <c r="E328" s="8" t="str">
        <f>TEXT(Tabla2[[#This Row],[fecha]], "mmmm")</f>
        <v>julio</v>
      </c>
      <c r="F328" s="8" t="str">
        <f>"T"&amp;ROUNDUP(Tabla2[[#This Row],[mes]]/3,0)</f>
        <v>T3</v>
      </c>
      <c r="G328" t="s">
        <v>22</v>
      </c>
      <c r="H328" t="s">
        <v>23</v>
      </c>
      <c r="I328" s="8" t="str">
        <f>IF(Tabla2[[#This Row],[precio_unitario]]&lt;=30,"Económico",IF(Tabla2[[#This Row],[precio_unitario]]&lt;=58.49,"Accesible","Caro"))</f>
        <v>Caro</v>
      </c>
      <c r="J328" t="s">
        <v>17</v>
      </c>
      <c r="K328">
        <v>1</v>
      </c>
      <c r="L328" s="19">
        <v>104.09</v>
      </c>
      <c r="M328" s="19">
        <v>58.94</v>
      </c>
      <c r="N328" s="11">
        <v>0</v>
      </c>
      <c r="O328" s="17">
        <f t="shared" si="23"/>
        <v>104.09</v>
      </c>
      <c r="P328" s="17">
        <f t="shared" si="20"/>
        <v>58.94</v>
      </c>
      <c r="Q328" s="17">
        <f t="shared" si="21"/>
        <v>45.150000000000006</v>
      </c>
      <c r="R328" s="24">
        <f t="shared" si="22"/>
        <v>0.43375924680564898</v>
      </c>
      <c r="S328" t="s">
        <v>67</v>
      </c>
      <c r="T328" t="s">
        <v>60</v>
      </c>
    </row>
    <row r="329" spans="1:20">
      <c r="A329" t="s">
        <v>399</v>
      </c>
      <c r="B329" s="5">
        <v>45835</v>
      </c>
      <c r="C329" s="8">
        <f>YEAR(Tabla2[[#This Row],[fecha]])</f>
        <v>2025</v>
      </c>
      <c r="D329" s="8">
        <f>MONTH(Tabla2[[#This Row],[fecha]])</f>
        <v>6</v>
      </c>
      <c r="E329" s="8" t="str">
        <f>TEXT(Tabla2[[#This Row],[fecha]], "mmmm")</f>
        <v>junio</v>
      </c>
      <c r="F329" s="8" t="str">
        <f>"T"&amp;ROUNDUP(Tabla2[[#This Row],[mes]]/3,0)</f>
        <v>T2</v>
      </c>
      <c r="G329" t="s">
        <v>49</v>
      </c>
      <c r="H329" t="s">
        <v>50</v>
      </c>
      <c r="I329" s="8" t="str">
        <f>IF(Tabla2[[#This Row],[precio_unitario]]&lt;=30,"Económico",IF(Tabla2[[#This Row],[precio_unitario]]&lt;=58.49,"Accesible","Caro"))</f>
        <v>Caro</v>
      </c>
      <c r="J329" t="s">
        <v>44</v>
      </c>
      <c r="K329">
        <v>1</v>
      </c>
      <c r="L329" s="19">
        <v>62.66</v>
      </c>
      <c r="M329" s="19">
        <v>33.03</v>
      </c>
      <c r="N329" s="11">
        <v>0</v>
      </c>
      <c r="O329" s="17">
        <f t="shared" si="23"/>
        <v>62.66</v>
      </c>
      <c r="P329" s="17">
        <f t="shared" si="20"/>
        <v>33.03</v>
      </c>
      <c r="Q329" s="17">
        <f t="shared" si="21"/>
        <v>29.629999999999995</v>
      </c>
      <c r="R329" s="24">
        <f t="shared" si="22"/>
        <v>0.47286945419725496</v>
      </c>
      <c r="S329" t="s">
        <v>67</v>
      </c>
      <c r="T329" t="s">
        <v>374</v>
      </c>
    </row>
    <row r="330" spans="1:20">
      <c r="A330" t="s">
        <v>400</v>
      </c>
      <c r="B330" s="5">
        <v>45827</v>
      </c>
      <c r="C330" s="8">
        <f>YEAR(Tabla2[[#This Row],[fecha]])</f>
        <v>2025</v>
      </c>
      <c r="D330" s="8">
        <f>MONTH(Tabla2[[#This Row],[fecha]])</f>
        <v>6</v>
      </c>
      <c r="E330" s="8" t="str">
        <f>TEXT(Tabla2[[#This Row],[fecha]], "mmmm")</f>
        <v>junio</v>
      </c>
      <c r="F330" s="8" t="str">
        <f>"T"&amp;ROUNDUP(Tabla2[[#This Row],[mes]]/3,0)</f>
        <v>T2</v>
      </c>
      <c r="G330" t="s">
        <v>42</v>
      </c>
      <c r="H330" t="s">
        <v>43</v>
      </c>
      <c r="I330" s="8" t="str">
        <f>IF(Tabla2[[#This Row],[precio_unitario]]&lt;=30,"Económico",IF(Tabla2[[#This Row],[precio_unitario]]&lt;=58.49,"Accesible","Caro"))</f>
        <v>Accesible</v>
      </c>
      <c r="J330" t="s">
        <v>44</v>
      </c>
      <c r="K330">
        <v>1</v>
      </c>
      <c r="L330" s="19">
        <v>46.03</v>
      </c>
      <c r="M330" s="19">
        <v>23.26</v>
      </c>
      <c r="N330" s="13">
        <v>0</v>
      </c>
      <c r="O330" s="17">
        <f t="shared" si="23"/>
        <v>46.03</v>
      </c>
      <c r="P330" s="17">
        <f t="shared" si="20"/>
        <v>23.26</v>
      </c>
      <c r="Q330" s="17">
        <f t="shared" si="21"/>
        <v>22.77</v>
      </c>
      <c r="R330" s="24">
        <f t="shared" si="22"/>
        <v>0.49467738431457742</v>
      </c>
      <c r="S330" t="s">
        <v>67</v>
      </c>
      <c r="T330" t="s">
        <v>60</v>
      </c>
    </row>
    <row r="331" spans="1:20" hidden="1">
      <c r="A331" t="s">
        <v>401</v>
      </c>
      <c r="B331" s="5">
        <v>45861</v>
      </c>
      <c r="C331" s="8">
        <f>YEAR(Tabla2[[#This Row],[fecha]])</f>
        <v>2025</v>
      </c>
      <c r="D331" s="8">
        <f>MONTH(Tabla2[[#This Row],[fecha]])</f>
        <v>7</v>
      </c>
      <c r="E331" s="8" t="str">
        <f>TEXT(Tabla2[[#This Row],[fecha]], "mmmm")</f>
        <v>julio</v>
      </c>
      <c r="F331" s="8" t="str">
        <f>"T"&amp;ROUNDUP(Tabla2[[#This Row],[mes]]/3,0)</f>
        <v>T3</v>
      </c>
      <c r="G331" t="s">
        <v>38</v>
      </c>
      <c r="H331" t="s">
        <v>39</v>
      </c>
      <c r="I331" s="8" t="str">
        <f>IF(Tabla2[[#This Row],[precio_unitario]]&lt;=30,"Económico",IF(Tabla2[[#This Row],[precio_unitario]]&lt;=58.49,"Accesible","Caro"))</f>
        <v>Caro</v>
      </c>
      <c r="J331" t="s">
        <v>35</v>
      </c>
      <c r="K331">
        <v>2</v>
      </c>
      <c r="L331" s="19">
        <v>73.319999999999993</v>
      </c>
      <c r="M331" s="19">
        <v>40.700000000000003</v>
      </c>
      <c r="N331" s="11">
        <v>0</v>
      </c>
      <c r="O331" s="17">
        <f t="shared" si="23"/>
        <v>146.63999999999999</v>
      </c>
      <c r="P331" s="17">
        <f t="shared" si="20"/>
        <v>81.400000000000006</v>
      </c>
      <c r="Q331" s="17">
        <f t="shared" si="21"/>
        <v>65.239999999999981</v>
      </c>
      <c r="R331" s="24">
        <f t="shared" si="22"/>
        <v>0.44489907255864691</v>
      </c>
      <c r="S331" t="s">
        <v>63</v>
      </c>
      <c r="T331" t="s">
        <v>60</v>
      </c>
    </row>
    <row r="332" spans="1:20" hidden="1">
      <c r="A332" t="s">
        <v>402</v>
      </c>
      <c r="B332" s="5">
        <v>45441</v>
      </c>
      <c r="C332" s="8">
        <f>YEAR(Tabla2[[#This Row],[fecha]])</f>
        <v>2024</v>
      </c>
      <c r="D332" s="8">
        <f>MONTH(Tabla2[[#This Row],[fecha]])</f>
        <v>5</v>
      </c>
      <c r="E332" s="8" t="str">
        <f>TEXT(Tabla2[[#This Row],[fecha]], "mmmm")</f>
        <v>mayo</v>
      </c>
      <c r="F332" s="8" t="str">
        <f>"T"&amp;ROUNDUP(Tabla2[[#This Row],[mes]]/3,0)</f>
        <v>T2</v>
      </c>
      <c r="G332" t="s">
        <v>27</v>
      </c>
      <c r="H332" t="s">
        <v>28</v>
      </c>
      <c r="I332" s="8" t="str">
        <f>IF(Tabla2[[#This Row],[precio_unitario]]&lt;=30,"Económico",IF(Tabla2[[#This Row],[precio_unitario]]&lt;=58.49,"Accesible","Caro"))</f>
        <v>Económico</v>
      </c>
      <c r="J332" t="s">
        <v>26</v>
      </c>
      <c r="K332">
        <v>1</v>
      </c>
      <c r="L332" s="19">
        <v>15.17</v>
      </c>
      <c r="M332" s="19">
        <v>11.7</v>
      </c>
      <c r="N332" s="11">
        <v>0</v>
      </c>
      <c r="O332" s="17">
        <f t="shared" si="23"/>
        <v>15.17</v>
      </c>
      <c r="P332" s="17">
        <f t="shared" si="20"/>
        <v>11.7</v>
      </c>
      <c r="Q332" s="17">
        <f t="shared" si="21"/>
        <v>3.4700000000000006</v>
      </c>
      <c r="R332" s="24">
        <f t="shared" si="22"/>
        <v>0.22874093605800927</v>
      </c>
      <c r="S332" t="s">
        <v>67</v>
      </c>
      <c r="T332" t="s">
        <v>60</v>
      </c>
    </row>
    <row r="333" spans="1:20" hidden="1">
      <c r="A333" t="s">
        <v>403</v>
      </c>
      <c r="B333" s="5">
        <v>45847</v>
      </c>
      <c r="C333" s="8">
        <f>YEAR(Tabla2[[#This Row],[fecha]])</f>
        <v>2025</v>
      </c>
      <c r="D333" s="8">
        <f>MONTH(Tabla2[[#This Row],[fecha]])</f>
        <v>7</v>
      </c>
      <c r="E333" s="8" t="str">
        <f>TEXT(Tabla2[[#This Row],[fecha]], "mmmm")</f>
        <v>julio</v>
      </c>
      <c r="F333" s="8" t="str">
        <f>"T"&amp;ROUNDUP(Tabla2[[#This Row],[mes]]/3,0)</f>
        <v>T3</v>
      </c>
      <c r="G333" t="s">
        <v>13</v>
      </c>
      <c r="H333" t="s">
        <v>14</v>
      </c>
      <c r="I333" s="8" t="str">
        <f>IF(Tabla2[[#This Row],[precio_unitario]]&lt;=30,"Económico",IF(Tabla2[[#This Row],[precio_unitario]]&lt;=58.49,"Accesible","Caro"))</f>
        <v>Caro</v>
      </c>
      <c r="J333" t="s">
        <v>8</v>
      </c>
      <c r="K333">
        <v>5</v>
      </c>
      <c r="L333" s="19">
        <v>161.30000000000001</v>
      </c>
      <c r="M333" s="19">
        <v>110.72</v>
      </c>
      <c r="N333" s="13">
        <v>0</v>
      </c>
      <c r="O333" s="17">
        <f t="shared" si="23"/>
        <v>806.5</v>
      </c>
      <c r="P333" s="17">
        <f t="shared" si="20"/>
        <v>553.6</v>
      </c>
      <c r="Q333" s="17">
        <f t="shared" si="21"/>
        <v>252.89999999999998</v>
      </c>
      <c r="R333" s="24">
        <f t="shared" si="22"/>
        <v>0.31357718536887785</v>
      </c>
      <c r="S333" t="s">
        <v>63</v>
      </c>
      <c r="T333" t="s">
        <v>60</v>
      </c>
    </row>
    <row r="334" spans="1:20" hidden="1">
      <c r="A334" t="s">
        <v>404</v>
      </c>
      <c r="B334" s="5">
        <v>45608</v>
      </c>
      <c r="C334" s="8">
        <f>YEAR(Tabla2[[#This Row],[fecha]])</f>
        <v>2024</v>
      </c>
      <c r="D334" s="8">
        <f>MONTH(Tabla2[[#This Row],[fecha]])</f>
        <v>11</v>
      </c>
      <c r="E334" s="8" t="str">
        <f>TEXT(Tabla2[[#This Row],[fecha]], "mmmm")</f>
        <v>noviembre</v>
      </c>
      <c r="F334" s="8" t="str">
        <f>"T"&amp;ROUNDUP(Tabla2[[#This Row],[mes]]/3,0)</f>
        <v>T4</v>
      </c>
      <c r="G334" t="s">
        <v>15</v>
      </c>
      <c r="H334" t="s">
        <v>16</v>
      </c>
      <c r="I334" s="8" t="str">
        <f>IF(Tabla2[[#This Row],[precio_unitario]]&lt;=30,"Económico",IF(Tabla2[[#This Row],[precio_unitario]]&lt;=58.49,"Accesible","Caro"))</f>
        <v>Caro</v>
      </c>
      <c r="J334" t="s">
        <v>17</v>
      </c>
      <c r="K334">
        <v>1</v>
      </c>
      <c r="L334" s="19">
        <v>63.81</v>
      </c>
      <c r="M334" s="19">
        <v>39.78</v>
      </c>
      <c r="N334" s="11">
        <v>0</v>
      </c>
      <c r="O334" s="17">
        <f t="shared" si="23"/>
        <v>63.81</v>
      </c>
      <c r="P334" s="17">
        <f t="shared" si="20"/>
        <v>39.78</v>
      </c>
      <c r="Q334" s="17">
        <f t="shared" si="21"/>
        <v>24.03</v>
      </c>
      <c r="R334" s="24">
        <f t="shared" si="22"/>
        <v>0.37658674188998592</v>
      </c>
      <c r="S334" t="s">
        <v>540</v>
      </c>
      <c r="T334" t="s">
        <v>64</v>
      </c>
    </row>
    <row r="335" spans="1:20" hidden="1">
      <c r="A335" t="s">
        <v>405</v>
      </c>
      <c r="B335" s="5">
        <v>45669</v>
      </c>
      <c r="C335" s="8">
        <f>YEAR(Tabla2[[#This Row],[fecha]])</f>
        <v>2025</v>
      </c>
      <c r="D335" s="8">
        <f>MONTH(Tabla2[[#This Row],[fecha]])</f>
        <v>1</v>
      </c>
      <c r="E335" s="8" t="str">
        <f>TEXT(Tabla2[[#This Row],[fecha]], "mmmm")</f>
        <v>enero</v>
      </c>
      <c r="F335" s="8" t="str">
        <f>"T"&amp;ROUNDUP(Tabla2[[#This Row],[mes]]/3,0)</f>
        <v>T1</v>
      </c>
      <c r="G335" t="s">
        <v>11</v>
      </c>
      <c r="H335" t="s">
        <v>12</v>
      </c>
      <c r="I335" s="8" t="str">
        <f>IF(Tabla2[[#This Row],[precio_unitario]]&lt;=30,"Económico",IF(Tabla2[[#This Row],[precio_unitario]]&lt;=58.49,"Accesible","Caro"))</f>
        <v>Caro</v>
      </c>
      <c r="J335" t="s">
        <v>8</v>
      </c>
      <c r="K335">
        <v>1</v>
      </c>
      <c r="L335" s="19">
        <v>179.29</v>
      </c>
      <c r="M335" s="19">
        <v>95.07</v>
      </c>
      <c r="N335" s="11">
        <v>0</v>
      </c>
      <c r="O335" s="17">
        <f t="shared" si="23"/>
        <v>179.29</v>
      </c>
      <c r="P335" s="17">
        <f t="shared" si="20"/>
        <v>95.07</v>
      </c>
      <c r="Q335" s="17">
        <f t="shared" si="21"/>
        <v>84.22</v>
      </c>
      <c r="R335" s="24">
        <f t="shared" si="22"/>
        <v>0.46974175916113559</v>
      </c>
      <c r="S335" t="s">
        <v>540</v>
      </c>
      <c r="T335" t="s">
        <v>64</v>
      </c>
    </row>
    <row r="336" spans="1:20" hidden="1">
      <c r="A336" t="s">
        <v>406</v>
      </c>
      <c r="B336" s="5">
        <v>45362</v>
      </c>
      <c r="C336" s="8">
        <f>YEAR(Tabla2[[#This Row],[fecha]])</f>
        <v>2024</v>
      </c>
      <c r="D336" s="8">
        <f>MONTH(Tabla2[[#This Row],[fecha]])</f>
        <v>3</v>
      </c>
      <c r="E336" s="8" t="str">
        <f>TEXT(Tabla2[[#This Row],[fecha]], "mmmm")</f>
        <v>marzo</v>
      </c>
      <c r="F336" s="8" t="str">
        <f>"T"&amp;ROUNDUP(Tabla2[[#This Row],[mes]]/3,0)</f>
        <v>T1</v>
      </c>
      <c r="G336" t="s">
        <v>6</v>
      </c>
      <c r="H336" t="s">
        <v>7</v>
      </c>
      <c r="I336" s="8" t="str">
        <f>IF(Tabla2[[#This Row],[precio_unitario]]&lt;=30,"Económico",IF(Tabla2[[#This Row],[precio_unitario]]&lt;=58.49,"Accesible","Caro"))</f>
        <v>Caro</v>
      </c>
      <c r="J336" t="s">
        <v>8</v>
      </c>
      <c r="K336">
        <v>1</v>
      </c>
      <c r="L336" s="19">
        <v>113</v>
      </c>
      <c r="M336" s="19">
        <v>82.81</v>
      </c>
      <c r="N336" s="11">
        <v>0</v>
      </c>
      <c r="O336" s="17">
        <f t="shared" si="23"/>
        <v>113</v>
      </c>
      <c r="P336" s="17">
        <f t="shared" si="20"/>
        <v>82.81</v>
      </c>
      <c r="Q336" s="17">
        <f t="shared" si="21"/>
        <v>30.189999999999998</v>
      </c>
      <c r="R336" s="24">
        <f t="shared" si="22"/>
        <v>0.26716814159292035</v>
      </c>
      <c r="S336" t="s">
        <v>67</v>
      </c>
      <c r="T336" t="s">
        <v>60</v>
      </c>
    </row>
    <row r="337" spans="1:20" hidden="1">
      <c r="A337" t="s">
        <v>407</v>
      </c>
      <c r="B337" s="5">
        <v>45995</v>
      </c>
      <c r="C337" s="8">
        <f>YEAR(Tabla2[[#This Row],[fecha]])</f>
        <v>2025</v>
      </c>
      <c r="D337" s="8">
        <f>MONTH(Tabla2[[#This Row],[fecha]])</f>
        <v>12</v>
      </c>
      <c r="E337" s="8" t="str">
        <f>TEXT(Tabla2[[#This Row],[fecha]], "mmmm")</f>
        <v>diciembre</v>
      </c>
      <c r="F337" s="8" t="str">
        <f>"T"&amp;ROUNDUP(Tabla2[[#This Row],[mes]]/3,0)</f>
        <v>T4</v>
      </c>
      <c r="G337" t="s">
        <v>33</v>
      </c>
      <c r="H337" t="s">
        <v>34</v>
      </c>
      <c r="I337" s="8" t="str">
        <f>IF(Tabla2[[#This Row],[precio_unitario]]&lt;=30,"Económico",IF(Tabla2[[#This Row],[precio_unitario]]&lt;=58.49,"Accesible","Caro"))</f>
        <v>Caro</v>
      </c>
      <c r="J337" t="s">
        <v>35</v>
      </c>
      <c r="K337">
        <v>1</v>
      </c>
      <c r="L337" s="19">
        <v>72.02</v>
      </c>
      <c r="M337" s="19">
        <v>45.72</v>
      </c>
      <c r="N337" s="11">
        <v>0</v>
      </c>
      <c r="O337" s="17">
        <f t="shared" si="23"/>
        <v>72.02</v>
      </c>
      <c r="P337" s="17">
        <f t="shared" si="20"/>
        <v>45.72</v>
      </c>
      <c r="Q337" s="17">
        <f t="shared" si="21"/>
        <v>26.299999999999997</v>
      </c>
      <c r="R337" s="24">
        <f t="shared" si="22"/>
        <v>0.36517633990558174</v>
      </c>
      <c r="S337" t="s">
        <v>96</v>
      </c>
      <c r="T337" t="s">
        <v>64</v>
      </c>
    </row>
    <row r="338" spans="1:20" hidden="1">
      <c r="A338" t="s">
        <v>408</v>
      </c>
      <c r="B338" s="5">
        <v>45831</v>
      </c>
      <c r="C338" s="8">
        <f>YEAR(Tabla2[[#This Row],[fecha]])</f>
        <v>2025</v>
      </c>
      <c r="D338" s="8">
        <f>MONTH(Tabla2[[#This Row],[fecha]])</f>
        <v>6</v>
      </c>
      <c r="E338" s="8" t="str">
        <f>TEXT(Tabla2[[#This Row],[fecha]], "mmmm")</f>
        <v>junio</v>
      </c>
      <c r="F338" s="8" t="str">
        <f>"T"&amp;ROUNDUP(Tabla2[[#This Row],[mes]]/3,0)</f>
        <v>T2</v>
      </c>
      <c r="G338" t="s">
        <v>42</v>
      </c>
      <c r="H338" t="s">
        <v>43</v>
      </c>
      <c r="I338" s="8" t="str">
        <f>IF(Tabla2[[#This Row],[precio_unitario]]&lt;=30,"Económico",IF(Tabla2[[#This Row],[precio_unitario]]&lt;=58.49,"Accesible","Caro"))</f>
        <v>Accesible</v>
      </c>
      <c r="J338" t="s">
        <v>44</v>
      </c>
      <c r="K338">
        <v>3</v>
      </c>
      <c r="L338" s="19">
        <v>52.48</v>
      </c>
      <c r="M338" s="21">
        <f>INDEX(Tabla3[coste_objetivo], MATCH(Tabla2[[#This Row],[id_producto]], Tabla3[id_producto],0))</f>
        <v>22.69</v>
      </c>
      <c r="N338" s="11">
        <v>0</v>
      </c>
      <c r="O338" s="17">
        <f t="shared" si="23"/>
        <v>157.44</v>
      </c>
      <c r="P338" s="17">
        <f t="shared" si="20"/>
        <v>68.070000000000007</v>
      </c>
      <c r="Q338" s="17">
        <f t="shared" si="21"/>
        <v>89.36999999999999</v>
      </c>
      <c r="R338" s="24">
        <f t="shared" si="22"/>
        <v>0.56764481707317072</v>
      </c>
      <c r="S338" t="s">
        <v>63</v>
      </c>
      <c r="T338" t="s">
        <v>64</v>
      </c>
    </row>
    <row r="339" spans="1:20" hidden="1">
      <c r="A339" t="s">
        <v>409</v>
      </c>
      <c r="B339" s="5">
        <v>45784</v>
      </c>
      <c r="C339" s="8">
        <f>YEAR(Tabla2[[#This Row],[fecha]])</f>
        <v>2025</v>
      </c>
      <c r="D339" s="8">
        <f>MONTH(Tabla2[[#This Row],[fecha]])</f>
        <v>5</v>
      </c>
      <c r="E339" s="8" t="str">
        <f>TEXT(Tabla2[[#This Row],[fecha]], "mmmm")</f>
        <v>mayo</v>
      </c>
      <c r="F339" s="8" t="str">
        <f>"T"&amp;ROUNDUP(Tabla2[[#This Row],[mes]]/3,0)</f>
        <v>T2</v>
      </c>
      <c r="G339" t="s">
        <v>49</v>
      </c>
      <c r="H339" t="s">
        <v>50</v>
      </c>
      <c r="I339" s="8" t="str">
        <f>IF(Tabla2[[#This Row],[precio_unitario]]&lt;=30,"Económico",IF(Tabla2[[#This Row],[precio_unitario]]&lt;=58.49,"Accesible","Caro"))</f>
        <v>Accesible</v>
      </c>
      <c r="J339" t="s">
        <v>44</v>
      </c>
      <c r="K339">
        <v>6</v>
      </c>
      <c r="L339" s="19">
        <v>56.04</v>
      </c>
      <c r="M339" s="19">
        <v>33.46</v>
      </c>
      <c r="N339" s="13">
        <v>0</v>
      </c>
      <c r="O339" s="17">
        <f t="shared" si="23"/>
        <v>336.24</v>
      </c>
      <c r="P339" s="17">
        <f t="shared" si="20"/>
        <v>200.76</v>
      </c>
      <c r="Q339" s="17">
        <f t="shared" si="21"/>
        <v>135.48000000000002</v>
      </c>
      <c r="R339" s="24">
        <f t="shared" si="22"/>
        <v>0.40292648108493939</v>
      </c>
      <c r="S339" t="s">
        <v>101</v>
      </c>
      <c r="T339" t="s">
        <v>64</v>
      </c>
    </row>
    <row r="340" spans="1:20" hidden="1">
      <c r="A340" t="s">
        <v>410</v>
      </c>
      <c r="B340" s="5">
        <v>45346</v>
      </c>
      <c r="C340" s="8">
        <f>YEAR(Tabla2[[#This Row],[fecha]])</f>
        <v>2024</v>
      </c>
      <c r="D340" s="8">
        <f>MONTH(Tabla2[[#This Row],[fecha]])</f>
        <v>2</v>
      </c>
      <c r="E340" s="8" t="str">
        <f>TEXT(Tabla2[[#This Row],[fecha]], "mmmm")</f>
        <v>febrero</v>
      </c>
      <c r="F340" s="8" t="str">
        <f>"T"&amp;ROUNDUP(Tabla2[[#This Row],[mes]]/3,0)</f>
        <v>T1</v>
      </c>
      <c r="G340" t="s">
        <v>38</v>
      </c>
      <c r="H340" t="s">
        <v>39</v>
      </c>
      <c r="I340" s="8" t="str">
        <f>IF(Tabla2[[#This Row],[precio_unitario]]&lt;=30,"Económico",IF(Tabla2[[#This Row],[precio_unitario]]&lt;=58.49,"Accesible","Caro"))</f>
        <v>Caro</v>
      </c>
      <c r="J340" t="s">
        <v>35</v>
      </c>
      <c r="K340">
        <v>1</v>
      </c>
      <c r="L340" s="19">
        <v>81.650000000000006</v>
      </c>
      <c r="M340" s="19">
        <v>43.19</v>
      </c>
      <c r="N340" s="11">
        <v>0</v>
      </c>
      <c r="O340" s="17">
        <f t="shared" si="23"/>
        <v>81.650000000000006</v>
      </c>
      <c r="P340" s="17">
        <f t="shared" si="20"/>
        <v>43.19</v>
      </c>
      <c r="Q340" s="17">
        <f t="shared" si="21"/>
        <v>38.460000000000008</v>
      </c>
      <c r="R340" s="24">
        <f t="shared" si="22"/>
        <v>0.47103490508266999</v>
      </c>
      <c r="S340" t="s">
        <v>63</v>
      </c>
      <c r="T340" t="s">
        <v>60</v>
      </c>
    </row>
    <row r="341" spans="1:20" hidden="1">
      <c r="A341" t="s">
        <v>411</v>
      </c>
      <c r="B341" s="5">
        <v>45430</v>
      </c>
      <c r="C341" s="8">
        <f>YEAR(Tabla2[[#This Row],[fecha]])</f>
        <v>2024</v>
      </c>
      <c r="D341" s="8">
        <f>MONTH(Tabla2[[#This Row],[fecha]])</f>
        <v>5</v>
      </c>
      <c r="E341" s="8" t="str">
        <f>TEXT(Tabla2[[#This Row],[fecha]], "mmmm")</f>
        <v>mayo</v>
      </c>
      <c r="F341" s="8" t="str">
        <f>"T"&amp;ROUNDUP(Tabla2[[#This Row],[mes]]/3,0)</f>
        <v>T2</v>
      </c>
      <c r="G341" t="s">
        <v>45</v>
      </c>
      <c r="H341" t="s">
        <v>46</v>
      </c>
      <c r="I341" s="8" t="str">
        <f>IF(Tabla2[[#This Row],[precio_unitario]]&lt;=30,"Económico",IF(Tabla2[[#This Row],[precio_unitario]]&lt;=58.49,"Accesible","Caro"))</f>
        <v>Accesible</v>
      </c>
      <c r="J341" t="s">
        <v>44</v>
      </c>
      <c r="K341">
        <v>1</v>
      </c>
      <c r="L341" s="19">
        <v>32.869999999999997</v>
      </c>
      <c r="M341" s="19">
        <v>18</v>
      </c>
      <c r="N341" s="11">
        <v>0</v>
      </c>
      <c r="O341" s="17">
        <f t="shared" si="23"/>
        <v>32.869999999999997</v>
      </c>
      <c r="P341" s="17">
        <f t="shared" si="20"/>
        <v>18</v>
      </c>
      <c r="Q341" s="17">
        <f t="shared" si="21"/>
        <v>14.869999999999997</v>
      </c>
      <c r="R341" s="24">
        <f t="shared" si="22"/>
        <v>0.45238819592333429</v>
      </c>
      <c r="S341" t="s">
        <v>540</v>
      </c>
      <c r="T341" t="s">
        <v>60</v>
      </c>
    </row>
    <row r="342" spans="1:20" hidden="1">
      <c r="A342" t="s">
        <v>412</v>
      </c>
      <c r="B342" s="5">
        <v>45297</v>
      </c>
      <c r="C342" s="8">
        <f>YEAR(Tabla2[[#This Row],[fecha]])</f>
        <v>2024</v>
      </c>
      <c r="D342" s="8">
        <f>MONTH(Tabla2[[#This Row],[fecha]])</f>
        <v>1</v>
      </c>
      <c r="E342" s="8" t="str">
        <f>TEXT(Tabla2[[#This Row],[fecha]], "mmmm")</f>
        <v>enero</v>
      </c>
      <c r="F342" s="8" t="str">
        <f>"T"&amp;ROUNDUP(Tabla2[[#This Row],[mes]]/3,0)</f>
        <v>T1</v>
      </c>
      <c r="G342" t="s">
        <v>11</v>
      </c>
      <c r="H342" t="s">
        <v>12</v>
      </c>
      <c r="I342" s="8" t="str">
        <f>IF(Tabla2[[#This Row],[precio_unitario]]&lt;=30,"Económico",IF(Tabla2[[#This Row],[precio_unitario]]&lt;=58.49,"Accesible","Caro"))</f>
        <v>Caro</v>
      </c>
      <c r="J342" t="s">
        <v>8</v>
      </c>
      <c r="K342">
        <v>2</v>
      </c>
      <c r="L342" s="20">
        <f>INDEX(Tabla3[precio_venta_recomendado], MATCH(Tabla2[[#This Row],[id_producto]], Tabla3[id_producto], 0))</f>
        <v>177.72</v>
      </c>
      <c r="M342" s="19">
        <v>96.89</v>
      </c>
      <c r="N342" s="11">
        <v>0</v>
      </c>
      <c r="O342" s="17">
        <f t="shared" si="23"/>
        <v>355.44</v>
      </c>
      <c r="P342" s="17">
        <f t="shared" si="20"/>
        <v>193.78</v>
      </c>
      <c r="Q342" s="17">
        <f t="shared" si="21"/>
        <v>161.66</v>
      </c>
      <c r="R342" s="24">
        <f t="shared" si="22"/>
        <v>0.4548165653837497</v>
      </c>
      <c r="S342" t="s">
        <v>83</v>
      </c>
      <c r="T342" t="s">
        <v>64</v>
      </c>
    </row>
    <row r="343" spans="1:20" hidden="1">
      <c r="A343" t="s">
        <v>413</v>
      </c>
      <c r="B343" s="5">
        <v>45532</v>
      </c>
      <c r="C343" s="8">
        <f>YEAR(Tabla2[[#This Row],[fecha]])</f>
        <v>2024</v>
      </c>
      <c r="D343" s="8">
        <f>MONTH(Tabla2[[#This Row],[fecha]])</f>
        <v>8</v>
      </c>
      <c r="E343" s="8" t="str">
        <f>TEXT(Tabla2[[#This Row],[fecha]], "mmmm")</f>
        <v>agosto</v>
      </c>
      <c r="F343" s="8" t="str">
        <f>"T"&amp;ROUNDUP(Tabla2[[#This Row],[mes]]/3,0)</f>
        <v>T3</v>
      </c>
      <c r="G343" t="s">
        <v>15</v>
      </c>
      <c r="H343" t="s">
        <v>16</v>
      </c>
      <c r="I343" s="8" t="str">
        <f>IF(Tabla2[[#This Row],[precio_unitario]]&lt;=30,"Económico",IF(Tabla2[[#This Row],[precio_unitario]]&lt;=58.49,"Accesible","Caro"))</f>
        <v>Accesible</v>
      </c>
      <c r="J343" t="s">
        <v>17</v>
      </c>
      <c r="K343">
        <v>1</v>
      </c>
      <c r="L343" s="19">
        <v>58.06</v>
      </c>
      <c r="M343" s="19">
        <v>42.44</v>
      </c>
      <c r="N343" s="11">
        <v>0</v>
      </c>
      <c r="O343" s="17">
        <f t="shared" si="23"/>
        <v>58.06</v>
      </c>
      <c r="P343" s="17">
        <f t="shared" si="20"/>
        <v>42.44</v>
      </c>
      <c r="Q343" s="17">
        <f t="shared" si="21"/>
        <v>15.620000000000005</v>
      </c>
      <c r="R343" s="24">
        <f t="shared" si="22"/>
        <v>0.26903203582500868</v>
      </c>
      <c r="S343" t="s">
        <v>96</v>
      </c>
      <c r="T343" t="s">
        <v>64</v>
      </c>
    </row>
    <row r="344" spans="1:20">
      <c r="A344" t="s">
        <v>414</v>
      </c>
      <c r="B344" s="5">
        <v>45870</v>
      </c>
      <c r="C344" s="8">
        <f>YEAR(Tabla2[[#This Row],[fecha]])</f>
        <v>2025</v>
      </c>
      <c r="D344" s="8">
        <f>MONTH(Tabla2[[#This Row],[fecha]])</f>
        <v>8</v>
      </c>
      <c r="E344" s="8" t="str">
        <f>TEXT(Tabla2[[#This Row],[fecha]], "mmmm")</f>
        <v>agosto</v>
      </c>
      <c r="F344" s="8" t="str">
        <f>"T"&amp;ROUNDUP(Tabla2[[#This Row],[mes]]/3,0)</f>
        <v>T3</v>
      </c>
      <c r="G344" t="s">
        <v>49</v>
      </c>
      <c r="H344" t="s">
        <v>50</v>
      </c>
      <c r="I344" s="8" t="str">
        <f>IF(Tabla2[[#This Row],[precio_unitario]]&lt;=30,"Económico",IF(Tabla2[[#This Row],[precio_unitario]]&lt;=58.49,"Accesible","Caro"))</f>
        <v>Accesible</v>
      </c>
      <c r="J344" t="s">
        <v>44</v>
      </c>
      <c r="K344">
        <v>1</v>
      </c>
      <c r="L344" s="19">
        <v>58.26</v>
      </c>
      <c r="M344" s="19">
        <v>32.83</v>
      </c>
      <c r="N344" s="11">
        <v>0</v>
      </c>
      <c r="O344" s="17">
        <f t="shared" si="23"/>
        <v>58.26</v>
      </c>
      <c r="P344" s="17">
        <f t="shared" si="20"/>
        <v>32.83</v>
      </c>
      <c r="Q344" s="17">
        <f t="shared" si="21"/>
        <v>25.43</v>
      </c>
      <c r="R344" s="24">
        <f t="shared" si="22"/>
        <v>0.43649158942670785</v>
      </c>
      <c r="S344" t="s">
        <v>67</v>
      </c>
      <c r="T344" t="s">
        <v>60</v>
      </c>
    </row>
    <row r="345" spans="1:20" hidden="1">
      <c r="A345" t="s">
        <v>415</v>
      </c>
      <c r="B345" s="5">
        <v>45307</v>
      </c>
      <c r="C345" s="8">
        <f>YEAR(Tabla2[[#This Row],[fecha]])</f>
        <v>2024</v>
      </c>
      <c r="D345" s="8">
        <f>MONTH(Tabla2[[#This Row],[fecha]])</f>
        <v>1</v>
      </c>
      <c r="E345" s="8" t="str">
        <f>TEXT(Tabla2[[#This Row],[fecha]], "mmmm")</f>
        <v>enero</v>
      </c>
      <c r="F345" s="8" t="str">
        <f>"T"&amp;ROUNDUP(Tabla2[[#This Row],[mes]]/3,0)</f>
        <v>T1</v>
      </c>
      <c r="G345" t="s">
        <v>9</v>
      </c>
      <c r="H345" t="s">
        <v>10</v>
      </c>
      <c r="I345" s="8" t="str">
        <f>IF(Tabla2[[#This Row],[precio_unitario]]&lt;=30,"Económico",IF(Tabla2[[#This Row],[precio_unitario]]&lt;=58.49,"Accesible","Caro"))</f>
        <v>Caro</v>
      </c>
      <c r="J345" t="s">
        <v>8</v>
      </c>
      <c r="K345">
        <v>2</v>
      </c>
      <c r="L345" s="19">
        <v>79.349999999999994</v>
      </c>
      <c r="M345" s="19">
        <v>45.44</v>
      </c>
      <c r="N345" s="11">
        <v>0</v>
      </c>
      <c r="O345" s="17">
        <f t="shared" si="23"/>
        <v>158.69999999999999</v>
      </c>
      <c r="P345" s="17">
        <f t="shared" si="20"/>
        <v>90.88</v>
      </c>
      <c r="Q345" s="17">
        <f t="shared" si="21"/>
        <v>67.819999999999993</v>
      </c>
      <c r="R345" s="24">
        <f t="shared" si="22"/>
        <v>0.42734719596723375</v>
      </c>
      <c r="S345" t="s">
        <v>67</v>
      </c>
      <c r="T345" t="s">
        <v>60</v>
      </c>
    </row>
    <row r="346" spans="1:20" hidden="1">
      <c r="A346" t="s">
        <v>416</v>
      </c>
      <c r="B346" s="5">
        <v>45489</v>
      </c>
      <c r="C346" s="8">
        <f>YEAR(Tabla2[[#This Row],[fecha]])</f>
        <v>2024</v>
      </c>
      <c r="D346" s="8">
        <f>MONTH(Tabla2[[#This Row],[fecha]])</f>
        <v>7</v>
      </c>
      <c r="E346" s="8" t="str">
        <f>TEXT(Tabla2[[#This Row],[fecha]], "mmmm")</f>
        <v>julio</v>
      </c>
      <c r="F346" s="8" t="str">
        <f>"T"&amp;ROUNDUP(Tabla2[[#This Row],[mes]]/3,0)</f>
        <v>T3</v>
      </c>
      <c r="G346" t="s">
        <v>13</v>
      </c>
      <c r="H346" t="s">
        <v>14</v>
      </c>
      <c r="I346" s="8" t="str">
        <f>IF(Tabla2[[#This Row],[precio_unitario]]&lt;=30,"Económico",IF(Tabla2[[#This Row],[precio_unitario]]&lt;=58.49,"Accesible","Caro"))</f>
        <v>Caro</v>
      </c>
      <c r="J346" t="s">
        <v>8</v>
      </c>
      <c r="K346">
        <v>3</v>
      </c>
      <c r="L346" s="20">
        <f>INDEX(Tabla3[precio_venta_recomendado], MATCH(Tabla2[[#This Row],[id_producto]],Tabla3[id_producto]),0)</f>
        <v>161.81</v>
      </c>
      <c r="M346" s="19">
        <v>108.54</v>
      </c>
      <c r="N346" s="11">
        <v>0</v>
      </c>
      <c r="O346" s="17">
        <f t="shared" si="23"/>
        <v>485.43</v>
      </c>
      <c r="P346" s="17">
        <f t="shared" si="20"/>
        <v>325.62</v>
      </c>
      <c r="Q346" s="17">
        <f t="shared" si="21"/>
        <v>159.81</v>
      </c>
      <c r="R346" s="24">
        <f t="shared" si="22"/>
        <v>0.32921327482850254</v>
      </c>
      <c r="S346" t="s">
        <v>83</v>
      </c>
      <c r="T346" t="s">
        <v>64</v>
      </c>
    </row>
    <row r="347" spans="1:20" hidden="1">
      <c r="A347" t="s">
        <v>417</v>
      </c>
      <c r="B347" s="5">
        <v>45609</v>
      </c>
      <c r="C347" s="8">
        <f>YEAR(Tabla2[[#This Row],[fecha]])</f>
        <v>2024</v>
      </c>
      <c r="D347" s="8">
        <f>MONTH(Tabla2[[#This Row],[fecha]])</f>
        <v>11</v>
      </c>
      <c r="E347" s="8" t="str">
        <f>TEXT(Tabla2[[#This Row],[fecha]], "mmmm")</f>
        <v>noviembre</v>
      </c>
      <c r="F347" s="8" t="str">
        <f>"T"&amp;ROUNDUP(Tabla2[[#This Row],[mes]]/3,0)</f>
        <v>T4</v>
      </c>
      <c r="G347" t="s">
        <v>15</v>
      </c>
      <c r="H347" t="s">
        <v>16</v>
      </c>
      <c r="I347" s="8" t="str">
        <f>IF(Tabla2[[#This Row],[precio_unitario]]&lt;=30,"Económico",IF(Tabla2[[#This Row],[precio_unitario]]&lt;=58.49,"Accesible","Caro"))</f>
        <v>Accesible</v>
      </c>
      <c r="J347" t="s">
        <v>17</v>
      </c>
      <c r="K347">
        <v>1</v>
      </c>
      <c r="L347" s="19">
        <v>57.91</v>
      </c>
      <c r="M347" s="19">
        <v>40.04</v>
      </c>
      <c r="N347" s="11">
        <v>0.27</v>
      </c>
      <c r="O347" s="17">
        <f t="shared" si="23"/>
        <v>42.274299999999997</v>
      </c>
      <c r="P347" s="17">
        <f t="shared" si="20"/>
        <v>40.04</v>
      </c>
      <c r="Q347" s="17">
        <f t="shared" si="21"/>
        <v>2.2342999999999975</v>
      </c>
      <c r="R347" s="24">
        <f t="shared" si="22"/>
        <v>5.2852442263975931E-2</v>
      </c>
      <c r="S347" t="s">
        <v>67</v>
      </c>
      <c r="T347" t="s">
        <v>374</v>
      </c>
    </row>
    <row r="348" spans="1:20" hidden="1">
      <c r="A348" t="s">
        <v>418</v>
      </c>
      <c r="B348" s="5">
        <v>45659</v>
      </c>
      <c r="C348" s="8">
        <f>YEAR(Tabla2[[#This Row],[fecha]])</f>
        <v>2025</v>
      </c>
      <c r="D348" s="8">
        <f>MONTH(Tabla2[[#This Row],[fecha]])</f>
        <v>1</v>
      </c>
      <c r="E348" s="8" t="str">
        <f>TEXT(Tabla2[[#This Row],[fecha]], "mmmm")</f>
        <v>enero</v>
      </c>
      <c r="F348" s="8" t="str">
        <f>"T"&amp;ROUNDUP(Tabla2[[#This Row],[mes]]/3,0)</f>
        <v>T1</v>
      </c>
      <c r="G348" t="s">
        <v>42</v>
      </c>
      <c r="H348" t="s">
        <v>43</v>
      </c>
      <c r="I348" s="8" t="str">
        <f>IF(Tabla2[[#This Row],[precio_unitario]]&lt;=30,"Económico",IF(Tabla2[[#This Row],[precio_unitario]]&lt;=58.49,"Accesible","Caro"))</f>
        <v>Accesible</v>
      </c>
      <c r="J348" t="s">
        <v>44</v>
      </c>
      <c r="K348">
        <v>7</v>
      </c>
      <c r="L348" s="19">
        <v>53.06</v>
      </c>
      <c r="M348" s="19">
        <v>22.28</v>
      </c>
      <c r="N348" s="11">
        <v>0</v>
      </c>
      <c r="O348" s="17">
        <f t="shared" si="23"/>
        <v>371.42</v>
      </c>
      <c r="P348" s="17">
        <f t="shared" si="20"/>
        <v>155.96</v>
      </c>
      <c r="Q348" s="17">
        <f t="shared" si="21"/>
        <v>215.46</v>
      </c>
      <c r="R348" s="24">
        <f t="shared" si="22"/>
        <v>0.5800980022615907</v>
      </c>
      <c r="S348" t="s">
        <v>63</v>
      </c>
      <c r="T348" t="s">
        <v>64</v>
      </c>
    </row>
    <row r="349" spans="1:20">
      <c r="A349" t="s">
        <v>419</v>
      </c>
      <c r="B349" s="5">
        <v>45823</v>
      </c>
      <c r="C349" s="8">
        <f>YEAR(Tabla2[[#This Row],[fecha]])</f>
        <v>2025</v>
      </c>
      <c r="D349" s="8">
        <f>MONTH(Tabla2[[#This Row],[fecha]])</f>
        <v>6</v>
      </c>
      <c r="E349" s="8" t="str">
        <f>TEXT(Tabla2[[#This Row],[fecha]], "mmmm")</f>
        <v>junio</v>
      </c>
      <c r="F349" s="8" t="str">
        <f>"T"&amp;ROUNDUP(Tabla2[[#This Row],[mes]]/3,0)</f>
        <v>T2</v>
      </c>
      <c r="G349" t="s">
        <v>15</v>
      </c>
      <c r="H349" t="s">
        <v>16</v>
      </c>
      <c r="I349" s="8" t="str">
        <f>IF(Tabla2[[#This Row],[precio_unitario]]&lt;=30,"Económico",IF(Tabla2[[#This Row],[precio_unitario]]&lt;=58.49,"Accesible","Caro"))</f>
        <v>Caro</v>
      </c>
      <c r="J349" t="s">
        <v>17</v>
      </c>
      <c r="K349">
        <v>7</v>
      </c>
      <c r="L349" s="19">
        <v>61.21</v>
      </c>
      <c r="M349" s="19">
        <v>40.64</v>
      </c>
      <c r="N349" s="11">
        <v>0</v>
      </c>
      <c r="O349" s="17">
        <f t="shared" si="23"/>
        <v>428.47</v>
      </c>
      <c r="P349" s="17">
        <f t="shared" si="20"/>
        <v>284.48</v>
      </c>
      <c r="Q349" s="17">
        <f t="shared" si="21"/>
        <v>143.99</v>
      </c>
      <c r="R349" s="24">
        <f t="shared" si="22"/>
        <v>0.33605619996732561</v>
      </c>
      <c r="S349" t="s">
        <v>67</v>
      </c>
      <c r="T349" t="s">
        <v>64</v>
      </c>
    </row>
    <row r="350" spans="1:20" hidden="1">
      <c r="A350" t="s">
        <v>420</v>
      </c>
      <c r="B350" s="5">
        <v>45343</v>
      </c>
      <c r="C350" s="8">
        <f>YEAR(Tabla2[[#This Row],[fecha]])</f>
        <v>2024</v>
      </c>
      <c r="D350" s="8">
        <f>MONTH(Tabla2[[#This Row],[fecha]])</f>
        <v>2</v>
      </c>
      <c r="E350" s="8" t="str">
        <f>TEXT(Tabla2[[#This Row],[fecha]], "mmmm")</f>
        <v>febrero</v>
      </c>
      <c r="F350" s="8" t="str">
        <f>"T"&amp;ROUNDUP(Tabla2[[#This Row],[mes]]/3,0)</f>
        <v>T1</v>
      </c>
      <c r="G350" t="s">
        <v>13</v>
      </c>
      <c r="H350" t="s">
        <v>14</v>
      </c>
      <c r="I350" s="8" t="str">
        <f>IF(Tabla2[[#This Row],[precio_unitario]]&lt;=30,"Económico",IF(Tabla2[[#This Row],[precio_unitario]]&lt;=58.49,"Accesible","Caro"))</f>
        <v>Caro</v>
      </c>
      <c r="J350" t="s">
        <v>8</v>
      </c>
      <c r="K350">
        <v>4</v>
      </c>
      <c r="L350" s="19">
        <v>171.27</v>
      </c>
      <c r="M350" s="19">
        <v>106.29</v>
      </c>
      <c r="N350" s="13">
        <v>0</v>
      </c>
      <c r="O350" s="17">
        <f t="shared" si="23"/>
        <v>685.08</v>
      </c>
      <c r="P350" s="17">
        <f t="shared" si="20"/>
        <v>425.16</v>
      </c>
      <c r="Q350" s="17">
        <f t="shared" si="21"/>
        <v>259.92</v>
      </c>
      <c r="R350" s="24">
        <f t="shared" si="22"/>
        <v>0.37940094587493434</v>
      </c>
      <c r="S350" t="s">
        <v>67</v>
      </c>
      <c r="T350" t="s">
        <v>60</v>
      </c>
    </row>
    <row r="351" spans="1:20">
      <c r="A351" t="s">
        <v>421</v>
      </c>
      <c r="B351" s="5">
        <v>45697</v>
      </c>
      <c r="C351" s="8">
        <f>YEAR(Tabla2[[#This Row],[fecha]])</f>
        <v>2025</v>
      </c>
      <c r="D351" s="8">
        <f>MONTH(Tabla2[[#This Row],[fecha]])</f>
        <v>2</v>
      </c>
      <c r="E351" s="8" t="str">
        <f>TEXT(Tabla2[[#This Row],[fecha]], "mmmm")</f>
        <v>febrero</v>
      </c>
      <c r="F351" s="8" t="str">
        <f>"T"&amp;ROUNDUP(Tabla2[[#This Row],[mes]]/3,0)</f>
        <v>T1</v>
      </c>
      <c r="G351" t="s">
        <v>36</v>
      </c>
      <c r="H351" t="s">
        <v>37</v>
      </c>
      <c r="I351" s="8" t="str">
        <f>IF(Tabla2[[#This Row],[precio_unitario]]&lt;=30,"Económico",IF(Tabla2[[#This Row],[precio_unitario]]&lt;=58.49,"Accesible","Caro"))</f>
        <v>Económico</v>
      </c>
      <c r="J351" t="s">
        <v>35</v>
      </c>
      <c r="K351">
        <v>1</v>
      </c>
      <c r="L351" s="19">
        <v>13.84</v>
      </c>
      <c r="M351" s="19">
        <v>9.7799999999999994</v>
      </c>
      <c r="N351" s="13">
        <v>0</v>
      </c>
      <c r="O351" s="17">
        <f t="shared" si="23"/>
        <v>13.84</v>
      </c>
      <c r="P351" s="17">
        <f t="shared" si="20"/>
        <v>9.7799999999999994</v>
      </c>
      <c r="Q351" s="17">
        <f t="shared" si="21"/>
        <v>4.0600000000000005</v>
      </c>
      <c r="R351" s="24">
        <f t="shared" si="22"/>
        <v>0.29335260115606943</v>
      </c>
      <c r="S351" t="s">
        <v>67</v>
      </c>
      <c r="T351" t="s">
        <v>64</v>
      </c>
    </row>
    <row r="352" spans="1:20" hidden="1">
      <c r="A352" t="s">
        <v>422</v>
      </c>
      <c r="B352" s="5">
        <v>45369</v>
      </c>
      <c r="C352" s="8">
        <f>YEAR(Tabla2[[#This Row],[fecha]])</f>
        <v>2024</v>
      </c>
      <c r="D352" s="8">
        <f>MONTH(Tabla2[[#This Row],[fecha]])</f>
        <v>3</v>
      </c>
      <c r="E352" s="8" t="str">
        <f>TEXT(Tabla2[[#This Row],[fecha]], "mmmm")</f>
        <v>marzo</v>
      </c>
      <c r="F352" s="8" t="str">
        <f>"T"&amp;ROUNDUP(Tabla2[[#This Row],[mes]]/3,0)</f>
        <v>T1</v>
      </c>
      <c r="G352" t="s">
        <v>36</v>
      </c>
      <c r="H352" t="s">
        <v>37</v>
      </c>
      <c r="I352" s="8" t="str">
        <f>IF(Tabla2[[#This Row],[precio_unitario]]&lt;=30,"Económico",IF(Tabla2[[#This Row],[precio_unitario]]&lt;=58.49,"Accesible","Caro"))</f>
        <v>Económico</v>
      </c>
      <c r="J352" t="s">
        <v>35</v>
      </c>
      <c r="K352">
        <v>1</v>
      </c>
      <c r="L352" s="19">
        <v>13.53</v>
      </c>
      <c r="M352" s="19">
        <v>9.81</v>
      </c>
      <c r="N352" s="13">
        <v>0</v>
      </c>
      <c r="O352" s="17">
        <f t="shared" si="23"/>
        <v>13.53</v>
      </c>
      <c r="P352" s="17">
        <f t="shared" si="20"/>
        <v>9.81</v>
      </c>
      <c r="Q352" s="17">
        <f t="shared" si="21"/>
        <v>3.7199999999999989</v>
      </c>
      <c r="R352" s="24">
        <f t="shared" si="22"/>
        <v>0.27494456762749436</v>
      </c>
      <c r="S352" t="s">
        <v>67</v>
      </c>
      <c r="T352" t="s">
        <v>60</v>
      </c>
    </row>
    <row r="353" spans="1:20" hidden="1">
      <c r="A353" t="s">
        <v>423</v>
      </c>
      <c r="B353" s="5">
        <v>45297</v>
      </c>
      <c r="C353" s="8">
        <f>YEAR(Tabla2[[#This Row],[fecha]])</f>
        <v>2024</v>
      </c>
      <c r="D353" s="8">
        <f>MONTH(Tabla2[[#This Row],[fecha]])</f>
        <v>1</v>
      </c>
      <c r="E353" s="8" t="str">
        <f>TEXT(Tabla2[[#This Row],[fecha]], "mmmm")</f>
        <v>enero</v>
      </c>
      <c r="F353" s="8" t="str">
        <f>"T"&amp;ROUNDUP(Tabla2[[#This Row],[mes]]/3,0)</f>
        <v>T1</v>
      </c>
      <c r="G353" t="s">
        <v>36</v>
      </c>
      <c r="H353" t="s">
        <v>37</v>
      </c>
      <c r="I353" s="8" t="str">
        <f>IF(Tabla2[[#This Row],[precio_unitario]]&lt;=30,"Económico",IF(Tabla2[[#This Row],[precio_unitario]]&lt;=58.49,"Accesible","Caro"))</f>
        <v>Económico</v>
      </c>
      <c r="J353" t="s">
        <v>35</v>
      </c>
      <c r="K353">
        <v>7</v>
      </c>
      <c r="L353" s="19">
        <v>14.69</v>
      </c>
      <c r="M353" s="19">
        <v>9.1199999999999992</v>
      </c>
      <c r="N353" s="11">
        <v>0</v>
      </c>
      <c r="O353" s="17">
        <f t="shared" si="23"/>
        <v>102.83</v>
      </c>
      <c r="P353" s="17">
        <f t="shared" si="20"/>
        <v>63.839999999999996</v>
      </c>
      <c r="Q353" s="17">
        <f t="shared" si="21"/>
        <v>38.99</v>
      </c>
      <c r="R353" s="24">
        <f t="shared" si="22"/>
        <v>0.37916950306330838</v>
      </c>
      <c r="S353" t="s">
        <v>63</v>
      </c>
      <c r="T353" t="s">
        <v>60</v>
      </c>
    </row>
    <row r="354" spans="1:20" hidden="1">
      <c r="A354" t="s">
        <v>424</v>
      </c>
      <c r="B354" s="5">
        <v>45653</v>
      </c>
      <c r="C354" s="8">
        <f>YEAR(Tabla2[[#This Row],[fecha]])</f>
        <v>2024</v>
      </c>
      <c r="D354" s="8">
        <f>MONTH(Tabla2[[#This Row],[fecha]])</f>
        <v>12</v>
      </c>
      <c r="E354" s="8" t="str">
        <f>TEXT(Tabla2[[#This Row],[fecha]], "mmmm")</f>
        <v>diciembre</v>
      </c>
      <c r="F354" s="8" t="str">
        <f>"T"&amp;ROUNDUP(Tabla2[[#This Row],[mes]]/3,0)</f>
        <v>T4</v>
      </c>
      <c r="G354" t="s">
        <v>31</v>
      </c>
      <c r="H354" t="s">
        <v>32</v>
      </c>
      <c r="I354" s="8" t="str">
        <f>IF(Tabla2[[#This Row],[precio_unitario]]&lt;=30,"Económico",IF(Tabla2[[#This Row],[precio_unitario]]&lt;=58.49,"Accesible","Caro"))</f>
        <v>Económico</v>
      </c>
      <c r="J354" t="s">
        <v>26</v>
      </c>
      <c r="K354">
        <v>6</v>
      </c>
      <c r="L354" s="19">
        <v>8.6999999999999993</v>
      </c>
      <c r="M354" s="19">
        <v>5.63</v>
      </c>
      <c r="N354" s="11">
        <v>0</v>
      </c>
      <c r="O354" s="17">
        <f t="shared" si="23"/>
        <v>52.199999999999996</v>
      </c>
      <c r="P354" s="17">
        <f t="shared" si="20"/>
        <v>33.78</v>
      </c>
      <c r="Q354" s="17">
        <f t="shared" si="21"/>
        <v>18.419999999999995</v>
      </c>
      <c r="R354" s="24">
        <f t="shared" si="22"/>
        <v>0.35287356321839075</v>
      </c>
      <c r="S354" t="s">
        <v>67</v>
      </c>
      <c r="T354" t="s">
        <v>60</v>
      </c>
    </row>
    <row r="355" spans="1:20">
      <c r="A355" t="s">
        <v>425</v>
      </c>
      <c r="B355" s="5">
        <v>45757</v>
      </c>
      <c r="C355" s="8">
        <f>YEAR(Tabla2[[#This Row],[fecha]])</f>
        <v>2025</v>
      </c>
      <c r="D355" s="8">
        <f>MONTH(Tabla2[[#This Row],[fecha]])</f>
        <v>4</v>
      </c>
      <c r="E355" s="8" t="str">
        <f>TEXT(Tabla2[[#This Row],[fecha]], "mmmm")</f>
        <v>abril</v>
      </c>
      <c r="F355" s="8" t="str">
        <f>"T"&amp;ROUNDUP(Tabla2[[#This Row],[mes]]/3,0)</f>
        <v>T2</v>
      </c>
      <c r="G355" t="s">
        <v>13</v>
      </c>
      <c r="H355" t="s">
        <v>14</v>
      </c>
      <c r="I355" s="8" t="str">
        <f>IF(Tabla2[[#This Row],[precio_unitario]]&lt;=30,"Económico",IF(Tabla2[[#This Row],[precio_unitario]]&lt;=58.49,"Accesible","Caro"))</f>
        <v>Caro</v>
      </c>
      <c r="J355" t="s">
        <v>8</v>
      </c>
      <c r="K355">
        <v>4</v>
      </c>
      <c r="L355" s="19">
        <v>157.22</v>
      </c>
      <c r="M355" s="19">
        <v>110.61</v>
      </c>
      <c r="N355" s="11">
        <v>0</v>
      </c>
      <c r="O355" s="17">
        <f t="shared" si="23"/>
        <v>628.88</v>
      </c>
      <c r="P355" s="17">
        <f t="shared" si="20"/>
        <v>442.44</v>
      </c>
      <c r="Q355" s="17">
        <f t="shared" si="21"/>
        <v>186.44</v>
      </c>
      <c r="R355" s="24">
        <f t="shared" si="22"/>
        <v>0.29646355425518384</v>
      </c>
      <c r="S355" t="s">
        <v>67</v>
      </c>
      <c r="T355" t="s">
        <v>60</v>
      </c>
    </row>
    <row r="356" spans="1:20" hidden="1">
      <c r="A356" t="s">
        <v>426</v>
      </c>
      <c r="B356" s="5">
        <v>45614</v>
      </c>
      <c r="C356" s="8">
        <f>YEAR(Tabla2[[#This Row],[fecha]])</f>
        <v>2024</v>
      </c>
      <c r="D356" s="8">
        <f>MONTH(Tabla2[[#This Row],[fecha]])</f>
        <v>11</v>
      </c>
      <c r="E356" s="8" t="str">
        <f>TEXT(Tabla2[[#This Row],[fecha]], "mmmm")</f>
        <v>noviembre</v>
      </c>
      <c r="F356" s="8" t="str">
        <f>"T"&amp;ROUNDUP(Tabla2[[#This Row],[mes]]/3,0)</f>
        <v>T4</v>
      </c>
      <c r="G356" t="s">
        <v>27</v>
      </c>
      <c r="H356" t="s">
        <v>28</v>
      </c>
      <c r="I356" s="8" t="str">
        <f>IF(Tabla2[[#This Row],[precio_unitario]]&lt;=30,"Económico",IF(Tabla2[[#This Row],[precio_unitario]]&lt;=58.49,"Accesible","Caro"))</f>
        <v>Económico</v>
      </c>
      <c r="J356" t="s">
        <v>26</v>
      </c>
      <c r="K356">
        <v>6</v>
      </c>
      <c r="L356" s="19">
        <v>17.37</v>
      </c>
      <c r="M356" s="19">
        <v>11.52</v>
      </c>
      <c r="N356" s="11">
        <v>0</v>
      </c>
      <c r="O356" s="17">
        <f t="shared" si="23"/>
        <v>104.22</v>
      </c>
      <c r="P356" s="17">
        <f t="shared" si="20"/>
        <v>69.12</v>
      </c>
      <c r="Q356" s="17">
        <f t="shared" si="21"/>
        <v>35.099999999999994</v>
      </c>
      <c r="R356" s="24">
        <f t="shared" si="22"/>
        <v>0.33678756476683935</v>
      </c>
      <c r="S356" t="s">
        <v>540</v>
      </c>
      <c r="T356" t="s">
        <v>60</v>
      </c>
    </row>
    <row r="357" spans="1:20" hidden="1">
      <c r="A357" t="s">
        <v>427</v>
      </c>
      <c r="B357" s="5">
        <v>45438</v>
      </c>
      <c r="C357" s="8">
        <f>YEAR(Tabla2[[#This Row],[fecha]])</f>
        <v>2024</v>
      </c>
      <c r="D357" s="8">
        <f>MONTH(Tabla2[[#This Row],[fecha]])</f>
        <v>5</v>
      </c>
      <c r="E357" s="8" t="str">
        <f>TEXT(Tabla2[[#This Row],[fecha]], "mmmm")</f>
        <v>mayo</v>
      </c>
      <c r="F357" s="8" t="str">
        <f>"T"&amp;ROUNDUP(Tabla2[[#This Row],[mes]]/3,0)</f>
        <v>T2</v>
      </c>
      <c r="G357" t="s">
        <v>6</v>
      </c>
      <c r="H357" t="s">
        <v>7</v>
      </c>
      <c r="I357" s="8" t="str">
        <f>IF(Tabla2[[#This Row],[precio_unitario]]&lt;=30,"Económico",IF(Tabla2[[#This Row],[precio_unitario]]&lt;=58.49,"Accesible","Caro"))</f>
        <v>Caro</v>
      </c>
      <c r="J357" t="s">
        <v>8</v>
      </c>
      <c r="K357">
        <v>1</v>
      </c>
      <c r="L357" s="19">
        <v>129.80000000000001</v>
      </c>
      <c r="M357" s="19">
        <v>81.91</v>
      </c>
      <c r="N357" s="11">
        <v>0</v>
      </c>
      <c r="O357" s="17">
        <f t="shared" si="23"/>
        <v>129.80000000000001</v>
      </c>
      <c r="P357" s="17">
        <f t="shared" si="20"/>
        <v>81.91</v>
      </c>
      <c r="Q357" s="17">
        <f t="shared" si="21"/>
        <v>47.890000000000015</v>
      </c>
      <c r="R357" s="24">
        <f t="shared" si="22"/>
        <v>0.36895223420647155</v>
      </c>
      <c r="S357" t="s">
        <v>67</v>
      </c>
      <c r="T357" t="s">
        <v>64</v>
      </c>
    </row>
    <row r="358" spans="1:20" hidden="1">
      <c r="A358" t="s">
        <v>428</v>
      </c>
      <c r="B358" s="5">
        <v>45923</v>
      </c>
      <c r="C358" s="8">
        <f>YEAR(Tabla2[[#This Row],[fecha]])</f>
        <v>2025</v>
      </c>
      <c r="D358" s="8">
        <f>MONTH(Tabla2[[#This Row],[fecha]])</f>
        <v>9</v>
      </c>
      <c r="E358" s="8" t="str">
        <f>TEXT(Tabla2[[#This Row],[fecha]], "mmmm")</f>
        <v>septiembre</v>
      </c>
      <c r="F358" s="8" t="str">
        <f>"T"&amp;ROUNDUP(Tabla2[[#This Row],[mes]]/3,0)</f>
        <v>T3</v>
      </c>
      <c r="G358" t="s">
        <v>42</v>
      </c>
      <c r="H358" t="s">
        <v>43</v>
      </c>
      <c r="I358" s="8" t="str">
        <f>IF(Tabla2[[#This Row],[precio_unitario]]&lt;=30,"Económico",IF(Tabla2[[#This Row],[precio_unitario]]&lt;=58.49,"Accesible","Caro"))</f>
        <v>Accesible</v>
      </c>
      <c r="J358" t="s">
        <v>44</v>
      </c>
      <c r="K358">
        <v>1</v>
      </c>
      <c r="L358" s="19">
        <v>47.66</v>
      </c>
      <c r="M358" s="19">
        <v>22.72</v>
      </c>
      <c r="N358" s="13">
        <v>0</v>
      </c>
      <c r="O358" s="17">
        <f t="shared" si="23"/>
        <v>47.66</v>
      </c>
      <c r="P358" s="17">
        <f t="shared" si="20"/>
        <v>22.72</v>
      </c>
      <c r="Q358" s="17">
        <f t="shared" si="21"/>
        <v>24.939999999999998</v>
      </c>
      <c r="R358" s="24">
        <f t="shared" si="22"/>
        <v>0.52328997062526228</v>
      </c>
      <c r="S358" t="s">
        <v>83</v>
      </c>
      <c r="T358" t="s">
        <v>60</v>
      </c>
    </row>
    <row r="359" spans="1:20">
      <c r="A359" t="s">
        <v>429</v>
      </c>
      <c r="B359" s="5">
        <v>45958</v>
      </c>
      <c r="C359" s="8">
        <f>YEAR(Tabla2[[#This Row],[fecha]])</f>
        <v>2025</v>
      </c>
      <c r="D359" s="8">
        <f>MONTH(Tabla2[[#This Row],[fecha]])</f>
        <v>10</v>
      </c>
      <c r="E359" s="8" t="str">
        <f>TEXT(Tabla2[[#This Row],[fecha]], "mmmm")</f>
        <v>octubre</v>
      </c>
      <c r="F359" s="8" t="str">
        <f>"T"&amp;ROUNDUP(Tabla2[[#This Row],[mes]]/3,0)</f>
        <v>T4</v>
      </c>
      <c r="G359" t="s">
        <v>20</v>
      </c>
      <c r="H359" t="s">
        <v>21</v>
      </c>
      <c r="I359" s="8" t="str">
        <f>IF(Tabla2[[#This Row],[precio_unitario]]&lt;=30,"Económico",IF(Tabla2[[#This Row],[precio_unitario]]&lt;=58.49,"Accesible","Caro"))</f>
        <v>Económico</v>
      </c>
      <c r="J359" t="s">
        <v>17</v>
      </c>
      <c r="K359">
        <v>3</v>
      </c>
      <c r="L359" s="19">
        <v>21.4</v>
      </c>
      <c r="M359" s="19">
        <v>12.45</v>
      </c>
      <c r="N359" s="11">
        <v>0</v>
      </c>
      <c r="O359" s="17">
        <f t="shared" si="23"/>
        <v>64.199999999999989</v>
      </c>
      <c r="P359" s="17">
        <f t="shared" si="20"/>
        <v>37.349999999999994</v>
      </c>
      <c r="Q359" s="17">
        <f t="shared" si="21"/>
        <v>26.849999999999994</v>
      </c>
      <c r="R359" s="24">
        <f t="shared" si="22"/>
        <v>0.41822429906542052</v>
      </c>
      <c r="S359" t="s">
        <v>67</v>
      </c>
      <c r="T359" t="s">
        <v>64</v>
      </c>
    </row>
    <row r="360" spans="1:20" hidden="1">
      <c r="A360" t="s">
        <v>430</v>
      </c>
      <c r="B360" s="5">
        <v>45826</v>
      </c>
      <c r="C360" s="8">
        <f>YEAR(Tabla2[[#This Row],[fecha]])</f>
        <v>2025</v>
      </c>
      <c r="D360" s="8">
        <f>MONTH(Tabla2[[#This Row],[fecha]])</f>
        <v>6</v>
      </c>
      <c r="E360" s="8" t="str">
        <f>TEXT(Tabla2[[#This Row],[fecha]], "mmmm")</f>
        <v>junio</v>
      </c>
      <c r="F360" s="8" t="str">
        <f>"T"&amp;ROUNDUP(Tabla2[[#This Row],[mes]]/3,0)</f>
        <v>T2</v>
      </c>
      <c r="G360" t="s">
        <v>18</v>
      </c>
      <c r="H360" t="s">
        <v>19</v>
      </c>
      <c r="I360" s="8" t="str">
        <f>IF(Tabla2[[#This Row],[precio_unitario]]&lt;=30,"Económico",IF(Tabla2[[#This Row],[precio_unitario]]&lt;=58.49,"Accesible","Caro"))</f>
        <v>Accesible</v>
      </c>
      <c r="J360" t="s">
        <v>17</v>
      </c>
      <c r="K360">
        <v>5</v>
      </c>
      <c r="L360" s="19">
        <v>44.17</v>
      </c>
      <c r="M360" s="19">
        <v>25.94</v>
      </c>
      <c r="N360" s="13">
        <v>0</v>
      </c>
      <c r="O360" s="17">
        <f t="shared" si="23"/>
        <v>220.85000000000002</v>
      </c>
      <c r="P360" s="17">
        <f t="shared" si="20"/>
        <v>129.70000000000002</v>
      </c>
      <c r="Q360" s="17">
        <f t="shared" si="21"/>
        <v>91.15</v>
      </c>
      <c r="R360" s="24">
        <f t="shared" si="22"/>
        <v>0.4127235680326013</v>
      </c>
      <c r="S360" t="s">
        <v>83</v>
      </c>
      <c r="T360" t="s">
        <v>64</v>
      </c>
    </row>
    <row r="361" spans="1:20" hidden="1">
      <c r="A361" t="s">
        <v>431</v>
      </c>
      <c r="B361" s="5">
        <v>45346</v>
      </c>
      <c r="C361" s="8">
        <f>YEAR(Tabla2[[#This Row],[fecha]])</f>
        <v>2024</v>
      </c>
      <c r="D361" s="8">
        <f>MONTH(Tabla2[[#This Row],[fecha]])</f>
        <v>2</v>
      </c>
      <c r="E361" s="8" t="str">
        <f>TEXT(Tabla2[[#This Row],[fecha]], "mmmm")</f>
        <v>febrero</v>
      </c>
      <c r="F361" s="8" t="str">
        <f>"T"&amp;ROUNDUP(Tabla2[[#This Row],[mes]]/3,0)</f>
        <v>T1</v>
      </c>
      <c r="G361" t="s">
        <v>38</v>
      </c>
      <c r="H361" t="s">
        <v>39</v>
      </c>
      <c r="I361" s="8" t="str">
        <f>IF(Tabla2[[#This Row],[precio_unitario]]&lt;=30,"Económico",IF(Tabla2[[#This Row],[precio_unitario]]&lt;=58.49,"Accesible","Caro"))</f>
        <v>Caro</v>
      </c>
      <c r="J361" t="s">
        <v>35</v>
      </c>
      <c r="K361">
        <v>1</v>
      </c>
      <c r="L361" s="19">
        <v>73.61</v>
      </c>
      <c r="M361" s="21">
        <f>INDEX(Tabla3[coste_objetivo], MATCH(Tabla2[[#This Row],[id_producto]], Tabla3[id_producto],0))</f>
        <v>42.79</v>
      </c>
      <c r="N361" s="11">
        <v>0.27</v>
      </c>
      <c r="O361" s="17">
        <f t="shared" si="23"/>
        <v>53.735299999999995</v>
      </c>
      <c r="P361" s="17">
        <f t="shared" si="20"/>
        <v>42.79</v>
      </c>
      <c r="Q361" s="17">
        <f t="shared" si="21"/>
        <v>10.945299999999996</v>
      </c>
      <c r="R361" s="24">
        <f t="shared" si="22"/>
        <v>0.20368919499844604</v>
      </c>
      <c r="S361" t="s">
        <v>67</v>
      </c>
      <c r="T361" t="s">
        <v>60</v>
      </c>
    </row>
    <row r="362" spans="1:20" hidden="1">
      <c r="A362" t="s">
        <v>432</v>
      </c>
      <c r="B362" s="5">
        <v>45531</v>
      </c>
      <c r="C362" s="8">
        <f>YEAR(Tabla2[[#This Row],[fecha]])</f>
        <v>2024</v>
      </c>
      <c r="D362" s="8">
        <f>MONTH(Tabla2[[#This Row],[fecha]])</f>
        <v>8</v>
      </c>
      <c r="E362" s="8" t="str">
        <f>TEXT(Tabla2[[#This Row],[fecha]], "mmmm")</f>
        <v>agosto</v>
      </c>
      <c r="F362" s="8" t="str">
        <f>"T"&amp;ROUNDUP(Tabla2[[#This Row],[mes]]/3,0)</f>
        <v>T3</v>
      </c>
      <c r="G362" t="s">
        <v>31</v>
      </c>
      <c r="H362" t="s">
        <v>32</v>
      </c>
      <c r="I362" s="8" t="str">
        <f>IF(Tabla2[[#This Row],[precio_unitario]]&lt;=30,"Económico",IF(Tabla2[[#This Row],[precio_unitario]]&lt;=58.49,"Accesible","Caro"))</f>
        <v>Económico</v>
      </c>
      <c r="J362" t="s">
        <v>26</v>
      </c>
      <c r="K362">
        <v>1</v>
      </c>
      <c r="L362" s="19">
        <v>9</v>
      </c>
      <c r="M362" s="19">
        <v>6.06</v>
      </c>
      <c r="N362" s="11">
        <v>0</v>
      </c>
      <c r="O362" s="17">
        <f t="shared" si="23"/>
        <v>9</v>
      </c>
      <c r="P362" s="17">
        <f t="shared" si="20"/>
        <v>6.06</v>
      </c>
      <c r="Q362" s="17">
        <f t="shared" si="21"/>
        <v>2.9400000000000004</v>
      </c>
      <c r="R362" s="24">
        <f t="shared" si="22"/>
        <v>0.32666666666666672</v>
      </c>
      <c r="S362" t="s">
        <v>67</v>
      </c>
      <c r="T362" t="s">
        <v>64</v>
      </c>
    </row>
    <row r="363" spans="1:20" hidden="1">
      <c r="A363" t="s">
        <v>433</v>
      </c>
      <c r="B363" s="5">
        <v>45293</v>
      </c>
      <c r="C363" s="8">
        <f>YEAR(Tabla2[[#This Row],[fecha]])</f>
        <v>2024</v>
      </c>
      <c r="D363" s="8">
        <f>MONTH(Tabla2[[#This Row],[fecha]])</f>
        <v>1</v>
      </c>
      <c r="E363" s="8" t="str">
        <f>TEXT(Tabla2[[#This Row],[fecha]], "mmmm")</f>
        <v>enero</v>
      </c>
      <c r="F363" s="8" t="str">
        <f>"T"&amp;ROUNDUP(Tabla2[[#This Row],[mes]]/3,0)</f>
        <v>T1</v>
      </c>
      <c r="G363" t="s">
        <v>31</v>
      </c>
      <c r="H363" t="s">
        <v>32</v>
      </c>
      <c r="I363" s="8" t="str">
        <f>IF(Tabla2[[#This Row],[precio_unitario]]&lt;=30,"Económico",IF(Tabla2[[#This Row],[precio_unitario]]&lt;=58.49,"Accesible","Caro"))</f>
        <v>Económico</v>
      </c>
      <c r="J363" t="s">
        <v>26</v>
      </c>
      <c r="K363">
        <v>1</v>
      </c>
      <c r="L363" s="19">
        <v>9.27</v>
      </c>
      <c r="M363" s="19">
        <v>5.91</v>
      </c>
      <c r="N363" s="11">
        <v>0</v>
      </c>
      <c r="O363" s="17">
        <f t="shared" si="23"/>
        <v>9.27</v>
      </c>
      <c r="P363" s="17">
        <f t="shared" si="20"/>
        <v>5.91</v>
      </c>
      <c r="Q363" s="17">
        <f t="shared" si="21"/>
        <v>3.3599999999999994</v>
      </c>
      <c r="R363" s="24">
        <f t="shared" si="22"/>
        <v>0.36245954692556631</v>
      </c>
      <c r="S363" t="s">
        <v>83</v>
      </c>
      <c r="T363" t="s">
        <v>64</v>
      </c>
    </row>
    <row r="364" spans="1:20" hidden="1">
      <c r="A364" t="s">
        <v>434</v>
      </c>
      <c r="B364" s="5">
        <v>45608</v>
      </c>
      <c r="C364" s="8">
        <f>YEAR(Tabla2[[#This Row],[fecha]])</f>
        <v>2024</v>
      </c>
      <c r="D364" s="8">
        <f>MONTH(Tabla2[[#This Row],[fecha]])</f>
        <v>11</v>
      </c>
      <c r="E364" s="8" t="str">
        <f>TEXT(Tabla2[[#This Row],[fecha]], "mmmm")</f>
        <v>noviembre</v>
      </c>
      <c r="F364" s="8" t="str">
        <f>"T"&amp;ROUNDUP(Tabla2[[#This Row],[mes]]/3,0)</f>
        <v>T4</v>
      </c>
      <c r="G364" t="s">
        <v>13</v>
      </c>
      <c r="H364" t="s">
        <v>14</v>
      </c>
      <c r="I364" s="8" t="str">
        <f>IF(Tabla2[[#This Row],[precio_unitario]]&lt;=30,"Económico",IF(Tabla2[[#This Row],[precio_unitario]]&lt;=58.49,"Accesible","Caro"))</f>
        <v>Caro</v>
      </c>
      <c r="J364" t="s">
        <v>8</v>
      </c>
      <c r="K364">
        <v>1</v>
      </c>
      <c r="L364" s="19">
        <v>152.43</v>
      </c>
      <c r="M364" s="19">
        <v>110.02</v>
      </c>
      <c r="N364" s="11">
        <v>0.14000000000000001</v>
      </c>
      <c r="O364" s="17">
        <f t="shared" si="23"/>
        <v>131.0898</v>
      </c>
      <c r="P364" s="17">
        <f t="shared" si="20"/>
        <v>110.02</v>
      </c>
      <c r="Q364" s="17">
        <f t="shared" si="21"/>
        <v>21.069800000000001</v>
      </c>
      <c r="R364" s="24">
        <f t="shared" si="22"/>
        <v>0.16072798951558398</v>
      </c>
      <c r="S364" t="s">
        <v>67</v>
      </c>
      <c r="T364" t="s">
        <v>64</v>
      </c>
    </row>
    <row r="365" spans="1:20" hidden="1">
      <c r="A365" t="s">
        <v>435</v>
      </c>
      <c r="B365" s="5">
        <v>45521</v>
      </c>
      <c r="C365" s="8">
        <f>YEAR(Tabla2[[#This Row],[fecha]])</f>
        <v>2024</v>
      </c>
      <c r="D365" s="8">
        <f>MONTH(Tabla2[[#This Row],[fecha]])</f>
        <v>8</v>
      </c>
      <c r="E365" s="8" t="str">
        <f>TEXT(Tabla2[[#This Row],[fecha]], "mmmm")</f>
        <v>agosto</v>
      </c>
      <c r="F365" s="8" t="str">
        <f>"T"&amp;ROUNDUP(Tabla2[[#This Row],[mes]]/3,0)</f>
        <v>T3</v>
      </c>
      <c r="G365" t="s">
        <v>38</v>
      </c>
      <c r="H365" t="s">
        <v>39</v>
      </c>
      <c r="I365" s="8" t="str">
        <f>IF(Tabla2[[#This Row],[precio_unitario]]&lt;=30,"Económico",IF(Tabla2[[#This Row],[precio_unitario]]&lt;=58.49,"Accesible","Caro"))</f>
        <v>Caro</v>
      </c>
      <c r="J365" t="s">
        <v>35</v>
      </c>
      <c r="K365">
        <v>12</v>
      </c>
      <c r="L365" s="19">
        <v>80.959999999999994</v>
      </c>
      <c r="M365" s="19">
        <v>44.61</v>
      </c>
      <c r="N365" s="11">
        <v>0</v>
      </c>
      <c r="O365" s="17">
        <f t="shared" si="23"/>
        <v>971.52</v>
      </c>
      <c r="P365" s="17">
        <f t="shared" si="20"/>
        <v>535.31999999999994</v>
      </c>
      <c r="Q365" s="17">
        <f t="shared" si="21"/>
        <v>436.20000000000005</v>
      </c>
      <c r="R365" s="24">
        <f t="shared" si="22"/>
        <v>0.44898715415019769</v>
      </c>
      <c r="S365" t="s">
        <v>96</v>
      </c>
      <c r="T365" t="s">
        <v>60</v>
      </c>
    </row>
    <row r="366" spans="1:20" hidden="1">
      <c r="A366" t="s">
        <v>436</v>
      </c>
      <c r="B366" s="5">
        <v>45337</v>
      </c>
      <c r="C366" s="8">
        <f>YEAR(Tabla2[[#This Row],[fecha]])</f>
        <v>2024</v>
      </c>
      <c r="D366" s="8">
        <f>MONTH(Tabla2[[#This Row],[fecha]])</f>
        <v>2</v>
      </c>
      <c r="E366" s="8" t="str">
        <f>TEXT(Tabla2[[#This Row],[fecha]], "mmmm")</f>
        <v>febrero</v>
      </c>
      <c r="F366" s="8" t="str">
        <f>"T"&amp;ROUNDUP(Tabla2[[#This Row],[mes]]/3,0)</f>
        <v>T1</v>
      </c>
      <c r="G366" t="s">
        <v>18</v>
      </c>
      <c r="H366" t="s">
        <v>19</v>
      </c>
      <c r="I366" s="8" t="str">
        <f>IF(Tabla2[[#This Row],[precio_unitario]]&lt;=30,"Económico",IF(Tabla2[[#This Row],[precio_unitario]]&lt;=58.49,"Accesible","Caro"))</f>
        <v>Accesible</v>
      </c>
      <c r="J366" t="s">
        <v>17</v>
      </c>
      <c r="K366">
        <v>1</v>
      </c>
      <c r="L366" s="19">
        <v>43.56</v>
      </c>
      <c r="M366" s="19">
        <v>26.29</v>
      </c>
      <c r="N366" s="11">
        <v>0</v>
      </c>
      <c r="O366" s="17">
        <f t="shared" si="23"/>
        <v>43.56</v>
      </c>
      <c r="P366" s="17">
        <f t="shared" si="20"/>
        <v>26.29</v>
      </c>
      <c r="Q366" s="17">
        <f t="shared" si="21"/>
        <v>17.270000000000003</v>
      </c>
      <c r="R366" s="24">
        <f t="shared" si="22"/>
        <v>0.39646464646464652</v>
      </c>
      <c r="S366" t="s">
        <v>540</v>
      </c>
      <c r="T366" t="s">
        <v>64</v>
      </c>
    </row>
    <row r="367" spans="1:20">
      <c r="A367" t="s">
        <v>437</v>
      </c>
      <c r="B367" s="5">
        <v>45808</v>
      </c>
      <c r="C367" s="8">
        <f>YEAR(Tabla2[[#This Row],[fecha]])</f>
        <v>2025</v>
      </c>
      <c r="D367" s="8">
        <f>MONTH(Tabla2[[#This Row],[fecha]])</f>
        <v>5</v>
      </c>
      <c r="E367" s="8" t="str">
        <f>TEXT(Tabla2[[#This Row],[fecha]], "mmmm")</f>
        <v>mayo</v>
      </c>
      <c r="F367" s="8" t="str">
        <f>"T"&amp;ROUNDUP(Tabla2[[#This Row],[mes]]/3,0)</f>
        <v>T2</v>
      </c>
      <c r="G367" t="s">
        <v>40</v>
      </c>
      <c r="H367" t="s">
        <v>41</v>
      </c>
      <c r="I367" s="8" t="str">
        <f>IF(Tabla2[[#This Row],[precio_unitario]]&lt;=30,"Económico",IF(Tabla2[[#This Row],[precio_unitario]]&lt;=58.49,"Accesible","Caro"))</f>
        <v>Caro</v>
      </c>
      <c r="J367" t="s">
        <v>35</v>
      </c>
      <c r="K367">
        <v>2</v>
      </c>
      <c r="L367" s="19">
        <v>77.400000000000006</v>
      </c>
      <c r="M367" s="19">
        <v>40.25</v>
      </c>
      <c r="N367" s="11">
        <v>0</v>
      </c>
      <c r="O367" s="17">
        <f t="shared" si="23"/>
        <v>154.80000000000001</v>
      </c>
      <c r="P367" s="17">
        <f t="shared" si="20"/>
        <v>80.5</v>
      </c>
      <c r="Q367" s="17">
        <f t="shared" si="21"/>
        <v>74.300000000000011</v>
      </c>
      <c r="R367" s="24">
        <f t="shared" si="22"/>
        <v>0.4799741602067184</v>
      </c>
      <c r="S367" t="s">
        <v>67</v>
      </c>
      <c r="T367" t="s">
        <v>60</v>
      </c>
    </row>
    <row r="368" spans="1:20">
      <c r="A368" t="s">
        <v>438</v>
      </c>
      <c r="B368" s="5">
        <v>45779</v>
      </c>
      <c r="C368" s="8">
        <f>YEAR(Tabla2[[#This Row],[fecha]])</f>
        <v>2025</v>
      </c>
      <c r="D368" s="8">
        <f>MONTH(Tabla2[[#This Row],[fecha]])</f>
        <v>5</v>
      </c>
      <c r="E368" s="8" t="str">
        <f>TEXT(Tabla2[[#This Row],[fecha]], "mmmm")</f>
        <v>mayo</v>
      </c>
      <c r="F368" s="8" t="str">
        <f>"T"&amp;ROUNDUP(Tabla2[[#This Row],[mes]]/3,0)</f>
        <v>T2</v>
      </c>
      <c r="G368" t="s">
        <v>45</v>
      </c>
      <c r="H368" t="s">
        <v>46</v>
      </c>
      <c r="I368" s="8" t="str">
        <f>IF(Tabla2[[#This Row],[precio_unitario]]&lt;=30,"Económico",IF(Tabla2[[#This Row],[precio_unitario]]&lt;=58.49,"Accesible","Caro"))</f>
        <v>Accesible</v>
      </c>
      <c r="J368" t="s">
        <v>44</v>
      </c>
      <c r="K368">
        <v>1</v>
      </c>
      <c r="L368" s="19">
        <v>30.58</v>
      </c>
      <c r="M368" s="19">
        <v>17.8</v>
      </c>
      <c r="N368" s="11">
        <v>0</v>
      </c>
      <c r="O368" s="17">
        <f t="shared" si="23"/>
        <v>30.58</v>
      </c>
      <c r="P368" s="17">
        <f t="shared" si="20"/>
        <v>17.8</v>
      </c>
      <c r="Q368" s="17">
        <f t="shared" si="21"/>
        <v>12.779999999999998</v>
      </c>
      <c r="R368" s="24">
        <f t="shared" si="22"/>
        <v>0.41792020928711571</v>
      </c>
      <c r="S368" t="s">
        <v>67</v>
      </c>
      <c r="T368" t="s">
        <v>60</v>
      </c>
    </row>
    <row r="369" spans="1:20" hidden="1">
      <c r="A369" t="s">
        <v>439</v>
      </c>
      <c r="B369" s="5">
        <v>45976</v>
      </c>
      <c r="C369" s="8">
        <f>YEAR(Tabla2[[#This Row],[fecha]])</f>
        <v>2025</v>
      </c>
      <c r="D369" s="8">
        <f>MONTH(Tabla2[[#This Row],[fecha]])</f>
        <v>11</v>
      </c>
      <c r="E369" s="8" t="str">
        <f>TEXT(Tabla2[[#This Row],[fecha]], "mmmm")</f>
        <v>noviembre</v>
      </c>
      <c r="F369" s="8" t="str">
        <f>"T"&amp;ROUNDUP(Tabla2[[#This Row],[mes]]/3,0)</f>
        <v>T4</v>
      </c>
      <c r="G369" t="s">
        <v>6</v>
      </c>
      <c r="H369" t="s">
        <v>7</v>
      </c>
      <c r="I369" s="8" t="str">
        <f>IF(Tabla2[[#This Row],[precio_unitario]]&lt;=30,"Económico",IF(Tabla2[[#This Row],[precio_unitario]]&lt;=58.49,"Accesible","Caro"))</f>
        <v>Caro</v>
      </c>
      <c r="J369" t="s">
        <v>8</v>
      </c>
      <c r="K369">
        <v>2</v>
      </c>
      <c r="L369" s="19">
        <v>117.86</v>
      </c>
      <c r="M369" s="19">
        <v>86.65</v>
      </c>
      <c r="N369" s="13">
        <v>0</v>
      </c>
      <c r="O369" s="17">
        <f t="shared" si="23"/>
        <v>235.72</v>
      </c>
      <c r="P369" s="17">
        <f t="shared" si="20"/>
        <v>173.3</v>
      </c>
      <c r="Q369" s="17">
        <f t="shared" si="21"/>
        <v>62.419999999999987</v>
      </c>
      <c r="R369" s="24">
        <f t="shared" si="22"/>
        <v>0.2648057016799592</v>
      </c>
      <c r="S369" t="s">
        <v>101</v>
      </c>
      <c r="T369" t="s">
        <v>60</v>
      </c>
    </row>
    <row r="370" spans="1:20">
      <c r="A370" t="s">
        <v>440</v>
      </c>
      <c r="B370" s="5">
        <v>45899</v>
      </c>
      <c r="C370" s="8">
        <f>YEAR(Tabla2[[#This Row],[fecha]])</f>
        <v>2025</v>
      </c>
      <c r="D370" s="8">
        <f>MONTH(Tabla2[[#This Row],[fecha]])</f>
        <v>8</v>
      </c>
      <c r="E370" s="8" t="str">
        <f>TEXT(Tabla2[[#This Row],[fecha]], "mmmm")</f>
        <v>agosto</v>
      </c>
      <c r="F370" s="8" t="str">
        <f>"T"&amp;ROUNDUP(Tabla2[[#This Row],[mes]]/3,0)</f>
        <v>T3</v>
      </c>
      <c r="G370" t="s">
        <v>13</v>
      </c>
      <c r="H370" t="s">
        <v>14</v>
      </c>
      <c r="I370" s="8" t="str">
        <f>IF(Tabla2[[#This Row],[precio_unitario]]&lt;=30,"Económico",IF(Tabla2[[#This Row],[precio_unitario]]&lt;=58.49,"Accesible","Caro"))</f>
        <v>Caro</v>
      </c>
      <c r="J370" t="s">
        <v>8</v>
      </c>
      <c r="K370">
        <v>2</v>
      </c>
      <c r="L370" s="19">
        <v>149.71</v>
      </c>
      <c r="M370" s="19">
        <v>113.72</v>
      </c>
      <c r="N370" s="11">
        <v>0</v>
      </c>
      <c r="O370" s="17">
        <f t="shared" si="23"/>
        <v>299.42</v>
      </c>
      <c r="P370" s="17">
        <f t="shared" si="20"/>
        <v>227.44</v>
      </c>
      <c r="Q370" s="17">
        <f t="shared" si="21"/>
        <v>71.980000000000018</v>
      </c>
      <c r="R370" s="24">
        <f t="shared" si="22"/>
        <v>0.2403981029991317</v>
      </c>
      <c r="S370" t="s">
        <v>67</v>
      </c>
      <c r="T370" t="s">
        <v>64</v>
      </c>
    </row>
    <row r="371" spans="1:20" hidden="1">
      <c r="A371" t="s">
        <v>441</v>
      </c>
      <c r="B371" s="5">
        <v>45685</v>
      </c>
      <c r="C371" s="8">
        <f>YEAR(Tabla2[[#This Row],[fecha]])</f>
        <v>2025</v>
      </c>
      <c r="D371" s="8">
        <f>MONTH(Tabla2[[#This Row],[fecha]])</f>
        <v>1</v>
      </c>
      <c r="E371" s="8" t="str">
        <f>TEXT(Tabla2[[#This Row],[fecha]], "mmmm")</f>
        <v>enero</v>
      </c>
      <c r="F371" s="8" t="str">
        <f>"T"&amp;ROUNDUP(Tabla2[[#This Row],[mes]]/3,0)</f>
        <v>T1</v>
      </c>
      <c r="G371" t="s">
        <v>18</v>
      </c>
      <c r="H371" t="s">
        <v>19</v>
      </c>
      <c r="I371" s="8" t="str">
        <f>IF(Tabla2[[#This Row],[precio_unitario]]&lt;=30,"Económico",IF(Tabla2[[#This Row],[precio_unitario]]&lt;=58.49,"Accesible","Caro"))</f>
        <v>Accesible</v>
      </c>
      <c r="J371" t="s">
        <v>17</v>
      </c>
      <c r="K371">
        <v>1</v>
      </c>
      <c r="L371" s="19">
        <v>43.84</v>
      </c>
      <c r="M371" s="19">
        <v>27.55</v>
      </c>
      <c r="N371" s="11">
        <v>0.24</v>
      </c>
      <c r="O371" s="17">
        <f t="shared" si="23"/>
        <v>33.318400000000004</v>
      </c>
      <c r="P371" s="17">
        <f t="shared" si="20"/>
        <v>27.55</v>
      </c>
      <c r="Q371" s="17">
        <f t="shared" si="21"/>
        <v>5.7684000000000033</v>
      </c>
      <c r="R371" s="24">
        <f t="shared" si="22"/>
        <v>0.1731295620437957</v>
      </c>
      <c r="S371" t="s">
        <v>63</v>
      </c>
      <c r="T371" t="s">
        <v>64</v>
      </c>
    </row>
    <row r="372" spans="1:20" hidden="1">
      <c r="A372" t="s">
        <v>442</v>
      </c>
      <c r="B372" s="5">
        <v>45386</v>
      </c>
      <c r="C372" s="8">
        <f>YEAR(Tabla2[[#This Row],[fecha]])</f>
        <v>2024</v>
      </c>
      <c r="D372" s="8">
        <f>MONTH(Tabla2[[#This Row],[fecha]])</f>
        <v>4</v>
      </c>
      <c r="E372" s="8" t="str">
        <f>TEXT(Tabla2[[#This Row],[fecha]], "mmmm")</f>
        <v>abril</v>
      </c>
      <c r="F372" s="8" t="str">
        <f>"T"&amp;ROUNDUP(Tabla2[[#This Row],[mes]]/3,0)</f>
        <v>T2</v>
      </c>
      <c r="G372" t="s">
        <v>11</v>
      </c>
      <c r="H372" t="s">
        <v>12</v>
      </c>
      <c r="I372" s="8" t="str">
        <f>IF(Tabla2[[#This Row],[precio_unitario]]&lt;=30,"Económico",IF(Tabla2[[#This Row],[precio_unitario]]&lt;=58.49,"Accesible","Caro"))</f>
        <v>Caro</v>
      </c>
      <c r="J372" t="s">
        <v>8</v>
      </c>
      <c r="K372">
        <v>1</v>
      </c>
      <c r="L372" s="19">
        <v>166.35</v>
      </c>
      <c r="M372" s="19">
        <v>92.64</v>
      </c>
      <c r="N372" s="11">
        <v>0</v>
      </c>
      <c r="O372" s="17">
        <f t="shared" si="23"/>
        <v>166.35</v>
      </c>
      <c r="P372" s="17">
        <f t="shared" si="20"/>
        <v>92.64</v>
      </c>
      <c r="Q372" s="17">
        <f t="shared" si="21"/>
        <v>73.709999999999994</v>
      </c>
      <c r="R372" s="24">
        <f t="shared" si="22"/>
        <v>0.44310189359783586</v>
      </c>
      <c r="S372" t="s">
        <v>67</v>
      </c>
      <c r="T372" t="s">
        <v>64</v>
      </c>
    </row>
    <row r="373" spans="1:20" hidden="1">
      <c r="A373" t="s">
        <v>443</v>
      </c>
      <c r="B373" s="5">
        <v>45656</v>
      </c>
      <c r="C373" s="8">
        <f>YEAR(Tabla2[[#This Row],[fecha]])</f>
        <v>2024</v>
      </c>
      <c r="D373" s="8">
        <f>MONTH(Tabla2[[#This Row],[fecha]])</f>
        <v>12</v>
      </c>
      <c r="E373" s="8" t="str">
        <f>TEXT(Tabla2[[#This Row],[fecha]], "mmmm")</f>
        <v>diciembre</v>
      </c>
      <c r="F373" s="8" t="str">
        <f>"T"&amp;ROUNDUP(Tabla2[[#This Row],[mes]]/3,0)</f>
        <v>T4</v>
      </c>
      <c r="G373" t="s">
        <v>29</v>
      </c>
      <c r="H373" t="s">
        <v>30</v>
      </c>
      <c r="I373" s="8" t="str">
        <f>IF(Tabla2[[#This Row],[precio_unitario]]&lt;=30,"Económico",IF(Tabla2[[#This Row],[precio_unitario]]&lt;=58.49,"Accesible","Caro"))</f>
        <v>Económico</v>
      </c>
      <c r="J373" t="s">
        <v>26</v>
      </c>
      <c r="K373">
        <v>1</v>
      </c>
      <c r="L373" s="19">
        <v>20.89</v>
      </c>
      <c r="M373" s="19">
        <v>11.95</v>
      </c>
      <c r="N373" s="11">
        <v>0</v>
      </c>
      <c r="O373" s="17">
        <f t="shared" si="23"/>
        <v>20.89</v>
      </c>
      <c r="P373" s="17">
        <f t="shared" si="20"/>
        <v>11.95</v>
      </c>
      <c r="Q373" s="17">
        <f t="shared" si="21"/>
        <v>8.9400000000000013</v>
      </c>
      <c r="R373" s="24">
        <f t="shared" si="22"/>
        <v>0.42795595978937295</v>
      </c>
      <c r="S373" t="s">
        <v>63</v>
      </c>
      <c r="T373" t="s">
        <v>64</v>
      </c>
    </row>
    <row r="374" spans="1:20" hidden="1">
      <c r="A374" t="s">
        <v>444</v>
      </c>
      <c r="B374" s="5">
        <v>45416</v>
      </c>
      <c r="C374" s="8">
        <f>YEAR(Tabla2[[#This Row],[fecha]])</f>
        <v>2024</v>
      </c>
      <c r="D374" s="8">
        <f>MONTH(Tabla2[[#This Row],[fecha]])</f>
        <v>5</v>
      </c>
      <c r="E374" s="8" t="str">
        <f>TEXT(Tabla2[[#This Row],[fecha]], "mmmm")</f>
        <v>mayo</v>
      </c>
      <c r="F374" s="8" t="str">
        <f>"T"&amp;ROUNDUP(Tabla2[[#This Row],[mes]]/3,0)</f>
        <v>T2</v>
      </c>
      <c r="G374" t="s">
        <v>29</v>
      </c>
      <c r="H374" t="s">
        <v>30</v>
      </c>
      <c r="I374" s="8" t="str">
        <f>IF(Tabla2[[#This Row],[precio_unitario]]&lt;=30,"Económico",IF(Tabla2[[#This Row],[precio_unitario]]&lt;=58.49,"Accesible","Caro"))</f>
        <v>Económico</v>
      </c>
      <c r="J374" t="s">
        <v>26</v>
      </c>
      <c r="K374">
        <v>3</v>
      </c>
      <c r="L374" s="19">
        <v>21.45</v>
      </c>
      <c r="M374" s="19">
        <v>11.53</v>
      </c>
      <c r="N374" s="11">
        <v>0</v>
      </c>
      <c r="O374" s="17">
        <f t="shared" si="23"/>
        <v>64.349999999999994</v>
      </c>
      <c r="P374" s="17">
        <f t="shared" si="20"/>
        <v>34.589999999999996</v>
      </c>
      <c r="Q374" s="17">
        <f t="shared" si="21"/>
        <v>29.759999999999998</v>
      </c>
      <c r="R374" s="24">
        <f t="shared" si="22"/>
        <v>0.4624708624708625</v>
      </c>
      <c r="S374" t="s">
        <v>540</v>
      </c>
      <c r="T374" t="s">
        <v>64</v>
      </c>
    </row>
    <row r="375" spans="1:20" hidden="1">
      <c r="A375" t="s">
        <v>445</v>
      </c>
      <c r="B375" s="5">
        <v>45521</v>
      </c>
      <c r="C375" s="8">
        <f>YEAR(Tabla2[[#This Row],[fecha]])</f>
        <v>2024</v>
      </c>
      <c r="D375" s="8">
        <f>MONTH(Tabla2[[#This Row],[fecha]])</f>
        <v>8</v>
      </c>
      <c r="E375" s="8" t="str">
        <f>TEXT(Tabla2[[#This Row],[fecha]], "mmmm")</f>
        <v>agosto</v>
      </c>
      <c r="F375" s="8" t="str">
        <f>"T"&amp;ROUNDUP(Tabla2[[#This Row],[mes]]/3,0)</f>
        <v>T3</v>
      </c>
      <c r="G375" t="s">
        <v>18</v>
      </c>
      <c r="H375" t="s">
        <v>19</v>
      </c>
      <c r="I375" s="8" t="str">
        <f>IF(Tabla2[[#This Row],[precio_unitario]]&lt;=30,"Económico",IF(Tabla2[[#This Row],[precio_unitario]]&lt;=58.49,"Accesible","Caro"))</f>
        <v>Accesible</v>
      </c>
      <c r="J375" t="s">
        <v>17</v>
      </c>
      <c r="K375">
        <v>1</v>
      </c>
      <c r="L375" s="19">
        <v>49.59</v>
      </c>
      <c r="M375" s="19">
        <v>27.77</v>
      </c>
      <c r="N375" s="13">
        <v>0</v>
      </c>
      <c r="O375" s="17">
        <f t="shared" si="23"/>
        <v>49.59</v>
      </c>
      <c r="P375" s="17">
        <f t="shared" si="20"/>
        <v>27.77</v>
      </c>
      <c r="Q375" s="17">
        <f t="shared" si="21"/>
        <v>21.820000000000004</v>
      </c>
      <c r="R375" s="24">
        <f t="shared" si="22"/>
        <v>0.44000806614236748</v>
      </c>
      <c r="S375" t="s">
        <v>67</v>
      </c>
      <c r="T375" t="s">
        <v>60</v>
      </c>
    </row>
    <row r="376" spans="1:20" hidden="1">
      <c r="A376" t="s">
        <v>446</v>
      </c>
      <c r="B376" s="5">
        <v>45639</v>
      </c>
      <c r="C376" s="8">
        <f>YEAR(Tabla2[[#This Row],[fecha]])</f>
        <v>2024</v>
      </c>
      <c r="D376" s="8">
        <f>MONTH(Tabla2[[#This Row],[fecha]])</f>
        <v>12</v>
      </c>
      <c r="E376" s="8" t="str">
        <f>TEXT(Tabla2[[#This Row],[fecha]], "mmmm")</f>
        <v>diciembre</v>
      </c>
      <c r="F376" s="8" t="str">
        <f>"T"&amp;ROUNDUP(Tabla2[[#This Row],[mes]]/3,0)</f>
        <v>T4</v>
      </c>
      <c r="G376" t="s">
        <v>27</v>
      </c>
      <c r="H376" t="s">
        <v>28</v>
      </c>
      <c r="I376" s="8" t="str">
        <f>IF(Tabla2[[#This Row],[precio_unitario]]&lt;=30,"Económico",IF(Tabla2[[#This Row],[precio_unitario]]&lt;=58.49,"Accesible","Caro"))</f>
        <v>Económico</v>
      </c>
      <c r="J376" t="s">
        <v>26</v>
      </c>
      <c r="K376">
        <v>1</v>
      </c>
      <c r="L376" s="19">
        <v>15.21</v>
      </c>
      <c r="M376" s="19">
        <v>11.72</v>
      </c>
      <c r="N376" s="11">
        <v>0</v>
      </c>
      <c r="O376" s="17">
        <f t="shared" si="23"/>
        <v>15.21</v>
      </c>
      <c r="P376" s="17">
        <f t="shared" si="20"/>
        <v>11.72</v>
      </c>
      <c r="Q376" s="17">
        <f t="shared" si="21"/>
        <v>3.49</v>
      </c>
      <c r="R376" s="24">
        <f t="shared" si="22"/>
        <v>0.22945430637738329</v>
      </c>
      <c r="S376" t="s">
        <v>67</v>
      </c>
      <c r="T376" t="s">
        <v>60</v>
      </c>
    </row>
    <row r="377" spans="1:20">
      <c r="A377" t="s">
        <v>447</v>
      </c>
      <c r="B377" s="5">
        <v>45806</v>
      </c>
      <c r="C377" s="8">
        <f>YEAR(Tabla2[[#This Row],[fecha]])</f>
        <v>2025</v>
      </c>
      <c r="D377" s="8">
        <f>MONTH(Tabla2[[#This Row],[fecha]])</f>
        <v>5</v>
      </c>
      <c r="E377" s="8" t="str">
        <f>TEXT(Tabla2[[#This Row],[fecha]], "mmmm")</f>
        <v>mayo</v>
      </c>
      <c r="F377" s="8" t="str">
        <f>"T"&amp;ROUNDUP(Tabla2[[#This Row],[mes]]/3,0)</f>
        <v>T2</v>
      </c>
      <c r="G377" t="s">
        <v>11</v>
      </c>
      <c r="H377" t="s">
        <v>12</v>
      </c>
      <c r="I377" s="8" t="str">
        <f>IF(Tabla2[[#This Row],[precio_unitario]]&lt;=30,"Económico",IF(Tabla2[[#This Row],[precio_unitario]]&lt;=58.49,"Accesible","Caro"))</f>
        <v>Caro</v>
      </c>
      <c r="J377" t="s">
        <v>8</v>
      </c>
      <c r="K377">
        <v>3</v>
      </c>
      <c r="L377" s="19">
        <v>178.73</v>
      </c>
      <c r="M377" s="19">
        <v>96.3</v>
      </c>
      <c r="N377" s="11">
        <v>0</v>
      </c>
      <c r="O377" s="17">
        <f t="shared" si="23"/>
        <v>536.18999999999994</v>
      </c>
      <c r="P377" s="17">
        <f t="shared" si="20"/>
        <v>288.89999999999998</v>
      </c>
      <c r="Q377" s="17">
        <f t="shared" si="21"/>
        <v>247.28999999999996</v>
      </c>
      <c r="R377" s="24">
        <f t="shared" si="22"/>
        <v>0.46119845577127511</v>
      </c>
      <c r="S377" t="s">
        <v>67</v>
      </c>
      <c r="T377" t="s">
        <v>60</v>
      </c>
    </row>
    <row r="378" spans="1:20" hidden="1">
      <c r="A378" t="s">
        <v>448</v>
      </c>
      <c r="B378" s="5">
        <v>45729</v>
      </c>
      <c r="C378" s="8">
        <f>YEAR(Tabla2[[#This Row],[fecha]])</f>
        <v>2025</v>
      </c>
      <c r="D378" s="8">
        <f>MONTH(Tabla2[[#This Row],[fecha]])</f>
        <v>3</v>
      </c>
      <c r="E378" s="8" t="str">
        <f>TEXT(Tabla2[[#This Row],[fecha]], "mmmm")</f>
        <v>marzo</v>
      </c>
      <c r="F378" s="8" t="str">
        <f>"T"&amp;ROUNDUP(Tabla2[[#This Row],[mes]]/3,0)</f>
        <v>T1</v>
      </c>
      <c r="G378" t="s">
        <v>24</v>
      </c>
      <c r="H378" t="s">
        <v>25</v>
      </c>
      <c r="I378" s="8" t="str">
        <f>IF(Tabla2[[#This Row],[precio_unitario]]&lt;=30,"Económico",IF(Tabla2[[#This Row],[precio_unitario]]&lt;=58.49,"Accesible","Caro"))</f>
        <v>Económico</v>
      </c>
      <c r="J378" t="s">
        <v>26</v>
      </c>
      <c r="K378">
        <v>6</v>
      </c>
      <c r="L378" s="19">
        <v>8.1999999999999993</v>
      </c>
      <c r="M378" s="19">
        <v>4.22</v>
      </c>
      <c r="N378" s="11">
        <v>0.15</v>
      </c>
      <c r="O378" s="17">
        <f t="shared" si="23"/>
        <v>41.819999999999993</v>
      </c>
      <c r="P378" s="17">
        <f t="shared" si="20"/>
        <v>25.32</v>
      </c>
      <c r="Q378" s="17">
        <f t="shared" si="21"/>
        <v>16.499999999999993</v>
      </c>
      <c r="R378" s="24">
        <f t="shared" si="22"/>
        <v>0.39454806312768997</v>
      </c>
      <c r="S378" t="s">
        <v>83</v>
      </c>
      <c r="T378" t="s">
        <v>64</v>
      </c>
    </row>
    <row r="379" spans="1:20" hidden="1">
      <c r="A379" t="s">
        <v>449</v>
      </c>
      <c r="B379" s="5">
        <v>45542</v>
      </c>
      <c r="C379" s="8">
        <f>YEAR(Tabla2[[#This Row],[fecha]])</f>
        <v>2024</v>
      </c>
      <c r="D379" s="8">
        <f>MONTH(Tabla2[[#This Row],[fecha]])</f>
        <v>9</v>
      </c>
      <c r="E379" s="8" t="str">
        <f>TEXT(Tabla2[[#This Row],[fecha]], "mmmm")</f>
        <v>septiembre</v>
      </c>
      <c r="F379" s="8" t="str">
        <f>"T"&amp;ROUNDUP(Tabla2[[#This Row],[mes]]/3,0)</f>
        <v>T3</v>
      </c>
      <c r="G379" t="s">
        <v>13</v>
      </c>
      <c r="H379" t="s">
        <v>14</v>
      </c>
      <c r="I379" s="8" t="str">
        <f>IF(Tabla2[[#This Row],[precio_unitario]]&lt;=30,"Económico",IF(Tabla2[[#This Row],[precio_unitario]]&lt;=58.49,"Accesible","Caro"))</f>
        <v>Caro</v>
      </c>
      <c r="J379" t="s">
        <v>8</v>
      </c>
      <c r="K379">
        <v>1</v>
      </c>
      <c r="L379" s="19">
        <v>157.11000000000001</v>
      </c>
      <c r="M379" s="19">
        <v>111.81</v>
      </c>
      <c r="N379" s="11">
        <v>0</v>
      </c>
      <c r="O379" s="17">
        <f t="shared" si="23"/>
        <v>157.11000000000001</v>
      </c>
      <c r="P379" s="17">
        <f t="shared" si="20"/>
        <v>111.81</v>
      </c>
      <c r="Q379" s="17">
        <f t="shared" si="21"/>
        <v>45.300000000000011</v>
      </c>
      <c r="R379" s="24">
        <f t="shared" si="22"/>
        <v>0.28833301508497233</v>
      </c>
      <c r="S379" t="s">
        <v>101</v>
      </c>
      <c r="T379" t="s">
        <v>60</v>
      </c>
    </row>
    <row r="380" spans="1:20" hidden="1">
      <c r="A380" t="s">
        <v>450</v>
      </c>
      <c r="B380" s="5">
        <v>45754</v>
      </c>
      <c r="C380" s="8">
        <f>YEAR(Tabla2[[#This Row],[fecha]])</f>
        <v>2025</v>
      </c>
      <c r="D380" s="8">
        <f>MONTH(Tabla2[[#This Row],[fecha]])</f>
        <v>4</v>
      </c>
      <c r="E380" s="8" t="str">
        <f>TEXT(Tabla2[[#This Row],[fecha]], "mmmm")</f>
        <v>abril</v>
      </c>
      <c r="F380" s="8" t="str">
        <f>"T"&amp;ROUNDUP(Tabla2[[#This Row],[mes]]/3,0)</f>
        <v>T2</v>
      </c>
      <c r="G380" t="s">
        <v>49</v>
      </c>
      <c r="H380" t="s">
        <v>50</v>
      </c>
      <c r="I380" s="8" t="str">
        <f>IF(Tabla2[[#This Row],[precio_unitario]]&lt;=30,"Económico",IF(Tabla2[[#This Row],[precio_unitario]]&lt;=58.49,"Accesible","Caro"))</f>
        <v>Accesible</v>
      </c>
      <c r="J380" t="s">
        <v>44</v>
      </c>
      <c r="K380">
        <v>3</v>
      </c>
      <c r="L380" s="19">
        <v>58.03</v>
      </c>
      <c r="M380" s="19">
        <v>33.200000000000003</v>
      </c>
      <c r="N380" s="11">
        <v>0.12</v>
      </c>
      <c r="O380" s="17">
        <f t="shared" si="23"/>
        <v>153.19919999999999</v>
      </c>
      <c r="P380" s="17">
        <f t="shared" si="20"/>
        <v>99.600000000000009</v>
      </c>
      <c r="Q380" s="17">
        <f t="shared" si="21"/>
        <v>53.599199999999982</v>
      </c>
      <c r="R380" s="24">
        <f t="shared" si="22"/>
        <v>0.34986605674181059</v>
      </c>
      <c r="S380" t="s">
        <v>96</v>
      </c>
      <c r="T380" t="s">
        <v>64</v>
      </c>
    </row>
    <row r="381" spans="1:20">
      <c r="A381" t="s">
        <v>451</v>
      </c>
      <c r="B381" s="5">
        <v>45964</v>
      </c>
      <c r="C381" s="8">
        <f>YEAR(Tabla2[[#This Row],[fecha]])</f>
        <v>2025</v>
      </c>
      <c r="D381" s="8">
        <f>MONTH(Tabla2[[#This Row],[fecha]])</f>
        <v>11</v>
      </c>
      <c r="E381" s="8" t="str">
        <f>TEXT(Tabla2[[#This Row],[fecha]], "mmmm")</f>
        <v>noviembre</v>
      </c>
      <c r="F381" s="8" t="str">
        <f>"T"&amp;ROUNDUP(Tabla2[[#This Row],[mes]]/3,0)</f>
        <v>T4</v>
      </c>
      <c r="G381" t="s">
        <v>40</v>
      </c>
      <c r="H381" t="s">
        <v>41</v>
      </c>
      <c r="I381" s="8" t="str">
        <f>IF(Tabla2[[#This Row],[precio_unitario]]&lt;=30,"Económico",IF(Tabla2[[#This Row],[precio_unitario]]&lt;=58.49,"Accesible","Caro"))</f>
        <v>Caro</v>
      </c>
      <c r="J381" t="s">
        <v>35</v>
      </c>
      <c r="K381">
        <v>5</v>
      </c>
      <c r="L381" s="19">
        <v>73.13</v>
      </c>
      <c r="M381" s="19">
        <v>40.270000000000003</v>
      </c>
      <c r="N381" s="13">
        <v>0</v>
      </c>
      <c r="O381" s="17">
        <f t="shared" si="23"/>
        <v>365.65</v>
      </c>
      <c r="P381" s="17">
        <f t="shared" si="20"/>
        <v>201.35000000000002</v>
      </c>
      <c r="Q381" s="17">
        <f t="shared" si="21"/>
        <v>164.29999999999995</v>
      </c>
      <c r="R381" s="24">
        <f t="shared" si="22"/>
        <v>0.44933679748393263</v>
      </c>
      <c r="S381" t="s">
        <v>67</v>
      </c>
      <c r="T381" t="s">
        <v>60</v>
      </c>
    </row>
    <row r="382" spans="1:20" hidden="1">
      <c r="A382" t="s">
        <v>452</v>
      </c>
      <c r="B382" s="5">
        <v>45812</v>
      </c>
      <c r="C382" s="8">
        <f>YEAR(Tabla2[[#This Row],[fecha]])</f>
        <v>2025</v>
      </c>
      <c r="D382" s="8">
        <f>MONTH(Tabla2[[#This Row],[fecha]])</f>
        <v>6</v>
      </c>
      <c r="E382" s="8" t="str">
        <f>TEXT(Tabla2[[#This Row],[fecha]], "mmmm")</f>
        <v>junio</v>
      </c>
      <c r="F382" s="8" t="str">
        <f>"T"&amp;ROUNDUP(Tabla2[[#This Row],[mes]]/3,0)</f>
        <v>T2</v>
      </c>
      <c r="G382" t="s">
        <v>36</v>
      </c>
      <c r="H382" t="s">
        <v>37</v>
      </c>
      <c r="I382" s="8" t="str">
        <f>IF(Tabla2[[#This Row],[precio_unitario]]&lt;=30,"Económico",IF(Tabla2[[#This Row],[precio_unitario]]&lt;=58.49,"Accesible","Caro"))</f>
        <v>Económico</v>
      </c>
      <c r="J382" t="s">
        <v>35</v>
      </c>
      <c r="K382">
        <v>2</v>
      </c>
      <c r="L382" s="19">
        <v>15.02</v>
      </c>
      <c r="M382" s="19">
        <v>9.1999999999999993</v>
      </c>
      <c r="N382" s="11">
        <v>0</v>
      </c>
      <c r="O382" s="17">
        <f t="shared" si="23"/>
        <v>30.04</v>
      </c>
      <c r="P382" s="17">
        <f t="shared" si="20"/>
        <v>18.399999999999999</v>
      </c>
      <c r="Q382" s="17">
        <f t="shared" si="21"/>
        <v>11.64</v>
      </c>
      <c r="R382" s="24">
        <f t="shared" si="22"/>
        <v>0.38748335552596541</v>
      </c>
      <c r="S382" t="s">
        <v>540</v>
      </c>
      <c r="T382" t="s">
        <v>60</v>
      </c>
    </row>
    <row r="383" spans="1:20" hidden="1">
      <c r="A383" t="s">
        <v>453</v>
      </c>
      <c r="B383" s="5">
        <v>45907</v>
      </c>
      <c r="C383" s="8">
        <f>YEAR(Tabla2[[#This Row],[fecha]])</f>
        <v>2025</v>
      </c>
      <c r="D383" s="8">
        <f>MONTH(Tabla2[[#This Row],[fecha]])</f>
        <v>9</v>
      </c>
      <c r="E383" s="8" t="str">
        <f>TEXT(Tabla2[[#This Row],[fecha]], "mmmm")</f>
        <v>septiembre</v>
      </c>
      <c r="F383" s="8" t="str">
        <f>"T"&amp;ROUNDUP(Tabla2[[#This Row],[mes]]/3,0)</f>
        <v>T3</v>
      </c>
      <c r="G383" t="s">
        <v>47</v>
      </c>
      <c r="H383" t="s">
        <v>48</v>
      </c>
      <c r="I383" s="8" t="str">
        <f>IF(Tabla2[[#This Row],[precio_unitario]]&lt;=30,"Económico",IF(Tabla2[[#This Row],[precio_unitario]]&lt;=58.49,"Accesible","Caro"))</f>
        <v>Caro</v>
      </c>
      <c r="J383" t="s">
        <v>44</v>
      </c>
      <c r="K383">
        <v>1</v>
      </c>
      <c r="L383" s="19">
        <v>61.65</v>
      </c>
      <c r="M383" s="19">
        <v>33.869999999999997</v>
      </c>
      <c r="N383" s="13">
        <v>0</v>
      </c>
      <c r="O383" s="17">
        <f t="shared" si="23"/>
        <v>61.65</v>
      </c>
      <c r="P383" s="17">
        <f t="shared" si="20"/>
        <v>33.869999999999997</v>
      </c>
      <c r="Q383" s="17">
        <f t="shared" si="21"/>
        <v>27.78</v>
      </c>
      <c r="R383" s="24">
        <f t="shared" si="22"/>
        <v>0.45060827250608276</v>
      </c>
      <c r="S383" t="s">
        <v>83</v>
      </c>
      <c r="T383" t="s">
        <v>60</v>
      </c>
    </row>
    <row r="384" spans="1:20" hidden="1">
      <c r="A384" t="s">
        <v>454</v>
      </c>
      <c r="B384" s="5">
        <v>45866</v>
      </c>
      <c r="C384" s="8">
        <f>YEAR(Tabla2[[#This Row],[fecha]])</f>
        <v>2025</v>
      </c>
      <c r="D384" s="8">
        <f>MONTH(Tabla2[[#This Row],[fecha]])</f>
        <v>7</v>
      </c>
      <c r="E384" s="8" t="str">
        <f>TEXT(Tabla2[[#This Row],[fecha]], "mmmm")</f>
        <v>julio</v>
      </c>
      <c r="F384" s="8" t="str">
        <f>"T"&amp;ROUNDUP(Tabla2[[#This Row],[mes]]/3,0)</f>
        <v>T3</v>
      </c>
      <c r="G384" t="s">
        <v>31</v>
      </c>
      <c r="H384" t="s">
        <v>32</v>
      </c>
      <c r="I384" s="8" t="str">
        <f>IF(Tabla2[[#This Row],[precio_unitario]]&lt;=30,"Económico",IF(Tabla2[[#This Row],[precio_unitario]]&lt;=58.49,"Accesible","Caro"))</f>
        <v>Económico</v>
      </c>
      <c r="J384" t="s">
        <v>26</v>
      </c>
      <c r="K384">
        <v>1</v>
      </c>
      <c r="L384" s="19">
        <v>8.1300000000000008</v>
      </c>
      <c r="M384" s="19">
        <v>6.05</v>
      </c>
      <c r="N384" s="13">
        <v>0</v>
      </c>
      <c r="O384" s="17">
        <f t="shared" si="23"/>
        <v>8.1300000000000008</v>
      </c>
      <c r="P384" s="17">
        <f t="shared" si="20"/>
        <v>6.05</v>
      </c>
      <c r="Q384" s="17">
        <f t="shared" si="21"/>
        <v>2.080000000000001</v>
      </c>
      <c r="R384" s="24">
        <f t="shared" si="22"/>
        <v>0.25584255842558434</v>
      </c>
      <c r="S384" t="s">
        <v>83</v>
      </c>
      <c r="T384" t="s">
        <v>64</v>
      </c>
    </row>
    <row r="385" spans="1:20">
      <c r="A385" t="s">
        <v>455</v>
      </c>
      <c r="B385" s="5">
        <v>45726</v>
      </c>
      <c r="C385" s="8">
        <f>YEAR(Tabla2[[#This Row],[fecha]])</f>
        <v>2025</v>
      </c>
      <c r="D385" s="8">
        <f>MONTH(Tabla2[[#This Row],[fecha]])</f>
        <v>3</v>
      </c>
      <c r="E385" s="8" t="str">
        <f>TEXT(Tabla2[[#This Row],[fecha]], "mmmm")</f>
        <v>marzo</v>
      </c>
      <c r="F385" s="8" t="str">
        <f>"T"&amp;ROUNDUP(Tabla2[[#This Row],[mes]]/3,0)</f>
        <v>T1</v>
      </c>
      <c r="G385" t="s">
        <v>31</v>
      </c>
      <c r="H385" t="s">
        <v>32</v>
      </c>
      <c r="I385" s="8" t="str">
        <f>IF(Tabla2[[#This Row],[precio_unitario]]&lt;=30,"Económico",IF(Tabla2[[#This Row],[precio_unitario]]&lt;=58.49,"Accesible","Caro"))</f>
        <v>Económico</v>
      </c>
      <c r="J385" t="s">
        <v>26</v>
      </c>
      <c r="K385">
        <v>2</v>
      </c>
      <c r="L385" s="19">
        <v>9.09</v>
      </c>
      <c r="M385" s="19">
        <v>5.49</v>
      </c>
      <c r="N385" s="13">
        <v>0</v>
      </c>
      <c r="O385" s="17">
        <f t="shared" si="23"/>
        <v>18.18</v>
      </c>
      <c r="P385" s="17">
        <f t="shared" si="20"/>
        <v>10.98</v>
      </c>
      <c r="Q385" s="17">
        <f t="shared" si="21"/>
        <v>7.1999999999999993</v>
      </c>
      <c r="R385" s="24">
        <f t="shared" si="22"/>
        <v>0.396039603960396</v>
      </c>
      <c r="S385" t="s">
        <v>67</v>
      </c>
      <c r="T385" t="s">
        <v>64</v>
      </c>
    </row>
    <row r="386" spans="1:20" hidden="1">
      <c r="A386" t="s">
        <v>456</v>
      </c>
      <c r="B386" s="5">
        <v>45469</v>
      </c>
      <c r="C386" s="8">
        <f>YEAR(Tabla2[[#This Row],[fecha]])</f>
        <v>2024</v>
      </c>
      <c r="D386" s="8">
        <f>MONTH(Tabla2[[#This Row],[fecha]])</f>
        <v>6</v>
      </c>
      <c r="E386" s="8" t="str">
        <f>TEXT(Tabla2[[#This Row],[fecha]], "mmmm")</f>
        <v>junio</v>
      </c>
      <c r="F386" s="8" t="str">
        <f>"T"&amp;ROUNDUP(Tabla2[[#This Row],[mes]]/3,0)</f>
        <v>T2</v>
      </c>
      <c r="G386" t="s">
        <v>9</v>
      </c>
      <c r="H386" t="s">
        <v>10</v>
      </c>
      <c r="I386" s="8" t="str">
        <f>IF(Tabla2[[#This Row],[precio_unitario]]&lt;=30,"Económico",IF(Tabla2[[#This Row],[precio_unitario]]&lt;=58.49,"Accesible","Caro"))</f>
        <v>Caro</v>
      </c>
      <c r="J386" t="s">
        <v>8</v>
      </c>
      <c r="K386">
        <v>1</v>
      </c>
      <c r="L386" s="19">
        <v>69.94</v>
      </c>
      <c r="M386" s="19">
        <v>45.96</v>
      </c>
      <c r="N386" s="11">
        <v>0</v>
      </c>
      <c r="O386" s="17">
        <f t="shared" si="23"/>
        <v>69.94</v>
      </c>
      <c r="P386" s="17">
        <f t="shared" ref="P386:P449" si="24">M386*K386</f>
        <v>45.96</v>
      </c>
      <c r="Q386" s="17">
        <f t="shared" ref="Q386:Q449" si="25">O386-P386</f>
        <v>23.979999999999997</v>
      </c>
      <c r="R386" s="24">
        <f t="shared" ref="R386:R449" si="26">IFERROR(Q386/O386,0)</f>
        <v>0.34286531312553614</v>
      </c>
      <c r="S386" s="10" t="s">
        <v>2377</v>
      </c>
      <c r="T386" t="s">
        <v>60</v>
      </c>
    </row>
    <row r="387" spans="1:20">
      <c r="A387" t="s">
        <v>457</v>
      </c>
      <c r="B387" s="5">
        <v>45659</v>
      </c>
      <c r="C387" s="8">
        <f>YEAR(Tabla2[[#This Row],[fecha]])</f>
        <v>2025</v>
      </c>
      <c r="D387" s="8">
        <f>MONTH(Tabla2[[#This Row],[fecha]])</f>
        <v>1</v>
      </c>
      <c r="E387" s="8" t="str">
        <f>TEXT(Tabla2[[#This Row],[fecha]], "mmmm")</f>
        <v>enero</v>
      </c>
      <c r="F387" s="8" t="str">
        <f>"T"&amp;ROUNDUP(Tabla2[[#This Row],[mes]]/3,0)</f>
        <v>T1</v>
      </c>
      <c r="G387" t="s">
        <v>40</v>
      </c>
      <c r="H387" t="s">
        <v>41</v>
      </c>
      <c r="I387" s="8" t="str">
        <f>IF(Tabla2[[#This Row],[precio_unitario]]&lt;=30,"Económico",IF(Tabla2[[#This Row],[precio_unitario]]&lt;=58.49,"Accesible","Caro"))</f>
        <v>Caro</v>
      </c>
      <c r="J387" t="s">
        <v>35</v>
      </c>
      <c r="K387">
        <v>1</v>
      </c>
      <c r="L387" s="19">
        <v>75.510000000000005</v>
      </c>
      <c r="M387" s="19">
        <v>41.7</v>
      </c>
      <c r="N387" s="11">
        <v>0</v>
      </c>
      <c r="O387" s="17">
        <f t="shared" ref="O387:O450" si="27">K387*L387*(1-N387)</f>
        <v>75.510000000000005</v>
      </c>
      <c r="P387" s="17">
        <f t="shared" si="24"/>
        <v>41.7</v>
      </c>
      <c r="Q387" s="17">
        <f t="shared" si="25"/>
        <v>33.81</v>
      </c>
      <c r="R387" s="24">
        <f t="shared" si="26"/>
        <v>0.44775526420341677</v>
      </c>
      <c r="S387" t="s">
        <v>67</v>
      </c>
      <c r="T387" t="s">
        <v>133</v>
      </c>
    </row>
    <row r="388" spans="1:20" hidden="1">
      <c r="A388" t="s">
        <v>458</v>
      </c>
      <c r="B388" s="5">
        <v>45872</v>
      </c>
      <c r="C388" s="8">
        <f>YEAR(Tabla2[[#This Row],[fecha]])</f>
        <v>2025</v>
      </c>
      <c r="D388" s="8">
        <f>MONTH(Tabla2[[#This Row],[fecha]])</f>
        <v>8</v>
      </c>
      <c r="E388" s="8" t="str">
        <f>TEXT(Tabla2[[#This Row],[fecha]], "mmmm")</f>
        <v>agosto</v>
      </c>
      <c r="F388" s="8" t="str">
        <f>"T"&amp;ROUNDUP(Tabla2[[#This Row],[mes]]/3,0)</f>
        <v>T3</v>
      </c>
      <c r="G388" t="s">
        <v>38</v>
      </c>
      <c r="H388" t="s">
        <v>39</v>
      </c>
      <c r="I388" s="8" t="str">
        <f>IF(Tabla2[[#This Row],[precio_unitario]]&lt;=30,"Económico",IF(Tabla2[[#This Row],[precio_unitario]]&lt;=58.49,"Accesible","Caro"))</f>
        <v>Caro</v>
      </c>
      <c r="J388" t="s">
        <v>35</v>
      </c>
      <c r="K388">
        <v>2</v>
      </c>
      <c r="L388" s="19">
        <v>82.87</v>
      </c>
      <c r="M388" s="19">
        <v>44.52</v>
      </c>
      <c r="N388" s="11">
        <v>0.21</v>
      </c>
      <c r="O388" s="17">
        <f t="shared" si="27"/>
        <v>130.93460000000002</v>
      </c>
      <c r="P388" s="17">
        <f t="shared" si="24"/>
        <v>89.04</v>
      </c>
      <c r="Q388" s="17">
        <f t="shared" si="25"/>
        <v>41.894600000000011</v>
      </c>
      <c r="R388" s="24">
        <f t="shared" si="26"/>
        <v>0.3199658455442641</v>
      </c>
      <c r="S388" t="s">
        <v>540</v>
      </c>
      <c r="T388" t="s">
        <v>64</v>
      </c>
    </row>
    <row r="389" spans="1:20" hidden="1">
      <c r="A389" t="s">
        <v>459</v>
      </c>
      <c r="B389" s="5">
        <v>45407</v>
      </c>
      <c r="C389" s="8">
        <f>YEAR(Tabla2[[#This Row],[fecha]])</f>
        <v>2024</v>
      </c>
      <c r="D389" s="8">
        <f>MONTH(Tabla2[[#This Row],[fecha]])</f>
        <v>4</v>
      </c>
      <c r="E389" s="8" t="str">
        <f>TEXT(Tabla2[[#This Row],[fecha]], "mmmm")</f>
        <v>abril</v>
      </c>
      <c r="F389" s="8" t="str">
        <f>"T"&amp;ROUNDUP(Tabla2[[#This Row],[mes]]/3,0)</f>
        <v>T2</v>
      </c>
      <c r="G389" t="s">
        <v>20</v>
      </c>
      <c r="H389" t="s">
        <v>21</v>
      </c>
      <c r="I389" s="8" t="str">
        <f>IF(Tabla2[[#This Row],[precio_unitario]]&lt;=30,"Económico",IF(Tabla2[[#This Row],[precio_unitario]]&lt;=58.49,"Accesible","Caro"))</f>
        <v>Económico</v>
      </c>
      <c r="J389" t="s">
        <v>17</v>
      </c>
      <c r="K389">
        <v>3</v>
      </c>
      <c r="L389" s="19">
        <v>20.72</v>
      </c>
      <c r="M389" s="19">
        <v>13.16</v>
      </c>
      <c r="N389" s="11">
        <v>0.17</v>
      </c>
      <c r="O389" s="17">
        <f t="shared" si="27"/>
        <v>51.592799999999997</v>
      </c>
      <c r="P389" s="17">
        <f t="shared" si="24"/>
        <v>39.480000000000004</v>
      </c>
      <c r="Q389" s="17">
        <f t="shared" si="25"/>
        <v>12.112799999999993</v>
      </c>
      <c r="R389" s="24">
        <f t="shared" si="26"/>
        <v>0.23477694562031898</v>
      </c>
      <c r="S389" t="s">
        <v>67</v>
      </c>
      <c r="T389" t="s">
        <v>64</v>
      </c>
    </row>
    <row r="390" spans="1:20" hidden="1">
      <c r="A390" t="s">
        <v>460</v>
      </c>
      <c r="B390" s="5">
        <v>45901</v>
      </c>
      <c r="C390" s="8">
        <f>YEAR(Tabla2[[#This Row],[fecha]])</f>
        <v>2025</v>
      </c>
      <c r="D390" s="8">
        <f>MONTH(Tabla2[[#This Row],[fecha]])</f>
        <v>9</v>
      </c>
      <c r="E390" s="8" t="str">
        <f>TEXT(Tabla2[[#This Row],[fecha]], "mmmm")</f>
        <v>septiembre</v>
      </c>
      <c r="F390" s="8" t="str">
        <f>"T"&amp;ROUNDUP(Tabla2[[#This Row],[mes]]/3,0)</f>
        <v>T3</v>
      </c>
      <c r="G390" t="s">
        <v>27</v>
      </c>
      <c r="H390" t="s">
        <v>28</v>
      </c>
      <c r="I390" s="8" t="str">
        <f>IF(Tabla2[[#This Row],[precio_unitario]]&lt;=30,"Económico",IF(Tabla2[[#This Row],[precio_unitario]]&lt;=58.49,"Accesible","Caro"))</f>
        <v>Económico</v>
      </c>
      <c r="J390" t="s">
        <v>26</v>
      </c>
      <c r="K390">
        <v>1</v>
      </c>
      <c r="L390" s="19">
        <v>16.829999999999998</v>
      </c>
      <c r="M390" s="19">
        <v>11.67</v>
      </c>
      <c r="N390" s="13">
        <v>0</v>
      </c>
      <c r="O390" s="17">
        <f t="shared" si="27"/>
        <v>16.829999999999998</v>
      </c>
      <c r="P390" s="17">
        <f t="shared" si="24"/>
        <v>11.67</v>
      </c>
      <c r="Q390" s="17">
        <f t="shared" si="25"/>
        <v>5.1599999999999984</v>
      </c>
      <c r="R390" s="24">
        <f t="shared" si="26"/>
        <v>0.30659536541889476</v>
      </c>
      <c r="S390" t="s">
        <v>63</v>
      </c>
      <c r="T390" t="s">
        <v>64</v>
      </c>
    </row>
    <row r="391" spans="1:20">
      <c r="A391" t="s">
        <v>461</v>
      </c>
      <c r="B391" s="5">
        <v>45800</v>
      </c>
      <c r="C391" s="8">
        <f>YEAR(Tabla2[[#This Row],[fecha]])</f>
        <v>2025</v>
      </c>
      <c r="D391" s="8">
        <f>MONTH(Tabla2[[#This Row],[fecha]])</f>
        <v>5</v>
      </c>
      <c r="E391" s="8" t="str">
        <f>TEXT(Tabla2[[#This Row],[fecha]], "mmmm")</f>
        <v>mayo</v>
      </c>
      <c r="F391" s="8" t="str">
        <f>"T"&amp;ROUNDUP(Tabla2[[#This Row],[mes]]/3,0)</f>
        <v>T2</v>
      </c>
      <c r="G391" t="s">
        <v>11</v>
      </c>
      <c r="H391" t="s">
        <v>12</v>
      </c>
      <c r="I391" s="8" t="str">
        <f>IF(Tabla2[[#This Row],[precio_unitario]]&lt;=30,"Económico",IF(Tabla2[[#This Row],[precio_unitario]]&lt;=58.49,"Accesible","Caro"))</f>
        <v>Caro</v>
      </c>
      <c r="J391" t="s">
        <v>8</v>
      </c>
      <c r="K391">
        <v>1</v>
      </c>
      <c r="L391" s="20">
        <f>INDEX(Tabla3[precio_venta_recomendado], MATCH(Tabla2[[#This Row],[id_producto]], Tabla3[id_producto], 0))</f>
        <v>177.72</v>
      </c>
      <c r="M391" s="19">
        <v>95.48</v>
      </c>
      <c r="N391" s="11">
        <v>0.13</v>
      </c>
      <c r="O391" s="17">
        <f t="shared" si="27"/>
        <v>154.6164</v>
      </c>
      <c r="P391" s="17">
        <f t="shared" si="24"/>
        <v>95.48</v>
      </c>
      <c r="Q391" s="17">
        <f t="shared" si="25"/>
        <v>59.136399999999995</v>
      </c>
      <c r="R391" s="24">
        <f t="shared" si="26"/>
        <v>0.38247171710116129</v>
      </c>
      <c r="S391" t="s">
        <v>67</v>
      </c>
      <c r="T391" t="s">
        <v>60</v>
      </c>
    </row>
    <row r="392" spans="1:20" hidden="1">
      <c r="A392" t="s">
        <v>462</v>
      </c>
      <c r="B392" s="5">
        <v>46017</v>
      </c>
      <c r="C392" s="8">
        <f>YEAR(Tabla2[[#This Row],[fecha]])</f>
        <v>2025</v>
      </c>
      <c r="D392" s="8">
        <f>MONTH(Tabla2[[#This Row],[fecha]])</f>
        <v>12</v>
      </c>
      <c r="E392" s="8" t="str">
        <f>TEXT(Tabla2[[#This Row],[fecha]], "mmmm")</f>
        <v>diciembre</v>
      </c>
      <c r="F392" s="8" t="str">
        <f>"T"&amp;ROUNDUP(Tabla2[[#This Row],[mes]]/3,0)</f>
        <v>T4</v>
      </c>
      <c r="G392" t="s">
        <v>42</v>
      </c>
      <c r="H392" t="s">
        <v>43</v>
      </c>
      <c r="I392" s="8" t="str">
        <f>IF(Tabla2[[#This Row],[precio_unitario]]&lt;=30,"Económico",IF(Tabla2[[#This Row],[precio_unitario]]&lt;=58.49,"Accesible","Caro"))</f>
        <v>Accesible</v>
      </c>
      <c r="J392" t="s">
        <v>44</v>
      </c>
      <c r="K392">
        <v>7</v>
      </c>
      <c r="L392" s="19">
        <v>51.07</v>
      </c>
      <c r="M392" s="19">
        <v>23.18</v>
      </c>
      <c r="N392" s="13">
        <v>0</v>
      </c>
      <c r="O392" s="17">
        <f t="shared" si="27"/>
        <v>357.49</v>
      </c>
      <c r="P392" s="17">
        <f t="shared" si="24"/>
        <v>162.26</v>
      </c>
      <c r="Q392" s="17">
        <f t="shared" si="25"/>
        <v>195.23000000000002</v>
      </c>
      <c r="R392" s="24">
        <f t="shared" si="26"/>
        <v>0.54611317799099279</v>
      </c>
      <c r="S392" t="s">
        <v>540</v>
      </c>
      <c r="T392" t="s">
        <v>60</v>
      </c>
    </row>
    <row r="393" spans="1:20" hidden="1">
      <c r="A393" t="s">
        <v>463</v>
      </c>
      <c r="B393" s="5">
        <v>45632</v>
      </c>
      <c r="C393" s="8">
        <f>YEAR(Tabla2[[#This Row],[fecha]])</f>
        <v>2024</v>
      </c>
      <c r="D393" s="8">
        <f>MONTH(Tabla2[[#This Row],[fecha]])</f>
        <v>12</v>
      </c>
      <c r="E393" s="8" t="str">
        <f>TEXT(Tabla2[[#This Row],[fecha]], "mmmm")</f>
        <v>diciembre</v>
      </c>
      <c r="F393" s="8" t="str">
        <f>"T"&amp;ROUNDUP(Tabla2[[#This Row],[mes]]/3,0)</f>
        <v>T4</v>
      </c>
      <c r="G393" t="s">
        <v>15</v>
      </c>
      <c r="H393" t="s">
        <v>16</v>
      </c>
      <c r="I393" s="8" t="str">
        <f>IF(Tabla2[[#This Row],[precio_unitario]]&lt;=30,"Económico",IF(Tabla2[[#This Row],[precio_unitario]]&lt;=58.49,"Accesible","Caro"))</f>
        <v>Caro</v>
      </c>
      <c r="J393" t="s">
        <v>17</v>
      </c>
      <c r="K393">
        <v>5</v>
      </c>
      <c r="L393" s="19">
        <v>61.26</v>
      </c>
      <c r="M393" s="19">
        <v>39.39</v>
      </c>
      <c r="N393" s="11">
        <v>0.28000000000000003</v>
      </c>
      <c r="O393" s="17">
        <f t="shared" si="27"/>
        <v>220.536</v>
      </c>
      <c r="P393" s="17">
        <f t="shared" si="24"/>
        <v>196.95</v>
      </c>
      <c r="Q393" s="17">
        <f t="shared" si="25"/>
        <v>23.586000000000013</v>
      </c>
      <c r="R393" s="24">
        <f t="shared" si="26"/>
        <v>0.10694852541081734</v>
      </c>
      <c r="S393" t="s">
        <v>67</v>
      </c>
      <c r="T393" t="s">
        <v>64</v>
      </c>
    </row>
    <row r="394" spans="1:20" hidden="1">
      <c r="A394" t="s">
        <v>464</v>
      </c>
      <c r="B394" s="5">
        <v>45872</v>
      </c>
      <c r="C394" s="8">
        <f>YEAR(Tabla2[[#This Row],[fecha]])</f>
        <v>2025</v>
      </c>
      <c r="D394" s="8">
        <f>MONTH(Tabla2[[#This Row],[fecha]])</f>
        <v>8</v>
      </c>
      <c r="E394" s="8" t="str">
        <f>TEXT(Tabla2[[#This Row],[fecha]], "mmmm")</f>
        <v>agosto</v>
      </c>
      <c r="F394" s="8" t="str">
        <f>"T"&amp;ROUNDUP(Tabla2[[#This Row],[mes]]/3,0)</f>
        <v>T3</v>
      </c>
      <c r="G394" t="s">
        <v>22</v>
      </c>
      <c r="H394" t="s">
        <v>23</v>
      </c>
      <c r="I394" s="8" t="str">
        <f>IF(Tabla2[[#This Row],[precio_unitario]]&lt;=30,"Económico",IF(Tabla2[[#This Row],[precio_unitario]]&lt;=58.49,"Accesible","Caro"))</f>
        <v>Caro</v>
      </c>
      <c r="J394" t="s">
        <v>17</v>
      </c>
      <c r="K394">
        <v>3</v>
      </c>
      <c r="L394" s="20">
        <f>INDEX(Tabla3[precio_venta_recomendado], MATCH(Tabla2[[#This Row],[id_producto]], Tabla3[id_producto], 0))</f>
        <v>102.62</v>
      </c>
      <c r="M394" s="19">
        <v>59</v>
      </c>
      <c r="N394" s="11">
        <v>0.17</v>
      </c>
      <c r="O394" s="17">
        <f t="shared" si="27"/>
        <v>255.52379999999999</v>
      </c>
      <c r="P394" s="17">
        <f t="shared" si="24"/>
        <v>177</v>
      </c>
      <c r="Q394" s="17">
        <f t="shared" si="25"/>
        <v>78.523799999999994</v>
      </c>
      <c r="R394" s="24">
        <f t="shared" si="26"/>
        <v>0.30730522949329964</v>
      </c>
      <c r="S394" t="s">
        <v>101</v>
      </c>
      <c r="T394" t="s">
        <v>60</v>
      </c>
    </row>
    <row r="395" spans="1:20" hidden="1">
      <c r="A395" t="s">
        <v>465</v>
      </c>
      <c r="B395" s="5">
        <v>45753</v>
      </c>
      <c r="C395" s="8">
        <f>YEAR(Tabla2[[#This Row],[fecha]])</f>
        <v>2025</v>
      </c>
      <c r="D395" s="8">
        <f>MONTH(Tabla2[[#This Row],[fecha]])</f>
        <v>4</v>
      </c>
      <c r="E395" s="8" t="str">
        <f>TEXT(Tabla2[[#This Row],[fecha]], "mmmm")</f>
        <v>abril</v>
      </c>
      <c r="F395" s="8" t="str">
        <f>"T"&amp;ROUNDUP(Tabla2[[#This Row],[mes]]/3,0)</f>
        <v>T2</v>
      </c>
      <c r="G395" t="s">
        <v>29</v>
      </c>
      <c r="H395" t="s">
        <v>30</v>
      </c>
      <c r="I395" s="8" t="str">
        <f>IF(Tabla2[[#This Row],[precio_unitario]]&lt;=30,"Económico",IF(Tabla2[[#This Row],[precio_unitario]]&lt;=58.49,"Accesible","Caro"))</f>
        <v>Económico</v>
      </c>
      <c r="J395" t="s">
        <v>26</v>
      </c>
      <c r="K395">
        <v>3</v>
      </c>
      <c r="L395" s="19">
        <v>20.3</v>
      </c>
      <c r="M395" s="19">
        <v>11.16</v>
      </c>
      <c r="N395" s="11">
        <v>0</v>
      </c>
      <c r="O395" s="17">
        <f t="shared" si="27"/>
        <v>60.900000000000006</v>
      </c>
      <c r="P395" s="17">
        <f t="shared" si="24"/>
        <v>33.480000000000004</v>
      </c>
      <c r="Q395" s="17">
        <f t="shared" si="25"/>
        <v>27.42</v>
      </c>
      <c r="R395" s="24">
        <f t="shared" si="26"/>
        <v>0.45024630541871918</v>
      </c>
      <c r="S395" t="s">
        <v>83</v>
      </c>
      <c r="T395" t="s">
        <v>64</v>
      </c>
    </row>
    <row r="396" spans="1:20" hidden="1">
      <c r="A396" t="s">
        <v>466</v>
      </c>
      <c r="B396" s="5">
        <v>45875</v>
      </c>
      <c r="C396" s="8">
        <f>YEAR(Tabla2[[#This Row],[fecha]])</f>
        <v>2025</v>
      </c>
      <c r="D396" s="8">
        <f>MONTH(Tabla2[[#This Row],[fecha]])</f>
        <v>8</v>
      </c>
      <c r="E396" s="8" t="str">
        <f>TEXT(Tabla2[[#This Row],[fecha]], "mmmm")</f>
        <v>agosto</v>
      </c>
      <c r="F396" s="8" t="str">
        <f>"T"&amp;ROUNDUP(Tabla2[[#This Row],[mes]]/3,0)</f>
        <v>T3</v>
      </c>
      <c r="G396" t="s">
        <v>27</v>
      </c>
      <c r="H396" t="s">
        <v>28</v>
      </c>
      <c r="I396" s="8" t="str">
        <f>IF(Tabla2[[#This Row],[precio_unitario]]&lt;=30,"Económico",IF(Tabla2[[#This Row],[precio_unitario]]&lt;=58.49,"Accesible","Caro"))</f>
        <v>Económico</v>
      </c>
      <c r="J396" t="s">
        <v>26</v>
      </c>
      <c r="K396">
        <v>12</v>
      </c>
      <c r="L396" s="19">
        <v>16.91</v>
      </c>
      <c r="M396" s="19">
        <v>11.91</v>
      </c>
      <c r="N396" s="13">
        <v>0</v>
      </c>
      <c r="O396" s="17">
        <f t="shared" si="27"/>
        <v>202.92000000000002</v>
      </c>
      <c r="P396" s="17">
        <f t="shared" si="24"/>
        <v>142.92000000000002</v>
      </c>
      <c r="Q396" s="17">
        <f t="shared" si="25"/>
        <v>60</v>
      </c>
      <c r="R396" s="24">
        <f t="shared" si="26"/>
        <v>0.29568302779420458</v>
      </c>
      <c r="S396" t="s">
        <v>63</v>
      </c>
      <c r="T396" t="s">
        <v>64</v>
      </c>
    </row>
    <row r="397" spans="1:20" hidden="1">
      <c r="A397" t="s">
        <v>467</v>
      </c>
      <c r="B397" s="5">
        <v>45893</v>
      </c>
      <c r="C397" s="8">
        <f>YEAR(Tabla2[[#This Row],[fecha]])</f>
        <v>2025</v>
      </c>
      <c r="D397" s="8">
        <f>MONTH(Tabla2[[#This Row],[fecha]])</f>
        <v>8</v>
      </c>
      <c r="E397" s="8" t="str">
        <f>TEXT(Tabla2[[#This Row],[fecha]], "mmmm")</f>
        <v>agosto</v>
      </c>
      <c r="F397" s="8" t="str">
        <f>"T"&amp;ROUNDUP(Tabla2[[#This Row],[mes]]/3,0)</f>
        <v>T3</v>
      </c>
      <c r="G397" t="s">
        <v>22</v>
      </c>
      <c r="H397" t="s">
        <v>23</v>
      </c>
      <c r="I397" s="8" t="str">
        <f>IF(Tabla2[[#This Row],[precio_unitario]]&lt;=30,"Económico",IF(Tabla2[[#This Row],[precio_unitario]]&lt;=58.49,"Accesible","Caro"))</f>
        <v>Caro</v>
      </c>
      <c r="J397" t="s">
        <v>17</v>
      </c>
      <c r="K397">
        <v>3</v>
      </c>
      <c r="L397" s="19">
        <v>95.08</v>
      </c>
      <c r="M397" s="19">
        <v>54.77</v>
      </c>
      <c r="N397" s="11">
        <v>0</v>
      </c>
      <c r="O397" s="17">
        <f t="shared" si="27"/>
        <v>285.24</v>
      </c>
      <c r="P397" s="17">
        <f t="shared" si="24"/>
        <v>164.31</v>
      </c>
      <c r="Q397" s="17">
        <f t="shared" si="25"/>
        <v>120.93</v>
      </c>
      <c r="R397" s="24">
        <f t="shared" si="26"/>
        <v>0.42395877156079093</v>
      </c>
      <c r="S397" t="s">
        <v>63</v>
      </c>
      <c r="T397" t="s">
        <v>60</v>
      </c>
    </row>
    <row r="398" spans="1:20" hidden="1">
      <c r="A398" t="s">
        <v>468</v>
      </c>
      <c r="B398" s="5">
        <v>45319</v>
      </c>
      <c r="C398" s="8">
        <f>YEAR(Tabla2[[#This Row],[fecha]])</f>
        <v>2024</v>
      </c>
      <c r="D398" s="8">
        <f>MONTH(Tabla2[[#This Row],[fecha]])</f>
        <v>1</v>
      </c>
      <c r="E398" s="8" t="str">
        <f>TEXT(Tabla2[[#This Row],[fecha]], "mmmm")</f>
        <v>enero</v>
      </c>
      <c r="F398" s="8" t="str">
        <f>"T"&amp;ROUNDUP(Tabla2[[#This Row],[mes]]/3,0)</f>
        <v>T1</v>
      </c>
      <c r="G398" t="s">
        <v>18</v>
      </c>
      <c r="H398" t="s">
        <v>19</v>
      </c>
      <c r="I398" s="8" t="str">
        <f>IF(Tabla2[[#This Row],[precio_unitario]]&lt;=30,"Económico",IF(Tabla2[[#This Row],[precio_unitario]]&lt;=58.49,"Accesible","Caro"))</f>
        <v>Accesible</v>
      </c>
      <c r="J398" t="s">
        <v>17</v>
      </c>
      <c r="K398">
        <v>5</v>
      </c>
      <c r="L398" s="19">
        <v>48.84</v>
      </c>
      <c r="M398" s="19">
        <v>26.21</v>
      </c>
      <c r="N398" s="11">
        <v>0</v>
      </c>
      <c r="O398" s="17">
        <f t="shared" si="27"/>
        <v>244.20000000000002</v>
      </c>
      <c r="P398" s="17">
        <f t="shared" si="24"/>
        <v>131.05000000000001</v>
      </c>
      <c r="Q398" s="17">
        <f t="shared" si="25"/>
        <v>113.15</v>
      </c>
      <c r="R398" s="24">
        <f t="shared" si="26"/>
        <v>0.46334971334971337</v>
      </c>
      <c r="S398" t="s">
        <v>83</v>
      </c>
      <c r="T398" t="s">
        <v>60</v>
      </c>
    </row>
    <row r="399" spans="1:20" hidden="1">
      <c r="A399" t="s">
        <v>469</v>
      </c>
      <c r="B399" s="5">
        <v>45767</v>
      </c>
      <c r="C399" s="8">
        <f>YEAR(Tabla2[[#This Row],[fecha]])</f>
        <v>2025</v>
      </c>
      <c r="D399" s="8">
        <f>MONTH(Tabla2[[#This Row],[fecha]])</f>
        <v>4</v>
      </c>
      <c r="E399" s="8" t="str">
        <f>TEXT(Tabla2[[#This Row],[fecha]], "mmmm")</f>
        <v>abril</v>
      </c>
      <c r="F399" s="8" t="str">
        <f>"T"&amp;ROUNDUP(Tabla2[[#This Row],[mes]]/3,0)</f>
        <v>T2</v>
      </c>
      <c r="G399" t="s">
        <v>40</v>
      </c>
      <c r="H399" t="s">
        <v>41</v>
      </c>
      <c r="I399" s="8" t="str">
        <f>IF(Tabla2[[#This Row],[precio_unitario]]&lt;=30,"Económico",IF(Tabla2[[#This Row],[precio_unitario]]&lt;=58.49,"Accesible","Caro"))</f>
        <v>Caro</v>
      </c>
      <c r="J399" t="s">
        <v>35</v>
      </c>
      <c r="K399">
        <v>2</v>
      </c>
      <c r="L399" s="19">
        <v>79.680000000000007</v>
      </c>
      <c r="M399" s="19">
        <v>41.56</v>
      </c>
      <c r="N399" s="11">
        <v>0</v>
      </c>
      <c r="O399" s="17">
        <f t="shared" si="27"/>
        <v>159.36000000000001</v>
      </c>
      <c r="P399" s="17">
        <f t="shared" si="24"/>
        <v>83.12</v>
      </c>
      <c r="Q399" s="17">
        <f t="shared" si="25"/>
        <v>76.240000000000009</v>
      </c>
      <c r="R399" s="24">
        <f t="shared" si="26"/>
        <v>0.4784136546184739</v>
      </c>
      <c r="S399" t="s">
        <v>63</v>
      </c>
      <c r="T399" t="s">
        <v>64</v>
      </c>
    </row>
    <row r="400" spans="1:20" hidden="1">
      <c r="A400" t="s">
        <v>470</v>
      </c>
      <c r="B400" s="5">
        <v>45466</v>
      </c>
      <c r="C400" s="8">
        <f>YEAR(Tabla2[[#This Row],[fecha]])</f>
        <v>2024</v>
      </c>
      <c r="D400" s="8">
        <f>MONTH(Tabla2[[#This Row],[fecha]])</f>
        <v>6</v>
      </c>
      <c r="E400" s="8" t="str">
        <f>TEXT(Tabla2[[#This Row],[fecha]], "mmmm")</f>
        <v>junio</v>
      </c>
      <c r="F400" s="8" t="str">
        <f>"T"&amp;ROUNDUP(Tabla2[[#This Row],[mes]]/3,0)</f>
        <v>T2</v>
      </c>
      <c r="G400" t="s">
        <v>42</v>
      </c>
      <c r="H400" t="s">
        <v>43</v>
      </c>
      <c r="I400" s="8" t="str">
        <f>IF(Tabla2[[#This Row],[precio_unitario]]&lt;=30,"Económico",IF(Tabla2[[#This Row],[precio_unitario]]&lt;=58.49,"Accesible","Caro"))</f>
        <v>Accesible</v>
      </c>
      <c r="J400" t="s">
        <v>44</v>
      </c>
      <c r="K400">
        <v>8</v>
      </c>
      <c r="L400" s="19">
        <v>52.31</v>
      </c>
      <c r="M400" s="19">
        <v>23.58</v>
      </c>
      <c r="N400" s="11">
        <v>0</v>
      </c>
      <c r="O400" s="17">
        <f t="shared" si="27"/>
        <v>418.48</v>
      </c>
      <c r="P400" s="17">
        <f t="shared" si="24"/>
        <v>188.64</v>
      </c>
      <c r="Q400" s="17">
        <f t="shared" si="25"/>
        <v>229.84000000000003</v>
      </c>
      <c r="R400" s="24">
        <f t="shared" si="26"/>
        <v>0.54922576945134782</v>
      </c>
      <c r="S400" t="s">
        <v>96</v>
      </c>
      <c r="T400" t="s">
        <v>60</v>
      </c>
    </row>
    <row r="401" spans="1:20" hidden="1">
      <c r="A401" t="s">
        <v>471</v>
      </c>
      <c r="B401" s="5">
        <v>45351</v>
      </c>
      <c r="C401" s="8">
        <f>YEAR(Tabla2[[#This Row],[fecha]])</f>
        <v>2024</v>
      </c>
      <c r="D401" s="8">
        <f>MONTH(Tabla2[[#This Row],[fecha]])</f>
        <v>2</v>
      </c>
      <c r="E401" s="8" t="str">
        <f>TEXT(Tabla2[[#This Row],[fecha]], "mmmm")</f>
        <v>febrero</v>
      </c>
      <c r="F401" s="8" t="str">
        <f>"T"&amp;ROUNDUP(Tabla2[[#This Row],[mes]]/3,0)</f>
        <v>T1</v>
      </c>
      <c r="G401" t="s">
        <v>22</v>
      </c>
      <c r="H401" t="s">
        <v>23</v>
      </c>
      <c r="I401" s="8" t="str">
        <f>IF(Tabla2[[#This Row],[precio_unitario]]&lt;=30,"Económico",IF(Tabla2[[#This Row],[precio_unitario]]&lt;=58.49,"Accesible","Caro"))</f>
        <v>Caro</v>
      </c>
      <c r="J401" t="s">
        <v>17</v>
      </c>
      <c r="K401">
        <v>1</v>
      </c>
      <c r="L401" s="19">
        <v>95.31</v>
      </c>
      <c r="M401" s="19">
        <v>58.42</v>
      </c>
      <c r="N401" s="13">
        <v>0</v>
      </c>
      <c r="O401" s="17">
        <f t="shared" si="27"/>
        <v>95.31</v>
      </c>
      <c r="P401" s="17">
        <f t="shared" si="24"/>
        <v>58.42</v>
      </c>
      <c r="Q401" s="17">
        <f t="shared" si="25"/>
        <v>36.89</v>
      </c>
      <c r="R401" s="24">
        <f t="shared" si="26"/>
        <v>0.38705277515475817</v>
      </c>
      <c r="S401" t="s">
        <v>67</v>
      </c>
      <c r="T401" t="s">
        <v>64</v>
      </c>
    </row>
    <row r="402" spans="1:20" hidden="1">
      <c r="A402" t="s">
        <v>472</v>
      </c>
      <c r="B402" s="5">
        <v>45579</v>
      </c>
      <c r="C402" s="8">
        <f>YEAR(Tabla2[[#This Row],[fecha]])</f>
        <v>2024</v>
      </c>
      <c r="D402" s="8">
        <f>MONTH(Tabla2[[#This Row],[fecha]])</f>
        <v>10</v>
      </c>
      <c r="E402" s="8" t="str">
        <f>TEXT(Tabla2[[#This Row],[fecha]], "mmmm")</f>
        <v>octubre</v>
      </c>
      <c r="F402" s="8" t="str">
        <f>"T"&amp;ROUNDUP(Tabla2[[#This Row],[mes]]/3,0)</f>
        <v>T4</v>
      </c>
      <c r="G402" t="s">
        <v>9</v>
      </c>
      <c r="H402" t="s">
        <v>10</v>
      </c>
      <c r="I402" s="8" t="str">
        <f>IF(Tabla2[[#This Row],[precio_unitario]]&lt;=30,"Económico",IF(Tabla2[[#This Row],[precio_unitario]]&lt;=58.49,"Accesible","Caro"))</f>
        <v>Caro</v>
      </c>
      <c r="J402" t="s">
        <v>8</v>
      </c>
      <c r="K402">
        <v>2</v>
      </c>
      <c r="L402" s="19">
        <v>71.95</v>
      </c>
      <c r="M402" s="19">
        <v>49.06</v>
      </c>
      <c r="N402" s="13">
        <v>0</v>
      </c>
      <c r="O402" s="17">
        <f t="shared" si="27"/>
        <v>143.9</v>
      </c>
      <c r="P402" s="17">
        <f t="shared" si="24"/>
        <v>98.12</v>
      </c>
      <c r="Q402" s="17">
        <f t="shared" si="25"/>
        <v>45.78</v>
      </c>
      <c r="R402" s="24">
        <f t="shared" si="26"/>
        <v>0.31813759555246701</v>
      </c>
      <c r="S402" t="s">
        <v>67</v>
      </c>
      <c r="T402" t="s">
        <v>64</v>
      </c>
    </row>
    <row r="403" spans="1:20" hidden="1">
      <c r="A403" t="s">
        <v>473</v>
      </c>
      <c r="B403" s="5">
        <v>45668</v>
      </c>
      <c r="C403" s="8">
        <f>YEAR(Tabla2[[#This Row],[fecha]])</f>
        <v>2025</v>
      </c>
      <c r="D403" s="8">
        <f>MONTH(Tabla2[[#This Row],[fecha]])</f>
        <v>1</v>
      </c>
      <c r="E403" s="8" t="str">
        <f>TEXT(Tabla2[[#This Row],[fecha]], "mmmm")</f>
        <v>enero</v>
      </c>
      <c r="F403" s="8" t="str">
        <f>"T"&amp;ROUNDUP(Tabla2[[#This Row],[mes]]/3,0)</f>
        <v>T1</v>
      </c>
      <c r="G403" t="s">
        <v>22</v>
      </c>
      <c r="H403" t="s">
        <v>23</v>
      </c>
      <c r="I403" s="8" t="str">
        <f>IF(Tabla2[[#This Row],[precio_unitario]]&lt;=30,"Económico",IF(Tabla2[[#This Row],[precio_unitario]]&lt;=58.49,"Accesible","Caro"))</f>
        <v>Caro</v>
      </c>
      <c r="J403" t="s">
        <v>17</v>
      </c>
      <c r="K403">
        <v>1</v>
      </c>
      <c r="L403" s="19">
        <v>96.42</v>
      </c>
      <c r="M403" s="19">
        <v>59.27</v>
      </c>
      <c r="N403" s="11">
        <v>0.22</v>
      </c>
      <c r="O403" s="17">
        <f t="shared" si="27"/>
        <v>75.207599999999999</v>
      </c>
      <c r="P403" s="17">
        <f t="shared" si="24"/>
        <v>59.27</v>
      </c>
      <c r="Q403" s="17">
        <f t="shared" si="25"/>
        <v>15.937599999999996</v>
      </c>
      <c r="R403" s="24">
        <f t="shared" si="26"/>
        <v>0.21191475329620937</v>
      </c>
      <c r="S403" t="s">
        <v>63</v>
      </c>
      <c r="T403" t="s">
        <v>64</v>
      </c>
    </row>
    <row r="404" spans="1:20" hidden="1">
      <c r="A404" t="s">
        <v>474</v>
      </c>
      <c r="B404" s="5">
        <v>45852</v>
      </c>
      <c r="C404" s="8">
        <f>YEAR(Tabla2[[#This Row],[fecha]])</f>
        <v>2025</v>
      </c>
      <c r="D404" s="8">
        <f>MONTH(Tabla2[[#This Row],[fecha]])</f>
        <v>7</v>
      </c>
      <c r="E404" s="8" t="str">
        <f>TEXT(Tabla2[[#This Row],[fecha]], "mmmm")</f>
        <v>julio</v>
      </c>
      <c r="F404" s="8" t="str">
        <f>"T"&amp;ROUNDUP(Tabla2[[#This Row],[mes]]/3,0)</f>
        <v>T3</v>
      </c>
      <c r="G404" t="s">
        <v>27</v>
      </c>
      <c r="H404" t="s">
        <v>28</v>
      </c>
      <c r="I404" s="8" t="str">
        <f>IF(Tabla2[[#This Row],[precio_unitario]]&lt;=30,"Económico",IF(Tabla2[[#This Row],[precio_unitario]]&lt;=58.49,"Accesible","Caro"))</f>
        <v>Económico</v>
      </c>
      <c r="J404" t="s">
        <v>26</v>
      </c>
      <c r="K404">
        <v>1</v>
      </c>
      <c r="L404" s="19">
        <v>15.4</v>
      </c>
      <c r="M404" s="19">
        <v>11.69</v>
      </c>
      <c r="N404" s="11">
        <v>0</v>
      </c>
      <c r="O404" s="17">
        <f t="shared" si="27"/>
        <v>15.4</v>
      </c>
      <c r="P404" s="17">
        <f t="shared" si="24"/>
        <v>11.69</v>
      </c>
      <c r="Q404" s="17">
        <f t="shared" si="25"/>
        <v>3.7100000000000009</v>
      </c>
      <c r="R404" s="24">
        <f t="shared" si="26"/>
        <v>0.24090909090909096</v>
      </c>
      <c r="S404" t="s">
        <v>540</v>
      </c>
      <c r="T404" t="s">
        <v>64</v>
      </c>
    </row>
    <row r="405" spans="1:20" hidden="1">
      <c r="A405" t="s">
        <v>475</v>
      </c>
      <c r="B405" s="5">
        <v>45692</v>
      </c>
      <c r="C405" s="8">
        <f>YEAR(Tabla2[[#This Row],[fecha]])</f>
        <v>2025</v>
      </c>
      <c r="D405" s="8">
        <f>MONTH(Tabla2[[#This Row],[fecha]])</f>
        <v>2</v>
      </c>
      <c r="E405" s="8" t="str">
        <f>TEXT(Tabla2[[#This Row],[fecha]], "mmmm")</f>
        <v>febrero</v>
      </c>
      <c r="F405" s="8" t="str">
        <f>"T"&amp;ROUNDUP(Tabla2[[#This Row],[mes]]/3,0)</f>
        <v>T1</v>
      </c>
      <c r="G405" t="s">
        <v>22</v>
      </c>
      <c r="H405" t="s">
        <v>23</v>
      </c>
      <c r="I405" s="8" t="str">
        <f>IF(Tabla2[[#This Row],[precio_unitario]]&lt;=30,"Económico",IF(Tabla2[[#This Row],[precio_unitario]]&lt;=58.49,"Accesible","Caro"))</f>
        <v>Caro</v>
      </c>
      <c r="J405" t="s">
        <v>17</v>
      </c>
      <c r="K405">
        <v>1</v>
      </c>
      <c r="L405" s="19">
        <v>97.64</v>
      </c>
      <c r="M405" s="19">
        <v>60.1</v>
      </c>
      <c r="N405" s="11">
        <v>0</v>
      </c>
      <c r="O405" s="17">
        <f t="shared" si="27"/>
        <v>97.64</v>
      </c>
      <c r="P405" s="17">
        <f t="shared" si="24"/>
        <v>60.1</v>
      </c>
      <c r="Q405" s="17">
        <f t="shared" si="25"/>
        <v>37.54</v>
      </c>
      <c r="R405" s="24">
        <f t="shared" si="26"/>
        <v>0.38447357640311347</v>
      </c>
      <c r="S405" t="s">
        <v>96</v>
      </c>
      <c r="T405" t="s">
        <v>60</v>
      </c>
    </row>
    <row r="406" spans="1:20" hidden="1">
      <c r="A406" t="s">
        <v>476</v>
      </c>
      <c r="B406" s="5">
        <v>45540</v>
      </c>
      <c r="C406" s="8">
        <f>YEAR(Tabla2[[#This Row],[fecha]])</f>
        <v>2024</v>
      </c>
      <c r="D406" s="8">
        <f>MONTH(Tabla2[[#This Row],[fecha]])</f>
        <v>9</v>
      </c>
      <c r="E406" s="8" t="str">
        <f>TEXT(Tabla2[[#This Row],[fecha]], "mmmm")</f>
        <v>septiembre</v>
      </c>
      <c r="F406" s="8" t="str">
        <f>"T"&amp;ROUNDUP(Tabla2[[#This Row],[mes]]/3,0)</f>
        <v>T3</v>
      </c>
      <c r="G406" t="s">
        <v>24</v>
      </c>
      <c r="H406" t="s">
        <v>25</v>
      </c>
      <c r="I406" s="8" t="str">
        <f>IF(Tabla2[[#This Row],[precio_unitario]]&lt;=30,"Económico",IF(Tabla2[[#This Row],[precio_unitario]]&lt;=58.49,"Accesible","Caro"))</f>
        <v>Económico</v>
      </c>
      <c r="J406" t="s">
        <v>26</v>
      </c>
      <c r="K406">
        <v>1</v>
      </c>
      <c r="L406" s="19">
        <v>7.78</v>
      </c>
      <c r="M406" s="19">
        <v>4.45</v>
      </c>
      <c r="N406" s="11">
        <v>0</v>
      </c>
      <c r="O406" s="17">
        <f t="shared" si="27"/>
        <v>7.78</v>
      </c>
      <c r="P406" s="17">
        <f t="shared" si="24"/>
        <v>4.45</v>
      </c>
      <c r="Q406" s="17">
        <f t="shared" si="25"/>
        <v>3.33</v>
      </c>
      <c r="R406" s="24">
        <f t="shared" si="26"/>
        <v>0.42802056555269924</v>
      </c>
      <c r="S406" t="s">
        <v>67</v>
      </c>
      <c r="T406" t="s">
        <v>64</v>
      </c>
    </row>
    <row r="407" spans="1:20" hidden="1">
      <c r="A407" t="s">
        <v>477</v>
      </c>
      <c r="B407" s="5">
        <v>45333</v>
      </c>
      <c r="C407" s="8">
        <f>YEAR(Tabla2[[#This Row],[fecha]])</f>
        <v>2024</v>
      </c>
      <c r="D407" s="8">
        <f>MONTH(Tabla2[[#This Row],[fecha]])</f>
        <v>2</v>
      </c>
      <c r="E407" s="8" t="str">
        <f>TEXT(Tabla2[[#This Row],[fecha]], "mmmm")</f>
        <v>febrero</v>
      </c>
      <c r="F407" s="8" t="str">
        <f>"T"&amp;ROUNDUP(Tabla2[[#This Row],[mes]]/3,0)</f>
        <v>T1</v>
      </c>
      <c r="G407" t="s">
        <v>38</v>
      </c>
      <c r="H407" t="s">
        <v>39</v>
      </c>
      <c r="I407" s="8" t="str">
        <f>IF(Tabla2[[#This Row],[precio_unitario]]&lt;=30,"Económico",IF(Tabla2[[#This Row],[precio_unitario]]&lt;=58.49,"Accesible","Caro"))</f>
        <v>Caro</v>
      </c>
      <c r="J407" t="s">
        <v>35</v>
      </c>
      <c r="K407">
        <v>1</v>
      </c>
      <c r="L407" s="19">
        <v>71.64</v>
      </c>
      <c r="M407" s="19">
        <v>42.16</v>
      </c>
      <c r="N407" s="13">
        <v>0</v>
      </c>
      <c r="O407" s="17">
        <f t="shared" si="27"/>
        <v>71.64</v>
      </c>
      <c r="P407" s="17">
        <f t="shared" si="24"/>
        <v>42.16</v>
      </c>
      <c r="Q407" s="17">
        <f t="shared" si="25"/>
        <v>29.480000000000004</v>
      </c>
      <c r="R407" s="24">
        <f t="shared" si="26"/>
        <v>0.4115019542155221</v>
      </c>
      <c r="S407" t="s">
        <v>67</v>
      </c>
      <c r="T407" t="s">
        <v>64</v>
      </c>
    </row>
    <row r="408" spans="1:20" hidden="1">
      <c r="A408" t="s">
        <v>478</v>
      </c>
      <c r="B408" s="5">
        <v>45709</v>
      </c>
      <c r="C408" s="8">
        <f>YEAR(Tabla2[[#This Row],[fecha]])</f>
        <v>2025</v>
      </c>
      <c r="D408" s="8">
        <f>MONTH(Tabla2[[#This Row],[fecha]])</f>
        <v>2</v>
      </c>
      <c r="E408" s="8" t="str">
        <f>TEXT(Tabla2[[#This Row],[fecha]], "mmmm")</f>
        <v>febrero</v>
      </c>
      <c r="F408" s="8" t="str">
        <f>"T"&amp;ROUNDUP(Tabla2[[#This Row],[mes]]/3,0)</f>
        <v>T1</v>
      </c>
      <c r="G408" t="s">
        <v>33</v>
      </c>
      <c r="H408" t="s">
        <v>34</v>
      </c>
      <c r="I408" s="8" t="str">
        <f>IF(Tabla2[[#This Row],[precio_unitario]]&lt;=30,"Económico",IF(Tabla2[[#This Row],[precio_unitario]]&lt;=58.49,"Accesible","Caro"))</f>
        <v>Caro</v>
      </c>
      <c r="J408" t="s">
        <v>35</v>
      </c>
      <c r="K408">
        <v>2</v>
      </c>
      <c r="L408" s="19">
        <v>75.95</v>
      </c>
      <c r="M408" s="19">
        <v>46.44</v>
      </c>
      <c r="N408" s="13">
        <v>0</v>
      </c>
      <c r="O408" s="17">
        <f t="shared" si="27"/>
        <v>151.9</v>
      </c>
      <c r="P408" s="17">
        <f t="shared" si="24"/>
        <v>92.88</v>
      </c>
      <c r="Q408" s="17">
        <f t="shared" si="25"/>
        <v>59.02000000000001</v>
      </c>
      <c r="R408" s="24">
        <f t="shared" si="26"/>
        <v>0.3885450954575379</v>
      </c>
      <c r="S408" t="s">
        <v>540</v>
      </c>
      <c r="T408" t="s">
        <v>64</v>
      </c>
    </row>
    <row r="409" spans="1:20" hidden="1">
      <c r="A409" t="s">
        <v>479</v>
      </c>
      <c r="B409" s="5">
        <v>45609</v>
      </c>
      <c r="C409" s="8">
        <f>YEAR(Tabla2[[#This Row],[fecha]])</f>
        <v>2024</v>
      </c>
      <c r="D409" s="8">
        <f>MONTH(Tabla2[[#This Row],[fecha]])</f>
        <v>11</v>
      </c>
      <c r="E409" s="8" t="str">
        <f>TEXT(Tabla2[[#This Row],[fecha]], "mmmm")</f>
        <v>noviembre</v>
      </c>
      <c r="F409" s="8" t="str">
        <f>"T"&amp;ROUNDUP(Tabla2[[#This Row],[mes]]/3,0)</f>
        <v>T4</v>
      </c>
      <c r="G409" t="s">
        <v>33</v>
      </c>
      <c r="H409" t="s">
        <v>34</v>
      </c>
      <c r="I409" s="8" t="str">
        <f>IF(Tabla2[[#This Row],[precio_unitario]]&lt;=30,"Económico",IF(Tabla2[[#This Row],[precio_unitario]]&lt;=58.49,"Accesible","Caro"))</f>
        <v>Caro</v>
      </c>
      <c r="J409" t="s">
        <v>35</v>
      </c>
      <c r="K409">
        <v>4</v>
      </c>
      <c r="L409" s="19">
        <v>73.05</v>
      </c>
      <c r="M409" s="19">
        <v>48.94</v>
      </c>
      <c r="N409" s="11">
        <v>0</v>
      </c>
      <c r="O409" s="17">
        <f t="shared" si="27"/>
        <v>292.2</v>
      </c>
      <c r="P409" s="17">
        <f t="shared" si="24"/>
        <v>195.76</v>
      </c>
      <c r="Q409" s="17">
        <f t="shared" si="25"/>
        <v>96.44</v>
      </c>
      <c r="R409" s="24">
        <f t="shared" si="26"/>
        <v>0.33004791238877484</v>
      </c>
      <c r="S409" t="s">
        <v>63</v>
      </c>
      <c r="T409" t="s">
        <v>60</v>
      </c>
    </row>
    <row r="410" spans="1:20" hidden="1">
      <c r="A410" t="s">
        <v>480</v>
      </c>
      <c r="B410" s="5">
        <v>45583</v>
      </c>
      <c r="C410" s="8">
        <f>YEAR(Tabla2[[#This Row],[fecha]])</f>
        <v>2024</v>
      </c>
      <c r="D410" s="8">
        <f>MONTH(Tabla2[[#This Row],[fecha]])</f>
        <v>10</v>
      </c>
      <c r="E410" s="8" t="str">
        <f>TEXT(Tabla2[[#This Row],[fecha]], "mmmm")</f>
        <v>octubre</v>
      </c>
      <c r="F410" s="8" t="str">
        <f>"T"&amp;ROUNDUP(Tabla2[[#This Row],[mes]]/3,0)</f>
        <v>T4</v>
      </c>
      <c r="G410" t="s">
        <v>11</v>
      </c>
      <c r="H410" t="s">
        <v>12</v>
      </c>
      <c r="I410" s="8" t="str">
        <f>IF(Tabla2[[#This Row],[precio_unitario]]&lt;=30,"Económico",IF(Tabla2[[#This Row],[precio_unitario]]&lt;=58.49,"Accesible","Caro"))</f>
        <v>Caro</v>
      </c>
      <c r="J410" t="s">
        <v>8</v>
      </c>
      <c r="K410">
        <v>8</v>
      </c>
      <c r="L410" s="19">
        <v>169.6</v>
      </c>
      <c r="M410" s="19">
        <v>91.57</v>
      </c>
      <c r="N410" s="11">
        <v>0</v>
      </c>
      <c r="O410" s="17">
        <f t="shared" si="27"/>
        <v>1356.8</v>
      </c>
      <c r="P410" s="17">
        <f t="shared" si="24"/>
        <v>732.56</v>
      </c>
      <c r="Q410" s="17">
        <f t="shared" si="25"/>
        <v>624.24</v>
      </c>
      <c r="R410" s="24">
        <f t="shared" si="26"/>
        <v>0.46008254716981134</v>
      </c>
      <c r="S410" t="s">
        <v>67</v>
      </c>
      <c r="T410" t="s">
        <v>60</v>
      </c>
    </row>
    <row r="411" spans="1:20" hidden="1">
      <c r="A411" t="s">
        <v>481</v>
      </c>
      <c r="B411" s="5">
        <v>45424</v>
      </c>
      <c r="C411" s="8">
        <f>YEAR(Tabla2[[#This Row],[fecha]])</f>
        <v>2024</v>
      </c>
      <c r="D411" s="8">
        <f>MONTH(Tabla2[[#This Row],[fecha]])</f>
        <v>5</v>
      </c>
      <c r="E411" s="8" t="str">
        <f>TEXT(Tabla2[[#This Row],[fecha]], "mmmm")</f>
        <v>mayo</v>
      </c>
      <c r="F411" s="8" t="str">
        <f>"T"&amp;ROUNDUP(Tabla2[[#This Row],[mes]]/3,0)</f>
        <v>T2</v>
      </c>
      <c r="G411" t="s">
        <v>47</v>
      </c>
      <c r="H411" t="s">
        <v>48</v>
      </c>
      <c r="I411" s="8" t="str">
        <f>IF(Tabla2[[#This Row],[precio_unitario]]&lt;=30,"Económico",IF(Tabla2[[#This Row],[precio_unitario]]&lt;=58.49,"Accesible","Caro"))</f>
        <v>Accesible</v>
      </c>
      <c r="J411" t="s">
        <v>44</v>
      </c>
      <c r="K411">
        <v>4</v>
      </c>
      <c r="L411" s="19">
        <v>55.19</v>
      </c>
      <c r="M411" s="19">
        <v>31.28</v>
      </c>
      <c r="N411" s="11">
        <v>0</v>
      </c>
      <c r="O411" s="17">
        <f t="shared" si="27"/>
        <v>220.76</v>
      </c>
      <c r="P411" s="17">
        <f t="shared" si="24"/>
        <v>125.12</v>
      </c>
      <c r="Q411" s="17">
        <f t="shared" si="25"/>
        <v>95.639999999999986</v>
      </c>
      <c r="R411" s="24">
        <f t="shared" si="26"/>
        <v>0.43323065772784919</v>
      </c>
      <c r="S411" s="10" t="s">
        <v>2377</v>
      </c>
      <c r="T411" t="s">
        <v>60</v>
      </c>
    </row>
    <row r="412" spans="1:20" hidden="1">
      <c r="A412" t="s">
        <v>482</v>
      </c>
      <c r="B412" s="5">
        <v>45653</v>
      </c>
      <c r="C412" s="8">
        <f>YEAR(Tabla2[[#This Row],[fecha]])</f>
        <v>2024</v>
      </c>
      <c r="D412" s="8">
        <f>MONTH(Tabla2[[#This Row],[fecha]])</f>
        <v>12</v>
      </c>
      <c r="E412" s="8" t="str">
        <f>TEXT(Tabla2[[#This Row],[fecha]], "mmmm")</f>
        <v>diciembre</v>
      </c>
      <c r="F412" s="8" t="str">
        <f>"T"&amp;ROUNDUP(Tabla2[[#This Row],[mes]]/3,0)</f>
        <v>T4</v>
      </c>
      <c r="G412" t="s">
        <v>29</v>
      </c>
      <c r="H412" t="s">
        <v>30</v>
      </c>
      <c r="I412" s="8" t="str">
        <f>IF(Tabla2[[#This Row],[precio_unitario]]&lt;=30,"Económico",IF(Tabla2[[#This Row],[precio_unitario]]&lt;=58.49,"Accesible","Caro"))</f>
        <v>Económico</v>
      </c>
      <c r="J412" t="s">
        <v>26</v>
      </c>
      <c r="K412">
        <v>4</v>
      </c>
      <c r="L412" s="19">
        <v>21.04</v>
      </c>
      <c r="M412" s="19">
        <v>11.06</v>
      </c>
      <c r="N412" s="11">
        <v>0.18</v>
      </c>
      <c r="O412" s="17">
        <f t="shared" si="27"/>
        <v>69.011200000000002</v>
      </c>
      <c r="P412" s="17">
        <f t="shared" si="24"/>
        <v>44.24</v>
      </c>
      <c r="Q412" s="17">
        <f t="shared" si="25"/>
        <v>24.7712</v>
      </c>
      <c r="R412" s="24">
        <f t="shared" si="26"/>
        <v>0.35894463507372715</v>
      </c>
      <c r="S412" t="s">
        <v>63</v>
      </c>
      <c r="T412" t="s">
        <v>64</v>
      </c>
    </row>
    <row r="413" spans="1:20" hidden="1">
      <c r="A413" t="s">
        <v>483</v>
      </c>
      <c r="B413" s="5">
        <v>45580</v>
      </c>
      <c r="C413" s="8">
        <f>YEAR(Tabla2[[#This Row],[fecha]])</f>
        <v>2024</v>
      </c>
      <c r="D413" s="8">
        <f>MONTH(Tabla2[[#This Row],[fecha]])</f>
        <v>10</v>
      </c>
      <c r="E413" s="8" t="str">
        <f>TEXT(Tabla2[[#This Row],[fecha]], "mmmm")</f>
        <v>octubre</v>
      </c>
      <c r="F413" s="8" t="str">
        <f>"T"&amp;ROUNDUP(Tabla2[[#This Row],[mes]]/3,0)</f>
        <v>T4</v>
      </c>
      <c r="G413" t="s">
        <v>6</v>
      </c>
      <c r="H413" t="s">
        <v>7</v>
      </c>
      <c r="I413" s="8" t="str">
        <f>IF(Tabla2[[#This Row],[precio_unitario]]&lt;=30,"Económico",IF(Tabla2[[#This Row],[precio_unitario]]&lt;=58.49,"Accesible","Caro"))</f>
        <v>Caro</v>
      </c>
      <c r="J413" t="s">
        <v>8</v>
      </c>
      <c r="K413">
        <v>2</v>
      </c>
      <c r="L413" s="19">
        <v>123.41</v>
      </c>
      <c r="M413" s="19">
        <v>86.75</v>
      </c>
      <c r="N413" s="11">
        <v>0</v>
      </c>
      <c r="O413" s="17">
        <f t="shared" si="27"/>
        <v>246.82</v>
      </c>
      <c r="P413" s="17">
        <f t="shared" si="24"/>
        <v>173.5</v>
      </c>
      <c r="Q413" s="17">
        <f t="shared" si="25"/>
        <v>73.319999999999993</v>
      </c>
      <c r="R413" s="24">
        <f t="shared" si="26"/>
        <v>0.29705858520379219</v>
      </c>
      <c r="S413" t="s">
        <v>96</v>
      </c>
      <c r="T413" t="s">
        <v>60</v>
      </c>
    </row>
    <row r="414" spans="1:20">
      <c r="A414" t="s">
        <v>484</v>
      </c>
      <c r="B414" s="5">
        <v>45800</v>
      </c>
      <c r="C414" s="8">
        <f>YEAR(Tabla2[[#This Row],[fecha]])</f>
        <v>2025</v>
      </c>
      <c r="D414" s="8">
        <f>MONTH(Tabla2[[#This Row],[fecha]])</f>
        <v>5</v>
      </c>
      <c r="E414" s="8" t="str">
        <f>TEXT(Tabla2[[#This Row],[fecha]], "mmmm")</f>
        <v>mayo</v>
      </c>
      <c r="F414" s="8" t="str">
        <f>"T"&amp;ROUNDUP(Tabla2[[#This Row],[mes]]/3,0)</f>
        <v>T2</v>
      </c>
      <c r="G414" t="s">
        <v>42</v>
      </c>
      <c r="H414" t="s">
        <v>43</v>
      </c>
      <c r="I414" s="8" t="str">
        <f>IF(Tabla2[[#This Row],[precio_unitario]]&lt;=30,"Económico",IF(Tabla2[[#This Row],[precio_unitario]]&lt;=58.49,"Accesible","Caro"))</f>
        <v>Accesible</v>
      </c>
      <c r="J414" t="s">
        <v>44</v>
      </c>
      <c r="K414">
        <v>1</v>
      </c>
      <c r="L414" s="19">
        <v>47.1</v>
      </c>
      <c r="M414" s="19">
        <v>22.35</v>
      </c>
      <c r="N414" s="11">
        <v>0</v>
      </c>
      <c r="O414" s="17">
        <f t="shared" si="27"/>
        <v>47.1</v>
      </c>
      <c r="P414" s="17">
        <f t="shared" si="24"/>
        <v>22.35</v>
      </c>
      <c r="Q414" s="17">
        <f t="shared" si="25"/>
        <v>24.75</v>
      </c>
      <c r="R414" s="24">
        <f t="shared" si="26"/>
        <v>0.52547770700636942</v>
      </c>
      <c r="S414" t="s">
        <v>67</v>
      </c>
      <c r="T414" t="s">
        <v>64</v>
      </c>
    </row>
    <row r="415" spans="1:20" hidden="1">
      <c r="A415" t="s">
        <v>485</v>
      </c>
      <c r="B415" s="5">
        <v>45538</v>
      </c>
      <c r="C415" s="8">
        <f>YEAR(Tabla2[[#This Row],[fecha]])</f>
        <v>2024</v>
      </c>
      <c r="D415" s="8">
        <f>MONTH(Tabla2[[#This Row],[fecha]])</f>
        <v>9</v>
      </c>
      <c r="E415" s="8" t="str">
        <f>TEXT(Tabla2[[#This Row],[fecha]], "mmmm")</f>
        <v>septiembre</v>
      </c>
      <c r="F415" s="8" t="str">
        <f>"T"&amp;ROUNDUP(Tabla2[[#This Row],[mes]]/3,0)</f>
        <v>T3</v>
      </c>
      <c r="G415" t="s">
        <v>20</v>
      </c>
      <c r="H415" t="s">
        <v>21</v>
      </c>
      <c r="I415" s="8" t="str">
        <f>IF(Tabla2[[#This Row],[precio_unitario]]&lt;=30,"Económico",IF(Tabla2[[#This Row],[precio_unitario]]&lt;=58.49,"Accesible","Caro"))</f>
        <v>Económico</v>
      </c>
      <c r="J415" t="s">
        <v>17</v>
      </c>
      <c r="K415">
        <v>1</v>
      </c>
      <c r="L415" s="19">
        <v>19.55</v>
      </c>
      <c r="M415" s="19">
        <v>12.67</v>
      </c>
      <c r="N415" s="11">
        <v>0</v>
      </c>
      <c r="O415" s="17">
        <f t="shared" si="27"/>
        <v>19.55</v>
      </c>
      <c r="P415" s="17">
        <f t="shared" si="24"/>
        <v>12.67</v>
      </c>
      <c r="Q415" s="17">
        <f t="shared" si="25"/>
        <v>6.8800000000000008</v>
      </c>
      <c r="R415" s="24">
        <f t="shared" si="26"/>
        <v>0.35191815856777497</v>
      </c>
      <c r="S415" t="s">
        <v>83</v>
      </c>
      <c r="T415" t="s">
        <v>64</v>
      </c>
    </row>
    <row r="416" spans="1:20" hidden="1">
      <c r="A416" t="s">
        <v>486</v>
      </c>
      <c r="B416" s="5">
        <v>45372</v>
      </c>
      <c r="C416" s="8">
        <f>YEAR(Tabla2[[#This Row],[fecha]])</f>
        <v>2024</v>
      </c>
      <c r="D416" s="8">
        <f>MONTH(Tabla2[[#This Row],[fecha]])</f>
        <v>3</v>
      </c>
      <c r="E416" s="8" t="str">
        <f>TEXT(Tabla2[[#This Row],[fecha]], "mmmm")</f>
        <v>marzo</v>
      </c>
      <c r="F416" s="8" t="str">
        <f>"T"&amp;ROUNDUP(Tabla2[[#This Row],[mes]]/3,0)</f>
        <v>T1</v>
      </c>
      <c r="G416" t="s">
        <v>15</v>
      </c>
      <c r="H416" t="s">
        <v>16</v>
      </c>
      <c r="I416" s="8" t="str">
        <f>IF(Tabla2[[#This Row],[precio_unitario]]&lt;=30,"Económico",IF(Tabla2[[#This Row],[precio_unitario]]&lt;=58.49,"Accesible","Caro"))</f>
        <v>Accesible</v>
      </c>
      <c r="J416" t="s">
        <v>17</v>
      </c>
      <c r="K416">
        <v>1</v>
      </c>
      <c r="L416" s="19">
        <v>54.97</v>
      </c>
      <c r="M416" s="19">
        <v>40.479999999999997</v>
      </c>
      <c r="N416" s="11">
        <v>0</v>
      </c>
      <c r="O416" s="17">
        <f t="shared" si="27"/>
        <v>54.97</v>
      </c>
      <c r="P416" s="17">
        <f t="shared" si="24"/>
        <v>40.479999999999997</v>
      </c>
      <c r="Q416" s="17">
        <f t="shared" si="25"/>
        <v>14.490000000000002</v>
      </c>
      <c r="R416" s="24">
        <f t="shared" si="26"/>
        <v>0.26359832635983266</v>
      </c>
      <c r="S416" t="s">
        <v>67</v>
      </c>
      <c r="T416" t="s">
        <v>60</v>
      </c>
    </row>
    <row r="417" spans="1:20" hidden="1">
      <c r="A417" t="s">
        <v>487</v>
      </c>
      <c r="B417" s="5">
        <v>45668</v>
      </c>
      <c r="C417" s="8">
        <f>YEAR(Tabla2[[#This Row],[fecha]])</f>
        <v>2025</v>
      </c>
      <c r="D417" s="8">
        <f>MONTH(Tabla2[[#This Row],[fecha]])</f>
        <v>1</v>
      </c>
      <c r="E417" s="8" t="str">
        <f>TEXT(Tabla2[[#This Row],[fecha]], "mmmm")</f>
        <v>enero</v>
      </c>
      <c r="F417" s="8" t="str">
        <f>"T"&amp;ROUNDUP(Tabla2[[#This Row],[mes]]/3,0)</f>
        <v>T1</v>
      </c>
      <c r="G417" t="s">
        <v>13</v>
      </c>
      <c r="H417" t="s">
        <v>14</v>
      </c>
      <c r="I417" s="8" t="str">
        <f>IF(Tabla2[[#This Row],[precio_unitario]]&lt;=30,"Económico",IF(Tabla2[[#This Row],[precio_unitario]]&lt;=58.49,"Accesible","Caro"))</f>
        <v>Caro</v>
      </c>
      <c r="J417" t="s">
        <v>8</v>
      </c>
      <c r="K417">
        <v>3</v>
      </c>
      <c r="L417" s="19">
        <v>168.45</v>
      </c>
      <c r="M417" s="19">
        <v>113.45</v>
      </c>
      <c r="N417" s="11">
        <v>0</v>
      </c>
      <c r="O417" s="17">
        <f t="shared" si="27"/>
        <v>505.34999999999997</v>
      </c>
      <c r="P417" s="17">
        <f t="shared" si="24"/>
        <v>340.35</v>
      </c>
      <c r="Q417" s="17">
        <f t="shared" si="25"/>
        <v>164.99999999999994</v>
      </c>
      <c r="R417" s="24">
        <f t="shared" si="26"/>
        <v>0.32650638171564256</v>
      </c>
      <c r="S417" t="s">
        <v>540</v>
      </c>
      <c r="T417" t="s">
        <v>64</v>
      </c>
    </row>
    <row r="418" spans="1:20" hidden="1">
      <c r="A418" t="s">
        <v>488</v>
      </c>
      <c r="B418" s="5">
        <v>45815</v>
      </c>
      <c r="C418" s="8">
        <f>YEAR(Tabla2[[#This Row],[fecha]])</f>
        <v>2025</v>
      </c>
      <c r="D418" s="8">
        <f>MONTH(Tabla2[[#This Row],[fecha]])</f>
        <v>6</v>
      </c>
      <c r="E418" s="8" t="str">
        <f>TEXT(Tabla2[[#This Row],[fecha]], "mmmm")</f>
        <v>junio</v>
      </c>
      <c r="F418" s="8" t="str">
        <f>"T"&amp;ROUNDUP(Tabla2[[#This Row],[mes]]/3,0)</f>
        <v>T2</v>
      </c>
      <c r="G418" t="s">
        <v>20</v>
      </c>
      <c r="H418" t="s">
        <v>21</v>
      </c>
      <c r="I418" s="8" t="str">
        <f>IF(Tabla2[[#This Row],[precio_unitario]]&lt;=30,"Económico",IF(Tabla2[[#This Row],[precio_unitario]]&lt;=58.49,"Accesible","Caro"))</f>
        <v>Económico</v>
      </c>
      <c r="J418" t="s">
        <v>17</v>
      </c>
      <c r="K418">
        <v>1</v>
      </c>
      <c r="L418" s="19">
        <v>20.27</v>
      </c>
      <c r="M418" s="19">
        <v>12.69</v>
      </c>
      <c r="N418" s="13">
        <v>0</v>
      </c>
      <c r="O418" s="17">
        <f t="shared" si="27"/>
        <v>20.27</v>
      </c>
      <c r="P418" s="17">
        <f t="shared" si="24"/>
        <v>12.69</v>
      </c>
      <c r="Q418" s="17">
        <f t="shared" si="25"/>
        <v>7.58</v>
      </c>
      <c r="R418" s="24">
        <f t="shared" si="26"/>
        <v>0.37395165268870251</v>
      </c>
      <c r="S418" t="s">
        <v>540</v>
      </c>
      <c r="T418" t="s">
        <v>64</v>
      </c>
    </row>
    <row r="419" spans="1:20">
      <c r="A419" t="s">
        <v>489</v>
      </c>
      <c r="B419" s="5">
        <v>45695</v>
      </c>
      <c r="C419" s="8">
        <f>YEAR(Tabla2[[#This Row],[fecha]])</f>
        <v>2025</v>
      </c>
      <c r="D419" s="8">
        <f>MONTH(Tabla2[[#This Row],[fecha]])</f>
        <v>2</v>
      </c>
      <c r="E419" s="8" t="str">
        <f>TEXT(Tabla2[[#This Row],[fecha]], "mmmm")</f>
        <v>febrero</v>
      </c>
      <c r="F419" s="8" t="str">
        <f>"T"&amp;ROUNDUP(Tabla2[[#This Row],[mes]]/3,0)</f>
        <v>T1</v>
      </c>
      <c r="G419" t="s">
        <v>9</v>
      </c>
      <c r="H419" t="s">
        <v>10</v>
      </c>
      <c r="I419" s="8" t="str">
        <f>IF(Tabla2[[#This Row],[precio_unitario]]&lt;=30,"Económico",IF(Tabla2[[#This Row],[precio_unitario]]&lt;=58.49,"Accesible","Caro"))</f>
        <v>Caro</v>
      </c>
      <c r="J419" t="s">
        <v>8</v>
      </c>
      <c r="K419">
        <v>1</v>
      </c>
      <c r="L419" s="19">
        <v>78.069999999999993</v>
      </c>
      <c r="M419" s="19">
        <v>48.81</v>
      </c>
      <c r="N419" s="11">
        <v>0</v>
      </c>
      <c r="O419" s="17">
        <f t="shared" si="27"/>
        <v>78.069999999999993</v>
      </c>
      <c r="P419" s="17">
        <f t="shared" si="24"/>
        <v>48.81</v>
      </c>
      <c r="Q419" s="17">
        <f t="shared" si="25"/>
        <v>29.259999999999991</v>
      </c>
      <c r="R419" s="24">
        <f t="shared" si="26"/>
        <v>0.37479185346483918</v>
      </c>
      <c r="S419" t="s">
        <v>67</v>
      </c>
      <c r="T419" t="s">
        <v>60</v>
      </c>
    </row>
    <row r="420" spans="1:20" hidden="1">
      <c r="A420" t="s">
        <v>490</v>
      </c>
      <c r="B420" s="5">
        <v>45658</v>
      </c>
      <c r="C420" s="8">
        <f>YEAR(Tabla2[[#This Row],[fecha]])</f>
        <v>2025</v>
      </c>
      <c r="D420" s="8">
        <f>MONTH(Tabla2[[#This Row],[fecha]])</f>
        <v>1</v>
      </c>
      <c r="E420" s="8" t="str">
        <f>TEXT(Tabla2[[#This Row],[fecha]], "mmmm")</f>
        <v>enero</v>
      </c>
      <c r="F420" s="8" t="str">
        <f>"T"&amp;ROUNDUP(Tabla2[[#This Row],[mes]]/3,0)</f>
        <v>T1</v>
      </c>
      <c r="G420" t="s">
        <v>42</v>
      </c>
      <c r="H420" t="s">
        <v>43</v>
      </c>
      <c r="I420" s="8" t="str">
        <f>IF(Tabla2[[#This Row],[precio_unitario]]&lt;=30,"Económico",IF(Tabla2[[#This Row],[precio_unitario]]&lt;=58.49,"Accesible","Caro"))</f>
        <v>Accesible</v>
      </c>
      <c r="J420" t="s">
        <v>44</v>
      </c>
      <c r="K420">
        <v>4</v>
      </c>
      <c r="L420" s="19">
        <v>51.83</v>
      </c>
      <c r="M420" s="19">
        <v>23.64</v>
      </c>
      <c r="N420" s="13">
        <v>0</v>
      </c>
      <c r="O420" s="17">
        <f t="shared" si="27"/>
        <v>207.32</v>
      </c>
      <c r="P420" s="17">
        <f t="shared" si="24"/>
        <v>94.56</v>
      </c>
      <c r="Q420" s="17">
        <f t="shared" si="25"/>
        <v>112.75999999999999</v>
      </c>
      <c r="R420" s="24">
        <f t="shared" si="26"/>
        <v>0.54389349797414621</v>
      </c>
      <c r="S420" t="s">
        <v>63</v>
      </c>
      <c r="T420" t="s">
        <v>64</v>
      </c>
    </row>
    <row r="421" spans="1:20" hidden="1">
      <c r="A421" t="s">
        <v>491</v>
      </c>
      <c r="B421" s="5">
        <v>45421</v>
      </c>
      <c r="C421" s="8">
        <f>YEAR(Tabla2[[#This Row],[fecha]])</f>
        <v>2024</v>
      </c>
      <c r="D421" s="8">
        <f>MONTH(Tabla2[[#This Row],[fecha]])</f>
        <v>5</v>
      </c>
      <c r="E421" s="8" t="str">
        <f>TEXT(Tabla2[[#This Row],[fecha]], "mmmm")</f>
        <v>mayo</v>
      </c>
      <c r="F421" s="8" t="str">
        <f>"T"&amp;ROUNDUP(Tabla2[[#This Row],[mes]]/3,0)</f>
        <v>T2</v>
      </c>
      <c r="G421" t="s">
        <v>22</v>
      </c>
      <c r="H421" t="s">
        <v>23</v>
      </c>
      <c r="I421" s="8" t="str">
        <f>IF(Tabla2[[#This Row],[precio_unitario]]&lt;=30,"Económico",IF(Tabla2[[#This Row],[precio_unitario]]&lt;=58.49,"Accesible","Caro"))</f>
        <v>Caro</v>
      </c>
      <c r="J421" t="s">
        <v>17</v>
      </c>
      <c r="K421">
        <v>1</v>
      </c>
      <c r="L421" s="19">
        <v>95.78</v>
      </c>
      <c r="M421" s="19">
        <v>57.61</v>
      </c>
      <c r="N421" s="11">
        <v>0.12</v>
      </c>
      <c r="O421" s="17">
        <f t="shared" si="27"/>
        <v>84.2864</v>
      </c>
      <c r="P421" s="17">
        <f t="shared" si="24"/>
        <v>57.61</v>
      </c>
      <c r="Q421" s="17">
        <f t="shared" si="25"/>
        <v>26.676400000000001</v>
      </c>
      <c r="R421" s="24">
        <f t="shared" si="26"/>
        <v>0.31649708612540101</v>
      </c>
      <c r="S421" t="s">
        <v>67</v>
      </c>
      <c r="T421" t="s">
        <v>60</v>
      </c>
    </row>
    <row r="422" spans="1:20" hidden="1">
      <c r="A422" t="s">
        <v>492</v>
      </c>
      <c r="B422" s="5">
        <v>45395</v>
      </c>
      <c r="C422" s="8">
        <f>YEAR(Tabla2[[#This Row],[fecha]])</f>
        <v>2024</v>
      </c>
      <c r="D422" s="8">
        <f>MONTH(Tabla2[[#This Row],[fecha]])</f>
        <v>4</v>
      </c>
      <c r="E422" s="8" t="str">
        <f>TEXT(Tabla2[[#This Row],[fecha]], "mmmm")</f>
        <v>abril</v>
      </c>
      <c r="F422" s="8" t="str">
        <f>"T"&amp;ROUNDUP(Tabla2[[#This Row],[mes]]/3,0)</f>
        <v>T2</v>
      </c>
      <c r="G422" t="s">
        <v>11</v>
      </c>
      <c r="H422" t="s">
        <v>12</v>
      </c>
      <c r="I422" s="8" t="str">
        <f>IF(Tabla2[[#This Row],[precio_unitario]]&lt;=30,"Económico",IF(Tabla2[[#This Row],[precio_unitario]]&lt;=58.49,"Accesible","Caro"))</f>
        <v>Caro</v>
      </c>
      <c r="J422" t="s">
        <v>8</v>
      </c>
      <c r="K422">
        <v>2</v>
      </c>
      <c r="L422" s="19">
        <v>171.01</v>
      </c>
      <c r="M422" s="19">
        <v>89.95</v>
      </c>
      <c r="N422" s="13">
        <v>0</v>
      </c>
      <c r="O422" s="17">
        <f t="shared" si="27"/>
        <v>342.02</v>
      </c>
      <c r="P422" s="17">
        <f t="shared" si="24"/>
        <v>179.9</v>
      </c>
      <c r="Q422" s="17">
        <f t="shared" si="25"/>
        <v>162.11999999999998</v>
      </c>
      <c r="R422" s="24">
        <f t="shared" si="26"/>
        <v>0.47400736799017595</v>
      </c>
      <c r="S422" t="s">
        <v>96</v>
      </c>
      <c r="T422" t="s">
        <v>64</v>
      </c>
    </row>
    <row r="423" spans="1:20" hidden="1">
      <c r="A423" t="s">
        <v>493</v>
      </c>
      <c r="B423" s="5">
        <v>45317</v>
      </c>
      <c r="C423" s="8">
        <f>YEAR(Tabla2[[#This Row],[fecha]])</f>
        <v>2024</v>
      </c>
      <c r="D423" s="8">
        <f>MONTH(Tabla2[[#This Row],[fecha]])</f>
        <v>1</v>
      </c>
      <c r="E423" s="8" t="str">
        <f>TEXT(Tabla2[[#This Row],[fecha]], "mmmm")</f>
        <v>enero</v>
      </c>
      <c r="F423" s="8" t="str">
        <f>"T"&amp;ROUNDUP(Tabla2[[#This Row],[mes]]/3,0)</f>
        <v>T1</v>
      </c>
      <c r="G423" t="s">
        <v>27</v>
      </c>
      <c r="H423" t="s">
        <v>28</v>
      </c>
      <c r="I423" s="8" t="str">
        <f>IF(Tabla2[[#This Row],[precio_unitario]]&lt;=30,"Económico",IF(Tabla2[[#This Row],[precio_unitario]]&lt;=58.49,"Accesible","Caro"))</f>
        <v>Económico</v>
      </c>
      <c r="J423" t="s">
        <v>26</v>
      </c>
      <c r="K423">
        <v>2</v>
      </c>
      <c r="L423" s="19">
        <v>15.18</v>
      </c>
      <c r="M423" s="19">
        <v>11.6</v>
      </c>
      <c r="N423" s="13">
        <v>0</v>
      </c>
      <c r="O423" s="17">
        <f t="shared" si="27"/>
        <v>30.36</v>
      </c>
      <c r="P423" s="17">
        <f t="shared" si="24"/>
        <v>23.2</v>
      </c>
      <c r="Q423" s="17">
        <f t="shared" si="25"/>
        <v>7.16</v>
      </c>
      <c r="R423" s="24">
        <f t="shared" si="26"/>
        <v>0.23583662714097497</v>
      </c>
      <c r="S423" t="s">
        <v>540</v>
      </c>
      <c r="T423" t="s">
        <v>64</v>
      </c>
    </row>
    <row r="424" spans="1:20" hidden="1">
      <c r="A424" t="s">
        <v>494</v>
      </c>
      <c r="B424" s="5">
        <v>45702</v>
      </c>
      <c r="C424" s="8">
        <f>YEAR(Tabla2[[#This Row],[fecha]])</f>
        <v>2025</v>
      </c>
      <c r="D424" s="8">
        <f>MONTH(Tabla2[[#This Row],[fecha]])</f>
        <v>2</v>
      </c>
      <c r="E424" s="8" t="str">
        <f>TEXT(Tabla2[[#This Row],[fecha]], "mmmm")</f>
        <v>febrero</v>
      </c>
      <c r="F424" s="8" t="str">
        <f>"T"&amp;ROUNDUP(Tabla2[[#This Row],[mes]]/3,0)</f>
        <v>T1</v>
      </c>
      <c r="G424" t="s">
        <v>6</v>
      </c>
      <c r="H424" t="s">
        <v>7</v>
      </c>
      <c r="I424" s="8" t="str">
        <f>IF(Tabla2[[#This Row],[precio_unitario]]&lt;=30,"Económico",IF(Tabla2[[#This Row],[precio_unitario]]&lt;=58.49,"Accesible","Caro"))</f>
        <v>Caro</v>
      </c>
      <c r="J424" t="s">
        <v>8</v>
      </c>
      <c r="K424">
        <v>1</v>
      </c>
      <c r="L424" s="19">
        <v>117.71</v>
      </c>
      <c r="M424" s="19">
        <v>84.45</v>
      </c>
      <c r="N424" s="11">
        <v>0</v>
      </c>
      <c r="O424" s="17">
        <f t="shared" si="27"/>
        <v>117.71</v>
      </c>
      <c r="P424" s="17">
        <f t="shared" si="24"/>
        <v>84.45</v>
      </c>
      <c r="Q424" s="17">
        <f t="shared" si="25"/>
        <v>33.259999999999991</v>
      </c>
      <c r="R424" s="24">
        <f t="shared" si="26"/>
        <v>0.28255883102540136</v>
      </c>
      <c r="S424" t="s">
        <v>540</v>
      </c>
      <c r="T424" t="s">
        <v>64</v>
      </c>
    </row>
    <row r="425" spans="1:20">
      <c r="A425" t="s">
        <v>495</v>
      </c>
      <c r="B425" s="5">
        <v>45776</v>
      </c>
      <c r="C425" s="8">
        <f>YEAR(Tabla2[[#This Row],[fecha]])</f>
        <v>2025</v>
      </c>
      <c r="D425" s="8">
        <f>MONTH(Tabla2[[#This Row],[fecha]])</f>
        <v>4</v>
      </c>
      <c r="E425" s="8" t="str">
        <f>TEXT(Tabla2[[#This Row],[fecha]], "mmmm")</f>
        <v>abril</v>
      </c>
      <c r="F425" s="8" t="str">
        <f>"T"&amp;ROUNDUP(Tabla2[[#This Row],[mes]]/3,0)</f>
        <v>T2</v>
      </c>
      <c r="G425" t="s">
        <v>11</v>
      </c>
      <c r="H425" t="s">
        <v>12</v>
      </c>
      <c r="I425" s="8" t="str">
        <f>IF(Tabla2[[#This Row],[precio_unitario]]&lt;=30,"Económico",IF(Tabla2[[#This Row],[precio_unitario]]&lt;=58.49,"Accesible","Caro"))</f>
        <v>Caro</v>
      </c>
      <c r="J425" t="s">
        <v>8</v>
      </c>
      <c r="K425">
        <v>3</v>
      </c>
      <c r="L425" s="20">
        <f>INDEX(Tabla3[precio_venta_recomendado], MATCH(Tabla2[[#This Row],[id_producto]], Tabla3[id_producto], 0))</f>
        <v>177.72</v>
      </c>
      <c r="M425" s="19">
        <v>97.35</v>
      </c>
      <c r="N425" s="11">
        <v>0</v>
      </c>
      <c r="O425" s="17">
        <f t="shared" si="27"/>
        <v>533.16</v>
      </c>
      <c r="P425" s="17">
        <f t="shared" si="24"/>
        <v>292.04999999999995</v>
      </c>
      <c r="Q425" s="17">
        <f t="shared" si="25"/>
        <v>241.11</v>
      </c>
      <c r="R425" s="24">
        <f t="shared" si="26"/>
        <v>0.45222822417285624</v>
      </c>
      <c r="S425" t="s">
        <v>67</v>
      </c>
      <c r="T425" t="s">
        <v>496</v>
      </c>
    </row>
    <row r="426" spans="1:20" hidden="1">
      <c r="A426" t="s">
        <v>497</v>
      </c>
      <c r="B426" s="5">
        <v>45966</v>
      </c>
      <c r="C426" s="8">
        <f>YEAR(Tabla2[[#This Row],[fecha]])</f>
        <v>2025</v>
      </c>
      <c r="D426" s="8">
        <f>MONTH(Tabla2[[#This Row],[fecha]])</f>
        <v>11</v>
      </c>
      <c r="E426" s="8" t="str">
        <f>TEXT(Tabla2[[#This Row],[fecha]], "mmmm")</f>
        <v>noviembre</v>
      </c>
      <c r="F426" s="8" t="str">
        <f>"T"&amp;ROUNDUP(Tabla2[[#This Row],[mes]]/3,0)</f>
        <v>T4</v>
      </c>
      <c r="G426" t="s">
        <v>9</v>
      </c>
      <c r="H426" t="s">
        <v>10</v>
      </c>
      <c r="I426" s="8" t="str">
        <f>IF(Tabla2[[#This Row],[precio_unitario]]&lt;=30,"Económico",IF(Tabla2[[#This Row],[precio_unitario]]&lt;=58.49,"Accesible","Caro"))</f>
        <v>Caro</v>
      </c>
      <c r="J426" t="s">
        <v>8</v>
      </c>
      <c r="K426">
        <v>3</v>
      </c>
      <c r="L426" s="19">
        <v>76</v>
      </c>
      <c r="M426" s="19">
        <v>47.18</v>
      </c>
      <c r="N426" s="11">
        <v>0</v>
      </c>
      <c r="O426" s="17">
        <f t="shared" si="27"/>
        <v>228</v>
      </c>
      <c r="P426" s="17">
        <f t="shared" si="24"/>
        <v>141.54</v>
      </c>
      <c r="Q426" s="17">
        <f t="shared" si="25"/>
        <v>86.460000000000008</v>
      </c>
      <c r="R426" s="24">
        <f t="shared" si="26"/>
        <v>0.3792105263157895</v>
      </c>
      <c r="S426" t="s">
        <v>540</v>
      </c>
      <c r="T426" t="s">
        <v>64</v>
      </c>
    </row>
    <row r="427" spans="1:20" hidden="1">
      <c r="A427" t="s">
        <v>498</v>
      </c>
      <c r="B427" s="5">
        <v>45513</v>
      </c>
      <c r="C427" s="8">
        <f>YEAR(Tabla2[[#This Row],[fecha]])</f>
        <v>2024</v>
      </c>
      <c r="D427" s="8">
        <f>MONTH(Tabla2[[#This Row],[fecha]])</f>
        <v>8</v>
      </c>
      <c r="E427" s="8" t="str">
        <f>TEXT(Tabla2[[#This Row],[fecha]], "mmmm")</f>
        <v>agosto</v>
      </c>
      <c r="F427" s="8" t="str">
        <f>"T"&amp;ROUNDUP(Tabla2[[#This Row],[mes]]/3,0)</f>
        <v>T3</v>
      </c>
      <c r="G427" t="s">
        <v>6</v>
      </c>
      <c r="H427" t="s">
        <v>7</v>
      </c>
      <c r="I427" s="8" t="str">
        <f>IF(Tabla2[[#This Row],[precio_unitario]]&lt;=30,"Económico",IF(Tabla2[[#This Row],[precio_unitario]]&lt;=58.49,"Accesible","Caro"))</f>
        <v>Caro</v>
      </c>
      <c r="J427" t="s">
        <v>8</v>
      </c>
      <c r="K427">
        <v>6</v>
      </c>
      <c r="L427" s="19">
        <v>125.81</v>
      </c>
      <c r="M427" s="19">
        <v>88.03</v>
      </c>
      <c r="N427" s="13">
        <v>0</v>
      </c>
      <c r="O427" s="17">
        <f t="shared" si="27"/>
        <v>754.86</v>
      </c>
      <c r="P427" s="17">
        <f t="shared" si="24"/>
        <v>528.18000000000006</v>
      </c>
      <c r="Q427" s="17">
        <f t="shared" si="25"/>
        <v>226.67999999999995</v>
      </c>
      <c r="R427" s="24">
        <f t="shared" si="26"/>
        <v>0.30029409426913595</v>
      </c>
      <c r="S427" t="s">
        <v>63</v>
      </c>
      <c r="T427" t="s">
        <v>60</v>
      </c>
    </row>
    <row r="428" spans="1:20" hidden="1">
      <c r="A428" t="s">
        <v>499</v>
      </c>
      <c r="B428" s="5">
        <v>45414</v>
      </c>
      <c r="C428" s="8">
        <f>YEAR(Tabla2[[#This Row],[fecha]])</f>
        <v>2024</v>
      </c>
      <c r="D428" s="8">
        <f>MONTH(Tabla2[[#This Row],[fecha]])</f>
        <v>5</v>
      </c>
      <c r="E428" s="8" t="str">
        <f>TEXT(Tabla2[[#This Row],[fecha]], "mmmm")</f>
        <v>mayo</v>
      </c>
      <c r="F428" s="8" t="str">
        <f>"T"&amp;ROUNDUP(Tabla2[[#This Row],[mes]]/3,0)</f>
        <v>T2</v>
      </c>
      <c r="G428" t="s">
        <v>20</v>
      </c>
      <c r="H428" t="s">
        <v>21</v>
      </c>
      <c r="I428" s="8" t="str">
        <f>IF(Tabla2[[#This Row],[precio_unitario]]&lt;=30,"Económico",IF(Tabla2[[#This Row],[precio_unitario]]&lt;=58.49,"Accesible","Caro"))</f>
        <v>Económico</v>
      </c>
      <c r="J428" t="s">
        <v>17</v>
      </c>
      <c r="K428">
        <v>1</v>
      </c>
      <c r="L428" s="19">
        <v>20.78</v>
      </c>
      <c r="M428" s="19">
        <v>13.25</v>
      </c>
      <c r="N428" s="11">
        <v>0.15</v>
      </c>
      <c r="O428" s="17">
        <f t="shared" si="27"/>
        <v>17.663</v>
      </c>
      <c r="P428" s="17">
        <f t="shared" si="24"/>
        <v>13.25</v>
      </c>
      <c r="Q428" s="17">
        <f t="shared" si="25"/>
        <v>4.4130000000000003</v>
      </c>
      <c r="R428" s="24">
        <f t="shared" si="26"/>
        <v>0.24984430730906415</v>
      </c>
      <c r="S428" t="s">
        <v>540</v>
      </c>
      <c r="T428" t="s">
        <v>64</v>
      </c>
    </row>
    <row r="429" spans="1:20" hidden="1">
      <c r="A429" t="s">
        <v>500</v>
      </c>
      <c r="B429" s="5">
        <v>45386</v>
      </c>
      <c r="C429" s="8">
        <f>YEAR(Tabla2[[#This Row],[fecha]])</f>
        <v>2024</v>
      </c>
      <c r="D429" s="8">
        <f>MONTH(Tabla2[[#This Row],[fecha]])</f>
        <v>4</v>
      </c>
      <c r="E429" s="8" t="str">
        <f>TEXT(Tabla2[[#This Row],[fecha]], "mmmm")</f>
        <v>abril</v>
      </c>
      <c r="F429" s="8" t="str">
        <f>"T"&amp;ROUNDUP(Tabla2[[#This Row],[mes]]/3,0)</f>
        <v>T2</v>
      </c>
      <c r="G429" t="s">
        <v>31</v>
      </c>
      <c r="H429" t="s">
        <v>32</v>
      </c>
      <c r="I429" s="8" t="str">
        <f>IF(Tabla2[[#This Row],[precio_unitario]]&lt;=30,"Económico",IF(Tabla2[[#This Row],[precio_unitario]]&lt;=58.49,"Accesible","Caro"))</f>
        <v>Económico</v>
      </c>
      <c r="J429" t="s">
        <v>26</v>
      </c>
      <c r="K429">
        <v>1</v>
      </c>
      <c r="L429" s="19">
        <v>9.06</v>
      </c>
      <c r="M429" s="19">
        <v>6.01</v>
      </c>
      <c r="N429" s="11">
        <v>0</v>
      </c>
      <c r="O429" s="17">
        <f t="shared" si="27"/>
        <v>9.06</v>
      </c>
      <c r="P429" s="17">
        <f t="shared" si="24"/>
        <v>6.01</v>
      </c>
      <c r="Q429" s="17">
        <f t="shared" si="25"/>
        <v>3.0500000000000007</v>
      </c>
      <c r="R429" s="24">
        <f t="shared" si="26"/>
        <v>0.33664459161147908</v>
      </c>
      <c r="S429" t="s">
        <v>67</v>
      </c>
      <c r="T429" t="s">
        <v>60</v>
      </c>
    </row>
    <row r="430" spans="1:20" hidden="1">
      <c r="A430" t="s">
        <v>501</v>
      </c>
      <c r="B430" s="5">
        <v>45952</v>
      </c>
      <c r="C430" s="8">
        <f>YEAR(Tabla2[[#This Row],[fecha]])</f>
        <v>2025</v>
      </c>
      <c r="D430" s="8">
        <f>MONTH(Tabla2[[#This Row],[fecha]])</f>
        <v>10</v>
      </c>
      <c r="E430" s="8" t="str">
        <f>TEXT(Tabla2[[#This Row],[fecha]], "mmmm")</f>
        <v>octubre</v>
      </c>
      <c r="F430" s="8" t="str">
        <f>"T"&amp;ROUNDUP(Tabla2[[#This Row],[mes]]/3,0)</f>
        <v>T4</v>
      </c>
      <c r="G430" t="s">
        <v>13</v>
      </c>
      <c r="H430" t="s">
        <v>14</v>
      </c>
      <c r="I430" s="8" t="str">
        <f>IF(Tabla2[[#This Row],[precio_unitario]]&lt;=30,"Económico",IF(Tabla2[[#This Row],[precio_unitario]]&lt;=58.49,"Accesible","Caro"))</f>
        <v>Caro</v>
      </c>
      <c r="J430" t="s">
        <v>8</v>
      </c>
      <c r="K430">
        <v>5</v>
      </c>
      <c r="L430" s="19">
        <v>169.25</v>
      </c>
      <c r="M430" s="19">
        <v>112.54</v>
      </c>
      <c r="N430" s="11">
        <v>0</v>
      </c>
      <c r="O430" s="17">
        <f t="shared" si="27"/>
        <v>846.25</v>
      </c>
      <c r="P430" s="17">
        <f t="shared" si="24"/>
        <v>562.70000000000005</v>
      </c>
      <c r="Q430" s="17">
        <f t="shared" si="25"/>
        <v>283.54999999999995</v>
      </c>
      <c r="R430" s="24">
        <f t="shared" si="26"/>
        <v>0.33506646971935</v>
      </c>
      <c r="S430" t="s">
        <v>540</v>
      </c>
      <c r="T430" t="s">
        <v>60</v>
      </c>
    </row>
    <row r="431" spans="1:20" hidden="1">
      <c r="A431" t="s">
        <v>502</v>
      </c>
      <c r="B431" s="5">
        <v>45646</v>
      </c>
      <c r="C431" s="8">
        <f>YEAR(Tabla2[[#This Row],[fecha]])</f>
        <v>2024</v>
      </c>
      <c r="D431" s="8">
        <f>MONTH(Tabla2[[#This Row],[fecha]])</f>
        <v>12</v>
      </c>
      <c r="E431" s="8" t="str">
        <f>TEXT(Tabla2[[#This Row],[fecha]], "mmmm")</f>
        <v>diciembre</v>
      </c>
      <c r="F431" s="8" t="str">
        <f>"T"&amp;ROUNDUP(Tabla2[[#This Row],[mes]]/3,0)</f>
        <v>T4</v>
      </c>
      <c r="G431" t="s">
        <v>15</v>
      </c>
      <c r="H431" t="s">
        <v>16</v>
      </c>
      <c r="I431" s="8" t="str">
        <f>IF(Tabla2[[#This Row],[precio_unitario]]&lt;=30,"Económico",IF(Tabla2[[#This Row],[precio_unitario]]&lt;=58.49,"Accesible","Caro"))</f>
        <v>Accesible</v>
      </c>
      <c r="J431" t="s">
        <v>17</v>
      </c>
      <c r="K431">
        <v>1</v>
      </c>
      <c r="L431" s="19">
        <v>56.84</v>
      </c>
      <c r="M431" s="19">
        <v>39.479999999999997</v>
      </c>
      <c r="N431" s="11">
        <v>0</v>
      </c>
      <c r="O431" s="17">
        <f t="shared" si="27"/>
        <v>56.84</v>
      </c>
      <c r="P431" s="17">
        <f t="shared" si="24"/>
        <v>39.479999999999997</v>
      </c>
      <c r="Q431" s="17">
        <f t="shared" si="25"/>
        <v>17.360000000000007</v>
      </c>
      <c r="R431" s="24">
        <f t="shared" si="26"/>
        <v>0.30541871921182273</v>
      </c>
      <c r="S431" t="s">
        <v>540</v>
      </c>
      <c r="T431" t="s">
        <v>60</v>
      </c>
    </row>
    <row r="432" spans="1:20" hidden="1">
      <c r="A432" t="s">
        <v>503</v>
      </c>
      <c r="B432" s="5">
        <v>45466</v>
      </c>
      <c r="C432" s="8">
        <f>YEAR(Tabla2[[#This Row],[fecha]])</f>
        <v>2024</v>
      </c>
      <c r="D432" s="8">
        <f>MONTH(Tabla2[[#This Row],[fecha]])</f>
        <v>6</v>
      </c>
      <c r="E432" s="8" t="str">
        <f>TEXT(Tabla2[[#This Row],[fecha]], "mmmm")</f>
        <v>junio</v>
      </c>
      <c r="F432" s="8" t="str">
        <f>"T"&amp;ROUNDUP(Tabla2[[#This Row],[mes]]/3,0)</f>
        <v>T2</v>
      </c>
      <c r="G432" t="s">
        <v>49</v>
      </c>
      <c r="H432" t="s">
        <v>50</v>
      </c>
      <c r="I432" s="8" t="str">
        <f>IF(Tabla2[[#This Row],[precio_unitario]]&lt;=30,"Económico",IF(Tabla2[[#This Row],[precio_unitario]]&lt;=58.49,"Accesible","Caro"))</f>
        <v>Caro</v>
      </c>
      <c r="J432" t="s">
        <v>44</v>
      </c>
      <c r="K432">
        <v>1</v>
      </c>
      <c r="L432" s="19">
        <v>60.53</v>
      </c>
      <c r="M432" s="19">
        <v>35</v>
      </c>
      <c r="N432" s="11">
        <v>0.17</v>
      </c>
      <c r="O432" s="17">
        <f t="shared" si="27"/>
        <v>50.239899999999999</v>
      </c>
      <c r="P432" s="17">
        <f t="shared" si="24"/>
        <v>35</v>
      </c>
      <c r="Q432" s="17">
        <f t="shared" si="25"/>
        <v>15.239899999999999</v>
      </c>
      <c r="R432" s="24">
        <f t="shared" si="26"/>
        <v>0.30334256238567353</v>
      </c>
      <c r="S432" t="s">
        <v>83</v>
      </c>
      <c r="T432" t="s">
        <v>64</v>
      </c>
    </row>
    <row r="433" spans="1:20" hidden="1">
      <c r="A433" t="s">
        <v>504</v>
      </c>
      <c r="B433" s="5">
        <v>45348</v>
      </c>
      <c r="C433" s="8">
        <f>YEAR(Tabla2[[#This Row],[fecha]])</f>
        <v>2024</v>
      </c>
      <c r="D433" s="8">
        <f>MONTH(Tabla2[[#This Row],[fecha]])</f>
        <v>2</v>
      </c>
      <c r="E433" s="8" t="str">
        <f>TEXT(Tabla2[[#This Row],[fecha]], "mmmm")</f>
        <v>febrero</v>
      </c>
      <c r="F433" s="8" t="str">
        <f>"T"&amp;ROUNDUP(Tabla2[[#This Row],[mes]]/3,0)</f>
        <v>T1</v>
      </c>
      <c r="G433" t="s">
        <v>20</v>
      </c>
      <c r="H433" t="s">
        <v>21</v>
      </c>
      <c r="I433" s="8" t="str">
        <f>IF(Tabla2[[#This Row],[precio_unitario]]&lt;=30,"Económico",IF(Tabla2[[#This Row],[precio_unitario]]&lt;=58.49,"Accesible","Caro"))</f>
        <v>Económico</v>
      </c>
      <c r="J433" t="s">
        <v>17</v>
      </c>
      <c r="K433">
        <v>2</v>
      </c>
      <c r="L433" s="19">
        <v>18.329999999999998</v>
      </c>
      <c r="M433" s="19">
        <v>13.43</v>
      </c>
      <c r="N433" s="11">
        <v>0</v>
      </c>
      <c r="O433" s="17">
        <f t="shared" si="27"/>
        <v>36.659999999999997</v>
      </c>
      <c r="P433" s="17">
        <f t="shared" si="24"/>
        <v>26.86</v>
      </c>
      <c r="Q433" s="17">
        <f t="shared" si="25"/>
        <v>9.7999999999999972</v>
      </c>
      <c r="R433" s="24">
        <f t="shared" si="26"/>
        <v>0.26732133115111834</v>
      </c>
      <c r="S433" t="s">
        <v>101</v>
      </c>
      <c r="T433" t="s">
        <v>64</v>
      </c>
    </row>
    <row r="434" spans="1:20" hidden="1">
      <c r="A434" t="s">
        <v>505</v>
      </c>
      <c r="B434" s="5">
        <v>45377</v>
      </c>
      <c r="C434" s="8">
        <f>YEAR(Tabla2[[#This Row],[fecha]])</f>
        <v>2024</v>
      </c>
      <c r="D434" s="8">
        <f>MONTH(Tabla2[[#This Row],[fecha]])</f>
        <v>3</v>
      </c>
      <c r="E434" s="8" t="str">
        <f>TEXT(Tabla2[[#This Row],[fecha]], "mmmm")</f>
        <v>marzo</v>
      </c>
      <c r="F434" s="8" t="str">
        <f>"T"&amp;ROUNDUP(Tabla2[[#This Row],[mes]]/3,0)</f>
        <v>T1</v>
      </c>
      <c r="G434" t="s">
        <v>24</v>
      </c>
      <c r="H434" t="s">
        <v>25</v>
      </c>
      <c r="I434" s="8" t="str">
        <f>IF(Tabla2[[#This Row],[precio_unitario]]&lt;=30,"Económico",IF(Tabla2[[#This Row],[precio_unitario]]&lt;=58.49,"Accesible","Caro"))</f>
        <v>Económico</v>
      </c>
      <c r="J434" t="s">
        <v>26</v>
      </c>
      <c r="K434">
        <v>4</v>
      </c>
      <c r="L434" s="19">
        <v>7.74</v>
      </c>
      <c r="M434" s="19">
        <v>4.38</v>
      </c>
      <c r="N434" s="11">
        <v>0</v>
      </c>
      <c r="O434" s="17">
        <f t="shared" si="27"/>
        <v>30.96</v>
      </c>
      <c r="P434" s="17">
        <f t="shared" si="24"/>
        <v>17.52</v>
      </c>
      <c r="Q434" s="17">
        <f t="shared" si="25"/>
        <v>13.440000000000001</v>
      </c>
      <c r="R434" s="24">
        <f t="shared" si="26"/>
        <v>0.434108527131783</v>
      </c>
      <c r="S434" s="10" t="s">
        <v>2377</v>
      </c>
      <c r="T434" t="s">
        <v>60</v>
      </c>
    </row>
    <row r="435" spans="1:20">
      <c r="A435" t="s">
        <v>506</v>
      </c>
      <c r="B435" s="5">
        <v>45787</v>
      </c>
      <c r="C435" s="8">
        <f>YEAR(Tabla2[[#This Row],[fecha]])</f>
        <v>2025</v>
      </c>
      <c r="D435" s="8">
        <f>MONTH(Tabla2[[#This Row],[fecha]])</f>
        <v>5</v>
      </c>
      <c r="E435" s="8" t="str">
        <f>TEXT(Tabla2[[#This Row],[fecha]], "mmmm")</f>
        <v>mayo</v>
      </c>
      <c r="F435" s="8" t="str">
        <f>"T"&amp;ROUNDUP(Tabla2[[#This Row],[mes]]/3,0)</f>
        <v>T2</v>
      </c>
      <c r="G435" t="s">
        <v>49</v>
      </c>
      <c r="H435" t="s">
        <v>50</v>
      </c>
      <c r="I435" s="8" t="str">
        <f>IF(Tabla2[[#This Row],[precio_unitario]]&lt;=30,"Económico",IF(Tabla2[[#This Row],[precio_unitario]]&lt;=58.49,"Accesible","Caro"))</f>
        <v>Caro</v>
      </c>
      <c r="J435" t="s">
        <v>44</v>
      </c>
      <c r="K435">
        <v>4</v>
      </c>
      <c r="L435" s="19">
        <v>60.3</v>
      </c>
      <c r="M435" s="19">
        <v>32.92</v>
      </c>
      <c r="N435" s="13">
        <v>0</v>
      </c>
      <c r="O435" s="17">
        <f t="shared" si="27"/>
        <v>241.2</v>
      </c>
      <c r="P435" s="17">
        <f t="shared" si="24"/>
        <v>131.68</v>
      </c>
      <c r="Q435" s="17">
        <f t="shared" si="25"/>
        <v>109.51999999999998</v>
      </c>
      <c r="R435" s="24">
        <f t="shared" si="26"/>
        <v>0.45406301824212264</v>
      </c>
      <c r="S435" t="s">
        <v>67</v>
      </c>
      <c r="T435" t="s">
        <v>64</v>
      </c>
    </row>
    <row r="436" spans="1:20" hidden="1">
      <c r="A436" t="s">
        <v>507</v>
      </c>
      <c r="B436" s="5">
        <v>45320</v>
      </c>
      <c r="C436" s="8">
        <f>YEAR(Tabla2[[#This Row],[fecha]])</f>
        <v>2024</v>
      </c>
      <c r="D436" s="8">
        <f>MONTH(Tabla2[[#This Row],[fecha]])</f>
        <v>1</v>
      </c>
      <c r="E436" s="8" t="str">
        <f>TEXT(Tabla2[[#This Row],[fecha]], "mmmm")</f>
        <v>enero</v>
      </c>
      <c r="F436" s="8" t="str">
        <f>"T"&amp;ROUNDUP(Tabla2[[#This Row],[mes]]/3,0)</f>
        <v>T1</v>
      </c>
      <c r="G436" t="s">
        <v>6</v>
      </c>
      <c r="H436" t="s">
        <v>7</v>
      </c>
      <c r="I436" s="8" t="str">
        <f>IF(Tabla2[[#This Row],[precio_unitario]]&lt;=30,"Económico",IF(Tabla2[[#This Row],[precio_unitario]]&lt;=58.49,"Accesible","Caro"))</f>
        <v>Caro</v>
      </c>
      <c r="J436" t="s">
        <v>8</v>
      </c>
      <c r="K436">
        <v>1</v>
      </c>
      <c r="L436" s="19">
        <v>118.36</v>
      </c>
      <c r="M436" s="19">
        <v>83.66</v>
      </c>
      <c r="N436" s="11">
        <v>0</v>
      </c>
      <c r="O436" s="17">
        <f t="shared" si="27"/>
        <v>118.36</v>
      </c>
      <c r="P436" s="17">
        <f t="shared" si="24"/>
        <v>83.66</v>
      </c>
      <c r="Q436" s="17">
        <f t="shared" si="25"/>
        <v>34.700000000000003</v>
      </c>
      <c r="R436" s="24">
        <f t="shared" si="26"/>
        <v>0.29317336938154787</v>
      </c>
      <c r="S436" t="s">
        <v>96</v>
      </c>
      <c r="T436" t="s">
        <v>64</v>
      </c>
    </row>
    <row r="437" spans="1:20" hidden="1">
      <c r="A437" t="s">
        <v>508</v>
      </c>
      <c r="B437" s="5">
        <v>45385</v>
      </c>
      <c r="C437" s="8">
        <f>YEAR(Tabla2[[#This Row],[fecha]])</f>
        <v>2024</v>
      </c>
      <c r="D437" s="8">
        <f>MONTH(Tabla2[[#This Row],[fecha]])</f>
        <v>4</v>
      </c>
      <c r="E437" s="8" t="str">
        <f>TEXT(Tabla2[[#This Row],[fecha]], "mmmm")</f>
        <v>abril</v>
      </c>
      <c r="F437" s="8" t="str">
        <f>"T"&amp;ROUNDUP(Tabla2[[#This Row],[mes]]/3,0)</f>
        <v>T2</v>
      </c>
      <c r="G437" t="s">
        <v>15</v>
      </c>
      <c r="H437" t="s">
        <v>16</v>
      </c>
      <c r="I437" s="8" t="str">
        <f>IF(Tabla2[[#This Row],[precio_unitario]]&lt;=30,"Económico",IF(Tabla2[[#This Row],[precio_unitario]]&lt;=58.49,"Accesible","Caro"))</f>
        <v>Accesible</v>
      </c>
      <c r="J437" t="s">
        <v>17</v>
      </c>
      <c r="K437">
        <v>2</v>
      </c>
      <c r="L437" s="19">
        <v>57.75</v>
      </c>
      <c r="M437" s="19">
        <v>42.49</v>
      </c>
      <c r="N437" s="11">
        <v>0.28999999999999998</v>
      </c>
      <c r="O437" s="17">
        <f t="shared" si="27"/>
        <v>82.004999999999995</v>
      </c>
      <c r="P437" s="17">
        <f t="shared" si="24"/>
        <v>84.98</v>
      </c>
      <c r="Q437" s="17">
        <f t="shared" si="25"/>
        <v>-2.9750000000000085</v>
      </c>
      <c r="R437" s="24">
        <f t="shared" si="26"/>
        <v>-3.6278275714895537E-2</v>
      </c>
      <c r="S437" t="s">
        <v>63</v>
      </c>
      <c r="T437" t="s">
        <v>64</v>
      </c>
    </row>
    <row r="438" spans="1:20" hidden="1">
      <c r="A438" t="s">
        <v>509</v>
      </c>
      <c r="B438" s="5">
        <v>45696</v>
      </c>
      <c r="C438" s="8">
        <f>YEAR(Tabla2[[#This Row],[fecha]])</f>
        <v>2025</v>
      </c>
      <c r="D438" s="8">
        <f>MONTH(Tabla2[[#This Row],[fecha]])</f>
        <v>2</v>
      </c>
      <c r="E438" s="8" t="str">
        <f>TEXT(Tabla2[[#This Row],[fecha]], "mmmm")</f>
        <v>febrero</v>
      </c>
      <c r="F438" s="8" t="str">
        <f>"T"&amp;ROUNDUP(Tabla2[[#This Row],[mes]]/3,0)</f>
        <v>T1</v>
      </c>
      <c r="G438" t="s">
        <v>33</v>
      </c>
      <c r="H438" t="s">
        <v>34</v>
      </c>
      <c r="I438" s="8" t="str">
        <f>IF(Tabla2[[#This Row],[precio_unitario]]&lt;=30,"Económico",IF(Tabla2[[#This Row],[precio_unitario]]&lt;=58.49,"Accesible","Caro"))</f>
        <v>Caro</v>
      </c>
      <c r="J438" t="s">
        <v>35</v>
      </c>
      <c r="K438">
        <v>1</v>
      </c>
      <c r="L438" s="19">
        <v>74.92</v>
      </c>
      <c r="M438" s="19">
        <v>47.35</v>
      </c>
      <c r="N438" s="11">
        <v>0</v>
      </c>
      <c r="O438" s="17">
        <f t="shared" si="27"/>
        <v>74.92</v>
      </c>
      <c r="P438" s="17">
        <f t="shared" si="24"/>
        <v>47.35</v>
      </c>
      <c r="Q438" s="17">
        <f t="shared" si="25"/>
        <v>27.57</v>
      </c>
      <c r="R438" s="24">
        <f t="shared" si="26"/>
        <v>0.3679925253603844</v>
      </c>
      <c r="S438" t="s">
        <v>63</v>
      </c>
      <c r="T438" t="s">
        <v>374</v>
      </c>
    </row>
    <row r="439" spans="1:20" hidden="1">
      <c r="A439" t="s">
        <v>510</v>
      </c>
      <c r="B439" s="5">
        <v>45998</v>
      </c>
      <c r="C439" s="8">
        <f>YEAR(Tabla2[[#This Row],[fecha]])</f>
        <v>2025</v>
      </c>
      <c r="D439" s="8">
        <f>MONTH(Tabla2[[#This Row],[fecha]])</f>
        <v>12</v>
      </c>
      <c r="E439" s="8" t="str">
        <f>TEXT(Tabla2[[#This Row],[fecha]], "mmmm")</f>
        <v>diciembre</v>
      </c>
      <c r="F439" s="8" t="str">
        <f>"T"&amp;ROUNDUP(Tabla2[[#This Row],[mes]]/3,0)</f>
        <v>T4</v>
      </c>
      <c r="G439" t="s">
        <v>9</v>
      </c>
      <c r="H439" t="s">
        <v>10</v>
      </c>
      <c r="I439" s="8" t="str">
        <f>IF(Tabla2[[#This Row],[precio_unitario]]&lt;=30,"Económico",IF(Tabla2[[#This Row],[precio_unitario]]&lt;=58.49,"Accesible","Caro"))</f>
        <v>Caro</v>
      </c>
      <c r="J439" t="s">
        <v>8</v>
      </c>
      <c r="K439">
        <v>7</v>
      </c>
      <c r="L439" s="19">
        <v>76.430000000000007</v>
      </c>
      <c r="M439" s="19">
        <v>45.4</v>
      </c>
      <c r="N439" s="11">
        <v>0</v>
      </c>
      <c r="O439" s="17">
        <f t="shared" si="27"/>
        <v>535.01</v>
      </c>
      <c r="P439" s="17">
        <f t="shared" si="24"/>
        <v>317.8</v>
      </c>
      <c r="Q439" s="17">
        <f t="shared" si="25"/>
        <v>217.20999999999998</v>
      </c>
      <c r="R439" s="24">
        <f t="shared" si="26"/>
        <v>0.40599241135679703</v>
      </c>
      <c r="S439" t="s">
        <v>540</v>
      </c>
      <c r="T439" t="s">
        <v>60</v>
      </c>
    </row>
    <row r="440" spans="1:20" hidden="1">
      <c r="A440" t="s">
        <v>511</v>
      </c>
      <c r="B440" s="5">
        <v>45354</v>
      </c>
      <c r="C440" s="8">
        <f>YEAR(Tabla2[[#This Row],[fecha]])</f>
        <v>2024</v>
      </c>
      <c r="D440" s="8">
        <f>MONTH(Tabla2[[#This Row],[fecha]])</f>
        <v>3</v>
      </c>
      <c r="E440" s="8" t="str">
        <f>TEXT(Tabla2[[#This Row],[fecha]], "mmmm")</f>
        <v>marzo</v>
      </c>
      <c r="F440" s="8" t="str">
        <f>"T"&amp;ROUNDUP(Tabla2[[#This Row],[mes]]/3,0)</f>
        <v>T1</v>
      </c>
      <c r="G440" t="s">
        <v>18</v>
      </c>
      <c r="H440" t="s">
        <v>19</v>
      </c>
      <c r="I440" s="8" t="str">
        <f>IF(Tabla2[[#This Row],[precio_unitario]]&lt;=30,"Económico",IF(Tabla2[[#This Row],[precio_unitario]]&lt;=58.49,"Accesible","Caro"))</f>
        <v>Accesible</v>
      </c>
      <c r="J440" t="s">
        <v>17</v>
      </c>
      <c r="K440">
        <v>1</v>
      </c>
      <c r="L440" s="19">
        <v>48.04</v>
      </c>
      <c r="M440" s="19">
        <v>27.64</v>
      </c>
      <c r="N440" s="11">
        <v>0</v>
      </c>
      <c r="O440" s="17">
        <f t="shared" si="27"/>
        <v>48.04</v>
      </c>
      <c r="P440" s="17">
        <f t="shared" si="24"/>
        <v>27.64</v>
      </c>
      <c r="Q440" s="17">
        <f t="shared" si="25"/>
        <v>20.399999999999999</v>
      </c>
      <c r="R440" s="24">
        <f t="shared" si="26"/>
        <v>0.4246461282264779</v>
      </c>
      <c r="S440" t="s">
        <v>63</v>
      </c>
      <c r="T440" t="s">
        <v>60</v>
      </c>
    </row>
    <row r="441" spans="1:20">
      <c r="A441" t="s">
        <v>512</v>
      </c>
      <c r="B441" s="5">
        <v>45969</v>
      </c>
      <c r="C441" s="8">
        <f>YEAR(Tabla2[[#This Row],[fecha]])</f>
        <v>2025</v>
      </c>
      <c r="D441" s="8">
        <f>MONTH(Tabla2[[#This Row],[fecha]])</f>
        <v>11</v>
      </c>
      <c r="E441" s="8" t="str">
        <f>TEXT(Tabla2[[#This Row],[fecha]], "mmmm")</f>
        <v>noviembre</v>
      </c>
      <c r="F441" s="8" t="str">
        <f>"T"&amp;ROUNDUP(Tabla2[[#This Row],[mes]]/3,0)</f>
        <v>T4</v>
      </c>
      <c r="G441" t="s">
        <v>9</v>
      </c>
      <c r="H441" t="s">
        <v>10</v>
      </c>
      <c r="I441" s="8" t="str">
        <f>IF(Tabla2[[#This Row],[precio_unitario]]&lt;=30,"Económico",IF(Tabla2[[#This Row],[precio_unitario]]&lt;=58.49,"Accesible","Caro"))</f>
        <v>Caro</v>
      </c>
      <c r="J441" t="s">
        <v>8</v>
      </c>
      <c r="K441">
        <v>1</v>
      </c>
      <c r="L441" s="19">
        <v>73.14</v>
      </c>
      <c r="M441" s="19">
        <v>45.45</v>
      </c>
      <c r="N441" s="11">
        <v>0</v>
      </c>
      <c r="O441" s="17">
        <f t="shared" si="27"/>
        <v>73.14</v>
      </c>
      <c r="P441" s="17">
        <f t="shared" si="24"/>
        <v>45.45</v>
      </c>
      <c r="Q441" s="17">
        <f t="shared" si="25"/>
        <v>27.689999999999998</v>
      </c>
      <c r="R441" s="24">
        <f t="shared" si="26"/>
        <v>0.37858900738310086</v>
      </c>
      <c r="S441" t="s">
        <v>67</v>
      </c>
      <c r="T441" t="s">
        <v>64</v>
      </c>
    </row>
    <row r="442" spans="1:20" hidden="1">
      <c r="A442" t="s">
        <v>513</v>
      </c>
      <c r="B442" s="5">
        <v>45559</v>
      </c>
      <c r="C442" s="8">
        <f>YEAR(Tabla2[[#This Row],[fecha]])</f>
        <v>2024</v>
      </c>
      <c r="D442" s="8">
        <f>MONTH(Tabla2[[#This Row],[fecha]])</f>
        <v>9</v>
      </c>
      <c r="E442" s="8" t="str">
        <f>TEXT(Tabla2[[#This Row],[fecha]], "mmmm")</f>
        <v>septiembre</v>
      </c>
      <c r="F442" s="8" t="str">
        <f>"T"&amp;ROUNDUP(Tabla2[[#This Row],[mes]]/3,0)</f>
        <v>T3</v>
      </c>
      <c r="G442" t="s">
        <v>29</v>
      </c>
      <c r="H442" t="s">
        <v>30</v>
      </c>
      <c r="I442" s="8" t="str">
        <f>IF(Tabla2[[#This Row],[precio_unitario]]&lt;=30,"Económico",IF(Tabla2[[#This Row],[precio_unitario]]&lt;=58.49,"Accesible","Caro"))</f>
        <v>Económico</v>
      </c>
      <c r="J442" t="s">
        <v>26</v>
      </c>
      <c r="K442">
        <v>1</v>
      </c>
      <c r="L442" s="19">
        <v>22.1</v>
      </c>
      <c r="M442" s="19">
        <v>11.17</v>
      </c>
      <c r="N442" s="11">
        <v>0</v>
      </c>
      <c r="O442" s="17">
        <f t="shared" si="27"/>
        <v>22.1</v>
      </c>
      <c r="P442" s="17">
        <f t="shared" si="24"/>
        <v>11.17</v>
      </c>
      <c r="Q442" s="17">
        <f t="shared" si="25"/>
        <v>10.930000000000001</v>
      </c>
      <c r="R442" s="24">
        <f t="shared" si="26"/>
        <v>0.49457013574660635</v>
      </c>
      <c r="S442" t="s">
        <v>67</v>
      </c>
      <c r="T442" t="s">
        <v>64</v>
      </c>
    </row>
    <row r="443" spans="1:20" hidden="1">
      <c r="A443" t="s">
        <v>514</v>
      </c>
      <c r="B443" s="5">
        <v>45552</v>
      </c>
      <c r="C443" s="8">
        <f>YEAR(Tabla2[[#This Row],[fecha]])</f>
        <v>2024</v>
      </c>
      <c r="D443" s="8">
        <f>MONTH(Tabla2[[#This Row],[fecha]])</f>
        <v>9</v>
      </c>
      <c r="E443" s="8" t="str">
        <f>TEXT(Tabla2[[#This Row],[fecha]], "mmmm")</f>
        <v>septiembre</v>
      </c>
      <c r="F443" s="8" t="str">
        <f>"T"&amp;ROUNDUP(Tabla2[[#This Row],[mes]]/3,0)</f>
        <v>T3</v>
      </c>
      <c r="G443" t="s">
        <v>47</v>
      </c>
      <c r="H443" t="s">
        <v>48</v>
      </c>
      <c r="I443" s="8" t="str">
        <f>IF(Tabla2[[#This Row],[precio_unitario]]&lt;=30,"Económico",IF(Tabla2[[#This Row],[precio_unitario]]&lt;=58.49,"Accesible","Caro"))</f>
        <v>Caro</v>
      </c>
      <c r="J443" t="s">
        <v>44</v>
      </c>
      <c r="K443">
        <v>1</v>
      </c>
      <c r="L443" s="19">
        <v>62.48</v>
      </c>
      <c r="M443" s="19">
        <v>31.83</v>
      </c>
      <c r="N443" s="11">
        <v>0.06</v>
      </c>
      <c r="O443" s="17">
        <f t="shared" si="27"/>
        <v>58.731199999999994</v>
      </c>
      <c r="P443" s="17">
        <f t="shared" si="24"/>
        <v>31.83</v>
      </c>
      <c r="Q443" s="17">
        <f t="shared" si="25"/>
        <v>26.901199999999996</v>
      </c>
      <c r="R443" s="24">
        <f t="shared" si="26"/>
        <v>0.45803933854578144</v>
      </c>
      <c r="S443" t="s">
        <v>540</v>
      </c>
      <c r="T443" t="s">
        <v>60</v>
      </c>
    </row>
    <row r="444" spans="1:20" hidden="1">
      <c r="A444" t="s">
        <v>515</v>
      </c>
      <c r="B444" s="5">
        <v>45348</v>
      </c>
      <c r="C444" s="8">
        <f>YEAR(Tabla2[[#This Row],[fecha]])</f>
        <v>2024</v>
      </c>
      <c r="D444" s="8">
        <f>MONTH(Tabla2[[#This Row],[fecha]])</f>
        <v>2</v>
      </c>
      <c r="E444" s="8" t="str">
        <f>TEXT(Tabla2[[#This Row],[fecha]], "mmmm")</f>
        <v>febrero</v>
      </c>
      <c r="F444" s="8" t="str">
        <f>"T"&amp;ROUNDUP(Tabla2[[#This Row],[mes]]/3,0)</f>
        <v>T1</v>
      </c>
      <c r="G444" t="s">
        <v>18</v>
      </c>
      <c r="H444" t="s">
        <v>19</v>
      </c>
      <c r="I444" s="8" t="str">
        <f>IF(Tabla2[[#This Row],[precio_unitario]]&lt;=30,"Económico",IF(Tabla2[[#This Row],[precio_unitario]]&lt;=58.49,"Accesible","Caro"))</f>
        <v>Accesible</v>
      </c>
      <c r="J444" t="s">
        <v>17</v>
      </c>
      <c r="K444">
        <v>4</v>
      </c>
      <c r="L444" s="19">
        <v>49.79</v>
      </c>
      <c r="M444" s="19">
        <v>27.21</v>
      </c>
      <c r="N444" s="11">
        <v>0.23</v>
      </c>
      <c r="O444" s="17">
        <f t="shared" si="27"/>
        <v>153.35319999999999</v>
      </c>
      <c r="P444" s="17">
        <f t="shared" si="24"/>
        <v>108.84</v>
      </c>
      <c r="Q444" s="17">
        <f t="shared" si="25"/>
        <v>44.513199999999983</v>
      </c>
      <c r="R444" s="24">
        <f t="shared" si="26"/>
        <v>0.29026586990033459</v>
      </c>
      <c r="S444" t="s">
        <v>67</v>
      </c>
      <c r="T444" t="s">
        <v>64</v>
      </c>
    </row>
    <row r="445" spans="1:20" hidden="1">
      <c r="A445" t="s">
        <v>516</v>
      </c>
      <c r="B445" s="5">
        <v>45379</v>
      </c>
      <c r="C445" s="8">
        <f>YEAR(Tabla2[[#This Row],[fecha]])</f>
        <v>2024</v>
      </c>
      <c r="D445" s="8">
        <f>MONTH(Tabla2[[#This Row],[fecha]])</f>
        <v>3</v>
      </c>
      <c r="E445" s="8" t="str">
        <f>TEXT(Tabla2[[#This Row],[fecha]], "mmmm")</f>
        <v>marzo</v>
      </c>
      <c r="F445" s="8" t="str">
        <f>"T"&amp;ROUNDUP(Tabla2[[#This Row],[mes]]/3,0)</f>
        <v>T1</v>
      </c>
      <c r="G445" t="s">
        <v>13</v>
      </c>
      <c r="H445" t="s">
        <v>14</v>
      </c>
      <c r="I445" s="8" t="str">
        <f>IF(Tabla2[[#This Row],[precio_unitario]]&lt;=30,"Económico",IF(Tabla2[[#This Row],[precio_unitario]]&lt;=58.49,"Accesible","Caro"))</f>
        <v>Caro</v>
      </c>
      <c r="J445" t="s">
        <v>8</v>
      </c>
      <c r="K445">
        <v>2</v>
      </c>
      <c r="L445" s="19">
        <v>166.82</v>
      </c>
      <c r="M445" s="19">
        <v>113.14</v>
      </c>
      <c r="N445" s="11">
        <v>0.25</v>
      </c>
      <c r="O445" s="17">
        <f t="shared" si="27"/>
        <v>250.23</v>
      </c>
      <c r="P445" s="17">
        <f t="shared" si="24"/>
        <v>226.28</v>
      </c>
      <c r="Q445" s="17">
        <f t="shared" si="25"/>
        <v>23.949999999999989</v>
      </c>
      <c r="R445" s="24">
        <f t="shared" si="26"/>
        <v>9.5711945010590216E-2</v>
      </c>
      <c r="S445" t="s">
        <v>101</v>
      </c>
      <c r="T445" t="s">
        <v>64</v>
      </c>
    </row>
    <row r="446" spans="1:20" hidden="1">
      <c r="A446" t="s">
        <v>517</v>
      </c>
      <c r="B446" s="5">
        <v>45539</v>
      </c>
      <c r="C446" s="8">
        <f>YEAR(Tabla2[[#This Row],[fecha]])</f>
        <v>2024</v>
      </c>
      <c r="D446" s="8">
        <f>MONTH(Tabla2[[#This Row],[fecha]])</f>
        <v>9</v>
      </c>
      <c r="E446" s="8" t="str">
        <f>TEXT(Tabla2[[#This Row],[fecha]], "mmmm")</f>
        <v>septiembre</v>
      </c>
      <c r="F446" s="8" t="str">
        <f>"T"&amp;ROUNDUP(Tabla2[[#This Row],[mes]]/3,0)</f>
        <v>T3</v>
      </c>
      <c r="G446" t="s">
        <v>11</v>
      </c>
      <c r="H446" t="s">
        <v>12</v>
      </c>
      <c r="I446" s="8" t="str">
        <f>IF(Tabla2[[#This Row],[precio_unitario]]&lt;=30,"Económico",IF(Tabla2[[#This Row],[precio_unitario]]&lt;=58.49,"Accesible","Caro"))</f>
        <v>Caro</v>
      </c>
      <c r="J446" t="s">
        <v>8</v>
      </c>
      <c r="K446">
        <v>5</v>
      </c>
      <c r="L446" s="20">
        <f>INDEX(Tabla3[precio_venta_recomendado], MATCH(Tabla2[[#This Row],[id_producto]], Tabla3[id_producto], 0))</f>
        <v>177.72</v>
      </c>
      <c r="M446" s="19">
        <v>95.72</v>
      </c>
      <c r="N446" s="11">
        <v>0</v>
      </c>
      <c r="O446" s="17">
        <f t="shared" si="27"/>
        <v>888.6</v>
      </c>
      <c r="P446" s="17">
        <f t="shared" si="24"/>
        <v>478.6</v>
      </c>
      <c r="Q446" s="17">
        <f t="shared" si="25"/>
        <v>410</v>
      </c>
      <c r="R446" s="24">
        <f t="shared" si="26"/>
        <v>0.46139995498537023</v>
      </c>
      <c r="S446" t="s">
        <v>540</v>
      </c>
      <c r="T446" t="s">
        <v>60</v>
      </c>
    </row>
    <row r="447" spans="1:20" hidden="1">
      <c r="A447" t="s">
        <v>518</v>
      </c>
      <c r="B447" s="5">
        <v>45467</v>
      </c>
      <c r="C447" s="8">
        <f>YEAR(Tabla2[[#This Row],[fecha]])</f>
        <v>2024</v>
      </c>
      <c r="D447" s="8">
        <f>MONTH(Tabla2[[#This Row],[fecha]])</f>
        <v>6</v>
      </c>
      <c r="E447" s="8" t="str">
        <f>TEXT(Tabla2[[#This Row],[fecha]], "mmmm")</f>
        <v>junio</v>
      </c>
      <c r="F447" s="8" t="str">
        <f>"T"&amp;ROUNDUP(Tabla2[[#This Row],[mes]]/3,0)</f>
        <v>T2</v>
      </c>
      <c r="G447" t="s">
        <v>22</v>
      </c>
      <c r="H447" t="s">
        <v>23</v>
      </c>
      <c r="I447" s="8" t="str">
        <f>IF(Tabla2[[#This Row],[precio_unitario]]&lt;=30,"Económico",IF(Tabla2[[#This Row],[precio_unitario]]&lt;=58.49,"Accesible","Caro"))</f>
        <v>Caro</v>
      </c>
      <c r="J447" t="s">
        <v>17</v>
      </c>
      <c r="K447">
        <v>2</v>
      </c>
      <c r="L447" s="19">
        <v>96.55</v>
      </c>
      <c r="M447" s="19">
        <v>57.3</v>
      </c>
      <c r="N447" s="11">
        <v>0</v>
      </c>
      <c r="O447" s="17">
        <f t="shared" si="27"/>
        <v>193.1</v>
      </c>
      <c r="P447" s="17">
        <f t="shared" si="24"/>
        <v>114.6</v>
      </c>
      <c r="Q447" s="17">
        <f t="shared" si="25"/>
        <v>78.5</v>
      </c>
      <c r="R447" s="24">
        <f t="shared" si="26"/>
        <v>0.40652511651993789</v>
      </c>
      <c r="S447" t="s">
        <v>67</v>
      </c>
      <c r="T447" t="s">
        <v>64</v>
      </c>
    </row>
    <row r="448" spans="1:20" hidden="1">
      <c r="A448" t="s">
        <v>519</v>
      </c>
      <c r="B448" s="5">
        <v>45990</v>
      </c>
      <c r="C448" s="8">
        <f>YEAR(Tabla2[[#This Row],[fecha]])</f>
        <v>2025</v>
      </c>
      <c r="D448" s="8">
        <f>MONTH(Tabla2[[#This Row],[fecha]])</f>
        <v>11</v>
      </c>
      <c r="E448" s="8" t="str">
        <f>TEXT(Tabla2[[#This Row],[fecha]], "mmmm")</f>
        <v>noviembre</v>
      </c>
      <c r="F448" s="8" t="str">
        <f>"T"&amp;ROUNDUP(Tabla2[[#This Row],[mes]]/3,0)</f>
        <v>T4</v>
      </c>
      <c r="G448" t="s">
        <v>45</v>
      </c>
      <c r="H448" t="s">
        <v>46</v>
      </c>
      <c r="I448" s="8" t="str">
        <f>IF(Tabla2[[#This Row],[precio_unitario]]&lt;=30,"Económico",IF(Tabla2[[#This Row],[precio_unitario]]&lt;=58.49,"Accesible","Caro"))</f>
        <v>Económico</v>
      </c>
      <c r="J448" t="s">
        <v>44</v>
      </c>
      <c r="K448">
        <v>3</v>
      </c>
      <c r="L448" s="19">
        <v>28.89</v>
      </c>
      <c r="M448" s="19">
        <v>17.29</v>
      </c>
      <c r="N448" s="11">
        <v>0</v>
      </c>
      <c r="O448" s="17">
        <f t="shared" si="27"/>
        <v>86.67</v>
      </c>
      <c r="P448" s="17">
        <f t="shared" si="24"/>
        <v>51.87</v>
      </c>
      <c r="Q448" s="17">
        <f t="shared" si="25"/>
        <v>34.800000000000004</v>
      </c>
      <c r="R448" s="24">
        <f t="shared" si="26"/>
        <v>0.40152301834544829</v>
      </c>
      <c r="S448" t="s">
        <v>83</v>
      </c>
      <c r="T448" t="s">
        <v>64</v>
      </c>
    </row>
    <row r="449" spans="1:20" hidden="1">
      <c r="A449" t="s">
        <v>520</v>
      </c>
      <c r="B449" s="5">
        <v>45630</v>
      </c>
      <c r="C449" s="8">
        <f>YEAR(Tabla2[[#This Row],[fecha]])</f>
        <v>2024</v>
      </c>
      <c r="D449" s="8">
        <f>MONTH(Tabla2[[#This Row],[fecha]])</f>
        <v>12</v>
      </c>
      <c r="E449" s="8" t="str">
        <f>TEXT(Tabla2[[#This Row],[fecha]], "mmmm")</f>
        <v>diciembre</v>
      </c>
      <c r="F449" s="8" t="str">
        <f>"T"&amp;ROUNDUP(Tabla2[[#This Row],[mes]]/3,0)</f>
        <v>T4</v>
      </c>
      <c r="G449" t="s">
        <v>40</v>
      </c>
      <c r="H449" t="s">
        <v>41</v>
      </c>
      <c r="I449" s="8" t="str">
        <f>IF(Tabla2[[#This Row],[precio_unitario]]&lt;=30,"Económico",IF(Tabla2[[#This Row],[precio_unitario]]&lt;=58.49,"Accesible","Caro"))</f>
        <v>Caro</v>
      </c>
      <c r="J449" t="s">
        <v>35</v>
      </c>
      <c r="K449">
        <v>1</v>
      </c>
      <c r="L449" s="19">
        <v>73.44</v>
      </c>
      <c r="M449" s="19">
        <v>39.75</v>
      </c>
      <c r="N449" s="11">
        <v>0</v>
      </c>
      <c r="O449" s="17">
        <f t="shared" si="27"/>
        <v>73.44</v>
      </c>
      <c r="P449" s="17">
        <f t="shared" si="24"/>
        <v>39.75</v>
      </c>
      <c r="Q449" s="17">
        <f t="shared" si="25"/>
        <v>33.69</v>
      </c>
      <c r="R449" s="24">
        <f t="shared" si="26"/>
        <v>0.45874183006535946</v>
      </c>
      <c r="S449" t="s">
        <v>67</v>
      </c>
      <c r="T449" t="s">
        <v>64</v>
      </c>
    </row>
    <row r="450" spans="1:20">
      <c r="A450" t="s">
        <v>521</v>
      </c>
      <c r="B450" s="5">
        <v>45727</v>
      </c>
      <c r="C450" s="8">
        <f>YEAR(Tabla2[[#This Row],[fecha]])</f>
        <v>2025</v>
      </c>
      <c r="D450" s="8">
        <f>MONTH(Tabla2[[#This Row],[fecha]])</f>
        <v>3</v>
      </c>
      <c r="E450" s="8" t="str">
        <f>TEXT(Tabla2[[#This Row],[fecha]], "mmmm")</f>
        <v>marzo</v>
      </c>
      <c r="F450" s="8" t="str">
        <f>"T"&amp;ROUNDUP(Tabla2[[#This Row],[mes]]/3,0)</f>
        <v>T1</v>
      </c>
      <c r="G450" t="s">
        <v>27</v>
      </c>
      <c r="H450" t="s">
        <v>28</v>
      </c>
      <c r="I450" s="8" t="str">
        <f>IF(Tabla2[[#This Row],[precio_unitario]]&lt;=30,"Económico",IF(Tabla2[[#This Row],[precio_unitario]]&lt;=58.49,"Accesible","Caro"))</f>
        <v>Económico</v>
      </c>
      <c r="J450" t="s">
        <v>26</v>
      </c>
      <c r="K450">
        <v>3</v>
      </c>
      <c r="L450" s="19">
        <v>16.78</v>
      </c>
      <c r="M450" s="19">
        <v>11.97</v>
      </c>
      <c r="N450" s="11">
        <v>0</v>
      </c>
      <c r="O450" s="17">
        <f t="shared" si="27"/>
        <v>50.34</v>
      </c>
      <c r="P450" s="17">
        <f t="shared" ref="P450:P513" si="28">M450*K450</f>
        <v>35.910000000000004</v>
      </c>
      <c r="Q450" s="17">
        <f t="shared" ref="Q450:Q513" si="29">O450-P450</f>
        <v>14.43</v>
      </c>
      <c r="R450" s="24">
        <f t="shared" ref="R450:R513" si="30">IFERROR(Q450/O450,0)</f>
        <v>0.2866507747318236</v>
      </c>
      <c r="S450" t="s">
        <v>67</v>
      </c>
      <c r="T450" t="s">
        <v>64</v>
      </c>
    </row>
    <row r="451" spans="1:20" hidden="1">
      <c r="A451" t="s">
        <v>522</v>
      </c>
      <c r="B451" s="5">
        <v>45341</v>
      </c>
      <c r="C451" s="8">
        <f>YEAR(Tabla2[[#This Row],[fecha]])</f>
        <v>2024</v>
      </c>
      <c r="D451" s="8">
        <f>MONTH(Tabla2[[#This Row],[fecha]])</f>
        <v>2</v>
      </c>
      <c r="E451" s="8" t="str">
        <f>TEXT(Tabla2[[#This Row],[fecha]], "mmmm")</f>
        <v>febrero</v>
      </c>
      <c r="F451" s="8" t="str">
        <f>"T"&amp;ROUNDUP(Tabla2[[#This Row],[mes]]/3,0)</f>
        <v>T1</v>
      </c>
      <c r="G451" t="s">
        <v>11</v>
      </c>
      <c r="H451" t="s">
        <v>12</v>
      </c>
      <c r="I451" s="8" t="str">
        <f>IF(Tabla2[[#This Row],[precio_unitario]]&lt;=30,"Económico",IF(Tabla2[[#This Row],[precio_unitario]]&lt;=58.49,"Accesible","Caro"))</f>
        <v>Caro</v>
      </c>
      <c r="J451" t="s">
        <v>8</v>
      </c>
      <c r="K451">
        <v>1</v>
      </c>
      <c r="L451" s="19">
        <v>179.97</v>
      </c>
      <c r="M451" s="19">
        <v>89.51</v>
      </c>
      <c r="N451" s="11">
        <v>0</v>
      </c>
      <c r="O451" s="17">
        <f t="shared" ref="O451:O514" si="31">K451*L451*(1-N451)</f>
        <v>179.97</v>
      </c>
      <c r="P451" s="17">
        <f t="shared" si="28"/>
        <v>89.51</v>
      </c>
      <c r="Q451" s="17">
        <f t="shared" si="29"/>
        <v>90.46</v>
      </c>
      <c r="R451" s="24">
        <f t="shared" si="30"/>
        <v>0.50263932877701833</v>
      </c>
      <c r="S451" t="s">
        <v>67</v>
      </c>
      <c r="T451" t="s">
        <v>60</v>
      </c>
    </row>
    <row r="452" spans="1:20" hidden="1">
      <c r="A452" t="s">
        <v>523</v>
      </c>
      <c r="B452" s="5">
        <v>45803</v>
      </c>
      <c r="C452" s="8">
        <f>YEAR(Tabla2[[#This Row],[fecha]])</f>
        <v>2025</v>
      </c>
      <c r="D452" s="8">
        <f>MONTH(Tabla2[[#This Row],[fecha]])</f>
        <v>5</v>
      </c>
      <c r="E452" s="8" t="str">
        <f>TEXT(Tabla2[[#This Row],[fecha]], "mmmm")</f>
        <v>mayo</v>
      </c>
      <c r="F452" s="8" t="str">
        <f>"T"&amp;ROUNDUP(Tabla2[[#This Row],[mes]]/3,0)</f>
        <v>T2</v>
      </c>
      <c r="G452" t="s">
        <v>15</v>
      </c>
      <c r="H452" t="s">
        <v>16</v>
      </c>
      <c r="I452" s="8" t="str">
        <f>IF(Tabla2[[#This Row],[precio_unitario]]&lt;=30,"Económico",IF(Tabla2[[#This Row],[precio_unitario]]&lt;=58.49,"Accesible","Caro"))</f>
        <v>Caro</v>
      </c>
      <c r="J452" t="s">
        <v>17</v>
      </c>
      <c r="K452">
        <v>3</v>
      </c>
      <c r="L452" s="19">
        <v>59.2</v>
      </c>
      <c r="M452" s="19">
        <v>42.54</v>
      </c>
      <c r="N452" s="13">
        <v>0</v>
      </c>
      <c r="O452" s="17">
        <f t="shared" si="31"/>
        <v>177.60000000000002</v>
      </c>
      <c r="P452" s="17">
        <f t="shared" si="28"/>
        <v>127.62</v>
      </c>
      <c r="Q452" s="17">
        <f t="shared" si="29"/>
        <v>49.980000000000018</v>
      </c>
      <c r="R452" s="24">
        <f t="shared" si="30"/>
        <v>0.28141891891891896</v>
      </c>
      <c r="S452" t="s">
        <v>96</v>
      </c>
      <c r="T452" t="s">
        <v>60</v>
      </c>
    </row>
    <row r="453" spans="1:20" hidden="1">
      <c r="A453" t="s">
        <v>524</v>
      </c>
      <c r="B453" s="5">
        <v>45525</v>
      </c>
      <c r="C453" s="8">
        <f>YEAR(Tabla2[[#This Row],[fecha]])</f>
        <v>2024</v>
      </c>
      <c r="D453" s="8">
        <f>MONTH(Tabla2[[#This Row],[fecha]])</f>
        <v>8</v>
      </c>
      <c r="E453" s="8" t="str">
        <f>TEXT(Tabla2[[#This Row],[fecha]], "mmmm")</f>
        <v>agosto</v>
      </c>
      <c r="F453" s="8" t="str">
        <f>"T"&amp;ROUNDUP(Tabla2[[#This Row],[mes]]/3,0)</f>
        <v>T3</v>
      </c>
      <c r="G453" t="s">
        <v>27</v>
      </c>
      <c r="H453" t="s">
        <v>28</v>
      </c>
      <c r="I453" s="8" t="str">
        <f>IF(Tabla2[[#This Row],[precio_unitario]]&lt;=30,"Económico",IF(Tabla2[[#This Row],[precio_unitario]]&lt;=58.49,"Accesible","Caro"))</f>
        <v>Económico</v>
      </c>
      <c r="J453" t="s">
        <v>26</v>
      </c>
      <c r="K453">
        <v>1</v>
      </c>
      <c r="L453" s="19">
        <v>15.83</v>
      </c>
      <c r="M453" s="19">
        <v>11.71</v>
      </c>
      <c r="N453" s="11">
        <v>0</v>
      </c>
      <c r="O453" s="17">
        <f t="shared" si="31"/>
        <v>15.83</v>
      </c>
      <c r="P453" s="17">
        <f t="shared" si="28"/>
        <v>11.71</v>
      </c>
      <c r="Q453" s="17">
        <f t="shared" si="29"/>
        <v>4.1199999999999992</v>
      </c>
      <c r="R453" s="24">
        <f t="shared" si="30"/>
        <v>0.26026531901452932</v>
      </c>
      <c r="S453" t="s">
        <v>540</v>
      </c>
      <c r="T453" t="s">
        <v>60</v>
      </c>
    </row>
    <row r="454" spans="1:20">
      <c r="A454" t="s">
        <v>525</v>
      </c>
      <c r="B454" s="5">
        <v>45672</v>
      </c>
      <c r="C454" s="8">
        <f>YEAR(Tabla2[[#This Row],[fecha]])</f>
        <v>2025</v>
      </c>
      <c r="D454" s="8">
        <f>MONTH(Tabla2[[#This Row],[fecha]])</f>
        <v>1</v>
      </c>
      <c r="E454" s="8" t="str">
        <f>TEXT(Tabla2[[#This Row],[fecha]], "mmmm")</f>
        <v>enero</v>
      </c>
      <c r="F454" s="8" t="str">
        <f>"T"&amp;ROUNDUP(Tabla2[[#This Row],[mes]]/3,0)</f>
        <v>T1</v>
      </c>
      <c r="G454" t="s">
        <v>29</v>
      </c>
      <c r="H454" t="s">
        <v>30</v>
      </c>
      <c r="I454" s="8" t="str">
        <f>IF(Tabla2[[#This Row],[precio_unitario]]&lt;=30,"Económico",IF(Tabla2[[#This Row],[precio_unitario]]&lt;=58.49,"Accesible","Caro"))</f>
        <v>Económico</v>
      </c>
      <c r="J454" t="s">
        <v>26</v>
      </c>
      <c r="K454">
        <v>1</v>
      </c>
      <c r="L454" s="19">
        <v>22.73</v>
      </c>
      <c r="M454" s="21">
        <f>INDEX(Tabla3[coste_objetivo], MATCH(Tabla2[[#This Row],[id_producto]], Tabla3[id_producto],0))</f>
        <v>11.4</v>
      </c>
      <c r="N454" s="11">
        <v>0.15</v>
      </c>
      <c r="O454" s="17">
        <f t="shared" si="31"/>
        <v>19.320499999999999</v>
      </c>
      <c r="P454" s="17">
        <f t="shared" si="28"/>
        <v>11.4</v>
      </c>
      <c r="Q454" s="17">
        <f t="shared" si="29"/>
        <v>7.9204999999999988</v>
      </c>
      <c r="R454" s="24">
        <f t="shared" si="30"/>
        <v>0.40995315856214898</v>
      </c>
      <c r="S454" t="s">
        <v>67</v>
      </c>
      <c r="T454" t="s">
        <v>60</v>
      </c>
    </row>
    <row r="455" spans="1:20" hidden="1">
      <c r="A455" t="s">
        <v>526</v>
      </c>
      <c r="B455" s="5">
        <v>45543</v>
      </c>
      <c r="C455" s="8">
        <f>YEAR(Tabla2[[#This Row],[fecha]])</f>
        <v>2024</v>
      </c>
      <c r="D455" s="8">
        <f>MONTH(Tabla2[[#This Row],[fecha]])</f>
        <v>9</v>
      </c>
      <c r="E455" s="8" t="str">
        <f>TEXT(Tabla2[[#This Row],[fecha]], "mmmm")</f>
        <v>septiembre</v>
      </c>
      <c r="F455" s="8" t="str">
        <f>"T"&amp;ROUNDUP(Tabla2[[#This Row],[mes]]/3,0)</f>
        <v>T3</v>
      </c>
      <c r="G455" t="s">
        <v>22</v>
      </c>
      <c r="H455" t="s">
        <v>23</v>
      </c>
      <c r="I455" s="8" t="str">
        <f>IF(Tabla2[[#This Row],[precio_unitario]]&lt;=30,"Económico",IF(Tabla2[[#This Row],[precio_unitario]]&lt;=58.49,"Accesible","Caro"))</f>
        <v>Caro</v>
      </c>
      <c r="J455" t="s">
        <v>17</v>
      </c>
      <c r="K455">
        <v>1</v>
      </c>
      <c r="L455" s="19">
        <v>108.49</v>
      </c>
      <c r="M455" s="19">
        <v>57.37</v>
      </c>
      <c r="N455" s="11">
        <v>0</v>
      </c>
      <c r="O455" s="17">
        <f t="shared" si="31"/>
        <v>108.49</v>
      </c>
      <c r="P455" s="17">
        <f t="shared" si="28"/>
        <v>57.37</v>
      </c>
      <c r="Q455" s="17">
        <f t="shared" si="29"/>
        <v>51.12</v>
      </c>
      <c r="R455" s="24">
        <f t="shared" si="30"/>
        <v>0.4711955018895751</v>
      </c>
      <c r="S455" t="s">
        <v>96</v>
      </c>
      <c r="T455" t="s">
        <v>64</v>
      </c>
    </row>
    <row r="456" spans="1:20" hidden="1">
      <c r="A456" t="s">
        <v>527</v>
      </c>
      <c r="B456" s="5">
        <v>46004</v>
      </c>
      <c r="C456" s="8">
        <f>YEAR(Tabla2[[#This Row],[fecha]])</f>
        <v>2025</v>
      </c>
      <c r="D456" s="8">
        <f>MONTH(Tabla2[[#This Row],[fecha]])</f>
        <v>12</v>
      </c>
      <c r="E456" s="8" t="str">
        <f>TEXT(Tabla2[[#This Row],[fecha]], "mmmm")</f>
        <v>diciembre</v>
      </c>
      <c r="F456" s="8" t="str">
        <f>"T"&amp;ROUNDUP(Tabla2[[#This Row],[mes]]/3,0)</f>
        <v>T4</v>
      </c>
      <c r="G456" t="s">
        <v>31</v>
      </c>
      <c r="H456" t="s">
        <v>32</v>
      </c>
      <c r="I456" s="8" t="str">
        <f>IF(Tabla2[[#This Row],[precio_unitario]]&lt;=30,"Económico",IF(Tabla2[[#This Row],[precio_unitario]]&lt;=58.49,"Accesible","Caro"))</f>
        <v>Económico</v>
      </c>
      <c r="J456" t="s">
        <v>26</v>
      </c>
      <c r="K456">
        <v>2</v>
      </c>
      <c r="L456" s="19">
        <v>9.26</v>
      </c>
      <c r="M456" s="19">
        <v>5.81</v>
      </c>
      <c r="N456" s="11">
        <v>0.13</v>
      </c>
      <c r="O456" s="17">
        <f t="shared" si="31"/>
        <v>16.112400000000001</v>
      </c>
      <c r="P456" s="17">
        <f t="shared" si="28"/>
        <v>11.62</v>
      </c>
      <c r="Q456" s="17">
        <f t="shared" si="29"/>
        <v>4.4924000000000017</v>
      </c>
      <c r="R456" s="24">
        <f t="shared" si="30"/>
        <v>0.27881631538442453</v>
      </c>
      <c r="S456" t="s">
        <v>101</v>
      </c>
      <c r="T456" t="s">
        <v>60</v>
      </c>
    </row>
    <row r="457" spans="1:20" hidden="1">
      <c r="A457" t="s">
        <v>528</v>
      </c>
      <c r="B457" s="5">
        <v>45873</v>
      </c>
      <c r="C457" s="8">
        <f>YEAR(Tabla2[[#This Row],[fecha]])</f>
        <v>2025</v>
      </c>
      <c r="D457" s="8">
        <f>MONTH(Tabla2[[#This Row],[fecha]])</f>
        <v>8</v>
      </c>
      <c r="E457" s="8" t="str">
        <f>TEXT(Tabla2[[#This Row],[fecha]], "mmmm")</f>
        <v>agosto</v>
      </c>
      <c r="F457" s="8" t="str">
        <f>"T"&amp;ROUNDUP(Tabla2[[#This Row],[mes]]/3,0)</f>
        <v>T3</v>
      </c>
      <c r="G457" t="s">
        <v>6</v>
      </c>
      <c r="H457" t="s">
        <v>7</v>
      </c>
      <c r="I457" s="8" t="str">
        <f>IF(Tabla2[[#This Row],[precio_unitario]]&lt;=30,"Económico",IF(Tabla2[[#This Row],[precio_unitario]]&lt;=58.49,"Accesible","Caro"))</f>
        <v>Caro</v>
      </c>
      <c r="J457" t="s">
        <v>8</v>
      </c>
      <c r="K457">
        <v>4</v>
      </c>
      <c r="L457" s="19">
        <v>116.68</v>
      </c>
      <c r="M457" s="21">
        <f>INDEX(Tabla3[coste_objetivo], MATCH(Tabla2[[#This Row],[id_producto]], Tabla3[id_producto],0))</f>
        <v>84.31</v>
      </c>
      <c r="N457" s="11">
        <v>0</v>
      </c>
      <c r="O457" s="17">
        <f t="shared" si="31"/>
        <v>466.72</v>
      </c>
      <c r="P457" s="17">
        <f t="shared" si="28"/>
        <v>337.24</v>
      </c>
      <c r="Q457" s="17">
        <f t="shared" si="29"/>
        <v>129.48000000000002</v>
      </c>
      <c r="R457" s="24">
        <f t="shared" si="30"/>
        <v>0.27742543709290368</v>
      </c>
      <c r="S457" t="s">
        <v>83</v>
      </c>
      <c r="T457" t="s">
        <v>64</v>
      </c>
    </row>
    <row r="458" spans="1:20" hidden="1">
      <c r="A458" t="s">
        <v>529</v>
      </c>
      <c r="B458" s="5">
        <v>45647</v>
      </c>
      <c r="C458" s="8">
        <f>YEAR(Tabla2[[#This Row],[fecha]])</f>
        <v>2024</v>
      </c>
      <c r="D458" s="8">
        <f>MONTH(Tabla2[[#This Row],[fecha]])</f>
        <v>12</v>
      </c>
      <c r="E458" s="8" t="str">
        <f>TEXT(Tabla2[[#This Row],[fecha]], "mmmm")</f>
        <v>diciembre</v>
      </c>
      <c r="F458" s="8" t="str">
        <f>"T"&amp;ROUNDUP(Tabla2[[#This Row],[mes]]/3,0)</f>
        <v>T4</v>
      </c>
      <c r="G458" t="s">
        <v>31</v>
      </c>
      <c r="H458" t="s">
        <v>32</v>
      </c>
      <c r="I458" s="8" t="str">
        <f>IF(Tabla2[[#This Row],[precio_unitario]]&lt;=30,"Económico",IF(Tabla2[[#This Row],[precio_unitario]]&lt;=58.49,"Accesible","Caro"))</f>
        <v>Económico</v>
      </c>
      <c r="J458" t="s">
        <v>26</v>
      </c>
      <c r="K458">
        <v>4</v>
      </c>
      <c r="L458" s="19">
        <v>9.34</v>
      </c>
      <c r="M458" s="19">
        <v>5.81</v>
      </c>
      <c r="N458" s="11">
        <v>0</v>
      </c>
      <c r="O458" s="17">
        <f t="shared" si="31"/>
        <v>37.36</v>
      </c>
      <c r="P458" s="17">
        <f t="shared" si="28"/>
        <v>23.24</v>
      </c>
      <c r="Q458" s="17">
        <f t="shared" si="29"/>
        <v>14.120000000000001</v>
      </c>
      <c r="R458" s="24">
        <f t="shared" si="30"/>
        <v>0.37794432548179874</v>
      </c>
      <c r="S458" t="s">
        <v>101</v>
      </c>
      <c r="T458" t="s">
        <v>60</v>
      </c>
    </row>
    <row r="459" spans="1:20" hidden="1">
      <c r="A459" t="s">
        <v>530</v>
      </c>
      <c r="B459" s="5">
        <v>45533</v>
      </c>
      <c r="C459" s="8">
        <f>YEAR(Tabla2[[#This Row],[fecha]])</f>
        <v>2024</v>
      </c>
      <c r="D459" s="8">
        <f>MONTH(Tabla2[[#This Row],[fecha]])</f>
        <v>8</v>
      </c>
      <c r="E459" s="8" t="str">
        <f>TEXT(Tabla2[[#This Row],[fecha]], "mmmm")</f>
        <v>agosto</v>
      </c>
      <c r="F459" s="8" t="str">
        <f>"T"&amp;ROUNDUP(Tabla2[[#This Row],[mes]]/3,0)</f>
        <v>T3</v>
      </c>
      <c r="G459" t="s">
        <v>11</v>
      </c>
      <c r="H459" t="s">
        <v>12</v>
      </c>
      <c r="I459" s="8" t="str">
        <f>IF(Tabla2[[#This Row],[precio_unitario]]&lt;=30,"Económico",IF(Tabla2[[#This Row],[precio_unitario]]&lt;=58.49,"Accesible","Caro"))</f>
        <v>Caro</v>
      </c>
      <c r="J459" t="s">
        <v>8</v>
      </c>
      <c r="K459">
        <v>1</v>
      </c>
      <c r="L459" s="19">
        <v>172.52</v>
      </c>
      <c r="M459" s="19">
        <v>97.13</v>
      </c>
      <c r="N459" s="11">
        <v>0</v>
      </c>
      <c r="O459" s="17">
        <f t="shared" si="31"/>
        <v>172.52</v>
      </c>
      <c r="P459" s="17">
        <f t="shared" si="28"/>
        <v>97.13</v>
      </c>
      <c r="Q459" s="17">
        <f t="shared" si="29"/>
        <v>75.390000000000015</v>
      </c>
      <c r="R459" s="24">
        <f t="shared" si="30"/>
        <v>0.43699281242754467</v>
      </c>
      <c r="S459" t="s">
        <v>67</v>
      </c>
      <c r="T459" t="s">
        <v>64</v>
      </c>
    </row>
    <row r="460" spans="1:20" hidden="1">
      <c r="A460" t="s">
        <v>531</v>
      </c>
      <c r="B460" s="5">
        <v>45857</v>
      </c>
      <c r="C460" s="8">
        <f>YEAR(Tabla2[[#This Row],[fecha]])</f>
        <v>2025</v>
      </c>
      <c r="D460" s="8">
        <f>MONTH(Tabla2[[#This Row],[fecha]])</f>
        <v>7</v>
      </c>
      <c r="E460" s="8" t="str">
        <f>TEXT(Tabla2[[#This Row],[fecha]], "mmmm")</f>
        <v>julio</v>
      </c>
      <c r="F460" s="8" t="str">
        <f>"T"&amp;ROUNDUP(Tabla2[[#This Row],[mes]]/3,0)</f>
        <v>T3</v>
      </c>
      <c r="G460" t="s">
        <v>33</v>
      </c>
      <c r="H460" t="s">
        <v>34</v>
      </c>
      <c r="I460" s="8" t="str">
        <f>IF(Tabla2[[#This Row],[precio_unitario]]&lt;=30,"Económico",IF(Tabla2[[#This Row],[precio_unitario]]&lt;=58.49,"Accesible","Caro"))</f>
        <v>Caro</v>
      </c>
      <c r="J460" t="s">
        <v>35</v>
      </c>
      <c r="K460">
        <v>5</v>
      </c>
      <c r="L460" s="19">
        <v>76.47</v>
      </c>
      <c r="M460" s="19">
        <v>48.63</v>
      </c>
      <c r="N460" s="13">
        <v>0</v>
      </c>
      <c r="O460" s="17">
        <f t="shared" si="31"/>
        <v>382.35</v>
      </c>
      <c r="P460" s="17">
        <f t="shared" si="28"/>
        <v>243.15</v>
      </c>
      <c r="Q460" s="17">
        <f t="shared" si="29"/>
        <v>139.20000000000002</v>
      </c>
      <c r="R460" s="24">
        <f t="shared" si="30"/>
        <v>0.36406433895645351</v>
      </c>
      <c r="S460" t="s">
        <v>540</v>
      </c>
      <c r="T460" t="s">
        <v>60</v>
      </c>
    </row>
    <row r="461" spans="1:20">
      <c r="A461" t="s">
        <v>532</v>
      </c>
      <c r="B461" s="5">
        <v>45937</v>
      </c>
      <c r="C461" s="8">
        <f>YEAR(Tabla2[[#This Row],[fecha]])</f>
        <v>2025</v>
      </c>
      <c r="D461" s="8">
        <f>MONTH(Tabla2[[#This Row],[fecha]])</f>
        <v>10</v>
      </c>
      <c r="E461" s="8" t="str">
        <f>TEXT(Tabla2[[#This Row],[fecha]], "mmmm")</f>
        <v>octubre</v>
      </c>
      <c r="F461" s="8" t="str">
        <f>"T"&amp;ROUNDUP(Tabla2[[#This Row],[mes]]/3,0)</f>
        <v>T4</v>
      </c>
      <c r="G461" t="s">
        <v>36</v>
      </c>
      <c r="H461" t="s">
        <v>37</v>
      </c>
      <c r="I461" s="8" t="str">
        <f>IF(Tabla2[[#This Row],[precio_unitario]]&lt;=30,"Económico",IF(Tabla2[[#This Row],[precio_unitario]]&lt;=58.49,"Accesible","Caro"))</f>
        <v>Económico</v>
      </c>
      <c r="J461" t="s">
        <v>35</v>
      </c>
      <c r="K461">
        <v>4</v>
      </c>
      <c r="L461" s="19">
        <v>14.9</v>
      </c>
      <c r="M461" s="19">
        <v>9.5399999999999991</v>
      </c>
      <c r="N461" s="11">
        <v>0</v>
      </c>
      <c r="O461" s="17">
        <f t="shared" si="31"/>
        <v>59.6</v>
      </c>
      <c r="P461" s="17">
        <f t="shared" si="28"/>
        <v>38.159999999999997</v>
      </c>
      <c r="Q461" s="17">
        <f t="shared" si="29"/>
        <v>21.440000000000005</v>
      </c>
      <c r="R461" s="24">
        <f t="shared" si="30"/>
        <v>0.35973154362416115</v>
      </c>
      <c r="S461" t="s">
        <v>67</v>
      </c>
      <c r="T461" t="s">
        <v>64</v>
      </c>
    </row>
    <row r="462" spans="1:20" hidden="1">
      <c r="A462" t="s">
        <v>533</v>
      </c>
      <c r="B462" s="5">
        <v>45676</v>
      </c>
      <c r="C462" s="8">
        <f>YEAR(Tabla2[[#This Row],[fecha]])</f>
        <v>2025</v>
      </c>
      <c r="D462" s="8">
        <f>MONTH(Tabla2[[#This Row],[fecha]])</f>
        <v>1</v>
      </c>
      <c r="E462" s="8" t="str">
        <f>TEXT(Tabla2[[#This Row],[fecha]], "mmmm")</f>
        <v>enero</v>
      </c>
      <c r="F462" s="8" t="str">
        <f>"T"&amp;ROUNDUP(Tabla2[[#This Row],[mes]]/3,0)</f>
        <v>T1</v>
      </c>
      <c r="G462" t="s">
        <v>47</v>
      </c>
      <c r="H462" t="s">
        <v>48</v>
      </c>
      <c r="I462" s="8" t="str">
        <f>IF(Tabla2[[#This Row],[precio_unitario]]&lt;=30,"Económico",IF(Tabla2[[#This Row],[precio_unitario]]&lt;=58.49,"Accesible","Caro"))</f>
        <v>Caro</v>
      </c>
      <c r="J462" t="s">
        <v>44</v>
      </c>
      <c r="K462">
        <v>8</v>
      </c>
      <c r="L462" s="19">
        <v>61.89</v>
      </c>
      <c r="M462" s="19">
        <v>33.479999999999997</v>
      </c>
      <c r="N462" s="11">
        <v>0</v>
      </c>
      <c r="O462" s="17">
        <f t="shared" si="31"/>
        <v>495.12</v>
      </c>
      <c r="P462" s="17">
        <f t="shared" si="28"/>
        <v>267.83999999999997</v>
      </c>
      <c r="Q462" s="17">
        <f t="shared" si="29"/>
        <v>227.28000000000003</v>
      </c>
      <c r="R462" s="24">
        <f t="shared" si="30"/>
        <v>0.45904023267086774</v>
      </c>
      <c r="S462" t="s">
        <v>96</v>
      </c>
      <c r="T462" t="s">
        <v>64</v>
      </c>
    </row>
    <row r="463" spans="1:20" hidden="1">
      <c r="A463" t="s">
        <v>534</v>
      </c>
      <c r="B463" s="5">
        <v>45767</v>
      </c>
      <c r="C463" s="8">
        <f>YEAR(Tabla2[[#This Row],[fecha]])</f>
        <v>2025</v>
      </c>
      <c r="D463" s="8">
        <f>MONTH(Tabla2[[#This Row],[fecha]])</f>
        <v>4</v>
      </c>
      <c r="E463" s="8" t="str">
        <f>TEXT(Tabla2[[#This Row],[fecha]], "mmmm")</f>
        <v>abril</v>
      </c>
      <c r="F463" s="8" t="str">
        <f>"T"&amp;ROUNDUP(Tabla2[[#This Row],[mes]]/3,0)</f>
        <v>T2</v>
      </c>
      <c r="G463" t="s">
        <v>45</v>
      </c>
      <c r="H463" t="s">
        <v>46</v>
      </c>
      <c r="I463" s="8" t="str">
        <f>IF(Tabla2[[#This Row],[precio_unitario]]&lt;=30,"Económico",IF(Tabla2[[#This Row],[precio_unitario]]&lt;=58.49,"Accesible","Caro"))</f>
        <v>Accesible</v>
      </c>
      <c r="J463" t="s">
        <v>44</v>
      </c>
      <c r="K463">
        <v>4</v>
      </c>
      <c r="L463" s="19">
        <v>30.42</v>
      </c>
      <c r="M463" s="19">
        <v>17.440000000000001</v>
      </c>
      <c r="N463" s="13">
        <v>0</v>
      </c>
      <c r="O463" s="17">
        <f t="shared" si="31"/>
        <v>121.68</v>
      </c>
      <c r="P463" s="17">
        <f t="shared" si="28"/>
        <v>69.760000000000005</v>
      </c>
      <c r="Q463" s="17">
        <f t="shared" si="29"/>
        <v>51.92</v>
      </c>
      <c r="R463" s="24">
        <f t="shared" si="30"/>
        <v>0.42669296515450361</v>
      </c>
      <c r="S463" t="s">
        <v>540</v>
      </c>
      <c r="T463" t="s">
        <v>60</v>
      </c>
    </row>
    <row r="464" spans="1:20" hidden="1">
      <c r="A464" t="s">
        <v>535</v>
      </c>
      <c r="B464" s="5">
        <v>45620</v>
      </c>
      <c r="C464" s="8">
        <f>YEAR(Tabla2[[#This Row],[fecha]])</f>
        <v>2024</v>
      </c>
      <c r="D464" s="8">
        <f>MONTH(Tabla2[[#This Row],[fecha]])</f>
        <v>11</v>
      </c>
      <c r="E464" s="8" t="str">
        <f>TEXT(Tabla2[[#This Row],[fecha]], "mmmm")</f>
        <v>noviembre</v>
      </c>
      <c r="F464" s="8" t="str">
        <f>"T"&amp;ROUNDUP(Tabla2[[#This Row],[mes]]/3,0)</f>
        <v>T4</v>
      </c>
      <c r="G464" t="s">
        <v>9</v>
      </c>
      <c r="H464" t="s">
        <v>10</v>
      </c>
      <c r="I464" s="8" t="str">
        <f>IF(Tabla2[[#This Row],[precio_unitario]]&lt;=30,"Económico",IF(Tabla2[[#This Row],[precio_unitario]]&lt;=58.49,"Accesible","Caro"))</f>
        <v>Caro</v>
      </c>
      <c r="J464" t="s">
        <v>8</v>
      </c>
      <c r="K464">
        <v>2</v>
      </c>
      <c r="L464" s="19">
        <v>74.099999999999994</v>
      </c>
      <c r="M464" s="19">
        <v>49.31</v>
      </c>
      <c r="N464" s="11">
        <v>0.19</v>
      </c>
      <c r="O464" s="17">
        <f t="shared" si="31"/>
        <v>120.042</v>
      </c>
      <c r="P464" s="17">
        <f t="shared" si="28"/>
        <v>98.62</v>
      </c>
      <c r="Q464" s="17">
        <f t="shared" si="29"/>
        <v>21.421999999999997</v>
      </c>
      <c r="R464" s="24">
        <f t="shared" si="30"/>
        <v>0.17845420769397374</v>
      </c>
      <c r="S464" t="s">
        <v>540</v>
      </c>
      <c r="T464" t="s">
        <v>60</v>
      </c>
    </row>
    <row r="465" spans="1:20" hidden="1">
      <c r="A465" t="s">
        <v>536</v>
      </c>
      <c r="B465" s="5">
        <v>45921</v>
      </c>
      <c r="C465" s="8">
        <f>YEAR(Tabla2[[#This Row],[fecha]])</f>
        <v>2025</v>
      </c>
      <c r="D465" s="8">
        <f>MONTH(Tabla2[[#This Row],[fecha]])</f>
        <v>9</v>
      </c>
      <c r="E465" s="8" t="str">
        <f>TEXT(Tabla2[[#This Row],[fecha]], "mmmm")</f>
        <v>septiembre</v>
      </c>
      <c r="F465" s="8" t="str">
        <f>"T"&amp;ROUNDUP(Tabla2[[#This Row],[mes]]/3,0)</f>
        <v>T3</v>
      </c>
      <c r="G465" t="s">
        <v>15</v>
      </c>
      <c r="H465" t="s">
        <v>16</v>
      </c>
      <c r="I465" s="8" t="str">
        <f>IF(Tabla2[[#This Row],[precio_unitario]]&lt;=30,"Económico",IF(Tabla2[[#This Row],[precio_unitario]]&lt;=58.49,"Accesible","Caro"))</f>
        <v>Accesible</v>
      </c>
      <c r="J465" t="s">
        <v>17</v>
      </c>
      <c r="K465">
        <v>2</v>
      </c>
      <c r="L465" s="19">
        <v>54.94</v>
      </c>
      <c r="M465" s="19">
        <v>41.31</v>
      </c>
      <c r="N465" s="11">
        <v>0</v>
      </c>
      <c r="O465" s="17">
        <f t="shared" si="31"/>
        <v>109.88</v>
      </c>
      <c r="P465" s="17">
        <f t="shared" si="28"/>
        <v>82.62</v>
      </c>
      <c r="Q465" s="17">
        <f t="shared" si="29"/>
        <v>27.259999999999991</v>
      </c>
      <c r="R465" s="24">
        <f t="shared" si="30"/>
        <v>0.24808882417182374</v>
      </c>
      <c r="S465" t="s">
        <v>540</v>
      </c>
      <c r="T465" t="s">
        <v>64</v>
      </c>
    </row>
    <row r="466" spans="1:20" hidden="1">
      <c r="A466" t="s">
        <v>537</v>
      </c>
      <c r="B466" s="5">
        <v>45620</v>
      </c>
      <c r="C466" s="8">
        <f>YEAR(Tabla2[[#This Row],[fecha]])</f>
        <v>2024</v>
      </c>
      <c r="D466" s="8">
        <f>MONTH(Tabla2[[#This Row],[fecha]])</f>
        <v>11</v>
      </c>
      <c r="E466" s="8" t="str">
        <f>TEXT(Tabla2[[#This Row],[fecha]], "mmmm")</f>
        <v>noviembre</v>
      </c>
      <c r="F466" s="8" t="str">
        <f>"T"&amp;ROUNDUP(Tabla2[[#This Row],[mes]]/3,0)</f>
        <v>T4</v>
      </c>
      <c r="G466" t="s">
        <v>20</v>
      </c>
      <c r="H466" t="s">
        <v>21</v>
      </c>
      <c r="I466" s="8" t="str">
        <f>IF(Tabla2[[#This Row],[precio_unitario]]&lt;=30,"Económico",IF(Tabla2[[#This Row],[precio_unitario]]&lt;=58.49,"Accesible","Caro"))</f>
        <v>Económico</v>
      </c>
      <c r="J466" t="s">
        <v>17</v>
      </c>
      <c r="K466">
        <v>3</v>
      </c>
      <c r="L466" s="19">
        <v>18.59</v>
      </c>
      <c r="M466" s="19">
        <v>12.6</v>
      </c>
      <c r="N466" s="11">
        <v>0</v>
      </c>
      <c r="O466" s="17">
        <f t="shared" si="31"/>
        <v>55.769999999999996</v>
      </c>
      <c r="P466" s="17">
        <f t="shared" si="28"/>
        <v>37.799999999999997</v>
      </c>
      <c r="Q466" s="17">
        <f t="shared" si="29"/>
        <v>17.97</v>
      </c>
      <c r="R466" s="24">
        <f t="shared" si="30"/>
        <v>0.32221624529316839</v>
      </c>
      <c r="S466" t="s">
        <v>67</v>
      </c>
      <c r="T466" t="s">
        <v>60</v>
      </c>
    </row>
    <row r="467" spans="1:20" hidden="1">
      <c r="A467" t="s">
        <v>538</v>
      </c>
      <c r="B467" s="5">
        <v>45397</v>
      </c>
      <c r="C467" s="8">
        <f>YEAR(Tabla2[[#This Row],[fecha]])</f>
        <v>2024</v>
      </c>
      <c r="D467" s="8">
        <f>MONTH(Tabla2[[#This Row],[fecha]])</f>
        <v>4</v>
      </c>
      <c r="E467" s="8" t="str">
        <f>TEXT(Tabla2[[#This Row],[fecha]], "mmmm")</f>
        <v>abril</v>
      </c>
      <c r="F467" s="8" t="str">
        <f>"T"&amp;ROUNDUP(Tabla2[[#This Row],[mes]]/3,0)</f>
        <v>T2</v>
      </c>
      <c r="G467" t="s">
        <v>6</v>
      </c>
      <c r="H467" t="s">
        <v>7</v>
      </c>
      <c r="I467" s="8" t="str">
        <f>IF(Tabla2[[#This Row],[precio_unitario]]&lt;=30,"Económico",IF(Tabla2[[#This Row],[precio_unitario]]&lt;=58.49,"Accesible","Caro"))</f>
        <v>Caro</v>
      </c>
      <c r="J467" t="s">
        <v>8</v>
      </c>
      <c r="K467">
        <v>3</v>
      </c>
      <c r="L467" s="19">
        <v>127.89</v>
      </c>
      <c r="M467" s="19">
        <v>88.21</v>
      </c>
      <c r="N467" s="11">
        <v>0</v>
      </c>
      <c r="O467" s="17">
        <f t="shared" si="31"/>
        <v>383.67</v>
      </c>
      <c r="P467" s="17">
        <f t="shared" si="28"/>
        <v>264.63</v>
      </c>
      <c r="Q467" s="17">
        <f t="shared" si="29"/>
        <v>119.04000000000002</v>
      </c>
      <c r="R467" s="24">
        <f t="shared" si="30"/>
        <v>0.31026663538978816</v>
      </c>
      <c r="S467" t="s">
        <v>540</v>
      </c>
      <c r="T467" t="s">
        <v>60</v>
      </c>
    </row>
    <row r="468" spans="1:20" hidden="1">
      <c r="A468" t="s">
        <v>539</v>
      </c>
      <c r="B468" s="5">
        <v>45410</v>
      </c>
      <c r="C468" s="8">
        <f>YEAR(Tabla2[[#This Row],[fecha]])</f>
        <v>2024</v>
      </c>
      <c r="D468" s="8">
        <f>MONTH(Tabla2[[#This Row],[fecha]])</f>
        <v>4</v>
      </c>
      <c r="E468" s="8" t="str">
        <f>TEXT(Tabla2[[#This Row],[fecha]], "mmmm")</f>
        <v>abril</v>
      </c>
      <c r="F468" s="8" t="str">
        <f>"T"&amp;ROUNDUP(Tabla2[[#This Row],[mes]]/3,0)</f>
        <v>T2</v>
      </c>
      <c r="G468" t="s">
        <v>38</v>
      </c>
      <c r="H468" t="s">
        <v>39</v>
      </c>
      <c r="I468" s="8" t="str">
        <f>IF(Tabla2[[#This Row],[precio_unitario]]&lt;=30,"Económico",IF(Tabla2[[#This Row],[precio_unitario]]&lt;=58.49,"Accesible","Caro"))</f>
        <v>Caro</v>
      </c>
      <c r="J468" t="s">
        <v>35</v>
      </c>
      <c r="K468">
        <v>1</v>
      </c>
      <c r="L468" s="19">
        <v>83.33</v>
      </c>
      <c r="M468" s="19">
        <v>43.65</v>
      </c>
      <c r="N468" s="11">
        <v>0.3</v>
      </c>
      <c r="O468" s="17">
        <f t="shared" si="31"/>
        <v>58.330999999999996</v>
      </c>
      <c r="P468" s="17">
        <f t="shared" si="28"/>
        <v>43.65</v>
      </c>
      <c r="Q468" s="17">
        <f t="shared" si="29"/>
        <v>14.680999999999997</v>
      </c>
      <c r="R468" s="24">
        <f t="shared" si="30"/>
        <v>0.2516843530884092</v>
      </c>
      <c r="S468" t="s">
        <v>540</v>
      </c>
      <c r="T468" t="s">
        <v>64</v>
      </c>
    </row>
    <row r="469" spans="1:20" hidden="1">
      <c r="A469" t="s">
        <v>541</v>
      </c>
      <c r="B469" s="5">
        <v>45541</v>
      </c>
      <c r="C469" s="8">
        <f>YEAR(Tabla2[[#This Row],[fecha]])</f>
        <v>2024</v>
      </c>
      <c r="D469" s="8">
        <f>MONTH(Tabla2[[#This Row],[fecha]])</f>
        <v>9</v>
      </c>
      <c r="E469" s="8" t="str">
        <f>TEXT(Tabla2[[#This Row],[fecha]], "mmmm")</f>
        <v>septiembre</v>
      </c>
      <c r="F469" s="8" t="str">
        <f>"T"&amp;ROUNDUP(Tabla2[[#This Row],[mes]]/3,0)</f>
        <v>T3</v>
      </c>
      <c r="G469" t="s">
        <v>6</v>
      </c>
      <c r="H469" t="s">
        <v>7</v>
      </c>
      <c r="I469" s="8" t="str">
        <f>IF(Tabla2[[#This Row],[precio_unitario]]&lt;=30,"Económico",IF(Tabla2[[#This Row],[precio_unitario]]&lt;=58.49,"Accesible","Caro"))</f>
        <v>Caro</v>
      </c>
      <c r="J469" t="s">
        <v>8</v>
      </c>
      <c r="K469">
        <v>1</v>
      </c>
      <c r="L469" s="19">
        <v>113.18</v>
      </c>
      <c r="M469" s="19">
        <v>84.92</v>
      </c>
      <c r="N469" s="11">
        <v>0.11</v>
      </c>
      <c r="O469" s="17">
        <f t="shared" si="31"/>
        <v>100.73020000000001</v>
      </c>
      <c r="P469" s="17">
        <f t="shared" si="28"/>
        <v>84.92</v>
      </c>
      <c r="Q469" s="17">
        <f t="shared" si="29"/>
        <v>15.810200000000009</v>
      </c>
      <c r="R469" s="24">
        <f t="shared" si="30"/>
        <v>0.15695590796007561</v>
      </c>
      <c r="S469" t="s">
        <v>67</v>
      </c>
      <c r="T469" t="s">
        <v>64</v>
      </c>
    </row>
    <row r="470" spans="1:20" hidden="1">
      <c r="A470" t="s">
        <v>542</v>
      </c>
      <c r="B470" s="5">
        <v>45523</v>
      </c>
      <c r="C470" s="8">
        <f>YEAR(Tabla2[[#This Row],[fecha]])</f>
        <v>2024</v>
      </c>
      <c r="D470" s="8">
        <f>MONTH(Tabla2[[#This Row],[fecha]])</f>
        <v>8</v>
      </c>
      <c r="E470" s="8" t="str">
        <f>TEXT(Tabla2[[#This Row],[fecha]], "mmmm")</f>
        <v>agosto</v>
      </c>
      <c r="F470" s="8" t="str">
        <f>"T"&amp;ROUNDUP(Tabla2[[#This Row],[mes]]/3,0)</f>
        <v>T3</v>
      </c>
      <c r="G470" t="s">
        <v>42</v>
      </c>
      <c r="H470" t="s">
        <v>43</v>
      </c>
      <c r="I470" s="8" t="str">
        <f>IF(Tabla2[[#This Row],[precio_unitario]]&lt;=30,"Económico",IF(Tabla2[[#This Row],[precio_unitario]]&lt;=58.49,"Accesible","Caro"))</f>
        <v>Accesible</v>
      </c>
      <c r="J470" t="s">
        <v>44</v>
      </c>
      <c r="K470">
        <v>2</v>
      </c>
      <c r="L470" s="19">
        <v>46.18</v>
      </c>
      <c r="M470" s="19">
        <v>23.3</v>
      </c>
      <c r="N470" s="11">
        <v>0.19</v>
      </c>
      <c r="O470" s="17">
        <f t="shared" si="31"/>
        <v>74.811599999999999</v>
      </c>
      <c r="P470" s="17">
        <f t="shared" si="28"/>
        <v>46.6</v>
      </c>
      <c r="Q470" s="17">
        <f t="shared" si="29"/>
        <v>28.211599999999997</v>
      </c>
      <c r="R470" s="24">
        <f t="shared" si="30"/>
        <v>0.37710194675691999</v>
      </c>
      <c r="S470" s="10" t="s">
        <v>2377</v>
      </c>
      <c r="T470" t="s">
        <v>60</v>
      </c>
    </row>
    <row r="471" spans="1:20">
      <c r="A471" t="s">
        <v>543</v>
      </c>
      <c r="B471" s="5">
        <v>45872</v>
      </c>
      <c r="C471" s="8">
        <f>YEAR(Tabla2[[#This Row],[fecha]])</f>
        <v>2025</v>
      </c>
      <c r="D471" s="8">
        <f>MONTH(Tabla2[[#This Row],[fecha]])</f>
        <v>8</v>
      </c>
      <c r="E471" s="8" t="str">
        <f>TEXT(Tabla2[[#This Row],[fecha]], "mmmm")</f>
        <v>agosto</v>
      </c>
      <c r="F471" s="8" t="str">
        <f>"T"&amp;ROUNDUP(Tabla2[[#This Row],[mes]]/3,0)</f>
        <v>T3</v>
      </c>
      <c r="G471" t="s">
        <v>20</v>
      </c>
      <c r="H471" t="s">
        <v>21</v>
      </c>
      <c r="I471" s="8" t="str">
        <f>IF(Tabla2[[#This Row],[precio_unitario]]&lt;=30,"Económico",IF(Tabla2[[#This Row],[precio_unitario]]&lt;=58.49,"Accesible","Caro"))</f>
        <v>Económico</v>
      </c>
      <c r="J471" t="s">
        <v>17</v>
      </c>
      <c r="K471">
        <v>2</v>
      </c>
      <c r="L471" s="19">
        <v>19.57</v>
      </c>
      <c r="M471" s="19">
        <v>12.29</v>
      </c>
      <c r="N471" s="13">
        <v>0</v>
      </c>
      <c r="O471" s="17">
        <f t="shared" si="31"/>
        <v>39.14</v>
      </c>
      <c r="P471" s="17">
        <f t="shared" si="28"/>
        <v>24.58</v>
      </c>
      <c r="Q471" s="17">
        <f t="shared" si="29"/>
        <v>14.560000000000002</v>
      </c>
      <c r="R471" s="24">
        <f t="shared" si="30"/>
        <v>0.37199795605518654</v>
      </c>
      <c r="S471" t="s">
        <v>67</v>
      </c>
      <c r="T471" t="s">
        <v>64</v>
      </c>
    </row>
    <row r="472" spans="1:20" hidden="1">
      <c r="A472" t="s">
        <v>544</v>
      </c>
      <c r="B472" s="5">
        <v>45927</v>
      </c>
      <c r="C472" s="8">
        <f>YEAR(Tabla2[[#This Row],[fecha]])</f>
        <v>2025</v>
      </c>
      <c r="D472" s="8">
        <f>MONTH(Tabla2[[#This Row],[fecha]])</f>
        <v>9</v>
      </c>
      <c r="E472" s="8" t="str">
        <f>TEXT(Tabla2[[#This Row],[fecha]], "mmmm")</f>
        <v>septiembre</v>
      </c>
      <c r="F472" s="8" t="str">
        <f>"T"&amp;ROUNDUP(Tabla2[[#This Row],[mes]]/3,0)</f>
        <v>T3</v>
      </c>
      <c r="G472" t="s">
        <v>6</v>
      </c>
      <c r="H472" t="s">
        <v>7</v>
      </c>
      <c r="I472" s="8" t="str">
        <f>IF(Tabla2[[#This Row],[precio_unitario]]&lt;=30,"Económico",IF(Tabla2[[#This Row],[precio_unitario]]&lt;=58.49,"Accesible","Caro"))</f>
        <v>Caro</v>
      </c>
      <c r="J472" t="s">
        <v>8</v>
      </c>
      <c r="K472">
        <v>4</v>
      </c>
      <c r="L472" s="19">
        <v>129.72999999999999</v>
      </c>
      <c r="M472" s="19">
        <v>80.739999999999995</v>
      </c>
      <c r="N472" s="11">
        <v>0</v>
      </c>
      <c r="O472" s="17">
        <f t="shared" si="31"/>
        <v>518.91999999999996</v>
      </c>
      <c r="P472" s="17">
        <f t="shared" si="28"/>
        <v>322.95999999999998</v>
      </c>
      <c r="Q472" s="17">
        <f t="shared" si="29"/>
        <v>195.95999999999998</v>
      </c>
      <c r="R472" s="24">
        <f t="shared" si="30"/>
        <v>0.37763046326986816</v>
      </c>
      <c r="S472" t="s">
        <v>83</v>
      </c>
      <c r="T472" t="s">
        <v>60</v>
      </c>
    </row>
    <row r="473" spans="1:20" hidden="1">
      <c r="A473" t="s">
        <v>545</v>
      </c>
      <c r="B473" s="5">
        <v>45414</v>
      </c>
      <c r="C473" s="8">
        <f>YEAR(Tabla2[[#This Row],[fecha]])</f>
        <v>2024</v>
      </c>
      <c r="D473" s="8">
        <f>MONTH(Tabla2[[#This Row],[fecha]])</f>
        <v>5</v>
      </c>
      <c r="E473" s="8" t="str">
        <f>TEXT(Tabla2[[#This Row],[fecha]], "mmmm")</f>
        <v>mayo</v>
      </c>
      <c r="F473" s="8" t="str">
        <f>"T"&amp;ROUNDUP(Tabla2[[#This Row],[mes]]/3,0)</f>
        <v>T2</v>
      </c>
      <c r="G473" t="s">
        <v>45</v>
      </c>
      <c r="H473" t="s">
        <v>46</v>
      </c>
      <c r="I473" s="8" t="str">
        <f>IF(Tabla2[[#This Row],[precio_unitario]]&lt;=30,"Económico",IF(Tabla2[[#This Row],[precio_unitario]]&lt;=58.49,"Accesible","Caro"))</f>
        <v>Accesible</v>
      </c>
      <c r="J473" t="s">
        <v>44</v>
      </c>
      <c r="K473">
        <v>8</v>
      </c>
      <c r="L473" s="19">
        <v>32.270000000000003</v>
      </c>
      <c r="M473" s="19">
        <v>17.77</v>
      </c>
      <c r="N473" s="11">
        <v>0.13</v>
      </c>
      <c r="O473" s="17">
        <f t="shared" si="31"/>
        <v>224.59920000000002</v>
      </c>
      <c r="P473" s="17">
        <f t="shared" si="28"/>
        <v>142.16</v>
      </c>
      <c r="Q473" s="17">
        <f t="shared" si="29"/>
        <v>82.439200000000028</v>
      </c>
      <c r="R473" s="24">
        <f t="shared" si="30"/>
        <v>0.36705028334918388</v>
      </c>
      <c r="S473" t="s">
        <v>63</v>
      </c>
      <c r="T473" t="s">
        <v>64</v>
      </c>
    </row>
    <row r="474" spans="1:20" hidden="1">
      <c r="A474" t="s">
        <v>546</v>
      </c>
      <c r="B474" s="5">
        <v>45556</v>
      </c>
      <c r="C474" s="8">
        <f>YEAR(Tabla2[[#This Row],[fecha]])</f>
        <v>2024</v>
      </c>
      <c r="D474" s="8">
        <f>MONTH(Tabla2[[#This Row],[fecha]])</f>
        <v>9</v>
      </c>
      <c r="E474" s="8" t="str">
        <f>TEXT(Tabla2[[#This Row],[fecha]], "mmmm")</f>
        <v>septiembre</v>
      </c>
      <c r="F474" s="8" t="str">
        <f>"T"&amp;ROUNDUP(Tabla2[[#This Row],[mes]]/3,0)</f>
        <v>T3</v>
      </c>
      <c r="G474" t="s">
        <v>47</v>
      </c>
      <c r="H474" t="s">
        <v>48</v>
      </c>
      <c r="I474" s="8" t="str">
        <f>IF(Tabla2[[#This Row],[precio_unitario]]&lt;=30,"Económico",IF(Tabla2[[#This Row],[precio_unitario]]&lt;=58.49,"Accesible","Caro"))</f>
        <v>Accesible</v>
      </c>
      <c r="J474" t="s">
        <v>44</v>
      </c>
      <c r="K474">
        <v>5</v>
      </c>
      <c r="L474" s="19">
        <v>55.13</v>
      </c>
      <c r="M474" s="19">
        <v>31.97</v>
      </c>
      <c r="N474" s="11">
        <v>0.17</v>
      </c>
      <c r="O474" s="17">
        <f t="shared" si="31"/>
        <v>228.7895</v>
      </c>
      <c r="P474" s="17">
        <f t="shared" si="28"/>
        <v>159.85</v>
      </c>
      <c r="Q474" s="17">
        <f t="shared" si="29"/>
        <v>68.93950000000001</v>
      </c>
      <c r="R474" s="24">
        <f t="shared" si="30"/>
        <v>0.30132283168589469</v>
      </c>
      <c r="S474" t="s">
        <v>67</v>
      </c>
      <c r="T474" t="s">
        <v>64</v>
      </c>
    </row>
    <row r="475" spans="1:20" hidden="1">
      <c r="A475" t="s">
        <v>547</v>
      </c>
      <c r="B475" s="5">
        <v>45492</v>
      </c>
      <c r="C475" s="8">
        <f>YEAR(Tabla2[[#This Row],[fecha]])</f>
        <v>2024</v>
      </c>
      <c r="D475" s="8">
        <f>MONTH(Tabla2[[#This Row],[fecha]])</f>
        <v>7</v>
      </c>
      <c r="E475" s="8" t="str">
        <f>TEXT(Tabla2[[#This Row],[fecha]], "mmmm")</f>
        <v>julio</v>
      </c>
      <c r="F475" s="8" t="str">
        <f>"T"&amp;ROUNDUP(Tabla2[[#This Row],[mes]]/3,0)</f>
        <v>T3</v>
      </c>
      <c r="G475" t="s">
        <v>42</v>
      </c>
      <c r="H475" t="s">
        <v>43</v>
      </c>
      <c r="I475" s="8" t="str">
        <f>IF(Tabla2[[#This Row],[precio_unitario]]&lt;=30,"Económico",IF(Tabla2[[#This Row],[precio_unitario]]&lt;=58.49,"Accesible","Caro"))</f>
        <v>Accesible</v>
      </c>
      <c r="J475" t="s">
        <v>44</v>
      </c>
      <c r="K475">
        <v>2</v>
      </c>
      <c r="L475" s="19">
        <v>46.09</v>
      </c>
      <c r="M475" s="19">
        <v>23.63</v>
      </c>
      <c r="N475" s="11">
        <v>0.22</v>
      </c>
      <c r="O475" s="17">
        <f t="shared" si="31"/>
        <v>71.900400000000005</v>
      </c>
      <c r="P475" s="17">
        <f t="shared" si="28"/>
        <v>47.26</v>
      </c>
      <c r="Q475" s="17">
        <f t="shared" si="29"/>
        <v>24.640400000000007</v>
      </c>
      <c r="R475" s="24">
        <f t="shared" si="30"/>
        <v>0.34270184866843584</v>
      </c>
      <c r="S475" t="s">
        <v>96</v>
      </c>
      <c r="T475" t="s">
        <v>133</v>
      </c>
    </row>
    <row r="476" spans="1:20" hidden="1">
      <c r="A476" t="s">
        <v>548</v>
      </c>
      <c r="B476" s="5">
        <v>45467</v>
      </c>
      <c r="C476" s="8">
        <f>YEAR(Tabla2[[#This Row],[fecha]])</f>
        <v>2024</v>
      </c>
      <c r="D476" s="8">
        <f>MONTH(Tabla2[[#This Row],[fecha]])</f>
        <v>6</v>
      </c>
      <c r="E476" s="8" t="str">
        <f>TEXT(Tabla2[[#This Row],[fecha]], "mmmm")</f>
        <v>junio</v>
      </c>
      <c r="F476" s="8" t="str">
        <f>"T"&amp;ROUNDUP(Tabla2[[#This Row],[mes]]/3,0)</f>
        <v>T2</v>
      </c>
      <c r="G476" t="s">
        <v>6</v>
      </c>
      <c r="H476" t="s">
        <v>7</v>
      </c>
      <c r="I476" s="8" t="str">
        <f>IF(Tabla2[[#This Row],[precio_unitario]]&lt;=30,"Económico",IF(Tabla2[[#This Row],[precio_unitario]]&lt;=58.49,"Accesible","Caro"))</f>
        <v>Caro</v>
      </c>
      <c r="J476" t="s">
        <v>8</v>
      </c>
      <c r="K476">
        <v>2</v>
      </c>
      <c r="L476" s="19">
        <v>114.94</v>
      </c>
      <c r="M476" s="19">
        <v>83.62</v>
      </c>
      <c r="N476" s="11">
        <v>0</v>
      </c>
      <c r="O476" s="17">
        <f t="shared" si="31"/>
        <v>229.88</v>
      </c>
      <c r="P476" s="17">
        <f t="shared" si="28"/>
        <v>167.24</v>
      </c>
      <c r="Q476" s="17">
        <f t="shared" si="29"/>
        <v>62.639999999999986</v>
      </c>
      <c r="R476" s="24">
        <f t="shared" si="30"/>
        <v>0.27248999477988511</v>
      </c>
      <c r="S476" t="s">
        <v>67</v>
      </c>
      <c r="T476" t="s">
        <v>64</v>
      </c>
    </row>
    <row r="477" spans="1:20" hidden="1">
      <c r="A477" t="s">
        <v>549</v>
      </c>
      <c r="B477" s="5">
        <v>45561</v>
      </c>
      <c r="C477" s="8">
        <f>YEAR(Tabla2[[#This Row],[fecha]])</f>
        <v>2024</v>
      </c>
      <c r="D477" s="8">
        <f>MONTH(Tabla2[[#This Row],[fecha]])</f>
        <v>9</v>
      </c>
      <c r="E477" s="8" t="str">
        <f>TEXT(Tabla2[[#This Row],[fecha]], "mmmm")</f>
        <v>septiembre</v>
      </c>
      <c r="F477" s="8" t="str">
        <f>"T"&amp;ROUNDUP(Tabla2[[#This Row],[mes]]/3,0)</f>
        <v>T3</v>
      </c>
      <c r="G477" t="s">
        <v>42</v>
      </c>
      <c r="H477" t="s">
        <v>43</v>
      </c>
      <c r="I477" s="8" t="str">
        <f>IF(Tabla2[[#This Row],[precio_unitario]]&lt;=30,"Económico",IF(Tabla2[[#This Row],[precio_unitario]]&lt;=58.49,"Accesible","Caro"))</f>
        <v>Accesible</v>
      </c>
      <c r="J477" t="s">
        <v>44</v>
      </c>
      <c r="K477">
        <v>4</v>
      </c>
      <c r="L477" s="19">
        <v>46.38</v>
      </c>
      <c r="M477" s="19">
        <v>22.07</v>
      </c>
      <c r="N477" s="11">
        <v>0</v>
      </c>
      <c r="O477" s="17">
        <f t="shared" si="31"/>
        <v>185.52</v>
      </c>
      <c r="P477" s="17">
        <f t="shared" si="28"/>
        <v>88.28</v>
      </c>
      <c r="Q477" s="17">
        <f t="shared" si="29"/>
        <v>97.240000000000009</v>
      </c>
      <c r="R477" s="24">
        <f t="shared" si="30"/>
        <v>0.52414833980163866</v>
      </c>
      <c r="S477" t="s">
        <v>67</v>
      </c>
      <c r="T477" t="s">
        <v>60</v>
      </c>
    </row>
    <row r="478" spans="1:20" hidden="1">
      <c r="A478" t="s">
        <v>550</v>
      </c>
      <c r="B478" s="5">
        <v>45345</v>
      </c>
      <c r="C478" s="8">
        <f>YEAR(Tabla2[[#This Row],[fecha]])</f>
        <v>2024</v>
      </c>
      <c r="D478" s="8">
        <f>MONTH(Tabla2[[#This Row],[fecha]])</f>
        <v>2</v>
      </c>
      <c r="E478" s="8" t="str">
        <f>TEXT(Tabla2[[#This Row],[fecha]], "mmmm")</f>
        <v>febrero</v>
      </c>
      <c r="F478" s="8" t="str">
        <f>"T"&amp;ROUNDUP(Tabla2[[#This Row],[mes]]/3,0)</f>
        <v>T1</v>
      </c>
      <c r="G478" t="s">
        <v>24</v>
      </c>
      <c r="H478" t="s">
        <v>25</v>
      </c>
      <c r="I478" s="8" t="str">
        <f>IF(Tabla2[[#This Row],[precio_unitario]]&lt;=30,"Económico",IF(Tabla2[[#This Row],[precio_unitario]]&lt;=58.49,"Accesible","Caro"))</f>
        <v>Económico</v>
      </c>
      <c r="J478" t="s">
        <v>26</v>
      </c>
      <c r="K478">
        <v>3</v>
      </c>
      <c r="L478" s="19">
        <v>8.2799999999999994</v>
      </c>
      <c r="M478" s="19">
        <v>4.47</v>
      </c>
      <c r="N478" s="11">
        <v>0</v>
      </c>
      <c r="O478" s="17">
        <f t="shared" si="31"/>
        <v>24.839999999999996</v>
      </c>
      <c r="P478" s="17">
        <f t="shared" si="28"/>
        <v>13.41</v>
      </c>
      <c r="Q478" s="17">
        <f t="shared" si="29"/>
        <v>11.429999999999996</v>
      </c>
      <c r="R478" s="24">
        <f t="shared" si="30"/>
        <v>0.46014492753623182</v>
      </c>
      <c r="S478" t="s">
        <v>83</v>
      </c>
      <c r="T478" t="s">
        <v>64</v>
      </c>
    </row>
    <row r="479" spans="1:20">
      <c r="A479" t="s">
        <v>551</v>
      </c>
      <c r="B479" s="5">
        <v>45748</v>
      </c>
      <c r="C479" s="8">
        <f>YEAR(Tabla2[[#This Row],[fecha]])</f>
        <v>2025</v>
      </c>
      <c r="D479" s="8">
        <f>MONTH(Tabla2[[#This Row],[fecha]])</f>
        <v>4</v>
      </c>
      <c r="E479" s="8" t="str">
        <f>TEXT(Tabla2[[#This Row],[fecha]], "mmmm")</f>
        <v>abril</v>
      </c>
      <c r="F479" s="8" t="str">
        <f>"T"&amp;ROUNDUP(Tabla2[[#This Row],[mes]]/3,0)</f>
        <v>T2</v>
      </c>
      <c r="G479" t="s">
        <v>24</v>
      </c>
      <c r="H479" t="s">
        <v>25</v>
      </c>
      <c r="I479" s="8" t="str">
        <f>IF(Tabla2[[#This Row],[precio_unitario]]&lt;=30,"Económico",IF(Tabla2[[#This Row],[precio_unitario]]&lt;=58.49,"Accesible","Caro"))</f>
        <v>Económico</v>
      </c>
      <c r="J479" t="s">
        <v>26</v>
      </c>
      <c r="K479">
        <v>1</v>
      </c>
      <c r="L479" s="19">
        <v>7.41</v>
      </c>
      <c r="M479" s="19">
        <v>4.25</v>
      </c>
      <c r="N479" s="11">
        <v>0</v>
      </c>
      <c r="O479" s="17">
        <f t="shared" si="31"/>
        <v>7.41</v>
      </c>
      <c r="P479" s="17">
        <f t="shared" si="28"/>
        <v>4.25</v>
      </c>
      <c r="Q479" s="17">
        <f t="shared" si="29"/>
        <v>3.16</v>
      </c>
      <c r="R479" s="24">
        <f t="shared" si="30"/>
        <v>0.42645074224021595</v>
      </c>
      <c r="S479" t="s">
        <v>67</v>
      </c>
      <c r="T479" t="s">
        <v>64</v>
      </c>
    </row>
    <row r="480" spans="1:20" hidden="1">
      <c r="A480" t="s">
        <v>552</v>
      </c>
      <c r="B480" s="5">
        <v>45498</v>
      </c>
      <c r="C480" s="8">
        <f>YEAR(Tabla2[[#This Row],[fecha]])</f>
        <v>2024</v>
      </c>
      <c r="D480" s="8">
        <f>MONTH(Tabla2[[#This Row],[fecha]])</f>
        <v>7</v>
      </c>
      <c r="E480" s="8" t="str">
        <f>TEXT(Tabla2[[#This Row],[fecha]], "mmmm")</f>
        <v>julio</v>
      </c>
      <c r="F480" s="8" t="str">
        <f>"T"&amp;ROUNDUP(Tabla2[[#This Row],[mes]]/3,0)</f>
        <v>T3</v>
      </c>
      <c r="G480" t="s">
        <v>42</v>
      </c>
      <c r="H480" t="s">
        <v>43</v>
      </c>
      <c r="I480" s="8" t="str">
        <f>IF(Tabla2[[#This Row],[precio_unitario]]&lt;=30,"Económico",IF(Tabla2[[#This Row],[precio_unitario]]&lt;=58.49,"Accesible","Caro"))</f>
        <v>Accesible</v>
      </c>
      <c r="J480" t="s">
        <v>44</v>
      </c>
      <c r="K480">
        <v>1</v>
      </c>
      <c r="L480" s="19">
        <v>52.57</v>
      </c>
      <c r="M480" s="19">
        <v>23.12</v>
      </c>
      <c r="N480" s="11">
        <v>0</v>
      </c>
      <c r="O480" s="17">
        <f t="shared" si="31"/>
        <v>52.57</v>
      </c>
      <c r="P480" s="17">
        <f t="shared" si="28"/>
        <v>23.12</v>
      </c>
      <c r="Q480" s="17">
        <f t="shared" si="29"/>
        <v>29.45</v>
      </c>
      <c r="R480" s="24">
        <f t="shared" si="30"/>
        <v>0.56020544036522735</v>
      </c>
      <c r="S480" t="s">
        <v>67</v>
      </c>
      <c r="T480" t="s">
        <v>60</v>
      </c>
    </row>
    <row r="481" spans="1:20" hidden="1">
      <c r="A481" t="s">
        <v>553</v>
      </c>
      <c r="B481" s="5">
        <v>45419</v>
      </c>
      <c r="C481" s="8">
        <f>YEAR(Tabla2[[#This Row],[fecha]])</f>
        <v>2024</v>
      </c>
      <c r="D481" s="8">
        <f>MONTH(Tabla2[[#This Row],[fecha]])</f>
        <v>5</v>
      </c>
      <c r="E481" s="8" t="str">
        <f>TEXT(Tabla2[[#This Row],[fecha]], "mmmm")</f>
        <v>mayo</v>
      </c>
      <c r="F481" s="8" t="str">
        <f>"T"&amp;ROUNDUP(Tabla2[[#This Row],[mes]]/3,0)</f>
        <v>T2</v>
      </c>
      <c r="G481" t="s">
        <v>49</v>
      </c>
      <c r="H481" t="s">
        <v>50</v>
      </c>
      <c r="I481" s="8" t="str">
        <f>IF(Tabla2[[#This Row],[precio_unitario]]&lt;=30,"Económico",IF(Tabla2[[#This Row],[precio_unitario]]&lt;=58.49,"Accesible","Caro"))</f>
        <v>Caro</v>
      </c>
      <c r="J481" t="s">
        <v>44</v>
      </c>
      <c r="K481">
        <v>1</v>
      </c>
      <c r="L481" s="19">
        <v>62.7</v>
      </c>
      <c r="M481" s="19">
        <v>34.43</v>
      </c>
      <c r="N481" s="11">
        <v>0</v>
      </c>
      <c r="O481" s="17">
        <f t="shared" si="31"/>
        <v>62.7</v>
      </c>
      <c r="P481" s="17">
        <f t="shared" si="28"/>
        <v>34.43</v>
      </c>
      <c r="Q481" s="17">
        <f t="shared" si="29"/>
        <v>28.270000000000003</v>
      </c>
      <c r="R481" s="24">
        <f t="shared" si="30"/>
        <v>0.45087719298245615</v>
      </c>
      <c r="S481" t="s">
        <v>83</v>
      </c>
      <c r="T481" t="s">
        <v>60</v>
      </c>
    </row>
    <row r="482" spans="1:20" hidden="1">
      <c r="A482" t="s">
        <v>554</v>
      </c>
      <c r="B482" s="5">
        <v>45596</v>
      </c>
      <c r="C482" s="8">
        <f>YEAR(Tabla2[[#This Row],[fecha]])</f>
        <v>2024</v>
      </c>
      <c r="D482" s="8">
        <f>MONTH(Tabla2[[#This Row],[fecha]])</f>
        <v>10</v>
      </c>
      <c r="E482" s="8" t="str">
        <f>TEXT(Tabla2[[#This Row],[fecha]], "mmmm")</f>
        <v>octubre</v>
      </c>
      <c r="F482" s="8" t="str">
        <f>"T"&amp;ROUNDUP(Tabla2[[#This Row],[mes]]/3,0)</f>
        <v>T4</v>
      </c>
      <c r="G482" t="s">
        <v>6</v>
      </c>
      <c r="H482" t="s">
        <v>7</v>
      </c>
      <c r="I482" s="8" t="str">
        <f>IF(Tabla2[[#This Row],[precio_unitario]]&lt;=30,"Económico",IF(Tabla2[[#This Row],[precio_unitario]]&lt;=58.49,"Accesible","Caro"))</f>
        <v>Caro</v>
      </c>
      <c r="J482" t="s">
        <v>8</v>
      </c>
      <c r="K482">
        <v>1</v>
      </c>
      <c r="L482" s="19">
        <v>130.6</v>
      </c>
      <c r="M482" s="19">
        <v>87.58</v>
      </c>
      <c r="N482" s="11">
        <v>0</v>
      </c>
      <c r="O482" s="17">
        <f t="shared" si="31"/>
        <v>130.6</v>
      </c>
      <c r="P482" s="17">
        <f t="shared" si="28"/>
        <v>87.58</v>
      </c>
      <c r="Q482" s="17">
        <f t="shared" si="29"/>
        <v>43.019999999999996</v>
      </c>
      <c r="R482" s="24">
        <f t="shared" si="30"/>
        <v>0.32940275650842266</v>
      </c>
      <c r="S482" t="s">
        <v>63</v>
      </c>
      <c r="T482" t="s">
        <v>64</v>
      </c>
    </row>
    <row r="483" spans="1:20" hidden="1">
      <c r="A483" t="s">
        <v>555</v>
      </c>
      <c r="B483" s="5">
        <v>45531</v>
      </c>
      <c r="C483" s="8">
        <f>YEAR(Tabla2[[#This Row],[fecha]])</f>
        <v>2024</v>
      </c>
      <c r="D483" s="8">
        <f>MONTH(Tabla2[[#This Row],[fecha]])</f>
        <v>8</v>
      </c>
      <c r="E483" s="8" t="str">
        <f>TEXT(Tabla2[[#This Row],[fecha]], "mmmm")</f>
        <v>agosto</v>
      </c>
      <c r="F483" s="8" t="str">
        <f>"T"&amp;ROUNDUP(Tabla2[[#This Row],[mes]]/3,0)</f>
        <v>T3</v>
      </c>
      <c r="G483" t="s">
        <v>49</v>
      </c>
      <c r="H483" t="s">
        <v>50</v>
      </c>
      <c r="I483" s="8" t="str">
        <f>IF(Tabla2[[#This Row],[precio_unitario]]&lt;=30,"Económico",IF(Tabla2[[#This Row],[precio_unitario]]&lt;=58.49,"Accesible","Caro"))</f>
        <v>Caro</v>
      </c>
      <c r="J483" t="s">
        <v>44</v>
      </c>
      <c r="K483">
        <v>6</v>
      </c>
      <c r="L483" s="19">
        <v>61.98</v>
      </c>
      <c r="M483" s="19">
        <v>34.5</v>
      </c>
      <c r="N483" s="13">
        <v>0</v>
      </c>
      <c r="O483" s="17">
        <f t="shared" si="31"/>
        <v>371.88</v>
      </c>
      <c r="P483" s="17">
        <f t="shared" si="28"/>
        <v>207</v>
      </c>
      <c r="Q483" s="17">
        <f t="shared" si="29"/>
        <v>164.88</v>
      </c>
      <c r="R483" s="24">
        <f t="shared" si="30"/>
        <v>0.44336882865440463</v>
      </c>
      <c r="S483" t="s">
        <v>67</v>
      </c>
      <c r="T483" t="s">
        <v>60</v>
      </c>
    </row>
    <row r="484" spans="1:20" hidden="1">
      <c r="A484" t="s">
        <v>556</v>
      </c>
      <c r="B484" s="5">
        <v>45581</v>
      </c>
      <c r="C484" s="8">
        <f>YEAR(Tabla2[[#This Row],[fecha]])</f>
        <v>2024</v>
      </c>
      <c r="D484" s="8">
        <f>MONTH(Tabla2[[#This Row],[fecha]])</f>
        <v>10</v>
      </c>
      <c r="E484" s="8" t="str">
        <f>TEXT(Tabla2[[#This Row],[fecha]], "mmmm")</f>
        <v>octubre</v>
      </c>
      <c r="F484" s="8" t="str">
        <f>"T"&amp;ROUNDUP(Tabla2[[#This Row],[mes]]/3,0)</f>
        <v>T4</v>
      </c>
      <c r="G484" t="s">
        <v>33</v>
      </c>
      <c r="H484" t="s">
        <v>34</v>
      </c>
      <c r="I484" s="8" t="str">
        <f>IF(Tabla2[[#This Row],[precio_unitario]]&lt;=30,"Económico",IF(Tabla2[[#This Row],[precio_unitario]]&lt;=58.49,"Accesible","Caro"))</f>
        <v>Caro</v>
      </c>
      <c r="J484" t="s">
        <v>35</v>
      </c>
      <c r="K484">
        <v>3</v>
      </c>
      <c r="L484" s="19">
        <v>82.71</v>
      </c>
      <c r="M484" s="19">
        <v>48.27</v>
      </c>
      <c r="N484" s="13">
        <v>0</v>
      </c>
      <c r="O484" s="17">
        <f t="shared" si="31"/>
        <v>248.13</v>
      </c>
      <c r="P484" s="17">
        <f t="shared" si="28"/>
        <v>144.81</v>
      </c>
      <c r="Q484" s="17">
        <f t="shared" si="29"/>
        <v>103.32</v>
      </c>
      <c r="R484" s="24">
        <f t="shared" si="30"/>
        <v>0.41639463184620962</v>
      </c>
      <c r="S484" t="s">
        <v>83</v>
      </c>
      <c r="T484" t="s">
        <v>60</v>
      </c>
    </row>
    <row r="485" spans="1:20" hidden="1">
      <c r="A485" t="s">
        <v>557</v>
      </c>
      <c r="B485" s="5">
        <v>45946</v>
      </c>
      <c r="C485" s="8">
        <f>YEAR(Tabla2[[#This Row],[fecha]])</f>
        <v>2025</v>
      </c>
      <c r="D485" s="8">
        <f>MONTH(Tabla2[[#This Row],[fecha]])</f>
        <v>10</v>
      </c>
      <c r="E485" s="8" t="str">
        <f>TEXT(Tabla2[[#This Row],[fecha]], "mmmm")</f>
        <v>octubre</v>
      </c>
      <c r="F485" s="8" t="str">
        <f>"T"&amp;ROUNDUP(Tabla2[[#This Row],[mes]]/3,0)</f>
        <v>T4</v>
      </c>
      <c r="G485" t="s">
        <v>42</v>
      </c>
      <c r="H485" t="s">
        <v>43</v>
      </c>
      <c r="I485" s="8" t="str">
        <f>IF(Tabla2[[#This Row],[precio_unitario]]&lt;=30,"Económico",IF(Tabla2[[#This Row],[precio_unitario]]&lt;=58.49,"Accesible","Caro"))</f>
        <v>Accesible</v>
      </c>
      <c r="J485" t="s">
        <v>44</v>
      </c>
      <c r="K485">
        <v>6</v>
      </c>
      <c r="L485" s="19">
        <v>45.5</v>
      </c>
      <c r="M485" s="19">
        <v>22.63</v>
      </c>
      <c r="N485" s="13">
        <v>0</v>
      </c>
      <c r="O485" s="17">
        <f t="shared" si="31"/>
        <v>273</v>
      </c>
      <c r="P485" s="17">
        <f t="shared" si="28"/>
        <v>135.78</v>
      </c>
      <c r="Q485" s="17">
        <f t="shared" si="29"/>
        <v>137.22</v>
      </c>
      <c r="R485" s="24">
        <f t="shared" si="30"/>
        <v>0.50263736263736258</v>
      </c>
      <c r="S485" t="s">
        <v>540</v>
      </c>
      <c r="T485" t="s">
        <v>60</v>
      </c>
    </row>
    <row r="486" spans="1:20" hidden="1">
      <c r="A486" t="s">
        <v>558</v>
      </c>
      <c r="B486" s="5">
        <v>45937</v>
      </c>
      <c r="C486" s="8">
        <f>YEAR(Tabla2[[#This Row],[fecha]])</f>
        <v>2025</v>
      </c>
      <c r="D486" s="8">
        <f>MONTH(Tabla2[[#This Row],[fecha]])</f>
        <v>10</v>
      </c>
      <c r="E486" s="8" t="str">
        <f>TEXT(Tabla2[[#This Row],[fecha]], "mmmm")</f>
        <v>octubre</v>
      </c>
      <c r="F486" s="8" t="str">
        <f>"T"&amp;ROUNDUP(Tabla2[[#This Row],[mes]]/3,0)</f>
        <v>T4</v>
      </c>
      <c r="G486" t="s">
        <v>36</v>
      </c>
      <c r="H486" t="s">
        <v>37</v>
      </c>
      <c r="I486" s="8" t="str">
        <f>IF(Tabla2[[#This Row],[precio_unitario]]&lt;=30,"Económico",IF(Tabla2[[#This Row],[precio_unitario]]&lt;=58.49,"Accesible","Caro"))</f>
        <v>Económico</v>
      </c>
      <c r="J486" t="s">
        <v>35</v>
      </c>
      <c r="K486">
        <v>2</v>
      </c>
      <c r="L486" s="19">
        <v>13.47</v>
      </c>
      <c r="M486" s="19">
        <v>9.76</v>
      </c>
      <c r="N486" s="13">
        <v>0</v>
      </c>
      <c r="O486" s="17">
        <f t="shared" si="31"/>
        <v>26.94</v>
      </c>
      <c r="P486" s="17">
        <f t="shared" si="28"/>
        <v>19.52</v>
      </c>
      <c r="Q486" s="17">
        <f t="shared" si="29"/>
        <v>7.4200000000000017</v>
      </c>
      <c r="R486" s="24">
        <f t="shared" si="30"/>
        <v>0.27542687453600601</v>
      </c>
      <c r="S486" t="s">
        <v>540</v>
      </c>
      <c r="T486" t="s">
        <v>60</v>
      </c>
    </row>
    <row r="487" spans="1:20" hidden="1">
      <c r="A487" t="s">
        <v>559</v>
      </c>
      <c r="B487" s="5">
        <v>45407</v>
      </c>
      <c r="C487" s="8">
        <f>YEAR(Tabla2[[#This Row],[fecha]])</f>
        <v>2024</v>
      </c>
      <c r="D487" s="8">
        <f>MONTH(Tabla2[[#This Row],[fecha]])</f>
        <v>4</v>
      </c>
      <c r="E487" s="8" t="str">
        <f>TEXT(Tabla2[[#This Row],[fecha]], "mmmm")</f>
        <v>abril</v>
      </c>
      <c r="F487" s="8" t="str">
        <f>"T"&amp;ROUNDUP(Tabla2[[#This Row],[mes]]/3,0)</f>
        <v>T2</v>
      </c>
      <c r="G487" t="s">
        <v>6</v>
      </c>
      <c r="H487" t="s">
        <v>7</v>
      </c>
      <c r="I487" s="8" t="str">
        <f>IF(Tabla2[[#This Row],[precio_unitario]]&lt;=30,"Económico",IF(Tabla2[[#This Row],[precio_unitario]]&lt;=58.49,"Accesible","Caro"))</f>
        <v>Caro</v>
      </c>
      <c r="J487" t="s">
        <v>8</v>
      </c>
      <c r="K487">
        <v>3</v>
      </c>
      <c r="L487" s="19">
        <v>128.28</v>
      </c>
      <c r="M487" s="19">
        <v>82.79</v>
      </c>
      <c r="N487" s="13">
        <v>0</v>
      </c>
      <c r="O487" s="17">
        <f t="shared" si="31"/>
        <v>384.84000000000003</v>
      </c>
      <c r="P487" s="17">
        <f t="shared" si="28"/>
        <v>248.37</v>
      </c>
      <c r="Q487" s="17">
        <f t="shared" si="29"/>
        <v>136.47000000000003</v>
      </c>
      <c r="R487" s="24">
        <f t="shared" si="30"/>
        <v>0.35461490489554104</v>
      </c>
      <c r="S487" t="s">
        <v>540</v>
      </c>
      <c r="T487" t="s">
        <v>60</v>
      </c>
    </row>
    <row r="488" spans="1:20" hidden="1">
      <c r="A488" t="s">
        <v>560</v>
      </c>
      <c r="B488" s="5">
        <v>45349</v>
      </c>
      <c r="C488" s="8">
        <f>YEAR(Tabla2[[#This Row],[fecha]])</f>
        <v>2024</v>
      </c>
      <c r="D488" s="8">
        <f>MONTH(Tabla2[[#This Row],[fecha]])</f>
        <v>2</v>
      </c>
      <c r="E488" s="8" t="str">
        <f>TEXT(Tabla2[[#This Row],[fecha]], "mmmm")</f>
        <v>febrero</v>
      </c>
      <c r="F488" s="8" t="str">
        <f>"T"&amp;ROUNDUP(Tabla2[[#This Row],[mes]]/3,0)</f>
        <v>T1</v>
      </c>
      <c r="G488" t="s">
        <v>22</v>
      </c>
      <c r="H488" t="s">
        <v>23</v>
      </c>
      <c r="I488" s="8" t="str">
        <f>IF(Tabla2[[#This Row],[precio_unitario]]&lt;=30,"Económico",IF(Tabla2[[#This Row],[precio_unitario]]&lt;=58.49,"Accesible","Caro"))</f>
        <v>Caro</v>
      </c>
      <c r="J488" t="s">
        <v>17</v>
      </c>
      <c r="K488">
        <v>5</v>
      </c>
      <c r="L488" s="19">
        <v>106.45</v>
      </c>
      <c r="M488" s="19">
        <v>58.6</v>
      </c>
      <c r="N488" s="11">
        <v>0</v>
      </c>
      <c r="O488" s="17">
        <f t="shared" si="31"/>
        <v>532.25</v>
      </c>
      <c r="P488" s="17">
        <f t="shared" si="28"/>
        <v>293</v>
      </c>
      <c r="Q488" s="17">
        <f t="shared" si="29"/>
        <v>239.25</v>
      </c>
      <c r="R488" s="24">
        <f t="shared" si="30"/>
        <v>0.44950681070925319</v>
      </c>
      <c r="S488" t="s">
        <v>63</v>
      </c>
      <c r="T488" t="s">
        <v>60</v>
      </c>
    </row>
    <row r="489" spans="1:20">
      <c r="A489" t="s">
        <v>561</v>
      </c>
      <c r="B489" s="5">
        <v>45677</v>
      </c>
      <c r="C489" s="8">
        <f>YEAR(Tabla2[[#This Row],[fecha]])</f>
        <v>2025</v>
      </c>
      <c r="D489" s="8">
        <f>MONTH(Tabla2[[#This Row],[fecha]])</f>
        <v>1</v>
      </c>
      <c r="E489" s="8" t="str">
        <f>TEXT(Tabla2[[#This Row],[fecha]], "mmmm")</f>
        <v>enero</v>
      </c>
      <c r="F489" s="8" t="str">
        <f>"T"&amp;ROUNDUP(Tabla2[[#This Row],[mes]]/3,0)</f>
        <v>T1</v>
      </c>
      <c r="G489" t="s">
        <v>42</v>
      </c>
      <c r="H489" t="s">
        <v>43</v>
      </c>
      <c r="I489" s="8" t="str">
        <f>IF(Tabla2[[#This Row],[precio_unitario]]&lt;=30,"Económico",IF(Tabla2[[#This Row],[precio_unitario]]&lt;=58.49,"Accesible","Caro"))</f>
        <v>Accesible</v>
      </c>
      <c r="J489" t="s">
        <v>44</v>
      </c>
      <c r="K489">
        <v>2</v>
      </c>
      <c r="L489" s="19">
        <v>51.07</v>
      </c>
      <c r="M489" s="19">
        <v>23.02</v>
      </c>
      <c r="N489" s="11">
        <v>0</v>
      </c>
      <c r="O489" s="17">
        <f t="shared" si="31"/>
        <v>102.14</v>
      </c>
      <c r="P489" s="17">
        <f t="shared" si="28"/>
        <v>46.04</v>
      </c>
      <c r="Q489" s="17">
        <f t="shared" si="29"/>
        <v>56.1</v>
      </c>
      <c r="R489" s="24">
        <f t="shared" si="30"/>
        <v>0.54924613275895828</v>
      </c>
      <c r="S489" t="s">
        <v>67</v>
      </c>
      <c r="T489" t="s">
        <v>60</v>
      </c>
    </row>
    <row r="490" spans="1:20">
      <c r="A490" t="s">
        <v>562</v>
      </c>
      <c r="B490" s="5">
        <v>45791</v>
      </c>
      <c r="C490" s="8">
        <f>YEAR(Tabla2[[#This Row],[fecha]])</f>
        <v>2025</v>
      </c>
      <c r="D490" s="8">
        <f>MONTH(Tabla2[[#This Row],[fecha]])</f>
        <v>5</v>
      </c>
      <c r="E490" s="8" t="str">
        <f>TEXT(Tabla2[[#This Row],[fecha]], "mmmm")</f>
        <v>mayo</v>
      </c>
      <c r="F490" s="8" t="str">
        <f>"T"&amp;ROUNDUP(Tabla2[[#This Row],[mes]]/3,0)</f>
        <v>T2</v>
      </c>
      <c r="G490" t="s">
        <v>18</v>
      </c>
      <c r="H490" t="s">
        <v>19</v>
      </c>
      <c r="I490" s="8" t="str">
        <f>IF(Tabla2[[#This Row],[precio_unitario]]&lt;=30,"Económico",IF(Tabla2[[#This Row],[precio_unitario]]&lt;=58.49,"Accesible","Caro"))</f>
        <v>Accesible</v>
      </c>
      <c r="J490" t="s">
        <v>17</v>
      </c>
      <c r="K490">
        <v>3</v>
      </c>
      <c r="L490" s="19">
        <v>44.32</v>
      </c>
      <c r="M490" s="19">
        <v>27.32</v>
      </c>
      <c r="N490" s="11">
        <v>0</v>
      </c>
      <c r="O490" s="17">
        <f t="shared" si="31"/>
        <v>132.96</v>
      </c>
      <c r="P490" s="17">
        <f t="shared" si="28"/>
        <v>81.960000000000008</v>
      </c>
      <c r="Q490" s="17">
        <f t="shared" si="29"/>
        <v>51</v>
      </c>
      <c r="R490" s="24">
        <f t="shared" si="30"/>
        <v>0.38357400722021656</v>
      </c>
      <c r="S490" t="s">
        <v>67</v>
      </c>
      <c r="T490" t="s">
        <v>64</v>
      </c>
    </row>
    <row r="491" spans="1:20">
      <c r="A491" t="s">
        <v>563</v>
      </c>
      <c r="B491" s="5">
        <v>45660</v>
      </c>
      <c r="C491" s="8">
        <f>YEAR(Tabla2[[#This Row],[fecha]])</f>
        <v>2025</v>
      </c>
      <c r="D491" s="8">
        <f>MONTH(Tabla2[[#This Row],[fecha]])</f>
        <v>1</v>
      </c>
      <c r="E491" s="8" t="str">
        <f>TEXT(Tabla2[[#This Row],[fecha]], "mmmm")</f>
        <v>enero</v>
      </c>
      <c r="F491" s="8" t="str">
        <f>"T"&amp;ROUNDUP(Tabla2[[#This Row],[mes]]/3,0)</f>
        <v>T1</v>
      </c>
      <c r="G491" t="s">
        <v>36</v>
      </c>
      <c r="H491" t="s">
        <v>37</v>
      </c>
      <c r="I491" s="8" t="str">
        <f>IF(Tabla2[[#This Row],[precio_unitario]]&lt;=30,"Económico",IF(Tabla2[[#This Row],[precio_unitario]]&lt;=58.49,"Accesible","Caro"))</f>
        <v>Económico</v>
      </c>
      <c r="J491" t="s">
        <v>35</v>
      </c>
      <c r="K491">
        <v>1</v>
      </c>
      <c r="L491" s="19">
        <v>14.38</v>
      </c>
      <c r="M491" s="19">
        <v>9.6199999999999992</v>
      </c>
      <c r="N491" s="11">
        <v>0</v>
      </c>
      <c r="O491" s="17">
        <f t="shared" si="31"/>
        <v>14.38</v>
      </c>
      <c r="P491" s="17">
        <f t="shared" si="28"/>
        <v>9.6199999999999992</v>
      </c>
      <c r="Q491" s="17">
        <f t="shared" si="29"/>
        <v>4.7600000000000016</v>
      </c>
      <c r="R491" s="24">
        <f t="shared" si="30"/>
        <v>0.33101529902642568</v>
      </c>
      <c r="S491" t="s">
        <v>67</v>
      </c>
      <c r="T491" t="s">
        <v>60</v>
      </c>
    </row>
    <row r="492" spans="1:20" hidden="1">
      <c r="A492" t="s">
        <v>564</v>
      </c>
      <c r="B492" s="5">
        <v>45649</v>
      </c>
      <c r="C492" s="8">
        <f>YEAR(Tabla2[[#This Row],[fecha]])</f>
        <v>2024</v>
      </c>
      <c r="D492" s="8">
        <f>MONTH(Tabla2[[#This Row],[fecha]])</f>
        <v>12</v>
      </c>
      <c r="E492" s="8" t="str">
        <f>TEXT(Tabla2[[#This Row],[fecha]], "mmmm")</f>
        <v>diciembre</v>
      </c>
      <c r="F492" s="8" t="str">
        <f>"T"&amp;ROUNDUP(Tabla2[[#This Row],[mes]]/3,0)</f>
        <v>T4</v>
      </c>
      <c r="G492" t="s">
        <v>29</v>
      </c>
      <c r="H492" t="s">
        <v>30</v>
      </c>
      <c r="I492" s="8" t="str">
        <f>IF(Tabla2[[#This Row],[precio_unitario]]&lt;=30,"Económico",IF(Tabla2[[#This Row],[precio_unitario]]&lt;=58.49,"Accesible","Caro"))</f>
        <v>Económico</v>
      </c>
      <c r="J492" t="s">
        <v>26</v>
      </c>
      <c r="K492">
        <v>3</v>
      </c>
      <c r="L492" s="19">
        <v>22.53</v>
      </c>
      <c r="M492" s="19">
        <v>11.81</v>
      </c>
      <c r="N492" s="11">
        <v>0</v>
      </c>
      <c r="O492" s="17">
        <f t="shared" si="31"/>
        <v>67.59</v>
      </c>
      <c r="P492" s="17">
        <f t="shared" si="28"/>
        <v>35.43</v>
      </c>
      <c r="Q492" s="17">
        <f t="shared" si="29"/>
        <v>32.160000000000004</v>
      </c>
      <c r="R492" s="24">
        <f t="shared" si="30"/>
        <v>0.47581003106968489</v>
      </c>
      <c r="S492" t="s">
        <v>67</v>
      </c>
      <c r="T492" t="s">
        <v>64</v>
      </c>
    </row>
    <row r="493" spans="1:20">
      <c r="A493" t="s">
        <v>565</v>
      </c>
      <c r="B493" s="5">
        <v>45918</v>
      </c>
      <c r="C493" s="8">
        <f>YEAR(Tabla2[[#This Row],[fecha]])</f>
        <v>2025</v>
      </c>
      <c r="D493" s="8">
        <f>MONTH(Tabla2[[#This Row],[fecha]])</f>
        <v>9</v>
      </c>
      <c r="E493" s="8" t="str">
        <f>TEXT(Tabla2[[#This Row],[fecha]], "mmmm")</f>
        <v>septiembre</v>
      </c>
      <c r="F493" s="8" t="str">
        <f>"T"&amp;ROUNDUP(Tabla2[[#This Row],[mes]]/3,0)</f>
        <v>T3</v>
      </c>
      <c r="G493" t="s">
        <v>20</v>
      </c>
      <c r="H493" t="s">
        <v>21</v>
      </c>
      <c r="I493" s="8" t="str">
        <f>IF(Tabla2[[#This Row],[precio_unitario]]&lt;=30,"Económico",IF(Tabla2[[#This Row],[precio_unitario]]&lt;=58.49,"Accesible","Caro"))</f>
        <v>Económico</v>
      </c>
      <c r="J493" t="s">
        <v>17</v>
      </c>
      <c r="K493">
        <v>3</v>
      </c>
      <c r="L493" s="19">
        <v>20.97</v>
      </c>
      <c r="M493" s="19">
        <v>12.84</v>
      </c>
      <c r="N493" s="11">
        <v>0</v>
      </c>
      <c r="O493" s="17">
        <f t="shared" si="31"/>
        <v>62.91</v>
      </c>
      <c r="P493" s="17">
        <f t="shared" si="28"/>
        <v>38.519999999999996</v>
      </c>
      <c r="Q493" s="17">
        <f t="shared" si="29"/>
        <v>24.39</v>
      </c>
      <c r="R493" s="24">
        <f t="shared" si="30"/>
        <v>0.38769670958512165</v>
      </c>
      <c r="S493" t="s">
        <v>67</v>
      </c>
      <c r="T493" t="s">
        <v>64</v>
      </c>
    </row>
    <row r="494" spans="1:20" hidden="1">
      <c r="A494" t="s">
        <v>566</v>
      </c>
      <c r="B494" s="5">
        <v>45760</v>
      </c>
      <c r="C494" s="8">
        <f>YEAR(Tabla2[[#This Row],[fecha]])</f>
        <v>2025</v>
      </c>
      <c r="D494" s="8">
        <f>MONTH(Tabla2[[#This Row],[fecha]])</f>
        <v>4</v>
      </c>
      <c r="E494" s="8" t="str">
        <f>TEXT(Tabla2[[#This Row],[fecha]], "mmmm")</f>
        <v>abril</v>
      </c>
      <c r="F494" s="8" t="str">
        <f>"T"&amp;ROUNDUP(Tabla2[[#This Row],[mes]]/3,0)</f>
        <v>T2</v>
      </c>
      <c r="G494" t="s">
        <v>38</v>
      </c>
      <c r="H494" t="s">
        <v>39</v>
      </c>
      <c r="I494" s="8" t="str">
        <f>IF(Tabla2[[#This Row],[precio_unitario]]&lt;=30,"Económico",IF(Tabla2[[#This Row],[precio_unitario]]&lt;=58.49,"Accesible","Caro"))</f>
        <v>Caro</v>
      </c>
      <c r="J494" t="s">
        <v>35</v>
      </c>
      <c r="K494">
        <v>4</v>
      </c>
      <c r="L494" s="19">
        <v>72.84</v>
      </c>
      <c r="M494" s="19">
        <v>43.06</v>
      </c>
      <c r="N494" s="11">
        <v>0</v>
      </c>
      <c r="O494" s="17">
        <f t="shared" si="31"/>
        <v>291.36</v>
      </c>
      <c r="P494" s="17">
        <f t="shared" si="28"/>
        <v>172.24</v>
      </c>
      <c r="Q494" s="17">
        <f t="shared" si="29"/>
        <v>119.12</v>
      </c>
      <c r="R494" s="24">
        <f t="shared" si="30"/>
        <v>0.4088412959912136</v>
      </c>
      <c r="S494" t="s">
        <v>101</v>
      </c>
      <c r="T494" t="s">
        <v>64</v>
      </c>
    </row>
    <row r="495" spans="1:20" hidden="1">
      <c r="A495" t="s">
        <v>567</v>
      </c>
      <c r="B495" s="5">
        <v>45651</v>
      </c>
      <c r="C495" s="8">
        <f>YEAR(Tabla2[[#This Row],[fecha]])</f>
        <v>2024</v>
      </c>
      <c r="D495" s="8">
        <f>MONTH(Tabla2[[#This Row],[fecha]])</f>
        <v>12</v>
      </c>
      <c r="E495" s="8" t="str">
        <f>TEXT(Tabla2[[#This Row],[fecha]], "mmmm")</f>
        <v>diciembre</v>
      </c>
      <c r="F495" s="8" t="str">
        <f>"T"&amp;ROUNDUP(Tabla2[[#This Row],[mes]]/3,0)</f>
        <v>T4</v>
      </c>
      <c r="G495" t="s">
        <v>36</v>
      </c>
      <c r="H495" t="s">
        <v>37</v>
      </c>
      <c r="I495" s="8" t="str">
        <f>IF(Tabla2[[#This Row],[precio_unitario]]&lt;=30,"Económico",IF(Tabla2[[#This Row],[precio_unitario]]&lt;=58.49,"Accesible","Caro"))</f>
        <v>Económico</v>
      </c>
      <c r="J495" t="s">
        <v>35</v>
      </c>
      <c r="K495">
        <v>1</v>
      </c>
      <c r="L495" s="19">
        <v>13.15</v>
      </c>
      <c r="M495" s="19">
        <v>9.76</v>
      </c>
      <c r="N495" s="11">
        <v>0</v>
      </c>
      <c r="O495" s="17">
        <f t="shared" si="31"/>
        <v>13.15</v>
      </c>
      <c r="P495" s="17">
        <f t="shared" si="28"/>
        <v>9.76</v>
      </c>
      <c r="Q495" s="17">
        <f t="shared" si="29"/>
        <v>3.3900000000000006</v>
      </c>
      <c r="R495" s="24">
        <f t="shared" si="30"/>
        <v>0.2577946768060837</v>
      </c>
      <c r="S495" t="s">
        <v>67</v>
      </c>
      <c r="T495" t="s">
        <v>60</v>
      </c>
    </row>
    <row r="496" spans="1:20">
      <c r="A496" t="s">
        <v>568</v>
      </c>
      <c r="B496" s="5">
        <v>45747</v>
      </c>
      <c r="C496" s="8">
        <f>YEAR(Tabla2[[#This Row],[fecha]])</f>
        <v>2025</v>
      </c>
      <c r="D496" s="8">
        <f>MONTH(Tabla2[[#This Row],[fecha]])</f>
        <v>3</v>
      </c>
      <c r="E496" s="8" t="str">
        <f>TEXT(Tabla2[[#This Row],[fecha]], "mmmm")</f>
        <v>marzo</v>
      </c>
      <c r="F496" s="8" t="str">
        <f>"T"&amp;ROUNDUP(Tabla2[[#This Row],[mes]]/3,0)</f>
        <v>T1</v>
      </c>
      <c r="G496" t="s">
        <v>49</v>
      </c>
      <c r="H496" t="s">
        <v>50</v>
      </c>
      <c r="I496" s="8" t="str">
        <f>IF(Tabla2[[#This Row],[precio_unitario]]&lt;=30,"Económico",IF(Tabla2[[#This Row],[precio_unitario]]&lt;=58.49,"Accesible","Caro"))</f>
        <v>Caro</v>
      </c>
      <c r="J496" t="s">
        <v>44</v>
      </c>
      <c r="K496">
        <v>5</v>
      </c>
      <c r="L496" s="19">
        <v>64.97</v>
      </c>
      <c r="M496" s="19">
        <v>33.299999999999997</v>
      </c>
      <c r="N496" s="11">
        <v>0</v>
      </c>
      <c r="O496" s="17">
        <f t="shared" si="31"/>
        <v>324.85000000000002</v>
      </c>
      <c r="P496" s="17">
        <f t="shared" si="28"/>
        <v>166.5</v>
      </c>
      <c r="Q496" s="17">
        <f t="shared" si="29"/>
        <v>158.35000000000002</v>
      </c>
      <c r="R496" s="24">
        <f t="shared" si="30"/>
        <v>0.48745574880714182</v>
      </c>
      <c r="S496" t="s">
        <v>67</v>
      </c>
      <c r="T496" t="s">
        <v>64</v>
      </c>
    </row>
    <row r="497" spans="1:20" hidden="1">
      <c r="A497" t="s">
        <v>569</v>
      </c>
      <c r="B497" s="5">
        <v>45496</v>
      </c>
      <c r="C497" s="8">
        <f>YEAR(Tabla2[[#This Row],[fecha]])</f>
        <v>2024</v>
      </c>
      <c r="D497" s="8">
        <f>MONTH(Tabla2[[#This Row],[fecha]])</f>
        <v>7</v>
      </c>
      <c r="E497" s="8" t="str">
        <f>TEXT(Tabla2[[#This Row],[fecha]], "mmmm")</f>
        <v>julio</v>
      </c>
      <c r="F497" s="8" t="str">
        <f>"T"&amp;ROUNDUP(Tabla2[[#This Row],[mes]]/3,0)</f>
        <v>T3</v>
      </c>
      <c r="G497" t="s">
        <v>15</v>
      </c>
      <c r="H497" t="s">
        <v>16</v>
      </c>
      <c r="I497" s="8" t="str">
        <f>IF(Tabla2[[#This Row],[precio_unitario]]&lt;=30,"Económico",IF(Tabla2[[#This Row],[precio_unitario]]&lt;=58.49,"Accesible","Caro"))</f>
        <v>Caro</v>
      </c>
      <c r="J497" t="s">
        <v>17</v>
      </c>
      <c r="K497">
        <v>3</v>
      </c>
      <c r="L497" s="19">
        <v>62.78</v>
      </c>
      <c r="M497" s="19">
        <v>42.55</v>
      </c>
      <c r="N497" s="11">
        <v>0</v>
      </c>
      <c r="O497" s="17">
        <f t="shared" si="31"/>
        <v>188.34</v>
      </c>
      <c r="P497" s="17">
        <f t="shared" si="28"/>
        <v>127.64999999999999</v>
      </c>
      <c r="Q497" s="17">
        <f t="shared" si="29"/>
        <v>60.690000000000012</v>
      </c>
      <c r="R497" s="24">
        <f t="shared" si="30"/>
        <v>0.32223638101306157</v>
      </c>
      <c r="S497" t="s">
        <v>67</v>
      </c>
      <c r="T497" t="s">
        <v>60</v>
      </c>
    </row>
    <row r="498" spans="1:20" hidden="1">
      <c r="A498" t="s">
        <v>570</v>
      </c>
      <c r="B498" s="5">
        <v>45973</v>
      </c>
      <c r="C498" s="8">
        <f>YEAR(Tabla2[[#This Row],[fecha]])</f>
        <v>2025</v>
      </c>
      <c r="D498" s="8">
        <f>MONTH(Tabla2[[#This Row],[fecha]])</f>
        <v>11</v>
      </c>
      <c r="E498" s="8" t="str">
        <f>TEXT(Tabla2[[#This Row],[fecha]], "mmmm")</f>
        <v>noviembre</v>
      </c>
      <c r="F498" s="8" t="str">
        <f>"T"&amp;ROUNDUP(Tabla2[[#This Row],[mes]]/3,0)</f>
        <v>T4</v>
      </c>
      <c r="G498" t="s">
        <v>6</v>
      </c>
      <c r="H498" t="s">
        <v>7</v>
      </c>
      <c r="I498" s="8" t="str">
        <f>IF(Tabla2[[#This Row],[precio_unitario]]&lt;=30,"Económico",IF(Tabla2[[#This Row],[precio_unitario]]&lt;=58.49,"Accesible","Caro"))</f>
        <v>Caro</v>
      </c>
      <c r="J498" t="s">
        <v>8</v>
      </c>
      <c r="K498">
        <v>1</v>
      </c>
      <c r="L498" s="19">
        <v>112.56</v>
      </c>
      <c r="M498" s="19">
        <v>85.18</v>
      </c>
      <c r="N498" s="13">
        <v>0</v>
      </c>
      <c r="O498" s="17">
        <f t="shared" si="31"/>
        <v>112.56</v>
      </c>
      <c r="P498" s="17">
        <f t="shared" si="28"/>
        <v>85.18</v>
      </c>
      <c r="Q498" s="17">
        <f t="shared" si="29"/>
        <v>27.379999999999995</v>
      </c>
      <c r="R498" s="24">
        <f t="shared" si="30"/>
        <v>0.24324804548685142</v>
      </c>
      <c r="S498" t="s">
        <v>83</v>
      </c>
      <c r="T498" t="s">
        <v>64</v>
      </c>
    </row>
    <row r="499" spans="1:20" hidden="1">
      <c r="A499" t="s">
        <v>571</v>
      </c>
      <c r="B499" s="5">
        <v>45741</v>
      </c>
      <c r="C499" s="8">
        <f>YEAR(Tabla2[[#This Row],[fecha]])</f>
        <v>2025</v>
      </c>
      <c r="D499" s="8">
        <f>MONTH(Tabla2[[#This Row],[fecha]])</f>
        <v>3</v>
      </c>
      <c r="E499" s="8" t="str">
        <f>TEXT(Tabla2[[#This Row],[fecha]], "mmmm")</f>
        <v>marzo</v>
      </c>
      <c r="F499" s="8" t="str">
        <f>"T"&amp;ROUNDUP(Tabla2[[#This Row],[mes]]/3,0)</f>
        <v>T1</v>
      </c>
      <c r="G499" t="s">
        <v>11</v>
      </c>
      <c r="H499" t="s">
        <v>12</v>
      </c>
      <c r="I499" s="8" t="str">
        <f>IF(Tabla2[[#This Row],[precio_unitario]]&lt;=30,"Económico",IF(Tabla2[[#This Row],[precio_unitario]]&lt;=58.49,"Accesible","Caro"))</f>
        <v>Caro</v>
      </c>
      <c r="J499" t="s">
        <v>8</v>
      </c>
      <c r="K499">
        <v>5</v>
      </c>
      <c r="L499" s="20">
        <f>INDEX(Tabla3[precio_venta_recomendado], MATCH(Tabla2[[#This Row],[id_producto]], Tabla3[id_producto], 0))</f>
        <v>177.72</v>
      </c>
      <c r="M499" s="19">
        <v>95.23</v>
      </c>
      <c r="N499" s="11">
        <v>0</v>
      </c>
      <c r="O499" s="17">
        <f t="shared" si="31"/>
        <v>888.6</v>
      </c>
      <c r="P499" s="17">
        <f t="shared" si="28"/>
        <v>476.15000000000003</v>
      </c>
      <c r="Q499" s="17">
        <f t="shared" si="29"/>
        <v>412.45</v>
      </c>
      <c r="R499" s="24">
        <f t="shared" si="30"/>
        <v>0.4641571010578438</v>
      </c>
      <c r="S499" t="s">
        <v>96</v>
      </c>
      <c r="T499" t="s">
        <v>60</v>
      </c>
    </row>
    <row r="500" spans="1:20" hidden="1">
      <c r="A500" t="s">
        <v>572</v>
      </c>
      <c r="B500" s="5">
        <v>45992</v>
      </c>
      <c r="C500" s="8">
        <f>YEAR(Tabla2[[#This Row],[fecha]])</f>
        <v>2025</v>
      </c>
      <c r="D500" s="8">
        <f>MONTH(Tabla2[[#This Row],[fecha]])</f>
        <v>12</v>
      </c>
      <c r="E500" s="8" t="str">
        <f>TEXT(Tabla2[[#This Row],[fecha]], "mmmm")</f>
        <v>diciembre</v>
      </c>
      <c r="F500" s="8" t="str">
        <f>"T"&amp;ROUNDUP(Tabla2[[#This Row],[mes]]/3,0)</f>
        <v>T4</v>
      </c>
      <c r="G500" t="s">
        <v>6</v>
      </c>
      <c r="H500" t="s">
        <v>7</v>
      </c>
      <c r="I500" s="8" t="str">
        <f>IF(Tabla2[[#This Row],[precio_unitario]]&lt;=30,"Económico",IF(Tabla2[[#This Row],[precio_unitario]]&lt;=58.49,"Accesible","Caro"))</f>
        <v>Caro</v>
      </c>
      <c r="J500" t="s">
        <v>8</v>
      </c>
      <c r="K500">
        <v>3</v>
      </c>
      <c r="L500" s="19">
        <v>121.03</v>
      </c>
      <c r="M500" s="19">
        <v>80.63</v>
      </c>
      <c r="N500" s="11">
        <v>0</v>
      </c>
      <c r="O500" s="17">
        <f t="shared" si="31"/>
        <v>363.09000000000003</v>
      </c>
      <c r="P500" s="17">
        <f t="shared" si="28"/>
        <v>241.89</v>
      </c>
      <c r="Q500" s="17">
        <f t="shared" si="29"/>
        <v>121.20000000000005</v>
      </c>
      <c r="R500" s="24">
        <f t="shared" si="30"/>
        <v>0.33380153680905572</v>
      </c>
      <c r="S500" t="s">
        <v>96</v>
      </c>
      <c r="T500" t="s">
        <v>64</v>
      </c>
    </row>
    <row r="501" spans="1:20" hidden="1">
      <c r="A501" t="s">
        <v>573</v>
      </c>
      <c r="B501" s="5">
        <v>45364</v>
      </c>
      <c r="C501" s="8">
        <f>YEAR(Tabla2[[#This Row],[fecha]])</f>
        <v>2024</v>
      </c>
      <c r="D501" s="8">
        <f>MONTH(Tabla2[[#This Row],[fecha]])</f>
        <v>3</v>
      </c>
      <c r="E501" s="8" t="str">
        <f>TEXT(Tabla2[[#This Row],[fecha]], "mmmm")</f>
        <v>marzo</v>
      </c>
      <c r="F501" s="8" t="str">
        <f>"T"&amp;ROUNDUP(Tabla2[[#This Row],[mes]]/3,0)</f>
        <v>T1</v>
      </c>
      <c r="G501" t="s">
        <v>47</v>
      </c>
      <c r="H501" t="s">
        <v>48</v>
      </c>
      <c r="I501" s="8" t="str">
        <f>IF(Tabla2[[#This Row],[precio_unitario]]&lt;=30,"Económico",IF(Tabla2[[#This Row],[precio_unitario]]&lt;=58.49,"Accesible","Caro"))</f>
        <v>Caro</v>
      </c>
      <c r="J501" t="s">
        <v>44</v>
      </c>
      <c r="K501">
        <v>1</v>
      </c>
      <c r="L501" s="19">
        <v>59.38</v>
      </c>
      <c r="M501" s="19">
        <v>31.54</v>
      </c>
      <c r="N501" s="11">
        <v>0</v>
      </c>
      <c r="O501" s="17">
        <f t="shared" si="31"/>
        <v>59.38</v>
      </c>
      <c r="P501" s="17">
        <f t="shared" si="28"/>
        <v>31.54</v>
      </c>
      <c r="Q501" s="17">
        <f t="shared" si="29"/>
        <v>27.840000000000003</v>
      </c>
      <c r="R501" s="24">
        <f t="shared" si="30"/>
        <v>0.46884472886493772</v>
      </c>
      <c r="S501" t="s">
        <v>67</v>
      </c>
      <c r="T501" t="s">
        <v>60</v>
      </c>
    </row>
    <row r="502" spans="1:20" hidden="1">
      <c r="A502" t="s">
        <v>574</v>
      </c>
      <c r="B502" s="5">
        <v>45584</v>
      </c>
      <c r="C502" s="8">
        <f>YEAR(Tabla2[[#This Row],[fecha]])</f>
        <v>2024</v>
      </c>
      <c r="D502" s="8">
        <f>MONTH(Tabla2[[#This Row],[fecha]])</f>
        <v>10</v>
      </c>
      <c r="E502" s="8" t="str">
        <f>TEXT(Tabla2[[#This Row],[fecha]], "mmmm")</f>
        <v>octubre</v>
      </c>
      <c r="F502" s="8" t="str">
        <f>"T"&amp;ROUNDUP(Tabla2[[#This Row],[mes]]/3,0)</f>
        <v>T4</v>
      </c>
      <c r="G502" t="s">
        <v>36</v>
      </c>
      <c r="H502" t="s">
        <v>37</v>
      </c>
      <c r="I502" s="8" t="str">
        <f>IF(Tabla2[[#This Row],[precio_unitario]]&lt;=30,"Económico",IF(Tabla2[[#This Row],[precio_unitario]]&lt;=58.49,"Accesible","Caro"))</f>
        <v>Económico</v>
      </c>
      <c r="J502" t="s">
        <v>35</v>
      </c>
      <c r="K502">
        <v>1</v>
      </c>
      <c r="L502" s="19">
        <v>14.8</v>
      </c>
      <c r="M502" s="19">
        <v>9.8000000000000007</v>
      </c>
      <c r="N502" s="11">
        <v>0</v>
      </c>
      <c r="O502" s="17">
        <f t="shared" si="31"/>
        <v>14.8</v>
      </c>
      <c r="P502" s="17">
        <f t="shared" si="28"/>
        <v>9.8000000000000007</v>
      </c>
      <c r="Q502" s="17">
        <f t="shared" si="29"/>
        <v>5</v>
      </c>
      <c r="R502" s="24">
        <f t="shared" si="30"/>
        <v>0.33783783783783783</v>
      </c>
      <c r="S502" t="s">
        <v>67</v>
      </c>
      <c r="T502" t="s">
        <v>60</v>
      </c>
    </row>
    <row r="503" spans="1:20" hidden="1">
      <c r="A503" t="s">
        <v>575</v>
      </c>
      <c r="B503" s="5">
        <v>45307</v>
      </c>
      <c r="C503" s="8">
        <f>YEAR(Tabla2[[#This Row],[fecha]])</f>
        <v>2024</v>
      </c>
      <c r="D503" s="8">
        <f>MONTH(Tabla2[[#This Row],[fecha]])</f>
        <v>1</v>
      </c>
      <c r="E503" s="8" t="str">
        <f>TEXT(Tabla2[[#This Row],[fecha]], "mmmm")</f>
        <v>enero</v>
      </c>
      <c r="F503" s="8" t="str">
        <f>"T"&amp;ROUNDUP(Tabla2[[#This Row],[mes]]/3,0)</f>
        <v>T1</v>
      </c>
      <c r="G503" t="s">
        <v>36</v>
      </c>
      <c r="H503" t="s">
        <v>37</v>
      </c>
      <c r="I503" s="8" t="str">
        <f>IF(Tabla2[[#This Row],[precio_unitario]]&lt;=30,"Económico",IF(Tabla2[[#This Row],[precio_unitario]]&lt;=58.49,"Accesible","Caro"))</f>
        <v>Económico</v>
      </c>
      <c r="J503" t="s">
        <v>35</v>
      </c>
      <c r="K503">
        <v>1</v>
      </c>
      <c r="L503" s="19">
        <v>13.42</v>
      </c>
      <c r="M503" s="19">
        <v>9.3000000000000007</v>
      </c>
      <c r="N503" s="11">
        <v>0.28999999999999998</v>
      </c>
      <c r="O503" s="17">
        <f t="shared" si="31"/>
        <v>9.5282</v>
      </c>
      <c r="P503" s="17">
        <f t="shared" si="28"/>
        <v>9.3000000000000007</v>
      </c>
      <c r="Q503" s="17">
        <f t="shared" si="29"/>
        <v>0.22819999999999929</v>
      </c>
      <c r="R503" s="24">
        <f t="shared" si="30"/>
        <v>2.3949959068869178E-2</v>
      </c>
      <c r="S503" t="s">
        <v>101</v>
      </c>
      <c r="T503" t="s">
        <v>374</v>
      </c>
    </row>
    <row r="504" spans="1:20" hidden="1">
      <c r="A504" t="s">
        <v>576</v>
      </c>
      <c r="B504" s="5">
        <v>45498</v>
      </c>
      <c r="C504" s="8">
        <f>YEAR(Tabla2[[#This Row],[fecha]])</f>
        <v>2024</v>
      </c>
      <c r="D504" s="8">
        <f>MONTH(Tabla2[[#This Row],[fecha]])</f>
        <v>7</v>
      </c>
      <c r="E504" s="8" t="str">
        <f>TEXT(Tabla2[[#This Row],[fecha]], "mmmm")</f>
        <v>julio</v>
      </c>
      <c r="F504" s="8" t="str">
        <f>"T"&amp;ROUNDUP(Tabla2[[#This Row],[mes]]/3,0)</f>
        <v>T3</v>
      </c>
      <c r="G504" t="s">
        <v>9</v>
      </c>
      <c r="H504" t="s">
        <v>10</v>
      </c>
      <c r="I504" s="8" t="str">
        <f>IF(Tabla2[[#This Row],[precio_unitario]]&lt;=30,"Económico",IF(Tabla2[[#This Row],[precio_unitario]]&lt;=58.49,"Accesible","Caro"))</f>
        <v>Caro</v>
      </c>
      <c r="J504" t="s">
        <v>8</v>
      </c>
      <c r="K504">
        <v>1</v>
      </c>
      <c r="L504" s="19">
        <v>75.67</v>
      </c>
      <c r="M504" s="19">
        <v>45.7</v>
      </c>
      <c r="N504" s="11">
        <v>0</v>
      </c>
      <c r="O504" s="17">
        <f t="shared" si="31"/>
        <v>75.67</v>
      </c>
      <c r="P504" s="17">
        <f t="shared" si="28"/>
        <v>45.7</v>
      </c>
      <c r="Q504" s="17">
        <f t="shared" si="29"/>
        <v>29.97</v>
      </c>
      <c r="R504" s="24">
        <f t="shared" si="30"/>
        <v>0.396061847495705</v>
      </c>
      <c r="S504" t="s">
        <v>67</v>
      </c>
      <c r="T504" t="s">
        <v>60</v>
      </c>
    </row>
    <row r="505" spans="1:20" hidden="1">
      <c r="A505" t="s">
        <v>577</v>
      </c>
      <c r="B505" s="5">
        <v>45879</v>
      </c>
      <c r="C505" s="8">
        <f>YEAR(Tabla2[[#This Row],[fecha]])</f>
        <v>2025</v>
      </c>
      <c r="D505" s="8">
        <f>MONTH(Tabla2[[#This Row],[fecha]])</f>
        <v>8</v>
      </c>
      <c r="E505" s="8" t="str">
        <f>TEXT(Tabla2[[#This Row],[fecha]], "mmmm")</f>
        <v>agosto</v>
      </c>
      <c r="F505" s="8" t="str">
        <f>"T"&amp;ROUNDUP(Tabla2[[#This Row],[mes]]/3,0)</f>
        <v>T3</v>
      </c>
      <c r="G505" t="s">
        <v>38</v>
      </c>
      <c r="H505" t="s">
        <v>39</v>
      </c>
      <c r="I505" s="8" t="str">
        <f>IF(Tabla2[[#This Row],[precio_unitario]]&lt;=30,"Económico",IF(Tabla2[[#This Row],[precio_unitario]]&lt;=58.49,"Accesible","Caro"))</f>
        <v>Caro</v>
      </c>
      <c r="J505" t="s">
        <v>35</v>
      </c>
      <c r="K505">
        <v>2</v>
      </c>
      <c r="L505" s="19">
        <v>80.84</v>
      </c>
      <c r="M505" s="19">
        <v>42.5</v>
      </c>
      <c r="N505" s="11">
        <v>0</v>
      </c>
      <c r="O505" s="17">
        <f t="shared" si="31"/>
        <v>161.68</v>
      </c>
      <c r="P505" s="17">
        <f t="shared" si="28"/>
        <v>85</v>
      </c>
      <c r="Q505" s="17">
        <f t="shared" si="29"/>
        <v>76.680000000000007</v>
      </c>
      <c r="R505" s="24">
        <f t="shared" si="30"/>
        <v>0.47427016328550226</v>
      </c>
      <c r="S505" t="s">
        <v>96</v>
      </c>
      <c r="T505" t="s">
        <v>60</v>
      </c>
    </row>
    <row r="506" spans="1:20" hidden="1">
      <c r="A506" t="s">
        <v>578</v>
      </c>
      <c r="B506" s="5">
        <v>46006</v>
      </c>
      <c r="C506" s="8">
        <f>YEAR(Tabla2[[#This Row],[fecha]])</f>
        <v>2025</v>
      </c>
      <c r="D506" s="8">
        <f>MONTH(Tabla2[[#This Row],[fecha]])</f>
        <v>12</v>
      </c>
      <c r="E506" s="8" t="str">
        <f>TEXT(Tabla2[[#This Row],[fecha]], "mmmm")</f>
        <v>diciembre</v>
      </c>
      <c r="F506" s="8" t="str">
        <f>"T"&amp;ROUNDUP(Tabla2[[#This Row],[mes]]/3,0)</f>
        <v>T4</v>
      </c>
      <c r="G506" t="s">
        <v>9</v>
      </c>
      <c r="H506" t="s">
        <v>10</v>
      </c>
      <c r="I506" s="8" t="str">
        <f>IF(Tabla2[[#This Row],[precio_unitario]]&lt;=30,"Económico",IF(Tabla2[[#This Row],[precio_unitario]]&lt;=58.49,"Accesible","Caro"))</f>
        <v>Caro</v>
      </c>
      <c r="J506" t="s">
        <v>8</v>
      </c>
      <c r="K506">
        <v>7</v>
      </c>
      <c r="L506" s="19">
        <v>72.400000000000006</v>
      </c>
      <c r="M506" s="19">
        <v>47.65</v>
      </c>
      <c r="N506" s="13">
        <v>0</v>
      </c>
      <c r="O506" s="17">
        <f t="shared" si="31"/>
        <v>506.80000000000007</v>
      </c>
      <c r="P506" s="17">
        <f t="shared" si="28"/>
        <v>333.55</v>
      </c>
      <c r="Q506" s="17">
        <f t="shared" si="29"/>
        <v>173.25000000000006</v>
      </c>
      <c r="R506" s="24">
        <f t="shared" si="30"/>
        <v>0.34185082872928185</v>
      </c>
      <c r="S506" t="s">
        <v>540</v>
      </c>
      <c r="T506" t="s">
        <v>60</v>
      </c>
    </row>
    <row r="507" spans="1:20" hidden="1">
      <c r="A507" t="s">
        <v>579</v>
      </c>
      <c r="B507" s="5">
        <v>45660</v>
      </c>
      <c r="C507" s="8">
        <f>YEAR(Tabla2[[#This Row],[fecha]])</f>
        <v>2025</v>
      </c>
      <c r="D507" s="8">
        <f>MONTH(Tabla2[[#This Row],[fecha]])</f>
        <v>1</v>
      </c>
      <c r="E507" s="8" t="str">
        <f>TEXT(Tabla2[[#This Row],[fecha]], "mmmm")</f>
        <v>enero</v>
      </c>
      <c r="F507" s="8" t="str">
        <f>"T"&amp;ROUNDUP(Tabla2[[#This Row],[mes]]/3,0)</f>
        <v>T1</v>
      </c>
      <c r="G507" t="s">
        <v>42</v>
      </c>
      <c r="H507" t="s">
        <v>43</v>
      </c>
      <c r="I507" s="8" t="str">
        <f>IF(Tabla2[[#This Row],[precio_unitario]]&lt;=30,"Económico",IF(Tabla2[[#This Row],[precio_unitario]]&lt;=58.49,"Accesible","Caro"))</f>
        <v>Accesible</v>
      </c>
      <c r="J507" t="s">
        <v>44</v>
      </c>
      <c r="K507">
        <v>2</v>
      </c>
      <c r="L507" s="19">
        <v>52.97</v>
      </c>
      <c r="M507" s="19">
        <v>21.78</v>
      </c>
      <c r="N507" s="11">
        <v>0</v>
      </c>
      <c r="O507" s="17">
        <f t="shared" si="31"/>
        <v>105.94</v>
      </c>
      <c r="P507" s="17">
        <f t="shared" si="28"/>
        <v>43.56</v>
      </c>
      <c r="Q507" s="17">
        <f t="shared" si="29"/>
        <v>62.379999999999995</v>
      </c>
      <c r="R507" s="24">
        <f t="shared" si="30"/>
        <v>0.58882386256371533</v>
      </c>
      <c r="S507" t="s">
        <v>540</v>
      </c>
      <c r="T507" t="s">
        <v>64</v>
      </c>
    </row>
    <row r="508" spans="1:20">
      <c r="A508" t="s">
        <v>580</v>
      </c>
      <c r="B508" s="5">
        <v>45840</v>
      </c>
      <c r="C508" s="8">
        <f>YEAR(Tabla2[[#This Row],[fecha]])</f>
        <v>2025</v>
      </c>
      <c r="D508" s="8">
        <f>MONTH(Tabla2[[#This Row],[fecha]])</f>
        <v>7</v>
      </c>
      <c r="E508" s="8" t="str">
        <f>TEXT(Tabla2[[#This Row],[fecha]], "mmmm")</f>
        <v>julio</v>
      </c>
      <c r="F508" s="8" t="str">
        <f>"T"&amp;ROUNDUP(Tabla2[[#This Row],[mes]]/3,0)</f>
        <v>T3</v>
      </c>
      <c r="G508" t="s">
        <v>49</v>
      </c>
      <c r="H508" t="s">
        <v>50</v>
      </c>
      <c r="I508" s="8" t="str">
        <f>IF(Tabla2[[#This Row],[precio_unitario]]&lt;=30,"Económico",IF(Tabla2[[#This Row],[precio_unitario]]&lt;=58.49,"Accesible","Caro"))</f>
        <v>Caro</v>
      </c>
      <c r="J508" t="s">
        <v>44</v>
      </c>
      <c r="K508">
        <v>1</v>
      </c>
      <c r="L508" s="19">
        <v>59.64</v>
      </c>
      <c r="M508" s="19">
        <v>34.17</v>
      </c>
      <c r="N508" s="11">
        <v>0</v>
      </c>
      <c r="O508" s="17">
        <f t="shared" si="31"/>
        <v>59.64</v>
      </c>
      <c r="P508" s="17">
        <f t="shared" si="28"/>
        <v>34.17</v>
      </c>
      <c r="Q508" s="17">
        <f t="shared" si="29"/>
        <v>25.47</v>
      </c>
      <c r="R508" s="24">
        <f t="shared" si="30"/>
        <v>0.42706237424547283</v>
      </c>
      <c r="S508" t="s">
        <v>67</v>
      </c>
      <c r="T508" t="s">
        <v>64</v>
      </c>
    </row>
    <row r="509" spans="1:20">
      <c r="A509" t="s">
        <v>581</v>
      </c>
      <c r="B509" s="5">
        <v>45933</v>
      </c>
      <c r="C509" s="8">
        <f>YEAR(Tabla2[[#This Row],[fecha]])</f>
        <v>2025</v>
      </c>
      <c r="D509" s="8">
        <f>MONTH(Tabla2[[#This Row],[fecha]])</f>
        <v>10</v>
      </c>
      <c r="E509" s="8" t="str">
        <f>TEXT(Tabla2[[#This Row],[fecha]], "mmmm")</f>
        <v>octubre</v>
      </c>
      <c r="F509" s="8" t="str">
        <f>"T"&amp;ROUNDUP(Tabla2[[#This Row],[mes]]/3,0)</f>
        <v>T4</v>
      </c>
      <c r="G509" t="s">
        <v>6</v>
      </c>
      <c r="H509" t="s">
        <v>7</v>
      </c>
      <c r="I509" s="8" t="str">
        <f>IF(Tabla2[[#This Row],[precio_unitario]]&lt;=30,"Económico",IF(Tabla2[[#This Row],[precio_unitario]]&lt;=58.49,"Accesible","Caro"))</f>
        <v>Caro</v>
      </c>
      <c r="J509" t="s">
        <v>8</v>
      </c>
      <c r="K509">
        <v>6</v>
      </c>
      <c r="L509" s="19">
        <v>120.71</v>
      </c>
      <c r="M509" s="19">
        <v>80.97</v>
      </c>
      <c r="N509" s="11">
        <v>0</v>
      </c>
      <c r="O509" s="17">
        <f t="shared" si="31"/>
        <v>724.26</v>
      </c>
      <c r="P509" s="17">
        <f t="shared" si="28"/>
        <v>485.82</v>
      </c>
      <c r="Q509" s="17">
        <f t="shared" si="29"/>
        <v>238.44</v>
      </c>
      <c r="R509" s="24">
        <f t="shared" si="30"/>
        <v>0.32921878883273964</v>
      </c>
      <c r="S509" t="s">
        <v>67</v>
      </c>
      <c r="T509" t="s">
        <v>64</v>
      </c>
    </row>
    <row r="510" spans="1:20" hidden="1">
      <c r="A510" t="s">
        <v>582</v>
      </c>
      <c r="B510" s="5">
        <v>45474</v>
      </c>
      <c r="C510" s="8">
        <f>YEAR(Tabla2[[#This Row],[fecha]])</f>
        <v>2024</v>
      </c>
      <c r="D510" s="8">
        <f>MONTH(Tabla2[[#This Row],[fecha]])</f>
        <v>7</v>
      </c>
      <c r="E510" s="8" t="str">
        <f>TEXT(Tabla2[[#This Row],[fecha]], "mmmm")</f>
        <v>julio</v>
      </c>
      <c r="F510" s="8" t="str">
        <f>"T"&amp;ROUNDUP(Tabla2[[#This Row],[mes]]/3,0)</f>
        <v>T3</v>
      </c>
      <c r="G510" t="s">
        <v>40</v>
      </c>
      <c r="H510" t="s">
        <v>41</v>
      </c>
      <c r="I510" s="8" t="str">
        <f>IF(Tabla2[[#This Row],[precio_unitario]]&lt;=30,"Económico",IF(Tabla2[[#This Row],[precio_unitario]]&lt;=58.49,"Accesible","Caro"))</f>
        <v>Caro</v>
      </c>
      <c r="J510" t="s">
        <v>35</v>
      </c>
      <c r="K510">
        <v>1</v>
      </c>
      <c r="L510" s="19">
        <v>77.650000000000006</v>
      </c>
      <c r="M510" s="19">
        <v>41.38</v>
      </c>
      <c r="N510" s="13">
        <v>0</v>
      </c>
      <c r="O510" s="17">
        <f t="shared" si="31"/>
        <v>77.650000000000006</v>
      </c>
      <c r="P510" s="17">
        <f t="shared" si="28"/>
        <v>41.38</v>
      </c>
      <c r="Q510" s="17">
        <f t="shared" si="29"/>
        <v>36.270000000000003</v>
      </c>
      <c r="R510" s="24">
        <f t="shared" si="30"/>
        <v>0.46709594333547971</v>
      </c>
      <c r="S510" t="s">
        <v>96</v>
      </c>
      <c r="T510" t="s">
        <v>60</v>
      </c>
    </row>
    <row r="511" spans="1:20" hidden="1">
      <c r="A511" t="s">
        <v>583</v>
      </c>
      <c r="B511" s="5">
        <v>45505</v>
      </c>
      <c r="C511" s="8">
        <f>YEAR(Tabla2[[#This Row],[fecha]])</f>
        <v>2024</v>
      </c>
      <c r="D511" s="8">
        <f>MONTH(Tabla2[[#This Row],[fecha]])</f>
        <v>8</v>
      </c>
      <c r="E511" s="8" t="str">
        <f>TEXT(Tabla2[[#This Row],[fecha]], "mmmm")</f>
        <v>agosto</v>
      </c>
      <c r="F511" s="8" t="str">
        <f>"T"&amp;ROUNDUP(Tabla2[[#This Row],[mes]]/3,0)</f>
        <v>T3</v>
      </c>
      <c r="G511" t="s">
        <v>20</v>
      </c>
      <c r="H511" t="s">
        <v>21</v>
      </c>
      <c r="I511" s="8" t="str">
        <f>IF(Tabla2[[#This Row],[precio_unitario]]&lt;=30,"Económico",IF(Tabla2[[#This Row],[precio_unitario]]&lt;=58.49,"Accesible","Caro"))</f>
        <v>Económico</v>
      </c>
      <c r="J511" t="s">
        <v>17</v>
      </c>
      <c r="K511">
        <v>3</v>
      </c>
      <c r="L511" s="19">
        <v>19.63</v>
      </c>
      <c r="M511" s="19">
        <v>12.38</v>
      </c>
      <c r="N511" s="11">
        <v>0</v>
      </c>
      <c r="O511" s="17">
        <f t="shared" si="31"/>
        <v>58.89</v>
      </c>
      <c r="P511" s="17">
        <f t="shared" si="28"/>
        <v>37.14</v>
      </c>
      <c r="Q511" s="17">
        <f t="shared" si="29"/>
        <v>21.75</v>
      </c>
      <c r="R511" s="24">
        <f t="shared" si="30"/>
        <v>0.36933265410086602</v>
      </c>
      <c r="S511" t="s">
        <v>96</v>
      </c>
      <c r="T511" t="s">
        <v>64</v>
      </c>
    </row>
    <row r="512" spans="1:20">
      <c r="A512" t="s">
        <v>584</v>
      </c>
      <c r="B512" s="5">
        <v>45695</v>
      </c>
      <c r="C512" s="8">
        <f>YEAR(Tabla2[[#This Row],[fecha]])</f>
        <v>2025</v>
      </c>
      <c r="D512" s="8">
        <f>MONTH(Tabla2[[#This Row],[fecha]])</f>
        <v>2</v>
      </c>
      <c r="E512" s="8" t="str">
        <f>TEXT(Tabla2[[#This Row],[fecha]], "mmmm")</f>
        <v>febrero</v>
      </c>
      <c r="F512" s="8" t="str">
        <f>"T"&amp;ROUNDUP(Tabla2[[#This Row],[mes]]/3,0)</f>
        <v>T1</v>
      </c>
      <c r="G512" t="s">
        <v>36</v>
      </c>
      <c r="H512" t="s">
        <v>37</v>
      </c>
      <c r="I512" s="8" t="str">
        <f>IF(Tabla2[[#This Row],[precio_unitario]]&lt;=30,"Económico",IF(Tabla2[[#This Row],[precio_unitario]]&lt;=58.49,"Accesible","Caro"))</f>
        <v>Económico</v>
      </c>
      <c r="J512" t="s">
        <v>35</v>
      </c>
      <c r="K512">
        <v>1</v>
      </c>
      <c r="L512" s="19">
        <v>12.96</v>
      </c>
      <c r="M512" s="19">
        <v>9.98</v>
      </c>
      <c r="N512" s="11">
        <v>0</v>
      </c>
      <c r="O512" s="17">
        <f t="shared" si="31"/>
        <v>12.96</v>
      </c>
      <c r="P512" s="17">
        <f t="shared" si="28"/>
        <v>9.98</v>
      </c>
      <c r="Q512" s="17">
        <f t="shared" si="29"/>
        <v>2.9800000000000004</v>
      </c>
      <c r="R512" s="24">
        <f t="shared" si="30"/>
        <v>0.22993827160493829</v>
      </c>
      <c r="S512" t="s">
        <v>67</v>
      </c>
      <c r="T512" t="s">
        <v>64</v>
      </c>
    </row>
    <row r="513" spans="1:20" hidden="1">
      <c r="A513" t="s">
        <v>585</v>
      </c>
      <c r="B513" s="5">
        <v>45618</v>
      </c>
      <c r="C513" s="8">
        <f>YEAR(Tabla2[[#This Row],[fecha]])</f>
        <v>2024</v>
      </c>
      <c r="D513" s="8">
        <f>MONTH(Tabla2[[#This Row],[fecha]])</f>
        <v>11</v>
      </c>
      <c r="E513" s="8" t="str">
        <f>TEXT(Tabla2[[#This Row],[fecha]], "mmmm")</f>
        <v>noviembre</v>
      </c>
      <c r="F513" s="8" t="str">
        <f>"T"&amp;ROUNDUP(Tabla2[[#This Row],[mes]]/3,0)</f>
        <v>T4</v>
      </c>
      <c r="G513" t="s">
        <v>27</v>
      </c>
      <c r="H513" t="s">
        <v>28</v>
      </c>
      <c r="I513" s="8" t="str">
        <f>IF(Tabla2[[#This Row],[precio_unitario]]&lt;=30,"Económico",IF(Tabla2[[#This Row],[precio_unitario]]&lt;=58.49,"Accesible","Caro"))</f>
        <v>Económico</v>
      </c>
      <c r="J513" t="s">
        <v>26</v>
      </c>
      <c r="K513">
        <v>3</v>
      </c>
      <c r="L513" s="19">
        <v>16.14</v>
      </c>
      <c r="M513" s="19">
        <v>11.15</v>
      </c>
      <c r="N513" s="11">
        <v>0</v>
      </c>
      <c r="O513" s="17">
        <f t="shared" si="31"/>
        <v>48.42</v>
      </c>
      <c r="P513" s="17">
        <f t="shared" si="28"/>
        <v>33.450000000000003</v>
      </c>
      <c r="Q513" s="17">
        <f t="shared" si="29"/>
        <v>14.969999999999999</v>
      </c>
      <c r="R513" s="24">
        <f t="shared" si="30"/>
        <v>0.30916976456009909</v>
      </c>
      <c r="S513" s="10" t="s">
        <v>2377</v>
      </c>
      <c r="T513" t="s">
        <v>60</v>
      </c>
    </row>
    <row r="514" spans="1:20" hidden="1">
      <c r="A514" t="s">
        <v>586</v>
      </c>
      <c r="B514" s="5">
        <v>45645</v>
      </c>
      <c r="C514" s="8">
        <f>YEAR(Tabla2[[#This Row],[fecha]])</f>
        <v>2024</v>
      </c>
      <c r="D514" s="8">
        <f>MONTH(Tabla2[[#This Row],[fecha]])</f>
        <v>12</v>
      </c>
      <c r="E514" s="8" t="str">
        <f>TEXT(Tabla2[[#This Row],[fecha]], "mmmm")</f>
        <v>diciembre</v>
      </c>
      <c r="F514" s="8" t="str">
        <f>"T"&amp;ROUNDUP(Tabla2[[#This Row],[mes]]/3,0)</f>
        <v>T4</v>
      </c>
      <c r="G514" t="s">
        <v>22</v>
      </c>
      <c r="H514" t="s">
        <v>23</v>
      </c>
      <c r="I514" s="8" t="str">
        <f>IF(Tabla2[[#This Row],[precio_unitario]]&lt;=30,"Económico",IF(Tabla2[[#This Row],[precio_unitario]]&lt;=58.49,"Accesible","Caro"))</f>
        <v>Caro</v>
      </c>
      <c r="J514" t="s">
        <v>17</v>
      </c>
      <c r="K514">
        <v>1</v>
      </c>
      <c r="L514" s="19">
        <v>108.66</v>
      </c>
      <c r="M514" s="19">
        <v>141.26</v>
      </c>
      <c r="N514" s="11">
        <v>0</v>
      </c>
      <c r="O514" s="17">
        <f t="shared" si="31"/>
        <v>108.66</v>
      </c>
      <c r="P514" s="17">
        <f t="shared" ref="P514:P577" si="32">M514*K514</f>
        <v>141.26</v>
      </c>
      <c r="Q514" s="17">
        <f t="shared" ref="Q514:Q577" si="33">O514-P514</f>
        <v>-32.599999999999994</v>
      </c>
      <c r="R514" s="24">
        <f t="shared" ref="R514:R577" si="34">IFERROR(Q514/O514,0)</f>
        <v>-0.30001840603718016</v>
      </c>
      <c r="S514" t="s">
        <v>83</v>
      </c>
      <c r="T514" t="s">
        <v>64</v>
      </c>
    </row>
    <row r="515" spans="1:20" hidden="1">
      <c r="A515" t="s">
        <v>587</v>
      </c>
      <c r="B515" s="5">
        <v>45494</v>
      </c>
      <c r="C515" s="8">
        <f>YEAR(Tabla2[[#This Row],[fecha]])</f>
        <v>2024</v>
      </c>
      <c r="D515" s="8">
        <f>MONTH(Tabla2[[#This Row],[fecha]])</f>
        <v>7</v>
      </c>
      <c r="E515" s="8" t="str">
        <f>TEXT(Tabla2[[#This Row],[fecha]], "mmmm")</f>
        <v>julio</v>
      </c>
      <c r="F515" s="8" t="str">
        <f>"T"&amp;ROUNDUP(Tabla2[[#This Row],[mes]]/3,0)</f>
        <v>T3</v>
      </c>
      <c r="G515" t="s">
        <v>15</v>
      </c>
      <c r="H515" t="s">
        <v>16</v>
      </c>
      <c r="I515" s="8" t="str">
        <f>IF(Tabla2[[#This Row],[precio_unitario]]&lt;=30,"Económico",IF(Tabla2[[#This Row],[precio_unitario]]&lt;=58.49,"Accesible","Caro"))</f>
        <v>Accesible</v>
      </c>
      <c r="J515" t="s">
        <v>17</v>
      </c>
      <c r="K515">
        <v>1</v>
      </c>
      <c r="L515" s="19">
        <v>56.93</v>
      </c>
      <c r="M515" s="19">
        <v>39.94</v>
      </c>
      <c r="N515" s="11">
        <v>0</v>
      </c>
      <c r="O515" s="17">
        <f t="shared" ref="O515:O578" si="35">K515*L515*(1-N515)</f>
        <v>56.93</v>
      </c>
      <c r="P515" s="17">
        <f t="shared" si="32"/>
        <v>39.94</v>
      </c>
      <c r="Q515" s="17">
        <f t="shared" si="33"/>
        <v>16.990000000000002</v>
      </c>
      <c r="R515" s="24">
        <f t="shared" si="34"/>
        <v>0.29843667662041107</v>
      </c>
      <c r="S515" t="s">
        <v>540</v>
      </c>
      <c r="T515" t="s">
        <v>64</v>
      </c>
    </row>
    <row r="516" spans="1:20" hidden="1">
      <c r="A516" t="s">
        <v>588</v>
      </c>
      <c r="B516" s="5">
        <v>45858</v>
      </c>
      <c r="C516" s="8">
        <f>YEAR(Tabla2[[#This Row],[fecha]])</f>
        <v>2025</v>
      </c>
      <c r="D516" s="8">
        <f>MONTH(Tabla2[[#This Row],[fecha]])</f>
        <v>7</v>
      </c>
      <c r="E516" s="8" t="str">
        <f>TEXT(Tabla2[[#This Row],[fecha]], "mmmm")</f>
        <v>julio</v>
      </c>
      <c r="F516" s="8" t="str">
        <f>"T"&amp;ROUNDUP(Tabla2[[#This Row],[mes]]/3,0)</f>
        <v>T3</v>
      </c>
      <c r="G516" t="s">
        <v>9</v>
      </c>
      <c r="H516" t="s">
        <v>10</v>
      </c>
      <c r="I516" s="8" t="str">
        <f>IF(Tabla2[[#This Row],[precio_unitario]]&lt;=30,"Económico",IF(Tabla2[[#This Row],[precio_unitario]]&lt;=58.49,"Accesible","Caro"))</f>
        <v>Caro</v>
      </c>
      <c r="J516" t="s">
        <v>8</v>
      </c>
      <c r="K516">
        <v>3</v>
      </c>
      <c r="L516" s="19">
        <v>78.77</v>
      </c>
      <c r="M516" s="19">
        <v>45.71</v>
      </c>
      <c r="N516" s="11">
        <v>0</v>
      </c>
      <c r="O516" s="17">
        <f t="shared" si="35"/>
        <v>236.31</v>
      </c>
      <c r="P516" s="17">
        <f t="shared" si="32"/>
        <v>137.13</v>
      </c>
      <c r="Q516" s="17">
        <f t="shared" si="33"/>
        <v>99.18</v>
      </c>
      <c r="R516" s="24">
        <f t="shared" si="34"/>
        <v>0.41970293258854896</v>
      </c>
      <c r="S516" t="s">
        <v>101</v>
      </c>
      <c r="T516" t="s">
        <v>64</v>
      </c>
    </row>
    <row r="517" spans="1:20" hidden="1">
      <c r="A517" t="s">
        <v>589</v>
      </c>
      <c r="B517" s="5">
        <v>45380</v>
      </c>
      <c r="C517" s="8">
        <f>YEAR(Tabla2[[#This Row],[fecha]])</f>
        <v>2024</v>
      </c>
      <c r="D517" s="8">
        <f>MONTH(Tabla2[[#This Row],[fecha]])</f>
        <v>3</v>
      </c>
      <c r="E517" s="8" t="str">
        <f>TEXT(Tabla2[[#This Row],[fecha]], "mmmm")</f>
        <v>marzo</v>
      </c>
      <c r="F517" s="8" t="str">
        <f>"T"&amp;ROUNDUP(Tabla2[[#This Row],[mes]]/3,0)</f>
        <v>T1</v>
      </c>
      <c r="G517" t="s">
        <v>20</v>
      </c>
      <c r="H517" t="s">
        <v>21</v>
      </c>
      <c r="I517" s="8" t="str">
        <f>IF(Tabla2[[#This Row],[precio_unitario]]&lt;=30,"Económico",IF(Tabla2[[#This Row],[precio_unitario]]&lt;=58.49,"Accesible","Caro"))</f>
        <v>Económico</v>
      </c>
      <c r="J517" t="s">
        <v>17</v>
      </c>
      <c r="K517">
        <v>4</v>
      </c>
      <c r="L517" s="19">
        <v>20.83</v>
      </c>
      <c r="M517" s="19">
        <v>13.41</v>
      </c>
      <c r="N517" s="11">
        <v>0</v>
      </c>
      <c r="O517" s="17">
        <f t="shared" si="35"/>
        <v>83.32</v>
      </c>
      <c r="P517" s="17">
        <f t="shared" si="32"/>
        <v>53.64</v>
      </c>
      <c r="Q517" s="17">
        <f t="shared" si="33"/>
        <v>29.679999999999993</v>
      </c>
      <c r="R517" s="24">
        <f t="shared" si="34"/>
        <v>0.35621699471915502</v>
      </c>
      <c r="S517" t="s">
        <v>83</v>
      </c>
      <c r="T517" t="s">
        <v>64</v>
      </c>
    </row>
    <row r="518" spans="1:20" hidden="1">
      <c r="A518" t="s">
        <v>590</v>
      </c>
      <c r="B518" s="5">
        <v>45620</v>
      </c>
      <c r="C518" s="8">
        <f>YEAR(Tabla2[[#This Row],[fecha]])</f>
        <v>2024</v>
      </c>
      <c r="D518" s="8">
        <f>MONTH(Tabla2[[#This Row],[fecha]])</f>
        <v>11</v>
      </c>
      <c r="E518" s="8" t="str">
        <f>TEXT(Tabla2[[#This Row],[fecha]], "mmmm")</f>
        <v>noviembre</v>
      </c>
      <c r="F518" s="8" t="str">
        <f>"T"&amp;ROUNDUP(Tabla2[[#This Row],[mes]]/3,0)</f>
        <v>T4</v>
      </c>
      <c r="G518" t="s">
        <v>20</v>
      </c>
      <c r="H518" t="s">
        <v>21</v>
      </c>
      <c r="I518" s="8" t="str">
        <f>IF(Tabla2[[#This Row],[precio_unitario]]&lt;=30,"Económico",IF(Tabla2[[#This Row],[precio_unitario]]&lt;=58.49,"Accesible","Caro"))</f>
        <v>Económico</v>
      </c>
      <c r="J518" t="s">
        <v>17</v>
      </c>
      <c r="K518">
        <v>3</v>
      </c>
      <c r="L518" s="19">
        <v>20.39</v>
      </c>
      <c r="M518" s="19">
        <v>12.61</v>
      </c>
      <c r="N518" s="13">
        <v>0</v>
      </c>
      <c r="O518" s="17">
        <f t="shared" si="35"/>
        <v>61.17</v>
      </c>
      <c r="P518" s="17">
        <f t="shared" si="32"/>
        <v>37.83</v>
      </c>
      <c r="Q518" s="17">
        <f t="shared" si="33"/>
        <v>23.340000000000003</v>
      </c>
      <c r="R518" s="24">
        <f t="shared" si="34"/>
        <v>0.38155958803334972</v>
      </c>
      <c r="S518" t="s">
        <v>67</v>
      </c>
      <c r="T518" t="s">
        <v>60</v>
      </c>
    </row>
    <row r="519" spans="1:20" hidden="1">
      <c r="A519" t="s">
        <v>591</v>
      </c>
      <c r="B519" s="5">
        <v>46011</v>
      </c>
      <c r="C519" s="8">
        <f>YEAR(Tabla2[[#This Row],[fecha]])</f>
        <v>2025</v>
      </c>
      <c r="D519" s="8">
        <f>MONTH(Tabla2[[#This Row],[fecha]])</f>
        <v>12</v>
      </c>
      <c r="E519" s="8" t="str">
        <f>TEXT(Tabla2[[#This Row],[fecha]], "mmmm")</f>
        <v>diciembre</v>
      </c>
      <c r="F519" s="8" t="str">
        <f>"T"&amp;ROUNDUP(Tabla2[[#This Row],[mes]]/3,0)</f>
        <v>T4</v>
      </c>
      <c r="G519" t="s">
        <v>27</v>
      </c>
      <c r="H519" t="s">
        <v>28</v>
      </c>
      <c r="I519" s="8" t="str">
        <f>IF(Tabla2[[#This Row],[precio_unitario]]&lt;=30,"Económico",IF(Tabla2[[#This Row],[precio_unitario]]&lt;=58.49,"Accesible","Caro"))</f>
        <v>Económico</v>
      </c>
      <c r="J519" t="s">
        <v>26</v>
      </c>
      <c r="K519" s="10">
        <v>1</v>
      </c>
      <c r="L519" s="19">
        <v>16.059999999999999</v>
      </c>
      <c r="M519" s="19">
        <v>11.29</v>
      </c>
      <c r="N519" s="11">
        <v>0</v>
      </c>
      <c r="O519" s="17">
        <f t="shared" si="35"/>
        <v>16.059999999999999</v>
      </c>
      <c r="P519" s="17">
        <f t="shared" si="32"/>
        <v>11.29</v>
      </c>
      <c r="Q519" s="17">
        <f t="shared" si="33"/>
        <v>4.7699999999999996</v>
      </c>
      <c r="R519" s="24">
        <f t="shared" si="34"/>
        <v>0.2970112079701121</v>
      </c>
      <c r="S519" t="s">
        <v>540</v>
      </c>
      <c r="T519" t="s">
        <v>60</v>
      </c>
    </row>
    <row r="520" spans="1:20">
      <c r="A520" t="s">
        <v>592</v>
      </c>
      <c r="B520" s="5">
        <v>45766</v>
      </c>
      <c r="C520" s="8">
        <f>YEAR(Tabla2[[#This Row],[fecha]])</f>
        <v>2025</v>
      </c>
      <c r="D520" s="8">
        <f>MONTH(Tabla2[[#This Row],[fecha]])</f>
        <v>4</v>
      </c>
      <c r="E520" s="8" t="str">
        <f>TEXT(Tabla2[[#This Row],[fecha]], "mmmm")</f>
        <v>abril</v>
      </c>
      <c r="F520" s="8" t="str">
        <f>"T"&amp;ROUNDUP(Tabla2[[#This Row],[mes]]/3,0)</f>
        <v>T2</v>
      </c>
      <c r="G520" t="s">
        <v>45</v>
      </c>
      <c r="H520" t="s">
        <v>46</v>
      </c>
      <c r="I520" s="8" t="str">
        <f>IF(Tabla2[[#This Row],[precio_unitario]]&lt;=30,"Económico",IF(Tabla2[[#This Row],[precio_unitario]]&lt;=58.49,"Accesible","Caro"))</f>
        <v>Accesible</v>
      </c>
      <c r="J520" t="s">
        <v>44</v>
      </c>
      <c r="K520">
        <v>1</v>
      </c>
      <c r="L520" s="19">
        <v>31.61</v>
      </c>
      <c r="M520" s="19">
        <v>17.55</v>
      </c>
      <c r="N520" s="11">
        <v>0.22</v>
      </c>
      <c r="O520" s="17">
        <f t="shared" si="35"/>
        <v>24.655799999999999</v>
      </c>
      <c r="P520" s="17">
        <f t="shared" si="32"/>
        <v>17.55</v>
      </c>
      <c r="Q520" s="17">
        <f t="shared" si="33"/>
        <v>7.1057999999999986</v>
      </c>
      <c r="R520" s="24">
        <f t="shared" si="34"/>
        <v>0.28819993672888322</v>
      </c>
      <c r="S520" t="s">
        <v>67</v>
      </c>
      <c r="T520" t="s">
        <v>64</v>
      </c>
    </row>
    <row r="521" spans="1:20">
      <c r="A521" t="s">
        <v>593</v>
      </c>
      <c r="B521" s="5">
        <v>45845</v>
      </c>
      <c r="C521" s="8">
        <f>YEAR(Tabla2[[#This Row],[fecha]])</f>
        <v>2025</v>
      </c>
      <c r="D521" s="8">
        <f>MONTH(Tabla2[[#This Row],[fecha]])</f>
        <v>7</v>
      </c>
      <c r="E521" s="8" t="str">
        <f>TEXT(Tabla2[[#This Row],[fecha]], "mmmm")</f>
        <v>julio</v>
      </c>
      <c r="F521" s="8" t="str">
        <f>"T"&amp;ROUNDUP(Tabla2[[#This Row],[mes]]/3,0)</f>
        <v>T3</v>
      </c>
      <c r="G521" t="s">
        <v>45</v>
      </c>
      <c r="H521" t="s">
        <v>46</v>
      </c>
      <c r="I521" s="8" t="str">
        <f>IF(Tabla2[[#This Row],[precio_unitario]]&lt;=30,"Económico",IF(Tabla2[[#This Row],[precio_unitario]]&lt;=58.49,"Accesible","Caro"))</f>
        <v>Accesible</v>
      </c>
      <c r="J521" t="s">
        <v>44</v>
      </c>
      <c r="K521">
        <v>2</v>
      </c>
      <c r="L521" s="20">
        <f>INDEX(Tabla3[precio_venta_recomendado], MATCH(Tabla2[[#This Row],[id_producto]], Tabla3[id_producto], 0))</f>
        <v>30.91</v>
      </c>
      <c r="M521" s="19">
        <v>17.25</v>
      </c>
      <c r="N521" s="11">
        <v>0</v>
      </c>
      <c r="O521" s="17">
        <f t="shared" si="35"/>
        <v>61.82</v>
      </c>
      <c r="P521" s="17">
        <f t="shared" si="32"/>
        <v>34.5</v>
      </c>
      <c r="Q521" s="17">
        <f t="shared" si="33"/>
        <v>27.32</v>
      </c>
      <c r="R521" s="24">
        <f t="shared" si="34"/>
        <v>0.44192817858298283</v>
      </c>
      <c r="S521" t="s">
        <v>67</v>
      </c>
      <c r="T521" t="s">
        <v>64</v>
      </c>
    </row>
    <row r="522" spans="1:20">
      <c r="A522" t="s">
        <v>594</v>
      </c>
      <c r="B522" s="5">
        <v>45932</v>
      </c>
      <c r="C522" s="8">
        <f>YEAR(Tabla2[[#This Row],[fecha]])</f>
        <v>2025</v>
      </c>
      <c r="D522" s="8">
        <f>MONTH(Tabla2[[#This Row],[fecha]])</f>
        <v>10</v>
      </c>
      <c r="E522" s="8" t="str">
        <f>TEXT(Tabla2[[#This Row],[fecha]], "mmmm")</f>
        <v>octubre</v>
      </c>
      <c r="F522" s="8" t="str">
        <f>"T"&amp;ROUNDUP(Tabla2[[#This Row],[mes]]/3,0)</f>
        <v>T4</v>
      </c>
      <c r="G522" t="s">
        <v>36</v>
      </c>
      <c r="H522" t="s">
        <v>37</v>
      </c>
      <c r="I522" s="8" t="str">
        <f>IF(Tabla2[[#This Row],[precio_unitario]]&lt;=30,"Económico",IF(Tabla2[[#This Row],[precio_unitario]]&lt;=58.49,"Accesible","Caro"))</f>
        <v>Económico</v>
      </c>
      <c r="J522" t="s">
        <v>35</v>
      </c>
      <c r="K522">
        <v>1</v>
      </c>
      <c r="L522" s="19">
        <v>13.94</v>
      </c>
      <c r="M522" s="19">
        <v>9.94</v>
      </c>
      <c r="N522" s="11">
        <v>0</v>
      </c>
      <c r="O522" s="17">
        <f t="shared" si="35"/>
        <v>13.94</v>
      </c>
      <c r="P522" s="17">
        <f t="shared" si="32"/>
        <v>9.94</v>
      </c>
      <c r="Q522" s="17">
        <f t="shared" si="33"/>
        <v>4</v>
      </c>
      <c r="R522" s="24">
        <f t="shared" si="34"/>
        <v>0.28694404591104733</v>
      </c>
      <c r="S522" t="s">
        <v>67</v>
      </c>
      <c r="T522" t="s">
        <v>60</v>
      </c>
    </row>
    <row r="523" spans="1:20" hidden="1">
      <c r="A523" t="s">
        <v>595</v>
      </c>
      <c r="B523" s="5">
        <v>45335</v>
      </c>
      <c r="C523" s="8">
        <f>YEAR(Tabla2[[#This Row],[fecha]])</f>
        <v>2024</v>
      </c>
      <c r="D523" s="8">
        <f>MONTH(Tabla2[[#This Row],[fecha]])</f>
        <v>2</v>
      </c>
      <c r="E523" s="8" t="str">
        <f>TEXT(Tabla2[[#This Row],[fecha]], "mmmm")</f>
        <v>febrero</v>
      </c>
      <c r="F523" s="8" t="str">
        <f>"T"&amp;ROUNDUP(Tabla2[[#This Row],[mes]]/3,0)</f>
        <v>T1</v>
      </c>
      <c r="G523" t="s">
        <v>18</v>
      </c>
      <c r="H523" t="s">
        <v>19</v>
      </c>
      <c r="I523" s="8" t="str">
        <f>IF(Tabla2[[#This Row],[precio_unitario]]&lt;=30,"Económico",IF(Tabla2[[#This Row],[precio_unitario]]&lt;=58.49,"Accesible","Caro"))</f>
        <v>Accesible</v>
      </c>
      <c r="J523" t="s">
        <v>17</v>
      </c>
      <c r="K523">
        <v>4</v>
      </c>
      <c r="L523" s="19">
        <v>43.18</v>
      </c>
      <c r="M523" s="19">
        <v>27.08</v>
      </c>
      <c r="N523" s="11">
        <v>0</v>
      </c>
      <c r="O523" s="17">
        <f t="shared" si="35"/>
        <v>172.72</v>
      </c>
      <c r="P523" s="17">
        <f t="shared" si="32"/>
        <v>108.32</v>
      </c>
      <c r="Q523" s="17">
        <f t="shared" si="33"/>
        <v>64.400000000000006</v>
      </c>
      <c r="R523" s="24">
        <f t="shared" si="34"/>
        <v>0.37285780453913853</v>
      </c>
      <c r="S523" t="s">
        <v>540</v>
      </c>
      <c r="T523" t="s">
        <v>60</v>
      </c>
    </row>
    <row r="524" spans="1:20" hidden="1">
      <c r="A524" t="s">
        <v>596</v>
      </c>
      <c r="B524" s="5">
        <v>45911</v>
      </c>
      <c r="C524" s="8">
        <f>YEAR(Tabla2[[#This Row],[fecha]])</f>
        <v>2025</v>
      </c>
      <c r="D524" s="8">
        <f>MONTH(Tabla2[[#This Row],[fecha]])</f>
        <v>9</v>
      </c>
      <c r="E524" s="8" t="str">
        <f>TEXT(Tabla2[[#This Row],[fecha]], "mmmm")</f>
        <v>septiembre</v>
      </c>
      <c r="F524" s="8" t="str">
        <f>"T"&amp;ROUNDUP(Tabla2[[#This Row],[mes]]/3,0)</f>
        <v>T3</v>
      </c>
      <c r="G524" t="s">
        <v>9</v>
      </c>
      <c r="H524" t="s">
        <v>10</v>
      </c>
      <c r="I524" s="8" t="str">
        <f>IF(Tabla2[[#This Row],[precio_unitario]]&lt;=30,"Económico",IF(Tabla2[[#This Row],[precio_unitario]]&lt;=58.49,"Accesible","Caro"))</f>
        <v>Caro</v>
      </c>
      <c r="J524" t="s">
        <v>8</v>
      </c>
      <c r="K524">
        <v>2</v>
      </c>
      <c r="L524" s="19">
        <v>76.5</v>
      </c>
      <c r="M524" s="19">
        <v>48.68</v>
      </c>
      <c r="N524" s="11">
        <v>0</v>
      </c>
      <c r="O524" s="17">
        <f t="shared" si="35"/>
        <v>153</v>
      </c>
      <c r="P524" s="17">
        <f t="shared" si="32"/>
        <v>97.36</v>
      </c>
      <c r="Q524" s="17">
        <f t="shared" si="33"/>
        <v>55.64</v>
      </c>
      <c r="R524" s="24">
        <f t="shared" si="34"/>
        <v>0.36366013071895426</v>
      </c>
      <c r="S524" t="s">
        <v>63</v>
      </c>
      <c r="T524" t="s">
        <v>64</v>
      </c>
    </row>
    <row r="525" spans="1:20" hidden="1">
      <c r="A525" t="s">
        <v>597</v>
      </c>
      <c r="B525" s="5">
        <v>45663</v>
      </c>
      <c r="C525" s="8">
        <f>YEAR(Tabla2[[#This Row],[fecha]])</f>
        <v>2025</v>
      </c>
      <c r="D525" s="8">
        <f>MONTH(Tabla2[[#This Row],[fecha]])</f>
        <v>1</v>
      </c>
      <c r="E525" s="8" t="str">
        <f>TEXT(Tabla2[[#This Row],[fecha]], "mmmm")</f>
        <v>enero</v>
      </c>
      <c r="F525" s="8" t="str">
        <f>"T"&amp;ROUNDUP(Tabla2[[#This Row],[mes]]/3,0)</f>
        <v>T1</v>
      </c>
      <c r="G525" t="s">
        <v>15</v>
      </c>
      <c r="H525" t="s">
        <v>16</v>
      </c>
      <c r="I525" s="8" t="str">
        <f>IF(Tabla2[[#This Row],[precio_unitario]]&lt;=30,"Económico",IF(Tabla2[[#This Row],[precio_unitario]]&lt;=58.49,"Accesible","Caro"))</f>
        <v>Caro</v>
      </c>
      <c r="J525" t="s">
        <v>17</v>
      </c>
      <c r="K525">
        <v>2</v>
      </c>
      <c r="L525" s="19">
        <v>63.54</v>
      </c>
      <c r="M525" s="19">
        <v>39.25</v>
      </c>
      <c r="N525" s="13">
        <v>0</v>
      </c>
      <c r="O525" s="17">
        <f t="shared" si="35"/>
        <v>127.08</v>
      </c>
      <c r="P525" s="17">
        <f t="shared" si="32"/>
        <v>78.5</v>
      </c>
      <c r="Q525" s="17">
        <f t="shared" si="33"/>
        <v>48.58</v>
      </c>
      <c r="R525" s="24">
        <f t="shared" si="34"/>
        <v>0.38227887944601824</v>
      </c>
      <c r="S525" t="s">
        <v>540</v>
      </c>
      <c r="T525" t="s">
        <v>60</v>
      </c>
    </row>
    <row r="526" spans="1:20" hidden="1">
      <c r="A526" t="s">
        <v>598</v>
      </c>
      <c r="B526" s="5">
        <v>45314</v>
      </c>
      <c r="C526" s="8">
        <f>YEAR(Tabla2[[#This Row],[fecha]])</f>
        <v>2024</v>
      </c>
      <c r="D526" s="8">
        <f>MONTH(Tabla2[[#This Row],[fecha]])</f>
        <v>1</v>
      </c>
      <c r="E526" s="8" t="str">
        <f>TEXT(Tabla2[[#This Row],[fecha]], "mmmm")</f>
        <v>enero</v>
      </c>
      <c r="F526" s="8" t="str">
        <f>"T"&amp;ROUNDUP(Tabla2[[#This Row],[mes]]/3,0)</f>
        <v>T1</v>
      </c>
      <c r="G526" t="s">
        <v>42</v>
      </c>
      <c r="H526" t="s">
        <v>43</v>
      </c>
      <c r="I526" s="8" t="str">
        <f>IF(Tabla2[[#This Row],[precio_unitario]]&lt;=30,"Económico",IF(Tabla2[[#This Row],[precio_unitario]]&lt;=58.49,"Accesible","Caro"))</f>
        <v>Accesible</v>
      </c>
      <c r="J526" t="s">
        <v>44</v>
      </c>
      <c r="K526">
        <v>7</v>
      </c>
      <c r="L526" s="19">
        <v>49.59</v>
      </c>
      <c r="M526" s="19">
        <v>22.72</v>
      </c>
      <c r="N526" s="11">
        <v>0.16</v>
      </c>
      <c r="O526" s="17">
        <f t="shared" si="35"/>
        <v>291.58920000000001</v>
      </c>
      <c r="P526" s="17">
        <f t="shared" si="32"/>
        <v>159.04</v>
      </c>
      <c r="Q526" s="17">
        <f t="shared" si="33"/>
        <v>132.54920000000001</v>
      </c>
      <c r="R526" s="24">
        <f t="shared" si="34"/>
        <v>0.45457513515589743</v>
      </c>
      <c r="S526" t="s">
        <v>67</v>
      </c>
      <c r="T526" t="s">
        <v>60</v>
      </c>
    </row>
    <row r="527" spans="1:20">
      <c r="A527" t="s">
        <v>599</v>
      </c>
      <c r="B527" s="5">
        <v>45719</v>
      </c>
      <c r="C527" s="8">
        <f>YEAR(Tabla2[[#This Row],[fecha]])</f>
        <v>2025</v>
      </c>
      <c r="D527" s="8">
        <f>MONTH(Tabla2[[#This Row],[fecha]])</f>
        <v>3</v>
      </c>
      <c r="E527" s="8" t="str">
        <f>TEXT(Tabla2[[#This Row],[fecha]], "mmmm")</f>
        <v>marzo</v>
      </c>
      <c r="F527" s="8" t="str">
        <f>"T"&amp;ROUNDUP(Tabla2[[#This Row],[mes]]/3,0)</f>
        <v>T1</v>
      </c>
      <c r="G527" t="s">
        <v>27</v>
      </c>
      <c r="H527" t="s">
        <v>28</v>
      </c>
      <c r="I527" s="8" t="str">
        <f>IF(Tabla2[[#This Row],[precio_unitario]]&lt;=30,"Económico",IF(Tabla2[[#This Row],[precio_unitario]]&lt;=58.49,"Accesible","Caro"))</f>
        <v>Económico</v>
      </c>
      <c r="J527" t="s">
        <v>26</v>
      </c>
      <c r="K527">
        <v>6</v>
      </c>
      <c r="L527" s="19">
        <v>17.57</v>
      </c>
      <c r="M527" s="19">
        <v>11.55</v>
      </c>
      <c r="N527" s="11">
        <v>0</v>
      </c>
      <c r="O527" s="17">
        <f t="shared" si="35"/>
        <v>105.42</v>
      </c>
      <c r="P527" s="17">
        <f t="shared" si="32"/>
        <v>69.300000000000011</v>
      </c>
      <c r="Q527" s="17">
        <f t="shared" si="33"/>
        <v>36.11999999999999</v>
      </c>
      <c r="R527" s="24">
        <f t="shared" si="34"/>
        <v>0.34262948207171307</v>
      </c>
      <c r="S527" t="s">
        <v>67</v>
      </c>
      <c r="T527" t="s">
        <v>64</v>
      </c>
    </row>
    <row r="528" spans="1:20" hidden="1">
      <c r="A528" t="s">
        <v>600</v>
      </c>
      <c r="B528" s="5">
        <v>45863</v>
      </c>
      <c r="C528" s="8">
        <f>YEAR(Tabla2[[#This Row],[fecha]])</f>
        <v>2025</v>
      </c>
      <c r="D528" s="8">
        <f>MONTH(Tabla2[[#This Row],[fecha]])</f>
        <v>7</v>
      </c>
      <c r="E528" s="8" t="str">
        <f>TEXT(Tabla2[[#This Row],[fecha]], "mmmm")</f>
        <v>julio</v>
      </c>
      <c r="F528" s="8" t="str">
        <f>"T"&amp;ROUNDUP(Tabla2[[#This Row],[mes]]/3,0)</f>
        <v>T3</v>
      </c>
      <c r="G528" t="s">
        <v>6</v>
      </c>
      <c r="H528" t="s">
        <v>7</v>
      </c>
      <c r="I528" s="8" t="str">
        <f>IF(Tabla2[[#This Row],[precio_unitario]]&lt;=30,"Económico",IF(Tabla2[[#This Row],[precio_unitario]]&lt;=58.49,"Accesible","Caro"))</f>
        <v>Caro</v>
      </c>
      <c r="J528" t="s">
        <v>8</v>
      </c>
      <c r="K528">
        <v>1</v>
      </c>
      <c r="L528" s="19">
        <v>112.59</v>
      </c>
      <c r="M528" s="19">
        <v>85.7</v>
      </c>
      <c r="N528" s="11">
        <v>0</v>
      </c>
      <c r="O528" s="17">
        <f t="shared" si="35"/>
        <v>112.59</v>
      </c>
      <c r="P528" s="17">
        <f t="shared" si="32"/>
        <v>85.7</v>
      </c>
      <c r="Q528" s="17">
        <f t="shared" si="33"/>
        <v>26.89</v>
      </c>
      <c r="R528" s="24">
        <f t="shared" si="34"/>
        <v>0.2388311572963851</v>
      </c>
      <c r="S528" t="s">
        <v>83</v>
      </c>
      <c r="T528" t="s">
        <v>64</v>
      </c>
    </row>
    <row r="529" spans="1:20" hidden="1">
      <c r="A529" t="s">
        <v>601</v>
      </c>
      <c r="B529" s="5">
        <v>45626</v>
      </c>
      <c r="C529" s="8">
        <f>YEAR(Tabla2[[#This Row],[fecha]])</f>
        <v>2024</v>
      </c>
      <c r="D529" s="8">
        <f>MONTH(Tabla2[[#This Row],[fecha]])</f>
        <v>11</v>
      </c>
      <c r="E529" s="8" t="str">
        <f>TEXT(Tabla2[[#This Row],[fecha]], "mmmm")</f>
        <v>noviembre</v>
      </c>
      <c r="F529" s="8" t="str">
        <f>"T"&amp;ROUNDUP(Tabla2[[#This Row],[mes]]/3,0)</f>
        <v>T4</v>
      </c>
      <c r="G529" t="s">
        <v>22</v>
      </c>
      <c r="H529" t="s">
        <v>23</v>
      </c>
      <c r="I529" s="8" t="str">
        <f>IF(Tabla2[[#This Row],[precio_unitario]]&lt;=30,"Económico",IF(Tabla2[[#This Row],[precio_unitario]]&lt;=58.49,"Accesible","Caro"))</f>
        <v>Caro</v>
      </c>
      <c r="J529" t="s">
        <v>17</v>
      </c>
      <c r="K529">
        <v>4</v>
      </c>
      <c r="L529" s="19">
        <v>99.05</v>
      </c>
      <c r="M529" s="19">
        <v>59.05</v>
      </c>
      <c r="N529" s="11">
        <v>0</v>
      </c>
      <c r="O529" s="17">
        <f t="shared" si="35"/>
        <v>396.2</v>
      </c>
      <c r="P529" s="17">
        <f t="shared" si="32"/>
        <v>236.2</v>
      </c>
      <c r="Q529" s="17">
        <f t="shared" si="33"/>
        <v>160</v>
      </c>
      <c r="R529" s="24">
        <f t="shared" si="34"/>
        <v>0.40383644623927312</v>
      </c>
      <c r="S529" t="s">
        <v>67</v>
      </c>
      <c r="T529" t="s">
        <v>64</v>
      </c>
    </row>
    <row r="530" spans="1:20" hidden="1">
      <c r="A530" t="s">
        <v>602</v>
      </c>
      <c r="B530" s="5">
        <v>45551</v>
      </c>
      <c r="C530" s="8">
        <f>YEAR(Tabla2[[#This Row],[fecha]])</f>
        <v>2024</v>
      </c>
      <c r="D530" s="8">
        <f>MONTH(Tabla2[[#This Row],[fecha]])</f>
        <v>9</v>
      </c>
      <c r="E530" s="8" t="str">
        <f>TEXT(Tabla2[[#This Row],[fecha]], "mmmm")</f>
        <v>septiembre</v>
      </c>
      <c r="F530" s="8" t="str">
        <f>"T"&amp;ROUNDUP(Tabla2[[#This Row],[mes]]/3,0)</f>
        <v>T3</v>
      </c>
      <c r="G530" t="s">
        <v>15</v>
      </c>
      <c r="H530" t="s">
        <v>16</v>
      </c>
      <c r="I530" s="8" t="str">
        <f>IF(Tabla2[[#This Row],[precio_unitario]]&lt;=30,"Económico",IF(Tabla2[[#This Row],[precio_unitario]]&lt;=58.49,"Accesible","Caro"))</f>
        <v>Caro</v>
      </c>
      <c r="J530" t="s">
        <v>17</v>
      </c>
      <c r="K530">
        <v>1</v>
      </c>
      <c r="L530" s="19">
        <v>60.61</v>
      </c>
      <c r="M530" s="19">
        <v>42.19</v>
      </c>
      <c r="N530" s="11">
        <v>0</v>
      </c>
      <c r="O530" s="17">
        <f t="shared" si="35"/>
        <v>60.61</v>
      </c>
      <c r="P530" s="17">
        <f t="shared" si="32"/>
        <v>42.19</v>
      </c>
      <c r="Q530" s="17">
        <f t="shared" si="33"/>
        <v>18.420000000000002</v>
      </c>
      <c r="R530" s="24">
        <f t="shared" si="34"/>
        <v>0.30391024583402082</v>
      </c>
      <c r="S530" t="s">
        <v>67</v>
      </c>
      <c r="T530" t="s">
        <v>60</v>
      </c>
    </row>
    <row r="531" spans="1:20" hidden="1">
      <c r="A531" t="s">
        <v>603</v>
      </c>
      <c r="B531" s="5">
        <v>45571</v>
      </c>
      <c r="C531" s="8">
        <f>YEAR(Tabla2[[#This Row],[fecha]])</f>
        <v>2024</v>
      </c>
      <c r="D531" s="8">
        <f>MONTH(Tabla2[[#This Row],[fecha]])</f>
        <v>10</v>
      </c>
      <c r="E531" s="8" t="str">
        <f>TEXT(Tabla2[[#This Row],[fecha]], "mmmm")</f>
        <v>octubre</v>
      </c>
      <c r="F531" s="8" t="str">
        <f>"T"&amp;ROUNDUP(Tabla2[[#This Row],[mes]]/3,0)</f>
        <v>T4</v>
      </c>
      <c r="G531" t="s">
        <v>18</v>
      </c>
      <c r="H531" t="s">
        <v>19</v>
      </c>
      <c r="I531" s="8" t="str">
        <f>IF(Tabla2[[#This Row],[precio_unitario]]&lt;=30,"Económico",IF(Tabla2[[#This Row],[precio_unitario]]&lt;=58.49,"Accesible","Caro"))</f>
        <v>Accesible</v>
      </c>
      <c r="J531" t="s">
        <v>17</v>
      </c>
      <c r="K531">
        <v>10</v>
      </c>
      <c r="L531" s="19">
        <v>46.08</v>
      </c>
      <c r="M531" s="21">
        <f>INDEX(Tabla3[coste_objetivo], MATCH(Tabla2[[#This Row],[id_producto]], Tabla3[id_producto],0))</f>
        <v>26.63</v>
      </c>
      <c r="N531" s="11">
        <v>0</v>
      </c>
      <c r="O531" s="17">
        <f t="shared" si="35"/>
        <v>460.79999999999995</v>
      </c>
      <c r="P531" s="17">
        <f t="shared" si="32"/>
        <v>266.3</v>
      </c>
      <c r="Q531" s="17">
        <f t="shared" si="33"/>
        <v>194.49999999999994</v>
      </c>
      <c r="R531" s="24">
        <f t="shared" si="34"/>
        <v>0.42209201388888878</v>
      </c>
      <c r="S531" t="s">
        <v>540</v>
      </c>
      <c r="T531" t="s">
        <v>64</v>
      </c>
    </row>
    <row r="532" spans="1:20">
      <c r="A532" t="s">
        <v>604</v>
      </c>
      <c r="B532" s="5">
        <v>45792</v>
      </c>
      <c r="C532" s="8">
        <f>YEAR(Tabla2[[#This Row],[fecha]])</f>
        <v>2025</v>
      </c>
      <c r="D532" s="8">
        <f>MONTH(Tabla2[[#This Row],[fecha]])</f>
        <v>5</v>
      </c>
      <c r="E532" s="8" t="str">
        <f>TEXT(Tabla2[[#This Row],[fecha]], "mmmm")</f>
        <v>mayo</v>
      </c>
      <c r="F532" s="8" t="str">
        <f>"T"&amp;ROUNDUP(Tabla2[[#This Row],[mes]]/3,0)</f>
        <v>T2</v>
      </c>
      <c r="G532" t="s">
        <v>47</v>
      </c>
      <c r="H532" t="s">
        <v>48</v>
      </c>
      <c r="I532" s="8" t="str">
        <f>IF(Tabla2[[#This Row],[precio_unitario]]&lt;=30,"Económico",IF(Tabla2[[#This Row],[precio_unitario]]&lt;=58.49,"Accesible","Caro"))</f>
        <v>Accesible</v>
      </c>
      <c r="J532" t="s">
        <v>44</v>
      </c>
      <c r="K532">
        <v>2</v>
      </c>
      <c r="L532" s="19">
        <v>55.28</v>
      </c>
      <c r="M532" s="19">
        <v>32.71</v>
      </c>
      <c r="N532" s="11">
        <v>0</v>
      </c>
      <c r="O532" s="17">
        <f t="shared" si="35"/>
        <v>110.56</v>
      </c>
      <c r="P532" s="17">
        <f t="shared" si="32"/>
        <v>65.42</v>
      </c>
      <c r="Q532" s="17">
        <f t="shared" si="33"/>
        <v>45.14</v>
      </c>
      <c r="R532" s="24">
        <f t="shared" si="34"/>
        <v>0.40828509406657021</v>
      </c>
      <c r="S532" t="s">
        <v>67</v>
      </c>
      <c r="T532" t="s">
        <v>60</v>
      </c>
    </row>
    <row r="533" spans="1:20" hidden="1">
      <c r="A533" t="s">
        <v>605</v>
      </c>
      <c r="B533" s="5">
        <v>45377</v>
      </c>
      <c r="C533" s="8">
        <f>YEAR(Tabla2[[#This Row],[fecha]])</f>
        <v>2024</v>
      </c>
      <c r="D533" s="8">
        <f>MONTH(Tabla2[[#This Row],[fecha]])</f>
        <v>3</v>
      </c>
      <c r="E533" s="8" t="str">
        <f>TEXT(Tabla2[[#This Row],[fecha]], "mmmm")</f>
        <v>marzo</v>
      </c>
      <c r="F533" s="8" t="str">
        <f>"T"&amp;ROUNDUP(Tabla2[[#This Row],[mes]]/3,0)</f>
        <v>T1</v>
      </c>
      <c r="G533" t="s">
        <v>42</v>
      </c>
      <c r="H533" t="s">
        <v>43</v>
      </c>
      <c r="I533" s="8" t="str">
        <f>IF(Tabla2[[#This Row],[precio_unitario]]&lt;=30,"Económico",IF(Tabla2[[#This Row],[precio_unitario]]&lt;=58.49,"Accesible","Caro"))</f>
        <v>Accesible</v>
      </c>
      <c r="J533" t="s">
        <v>44</v>
      </c>
      <c r="K533">
        <v>1</v>
      </c>
      <c r="L533" s="19">
        <v>52.51</v>
      </c>
      <c r="M533" s="19">
        <v>23.46</v>
      </c>
      <c r="N533" s="11">
        <v>0</v>
      </c>
      <c r="O533" s="17">
        <f t="shared" si="35"/>
        <v>52.51</v>
      </c>
      <c r="P533" s="17">
        <f t="shared" si="32"/>
        <v>23.46</v>
      </c>
      <c r="Q533" s="17">
        <f t="shared" si="33"/>
        <v>29.049999999999997</v>
      </c>
      <c r="R533" s="24">
        <f t="shared" si="34"/>
        <v>0.55322795657969903</v>
      </c>
      <c r="S533" t="s">
        <v>67</v>
      </c>
      <c r="T533" t="s">
        <v>64</v>
      </c>
    </row>
    <row r="534" spans="1:20" hidden="1">
      <c r="A534" t="s">
        <v>606</v>
      </c>
      <c r="B534" s="5">
        <v>45785</v>
      </c>
      <c r="C534" s="8">
        <f>YEAR(Tabla2[[#This Row],[fecha]])</f>
        <v>2025</v>
      </c>
      <c r="D534" s="8">
        <f>MONTH(Tabla2[[#This Row],[fecha]])</f>
        <v>5</v>
      </c>
      <c r="E534" s="8" t="str">
        <f>TEXT(Tabla2[[#This Row],[fecha]], "mmmm")</f>
        <v>mayo</v>
      </c>
      <c r="F534" s="8" t="str">
        <f>"T"&amp;ROUNDUP(Tabla2[[#This Row],[mes]]/3,0)</f>
        <v>T2</v>
      </c>
      <c r="G534" t="s">
        <v>20</v>
      </c>
      <c r="H534" t="s">
        <v>21</v>
      </c>
      <c r="I534" s="8" t="str">
        <f>IF(Tabla2[[#This Row],[precio_unitario]]&lt;=30,"Económico",IF(Tabla2[[#This Row],[precio_unitario]]&lt;=58.49,"Accesible","Caro"))</f>
        <v>Económico</v>
      </c>
      <c r="J534" t="s">
        <v>17</v>
      </c>
      <c r="K534">
        <v>2</v>
      </c>
      <c r="L534" s="19">
        <v>19.84</v>
      </c>
      <c r="M534" s="21">
        <f>INDEX(Tabla3[coste_objetivo], MATCH(Tabla2[[#This Row],[id_producto]], Tabla3[id_producto],0))</f>
        <v>12.9</v>
      </c>
      <c r="N534" s="11">
        <v>0</v>
      </c>
      <c r="O534" s="17">
        <f t="shared" si="35"/>
        <v>39.68</v>
      </c>
      <c r="P534" s="17">
        <f t="shared" si="32"/>
        <v>25.8</v>
      </c>
      <c r="Q534" s="17">
        <f t="shared" si="33"/>
        <v>13.879999999999999</v>
      </c>
      <c r="R534" s="24">
        <f t="shared" si="34"/>
        <v>0.34979838709677419</v>
      </c>
      <c r="S534" t="s">
        <v>83</v>
      </c>
      <c r="T534" t="s">
        <v>60</v>
      </c>
    </row>
    <row r="535" spans="1:20">
      <c r="A535" t="s">
        <v>607</v>
      </c>
      <c r="B535" s="5">
        <v>45662</v>
      </c>
      <c r="C535" s="8">
        <f>YEAR(Tabla2[[#This Row],[fecha]])</f>
        <v>2025</v>
      </c>
      <c r="D535" s="8">
        <f>MONTH(Tabla2[[#This Row],[fecha]])</f>
        <v>1</v>
      </c>
      <c r="E535" s="8" t="str">
        <f>TEXT(Tabla2[[#This Row],[fecha]], "mmmm")</f>
        <v>enero</v>
      </c>
      <c r="F535" s="8" t="str">
        <f>"T"&amp;ROUNDUP(Tabla2[[#This Row],[mes]]/3,0)</f>
        <v>T1</v>
      </c>
      <c r="G535" t="s">
        <v>36</v>
      </c>
      <c r="H535" t="s">
        <v>37</v>
      </c>
      <c r="I535" s="8" t="str">
        <f>IF(Tabla2[[#This Row],[precio_unitario]]&lt;=30,"Económico",IF(Tabla2[[#This Row],[precio_unitario]]&lt;=58.49,"Accesible","Caro"))</f>
        <v>Económico</v>
      </c>
      <c r="J535" t="s">
        <v>35</v>
      </c>
      <c r="K535">
        <v>3</v>
      </c>
      <c r="L535" s="19">
        <v>14.17</v>
      </c>
      <c r="M535" s="19">
        <v>9.64</v>
      </c>
      <c r="N535" s="11">
        <v>0</v>
      </c>
      <c r="O535" s="17">
        <f t="shared" si="35"/>
        <v>42.51</v>
      </c>
      <c r="P535" s="17">
        <f t="shared" si="32"/>
        <v>28.92</v>
      </c>
      <c r="Q535" s="17">
        <f t="shared" si="33"/>
        <v>13.589999999999996</v>
      </c>
      <c r="R535" s="24">
        <f t="shared" si="34"/>
        <v>0.31968948482709941</v>
      </c>
      <c r="S535" t="s">
        <v>67</v>
      </c>
      <c r="T535" t="s">
        <v>64</v>
      </c>
    </row>
    <row r="536" spans="1:20" hidden="1">
      <c r="A536" t="s">
        <v>608</v>
      </c>
      <c r="B536" s="5">
        <v>45633</v>
      </c>
      <c r="C536" s="8">
        <f>YEAR(Tabla2[[#This Row],[fecha]])</f>
        <v>2024</v>
      </c>
      <c r="D536" s="8">
        <f>MONTH(Tabla2[[#This Row],[fecha]])</f>
        <v>12</v>
      </c>
      <c r="E536" s="8" t="str">
        <f>TEXT(Tabla2[[#This Row],[fecha]], "mmmm")</f>
        <v>diciembre</v>
      </c>
      <c r="F536" s="8" t="str">
        <f>"T"&amp;ROUNDUP(Tabla2[[#This Row],[mes]]/3,0)</f>
        <v>T4</v>
      </c>
      <c r="G536" t="s">
        <v>13</v>
      </c>
      <c r="H536" t="s">
        <v>14</v>
      </c>
      <c r="I536" s="8" t="str">
        <f>IF(Tabla2[[#This Row],[precio_unitario]]&lt;=30,"Económico",IF(Tabla2[[#This Row],[precio_unitario]]&lt;=58.49,"Accesible","Caro"))</f>
        <v>Caro</v>
      </c>
      <c r="J536" t="s">
        <v>8</v>
      </c>
      <c r="K536">
        <v>3</v>
      </c>
      <c r="L536" s="19">
        <v>171.24</v>
      </c>
      <c r="M536" s="19">
        <v>105.86</v>
      </c>
      <c r="N536" s="11">
        <v>0</v>
      </c>
      <c r="O536" s="17">
        <f t="shared" si="35"/>
        <v>513.72</v>
      </c>
      <c r="P536" s="17">
        <f t="shared" si="32"/>
        <v>317.58</v>
      </c>
      <c r="Q536" s="17">
        <f t="shared" si="33"/>
        <v>196.14000000000004</v>
      </c>
      <c r="R536" s="24">
        <f t="shared" si="34"/>
        <v>0.38180331698201359</v>
      </c>
      <c r="S536" t="s">
        <v>83</v>
      </c>
      <c r="T536" t="s">
        <v>64</v>
      </c>
    </row>
    <row r="537" spans="1:20" hidden="1">
      <c r="A537" t="s">
        <v>609</v>
      </c>
      <c r="B537" s="5">
        <v>45941</v>
      </c>
      <c r="C537" s="8">
        <f>YEAR(Tabla2[[#This Row],[fecha]])</f>
        <v>2025</v>
      </c>
      <c r="D537" s="8">
        <f>MONTH(Tabla2[[#This Row],[fecha]])</f>
        <v>10</v>
      </c>
      <c r="E537" s="8" t="str">
        <f>TEXT(Tabla2[[#This Row],[fecha]], "mmmm")</f>
        <v>octubre</v>
      </c>
      <c r="F537" s="8" t="str">
        <f>"T"&amp;ROUNDUP(Tabla2[[#This Row],[mes]]/3,0)</f>
        <v>T4</v>
      </c>
      <c r="G537" t="s">
        <v>9</v>
      </c>
      <c r="H537" t="s">
        <v>10</v>
      </c>
      <c r="I537" s="8" t="str">
        <f>IF(Tabla2[[#This Row],[precio_unitario]]&lt;=30,"Económico",IF(Tabla2[[#This Row],[precio_unitario]]&lt;=58.49,"Accesible","Caro"))</f>
        <v>Caro</v>
      </c>
      <c r="J537" t="s">
        <v>8</v>
      </c>
      <c r="K537">
        <v>3</v>
      </c>
      <c r="L537" s="19">
        <v>70.5</v>
      </c>
      <c r="M537" s="19">
        <v>45.79</v>
      </c>
      <c r="N537" s="13">
        <v>0</v>
      </c>
      <c r="O537" s="17">
        <f t="shared" si="35"/>
        <v>211.5</v>
      </c>
      <c r="P537" s="17">
        <f t="shared" si="32"/>
        <v>137.37</v>
      </c>
      <c r="Q537" s="17">
        <f t="shared" si="33"/>
        <v>74.13</v>
      </c>
      <c r="R537" s="24">
        <f t="shared" si="34"/>
        <v>0.35049645390070922</v>
      </c>
      <c r="S537" t="s">
        <v>83</v>
      </c>
      <c r="T537" t="s">
        <v>60</v>
      </c>
    </row>
    <row r="538" spans="1:20" hidden="1">
      <c r="A538" t="s">
        <v>610</v>
      </c>
      <c r="B538" s="5">
        <v>45806</v>
      </c>
      <c r="C538" s="8">
        <f>YEAR(Tabla2[[#This Row],[fecha]])</f>
        <v>2025</v>
      </c>
      <c r="D538" s="8">
        <f>MONTH(Tabla2[[#This Row],[fecha]])</f>
        <v>5</v>
      </c>
      <c r="E538" s="8" t="str">
        <f>TEXT(Tabla2[[#This Row],[fecha]], "mmmm")</f>
        <v>mayo</v>
      </c>
      <c r="F538" s="8" t="str">
        <f>"T"&amp;ROUNDUP(Tabla2[[#This Row],[mes]]/3,0)</f>
        <v>T2</v>
      </c>
      <c r="G538" t="s">
        <v>29</v>
      </c>
      <c r="H538" t="s">
        <v>30</v>
      </c>
      <c r="I538" s="8" t="str">
        <f>IF(Tabla2[[#This Row],[precio_unitario]]&lt;=30,"Económico",IF(Tabla2[[#This Row],[precio_unitario]]&lt;=58.49,"Accesible","Caro"))</f>
        <v>Económico</v>
      </c>
      <c r="J538" t="s">
        <v>26</v>
      </c>
      <c r="K538">
        <v>2</v>
      </c>
      <c r="L538" s="19">
        <v>21.34</v>
      </c>
      <c r="M538" s="19">
        <v>11.88</v>
      </c>
      <c r="N538" s="13">
        <v>0</v>
      </c>
      <c r="O538" s="17">
        <f t="shared" si="35"/>
        <v>42.68</v>
      </c>
      <c r="P538" s="17">
        <f t="shared" si="32"/>
        <v>23.76</v>
      </c>
      <c r="Q538" s="17">
        <f t="shared" si="33"/>
        <v>18.919999999999998</v>
      </c>
      <c r="R538" s="24">
        <f t="shared" si="34"/>
        <v>0.44329896907216493</v>
      </c>
      <c r="S538" t="s">
        <v>540</v>
      </c>
      <c r="T538" t="s">
        <v>60</v>
      </c>
    </row>
    <row r="539" spans="1:20">
      <c r="A539" t="s">
        <v>611</v>
      </c>
      <c r="B539" s="5">
        <v>45900</v>
      </c>
      <c r="C539" s="8">
        <f>YEAR(Tabla2[[#This Row],[fecha]])</f>
        <v>2025</v>
      </c>
      <c r="D539" s="8">
        <f>MONTH(Tabla2[[#This Row],[fecha]])</f>
        <v>8</v>
      </c>
      <c r="E539" s="8" t="str">
        <f>TEXT(Tabla2[[#This Row],[fecha]], "mmmm")</f>
        <v>agosto</v>
      </c>
      <c r="F539" s="8" t="str">
        <f>"T"&amp;ROUNDUP(Tabla2[[#This Row],[mes]]/3,0)</f>
        <v>T3</v>
      </c>
      <c r="G539" t="s">
        <v>6</v>
      </c>
      <c r="H539" t="s">
        <v>7</v>
      </c>
      <c r="I539" s="8" t="str">
        <f>IF(Tabla2[[#This Row],[precio_unitario]]&lt;=30,"Económico",IF(Tabla2[[#This Row],[precio_unitario]]&lt;=58.49,"Accesible","Caro"))</f>
        <v>Caro</v>
      </c>
      <c r="J539" t="s">
        <v>8</v>
      </c>
      <c r="K539">
        <v>1</v>
      </c>
      <c r="L539" s="19">
        <v>121.65</v>
      </c>
      <c r="M539" s="19">
        <v>80.48</v>
      </c>
      <c r="N539" s="11">
        <v>0.22</v>
      </c>
      <c r="O539" s="17">
        <f t="shared" si="35"/>
        <v>94.887000000000015</v>
      </c>
      <c r="P539" s="17">
        <f t="shared" si="32"/>
        <v>80.48</v>
      </c>
      <c r="Q539" s="17">
        <f t="shared" si="33"/>
        <v>14.407000000000011</v>
      </c>
      <c r="R539" s="24">
        <f t="shared" si="34"/>
        <v>0.15183323321424441</v>
      </c>
      <c r="S539" t="s">
        <v>67</v>
      </c>
      <c r="T539" t="s">
        <v>64</v>
      </c>
    </row>
    <row r="540" spans="1:20" hidden="1">
      <c r="A540" t="s">
        <v>612</v>
      </c>
      <c r="B540" s="5">
        <v>45466</v>
      </c>
      <c r="C540" s="8">
        <f>YEAR(Tabla2[[#This Row],[fecha]])</f>
        <v>2024</v>
      </c>
      <c r="D540" s="8">
        <f>MONTH(Tabla2[[#This Row],[fecha]])</f>
        <v>6</v>
      </c>
      <c r="E540" s="8" t="str">
        <f>TEXT(Tabla2[[#This Row],[fecha]], "mmmm")</f>
        <v>junio</v>
      </c>
      <c r="F540" s="8" t="str">
        <f>"T"&amp;ROUNDUP(Tabla2[[#This Row],[mes]]/3,0)</f>
        <v>T2</v>
      </c>
      <c r="G540" t="s">
        <v>11</v>
      </c>
      <c r="H540" t="s">
        <v>12</v>
      </c>
      <c r="I540" s="8" t="str">
        <f>IF(Tabla2[[#This Row],[precio_unitario]]&lt;=30,"Económico",IF(Tabla2[[#This Row],[precio_unitario]]&lt;=58.49,"Accesible","Caro"))</f>
        <v>Caro</v>
      </c>
      <c r="J540" t="s">
        <v>8</v>
      </c>
      <c r="K540">
        <v>2</v>
      </c>
      <c r="L540" s="19">
        <v>171.62</v>
      </c>
      <c r="M540" s="19">
        <v>95.19</v>
      </c>
      <c r="N540" s="11">
        <v>0</v>
      </c>
      <c r="O540" s="17">
        <f t="shared" si="35"/>
        <v>343.24</v>
      </c>
      <c r="P540" s="17">
        <f t="shared" si="32"/>
        <v>190.38</v>
      </c>
      <c r="Q540" s="17">
        <f t="shared" si="33"/>
        <v>152.86000000000001</v>
      </c>
      <c r="R540" s="24">
        <f t="shared" si="34"/>
        <v>0.44534436545857131</v>
      </c>
      <c r="S540" t="s">
        <v>63</v>
      </c>
      <c r="T540" t="s">
        <v>64</v>
      </c>
    </row>
    <row r="541" spans="1:20" hidden="1">
      <c r="A541" t="s">
        <v>613</v>
      </c>
      <c r="B541" s="5">
        <v>45709</v>
      </c>
      <c r="C541" s="8">
        <f>YEAR(Tabla2[[#This Row],[fecha]])</f>
        <v>2025</v>
      </c>
      <c r="D541" s="8">
        <f>MONTH(Tabla2[[#This Row],[fecha]])</f>
        <v>2</v>
      </c>
      <c r="E541" s="8" t="str">
        <f>TEXT(Tabla2[[#This Row],[fecha]], "mmmm")</f>
        <v>febrero</v>
      </c>
      <c r="F541" s="8" t="str">
        <f>"T"&amp;ROUNDUP(Tabla2[[#This Row],[mes]]/3,0)</f>
        <v>T1</v>
      </c>
      <c r="G541" t="s">
        <v>24</v>
      </c>
      <c r="H541" t="s">
        <v>25</v>
      </c>
      <c r="I541" s="8" t="str">
        <f>IF(Tabla2[[#This Row],[precio_unitario]]&lt;=30,"Económico",IF(Tabla2[[#This Row],[precio_unitario]]&lt;=58.49,"Accesible","Caro"))</f>
        <v>Económico</v>
      </c>
      <c r="J541" t="s">
        <v>26</v>
      </c>
      <c r="K541">
        <v>1</v>
      </c>
      <c r="L541" s="19">
        <v>8.24</v>
      </c>
      <c r="M541" s="19">
        <v>4.5199999999999996</v>
      </c>
      <c r="N541" s="11">
        <v>0</v>
      </c>
      <c r="O541" s="17">
        <f t="shared" si="35"/>
        <v>8.24</v>
      </c>
      <c r="P541" s="17">
        <f t="shared" si="32"/>
        <v>4.5199999999999996</v>
      </c>
      <c r="Q541" s="17">
        <f t="shared" si="33"/>
        <v>3.7200000000000006</v>
      </c>
      <c r="R541" s="24">
        <f t="shared" si="34"/>
        <v>0.45145631067961173</v>
      </c>
      <c r="S541" t="s">
        <v>63</v>
      </c>
      <c r="T541" t="s">
        <v>64</v>
      </c>
    </row>
    <row r="542" spans="1:20" hidden="1">
      <c r="A542" t="s">
        <v>614</v>
      </c>
      <c r="B542" s="5">
        <v>45881</v>
      </c>
      <c r="C542" s="8">
        <f>YEAR(Tabla2[[#This Row],[fecha]])</f>
        <v>2025</v>
      </c>
      <c r="D542" s="8">
        <f>MONTH(Tabla2[[#This Row],[fecha]])</f>
        <v>8</v>
      </c>
      <c r="E542" s="8" t="str">
        <f>TEXT(Tabla2[[#This Row],[fecha]], "mmmm")</f>
        <v>agosto</v>
      </c>
      <c r="F542" s="8" t="str">
        <f>"T"&amp;ROUNDUP(Tabla2[[#This Row],[mes]]/3,0)</f>
        <v>T3</v>
      </c>
      <c r="G542" t="s">
        <v>6</v>
      </c>
      <c r="H542" t="s">
        <v>7</v>
      </c>
      <c r="I542" s="8" t="str">
        <f>IF(Tabla2[[#This Row],[precio_unitario]]&lt;=30,"Económico",IF(Tabla2[[#This Row],[precio_unitario]]&lt;=58.49,"Accesible","Caro"))</f>
        <v>Caro</v>
      </c>
      <c r="J542" t="s">
        <v>8</v>
      </c>
      <c r="K542">
        <v>2</v>
      </c>
      <c r="L542" s="19">
        <v>126.01</v>
      </c>
      <c r="M542" s="19">
        <v>87.35</v>
      </c>
      <c r="N542" s="11">
        <v>0</v>
      </c>
      <c r="O542" s="17">
        <f t="shared" si="35"/>
        <v>252.02</v>
      </c>
      <c r="P542" s="17">
        <f t="shared" si="32"/>
        <v>174.7</v>
      </c>
      <c r="Q542" s="17">
        <f t="shared" si="33"/>
        <v>77.320000000000022</v>
      </c>
      <c r="R542" s="24">
        <f t="shared" si="34"/>
        <v>0.30680104753590992</v>
      </c>
      <c r="S542" t="s">
        <v>540</v>
      </c>
      <c r="T542" t="s">
        <v>64</v>
      </c>
    </row>
    <row r="543" spans="1:20" hidden="1">
      <c r="A543" t="s">
        <v>615</v>
      </c>
      <c r="B543" s="5">
        <v>45358</v>
      </c>
      <c r="C543" s="8">
        <f>YEAR(Tabla2[[#This Row],[fecha]])</f>
        <v>2024</v>
      </c>
      <c r="D543" s="8">
        <f>MONTH(Tabla2[[#This Row],[fecha]])</f>
        <v>3</v>
      </c>
      <c r="E543" s="8" t="str">
        <f>TEXT(Tabla2[[#This Row],[fecha]], "mmmm")</f>
        <v>marzo</v>
      </c>
      <c r="F543" s="8" t="str">
        <f>"T"&amp;ROUNDUP(Tabla2[[#This Row],[mes]]/3,0)</f>
        <v>T1</v>
      </c>
      <c r="G543" t="s">
        <v>18</v>
      </c>
      <c r="H543" t="s">
        <v>19</v>
      </c>
      <c r="I543" s="8" t="str">
        <f>IF(Tabla2[[#This Row],[precio_unitario]]&lt;=30,"Económico",IF(Tabla2[[#This Row],[precio_unitario]]&lt;=58.49,"Accesible","Caro"))</f>
        <v>Accesible</v>
      </c>
      <c r="J543" t="s">
        <v>17</v>
      </c>
      <c r="K543">
        <v>7</v>
      </c>
      <c r="L543" s="19">
        <v>50.41</v>
      </c>
      <c r="M543" s="19">
        <v>26.38</v>
      </c>
      <c r="N543" s="11">
        <v>0</v>
      </c>
      <c r="O543" s="17">
        <f t="shared" si="35"/>
        <v>352.87</v>
      </c>
      <c r="P543" s="17">
        <f t="shared" si="32"/>
        <v>184.66</v>
      </c>
      <c r="Q543" s="17">
        <f t="shared" si="33"/>
        <v>168.21</v>
      </c>
      <c r="R543" s="24">
        <f t="shared" si="34"/>
        <v>0.47669113271176355</v>
      </c>
      <c r="S543" t="s">
        <v>540</v>
      </c>
      <c r="T543" t="s">
        <v>60</v>
      </c>
    </row>
    <row r="544" spans="1:20" hidden="1">
      <c r="A544" t="s">
        <v>616</v>
      </c>
      <c r="B544" s="5">
        <v>45900</v>
      </c>
      <c r="C544" s="8">
        <f>YEAR(Tabla2[[#This Row],[fecha]])</f>
        <v>2025</v>
      </c>
      <c r="D544" s="8">
        <f>MONTH(Tabla2[[#This Row],[fecha]])</f>
        <v>8</v>
      </c>
      <c r="E544" s="8" t="str">
        <f>TEXT(Tabla2[[#This Row],[fecha]], "mmmm")</f>
        <v>agosto</v>
      </c>
      <c r="F544" s="8" t="str">
        <f>"T"&amp;ROUNDUP(Tabla2[[#This Row],[mes]]/3,0)</f>
        <v>T3</v>
      </c>
      <c r="G544" t="s">
        <v>24</v>
      </c>
      <c r="H544" t="s">
        <v>25</v>
      </c>
      <c r="I544" s="8" t="str">
        <f>IF(Tabla2[[#This Row],[precio_unitario]]&lt;=30,"Económico",IF(Tabla2[[#This Row],[precio_unitario]]&lt;=58.49,"Accesible","Caro"))</f>
        <v>Económico</v>
      </c>
      <c r="J544" t="s">
        <v>26</v>
      </c>
      <c r="K544">
        <v>7</v>
      </c>
      <c r="L544" s="19">
        <v>7.56</v>
      </c>
      <c r="M544" s="19">
        <v>4.51</v>
      </c>
      <c r="N544" s="13">
        <v>0</v>
      </c>
      <c r="O544" s="17">
        <f t="shared" si="35"/>
        <v>52.919999999999995</v>
      </c>
      <c r="P544" s="17">
        <f t="shared" si="32"/>
        <v>31.57</v>
      </c>
      <c r="Q544" s="17">
        <f t="shared" si="33"/>
        <v>21.349999999999994</v>
      </c>
      <c r="R544" s="24">
        <f t="shared" si="34"/>
        <v>0.40343915343915338</v>
      </c>
      <c r="S544" t="s">
        <v>63</v>
      </c>
      <c r="T544" t="s">
        <v>60</v>
      </c>
    </row>
    <row r="545" spans="1:20" hidden="1">
      <c r="A545" t="s">
        <v>617</v>
      </c>
      <c r="B545" s="5">
        <v>45344</v>
      </c>
      <c r="C545" s="8">
        <f>YEAR(Tabla2[[#This Row],[fecha]])</f>
        <v>2024</v>
      </c>
      <c r="D545" s="8">
        <f>MONTH(Tabla2[[#This Row],[fecha]])</f>
        <v>2</v>
      </c>
      <c r="E545" s="8" t="str">
        <f>TEXT(Tabla2[[#This Row],[fecha]], "mmmm")</f>
        <v>febrero</v>
      </c>
      <c r="F545" s="8" t="str">
        <f>"T"&amp;ROUNDUP(Tabla2[[#This Row],[mes]]/3,0)</f>
        <v>T1</v>
      </c>
      <c r="G545" t="s">
        <v>33</v>
      </c>
      <c r="H545" t="s">
        <v>34</v>
      </c>
      <c r="I545" s="8" t="str">
        <f>IF(Tabla2[[#This Row],[precio_unitario]]&lt;=30,"Económico",IF(Tabla2[[#This Row],[precio_unitario]]&lt;=58.49,"Accesible","Caro"))</f>
        <v>Caro</v>
      </c>
      <c r="J545" t="s">
        <v>35</v>
      </c>
      <c r="K545">
        <v>1</v>
      </c>
      <c r="L545" s="19">
        <v>80.290000000000006</v>
      </c>
      <c r="M545" s="19">
        <v>49.43</v>
      </c>
      <c r="N545" s="11">
        <v>0</v>
      </c>
      <c r="O545" s="17">
        <f t="shared" si="35"/>
        <v>80.290000000000006</v>
      </c>
      <c r="P545" s="17">
        <f t="shared" si="32"/>
        <v>49.43</v>
      </c>
      <c r="Q545" s="17">
        <f t="shared" si="33"/>
        <v>30.860000000000007</v>
      </c>
      <c r="R545" s="24">
        <f t="shared" si="34"/>
        <v>0.38435670693735213</v>
      </c>
      <c r="S545" t="s">
        <v>101</v>
      </c>
      <c r="T545" t="s">
        <v>60</v>
      </c>
    </row>
    <row r="546" spans="1:20" hidden="1">
      <c r="A546" t="s">
        <v>618</v>
      </c>
      <c r="B546" s="5">
        <v>45541</v>
      </c>
      <c r="C546" s="8">
        <f>YEAR(Tabla2[[#This Row],[fecha]])</f>
        <v>2024</v>
      </c>
      <c r="D546" s="8">
        <f>MONTH(Tabla2[[#This Row],[fecha]])</f>
        <v>9</v>
      </c>
      <c r="E546" s="8" t="str">
        <f>TEXT(Tabla2[[#This Row],[fecha]], "mmmm")</f>
        <v>septiembre</v>
      </c>
      <c r="F546" s="8" t="str">
        <f>"T"&amp;ROUNDUP(Tabla2[[#This Row],[mes]]/3,0)</f>
        <v>T3</v>
      </c>
      <c r="G546" t="s">
        <v>49</v>
      </c>
      <c r="H546" t="s">
        <v>50</v>
      </c>
      <c r="I546" s="8" t="str">
        <f>IF(Tabla2[[#This Row],[precio_unitario]]&lt;=30,"Económico",IF(Tabla2[[#This Row],[precio_unitario]]&lt;=58.49,"Accesible","Caro"))</f>
        <v>Caro</v>
      </c>
      <c r="J546" t="s">
        <v>44</v>
      </c>
      <c r="K546">
        <v>3</v>
      </c>
      <c r="L546" s="19">
        <v>58.65</v>
      </c>
      <c r="M546" s="19">
        <v>32.22</v>
      </c>
      <c r="N546" s="11">
        <v>0</v>
      </c>
      <c r="O546" s="17">
        <f t="shared" si="35"/>
        <v>175.95</v>
      </c>
      <c r="P546" s="17">
        <f t="shared" si="32"/>
        <v>96.66</v>
      </c>
      <c r="Q546" s="17">
        <f t="shared" si="33"/>
        <v>79.289999999999992</v>
      </c>
      <c r="R546" s="24">
        <f t="shared" si="34"/>
        <v>0.45063938618925831</v>
      </c>
      <c r="S546" t="s">
        <v>96</v>
      </c>
      <c r="T546" t="s">
        <v>64</v>
      </c>
    </row>
    <row r="547" spans="1:20" hidden="1">
      <c r="A547" t="s">
        <v>619</v>
      </c>
      <c r="B547" s="5">
        <v>45421</v>
      </c>
      <c r="C547" s="8">
        <f>YEAR(Tabla2[[#This Row],[fecha]])</f>
        <v>2024</v>
      </c>
      <c r="D547" s="8">
        <f>MONTH(Tabla2[[#This Row],[fecha]])</f>
        <v>5</v>
      </c>
      <c r="E547" s="8" t="str">
        <f>TEXT(Tabla2[[#This Row],[fecha]], "mmmm")</f>
        <v>mayo</v>
      </c>
      <c r="F547" s="8" t="str">
        <f>"T"&amp;ROUNDUP(Tabla2[[#This Row],[mes]]/3,0)</f>
        <v>T2</v>
      </c>
      <c r="G547" t="s">
        <v>11</v>
      </c>
      <c r="H547" t="s">
        <v>12</v>
      </c>
      <c r="I547" s="8" t="str">
        <f>IF(Tabla2[[#This Row],[precio_unitario]]&lt;=30,"Económico",IF(Tabla2[[#This Row],[precio_unitario]]&lt;=58.49,"Accesible","Caro"))</f>
        <v>Caro</v>
      </c>
      <c r="J547" t="s">
        <v>8</v>
      </c>
      <c r="K547">
        <v>1</v>
      </c>
      <c r="L547" s="19">
        <v>174.23</v>
      </c>
      <c r="M547" s="19">
        <v>89.56</v>
      </c>
      <c r="N547" s="11">
        <v>0.11</v>
      </c>
      <c r="O547" s="17">
        <f t="shared" si="35"/>
        <v>155.06469999999999</v>
      </c>
      <c r="P547" s="17">
        <f t="shared" si="32"/>
        <v>89.56</v>
      </c>
      <c r="Q547" s="17">
        <f t="shared" si="33"/>
        <v>65.504699999999985</v>
      </c>
      <c r="R547" s="24">
        <f t="shared" si="34"/>
        <v>0.42243463534898651</v>
      </c>
      <c r="S547" t="s">
        <v>67</v>
      </c>
      <c r="T547" t="s">
        <v>60</v>
      </c>
    </row>
    <row r="548" spans="1:20" hidden="1">
      <c r="A548" t="s">
        <v>620</v>
      </c>
      <c r="B548" s="5">
        <v>45535</v>
      </c>
      <c r="C548" s="8">
        <f>YEAR(Tabla2[[#This Row],[fecha]])</f>
        <v>2024</v>
      </c>
      <c r="D548" s="8">
        <f>MONTH(Tabla2[[#This Row],[fecha]])</f>
        <v>8</v>
      </c>
      <c r="E548" s="8" t="str">
        <f>TEXT(Tabla2[[#This Row],[fecha]], "mmmm")</f>
        <v>agosto</v>
      </c>
      <c r="F548" s="8" t="str">
        <f>"T"&amp;ROUNDUP(Tabla2[[#This Row],[mes]]/3,0)</f>
        <v>T3</v>
      </c>
      <c r="G548" t="s">
        <v>27</v>
      </c>
      <c r="H548" t="s">
        <v>28</v>
      </c>
      <c r="I548" s="8" t="str">
        <f>IF(Tabla2[[#This Row],[precio_unitario]]&lt;=30,"Económico",IF(Tabla2[[#This Row],[precio_unitario]]&lt;=58.49,"Accesible","Caro"))</f>
        <v>Económico</v>
      </c>
      <c r="J548" t="s">
        <v>26</v>
      </c>
      <c r="K548">
        <v>2</v>
      </c>
      <c r="L548" s="19">
        <v>16.23</v>
      </c>
      <c r="M548" s="19">
        <v>10.99</v>
      </c>
      <c r="N548" s="11">
        <v>0</v>
      </c>
      <c r="O548" s="17">
        <f t="shared" si="35"/>
        <v>32.46</v>
      </c>
      <c r="P548" s="17">
        <f t="shared" si="32"/>
        <v>21.98</v>
      </c>
      <c r="Q548" s="17">
        <f t="shared" si="33"/>
        <v>10.48</v>
      </c>
      <c r="R548" s="24">
        <f t="shared" si="34"/>
        <v>0.32285890326555761</v>
      </c>
      <c r="S548" t="s">
        <v>67</v>
      </c>
      <c r="T548" t="s">
        <v>60</v>
      </c>
    </row>
    <row r="549" spans="1:20" hidden="1">
      <c r="A549" t="s">
        <v>621</v>
      </c>
      <c r="B549" s="5">
        <v>45778</v>
      </c>
      <c r="C549" s="8">
        <f>YEAR(Tabla2[[#This Row],[fecha]])</f>
        <v>2025</v>
      </c>
      <c r="D549" s="8">
        <f>MONTH(Tabla2[[#This Row],[fecha]])</f>
        <v>5</v>
      </c>
      <c r="E549" s="8" t="str">
        <f>TEXT(Tabla2[[#This Row],[fecha]], "mmmm")</f>
        <v>mayo</v>
      </c>
      <c r="F549" s="8" t="str">
        <f>"T"&amp;ROUNDUP(Tabla2[[#This Row],[mes]]/3,0)</f>
        <v>T2</v>
      </c>
      <c r="G549" t="s">
        <v>31</v>
      </c>
      <c r="H549" t="s">
        <v>32</v>
      </c>
      <c r="I549" s="8" t="str">
        <f>IF(Tabla2[[#This Row],[precio_unitario]]&lt;=30,"Económico",IF(Tabla2[[#This Row],[precio_unitario]]&lt;=58.49,"Accesible","Caro"))</f>
        <v>Económico</v>
      </c>
      <c r="J549" t="s">
        <v>26</v>
      </c>
      <c r="K549">
        <v>11</v>
      </c>
      <c r="L549" s="19">
        <v>8.2100000000000009</v>
      </c>
      <c r="M549" s="19">
        <v>5.57</v>
      </c>
      <c r="N549" s="13">
        <v>0</v>
      </c>
      <c r="O549" s="17">
        <f t="shared" si="35"/>
        <v>90.31</v>
      </c>
      <c r="P549" s="17">
        <f t="shared" si="32"/>
        <v>61.27</v>
      </c>
      <c r="Q549" s="17">
        <f t="shared" si="33"/>
        <v>29.04</v>
      </c>
      <c r="R549" s="24">
        <f t="shared" si="34"/>
        <v>0.3215590742996346</v>
      </c>
      <c r="S549" t="s">
        <v>540</v>
      </c>
      <c r="T549" t="s">
        <v>64</v>
      </c>
    </row>
    <row r="550" spans="1:20" hidden="1">
      <c r="A550" t="s">
        <v>622</v>
      </c>
      <c r="B550" s="5">
        <v>46003</v>
      </c>
      <c r="C550" s="8">
        <f>YEAR(Tabla2[[#This Row],[fecha]])</f>
        <v>2025</v>
      </c>
      <c r="D550" s="8">
        <f>MONTH(Tabla2[[#This Row],[fecha]])</f>
        <v>12</v>
      </c>
      <c r="E550" s="8" t="str">
        <f>TEXT(Tabla2[[#This Row],[fecha]], "mmmm")</f>
        <v>diciembre</v>
      </c>
      <c r="F550" s="8" t="str">
        <f>"T"&amp;ROUNDUP(Tabla2[[#This Row],[mes]]/3,0)</f>
        <v>T4</v>
      </c>
      <c r="G550" t="s">
        <v>47</v>
      </c>
      <c r="H550" t="s">
        <v>48</v>
      </c>
      <c r="I550" s="8" t="str">
        <f>IF(Tabla2[[#This Row],[precio_unitario]]&lt;=30,"Económico",IF(Tabla2[[#This Row],[precio_unitario]]&lt;=58.49,"Accesible","Caro"))</f>
        <v>Caro</v>
      </c>
      <c r="J550" t="s">
        <v>44</v>
      </c>
      <c r="K550">
        <v>2</v>
      </c>
      <c r="L550" s="19">
        <v>61.12</v>
      </c>
      <c r="M550" s="19">
        <v>32.03</v>
      </c>
      <c r="N550" s="11">
        <v>0</v>
      </c>
      <c r="O550" s="17">
        <f t="shared" si="35"/>
        <v>122.24</v>
      </c>
      <c r="P550" s="17">
        <f t="shared" si="32"/>
        <v>64.06</v>
      </c>
      <c r="Q550" s="17">
        <f t="shared" si="33"/>
        <v>58.179999999999993</v>
      </c>
      <c r="R550" s="24">
        <f t="shared" si="34"/>
        <v>0.47594895287958111</v>
      </c>
      <c r="S550" t="s">
        <v>540</v>
      </c>
      <c r="T550" t="s">
        <v>60</v>
      </c>
    </row>
    <row r="551" spans="1:20" hidden="1">
      <c r="A551" t="s">
        <v>623</v>
      </c>
      <c r="B551" s="5">
        <v>45332</v>
      </c>
      <c r="C551" s="8">
        <f>YEAR(Tabla2[[#This Row],[fecha]])</f>
        <v>2024</v>
      </c>
      <c r="D551" s="8">
        <f>MONTH(Tabla2[[#This Row],[fecha]])</f>
        <v>2</v>
      </c>
      <c r="E551" s="8" t="str">
        <f>TEXT(Tabla2[[#This Row],[fecha]], "mmmm")</f>
        <v>febrero</v>
      </c>
      <c r="F551" s="8" t="str">
        <f>"T"&amp;ROUNDUP(Tabla2[[#This Row],[mes]]/3,0)</f>
        <v>T1</v>
      </c>
      <c r="G551" t="s">
        <v>47</v>
      </c>
      <c r="H551" t="s">
        <v>48</v>
      </c>
      <c r="I551" s="8" t="str">
        <f>IF(Tabla2[[#This Row],[precio_unitario]]&lt;=30,"Económico",IF(Tabla2[[#This Row],[precio_unitario]]&lt;=58.49,"Accesible","Caro"))</f>
        <v>Caro</v>
      </c>
      <c r="J551" t="s">
        <v>44</v>
      </c>
      <c r="K551">
        <v>1</v>
      </c>
      <c r="L551" s="19">
        <v>63.78</v>
      </c>
      <c r="M551" s="21">
        <f>INDEX(Tabla3[coste_objetivo], MATCH(Tabla2[[#This Row],[id_producto]], Tabla3[id_producto],0))</f>
        <v>32.68</v>
      </c>
      <c r="N551" s="11">
        <v>0</v>
      </c>
      <c r="O551" s="17">
        <f t="shared" si="35"/>
        <v>63.78</v>
      </c>
      <c r="P551" s="17">
        <f t="shared" si="32"/>
        <v>32.68</v>
      </c>
      <c r="Q551" s="17">
        <f t="shared" si="33"/>
        <v>31.1</v>
      </c>
      <c r="R551" s="24">
        <f t="shared" si="34"/>
        <v>0.48761367199749139</v>
      </c>
      <c r="S551" t="s">
        <v>83</v>
      </c>
      <c r="T551" t="s">
        <v>64</v>
      </c>
    </row>
    <row r="552" spans="1:20" hidden="1">
      <c r="A552" t="s">
        <v>624</v>
      </c>
      <c r="B552" s="5">
        <v>45441</v>
      </c>
      <c r="C552" s="8">
        <f>YEAR(Tabla2[[#This Row],[fecha]])</f>
        <v>2024</v>
      </c>
      <c r="D552" s="8">
        <f>MONTH(Tabla2[[#This Row],[fecha]])</f>
        <v>5</v>
      </c>
      <c r="E552" s="8" t="str">
        <f>TEXT(Tabla2[[#This Row],[fecha]], "mmmm")</f>
        <v>mayo</v>
      </c>
      <c r="F552" s="8" t="str">
        <f>"T"&amp;ROUNDUP(Tabla2[[#This Row],[mes]]/3,0)</f>
        <v>T2</v>
      </c>
      <c r="G552" t="s">
        <v>24</v>
      </c>
      <c r="H552" t="s">
        <v>25</v>
      </c>
      <c r="I552" s="8" t="str">
        <f>IF(Tabla2[[#This Row],[precio_unitario]]&lt;=30,"Económico",IF(Tabla2[[#This Row],[precio_unitario]]&lt;=58.49,"Accesible","Caro"))</f>
        <v>Económico</v>
      </c>
      <c r="J552" t="s">
        <v>26</v>
      </c>
      <c r="K552">
        <v>2</v>
      </c>
      <c r="L552" s="19">
        <v>7.35</v>
      </c>
      <c r="M552" s="21">
        <f>INDEX(Tabla3[coste_objetivo], MATCH(Tabla2[[#This Row],[id_producto]], Tabla3[id_producto],0))</f>
        <v>4.32</v>
      </c>
      <c r="N552" s="11">
        <v>0</v>
      </c>
      <c r="O552" s="17">
        <f t="shared" si="35"/>
        <v>14.7</v>
      </c>
      <c r="P552" s="17">
        <f t="shared" si="32"/>
        <v>8.64</v>
      </c>
      <c r="Q552" s="17">
        <f t="shared" si="33"/>
        <v>6.0599999999999987</v>
      </c>
      <c r="R552" s="24">
        <f t="shared" si="34"/>
        <v>0.41224489795918362</v>
      </c>
      <c r="S552" t="s">
        <v>63</v>
      </c>
      <c r="T552" t="s">
        <v>64</v>
      </c>
    </row>
    <row r="553" spans="1:20">
      <c r="A553" t="s">
        <v>625</v>
      </c>
      <c r="B553" s="5">
        <v>45868</v>
      </c>
      <c r="C553" s="8">
        <f>YEAR(Tabla2[[#This Row],[fecha]])</f>
        <v>2025</v>
      </c>
      <c r="D553" s="8">
        <f>MONTH(Tabla2[[#This Row],[fecha]])</f>
        <v>7</v>
      </c>
      <c r="E553" s="8" t="str">
        <f>TEXT(Tabla2[[#This Row],[fecha]], "mmmm")</f>
        <v>julio</v>
      </c>
      <c r="F553" s="8" t="str">
        <f>"T"&amp;ROUNDUP(Tabla2[[#This Row],[mes]]/3,0)</f>
        <v>T3</v>
      </c>
      <c r="G553" t="s">
        <v>18</v>
      </c>
      <c r="H553" t="s">
        <v>19</v>
      </c>
      <c r="I553" s="8" t="str">
        <f>IF(Tabla2[[#This Row],[precio_unitario]]&lt;=30,"Económico",IF(Tabla2[[#This Row],[precio_unitario]]&lt;=58.49,"Accesible","Caro"))</f>
        <v>Accesible</v>
      </c>
      <c r="J553" t="s">
        <v>17</v>
      </c>
      <c r="K553">
        <v>3</v>
      </c>
      <c r="L553" s="19">
        <v>48.64</v>
      </c>
      <c r="M553" s="19">
        <v>26.16</v>
      </c>
      <c r="N553" s="13">
        <v>0</v>
      </c>
      <c r="O553" s="17">
        <f t="shared" si="35"/>
        <v>145.92000000000002</v>
      </c>
      <c r="P553" s="17">
        <f t="shared" si="32"/>
        <v>78.48</v>
      </c>
      <c r="Q553" s="17">
        <f t="shared" si="33"/>
        <v>67.440000000000012</v>
      </c>
      <c r="R553" s="24">
        <f t="shared" si="34"/>
        <v>0.46217105263157898</v>
      </c>
      <c r="S553" t="s">
        <v>67</v>
      </c>
      <c r="T553" t="s">
        <v>64</v>
      </c>
    </row>
    <row r="554" spans="1:20" hidden="1">
      <c r="A554" t="s">
        <v>626</v>
      </c>
      <c r="B554" s="5">
        <v>45553</v>
      </c>
      <c r="C554" s="8">
        <f>YEAR(Tabla2[[#This Row],[fecha]])</f>
        <v>2024</v>
      </c>
      <c r="D554" s="8">
        <f>MONTH(Tabla2[[#This Row],[fecha]])</f>
        <v>9</v>
      </c>
      <c r="E554" s="8" t="str">
        <f>TEXT(Tabla2[[#This Row],[fecha]], "mmmm")</f>
        <v>septiembre</v>
      </c>
      <c r="F554" s="8" t="str">
        <f>"T"&amp;ROUNDUP(Tabla2[[#This Row],[mes]]/3,0)</f>
        <v>T3</v>
      </c>
      <c r="G554" t="s">
        <v>47</v>
      </c>
      <c r="H554" t="s">
        <v>48</v>
      </c>
      <c r="I554" s="8" t="str">
        <f>IF(Tabla2[[#This Row],[precio_unitario]]&lt;=30,"Económico",IF(Tabla2[[#This Row],[precio_unitario]]&lt;=58.49,"Accesible","Caro"))</f>
        <v>Accesible</v>
      </c>
      <c r="J554" t="s">
        <v>44</v>
      </c>
      <c r="K554">
        <v>1</v>
      </c>
      <c r="L554" s="19">
        <v>57.46</v>
      </c>
      <c r="M554" s="19">
        <v>32.799999999999997</v>
      </c>
      <c r="N554" s="11">
        <v>0</v>
      </c>
      <c r="O554" s="17">
        <f t="shared" si="35"/>
        <v>57.46</v>
      </c>
      <c r="P554" s="17">
        <f t="shared" si="32"/>
        <v>32.799999999999997</v>
      </c>
      <c r="Q554" s="17">
        <f t="shared" si="33"/>
        <v>24.660000000000004</v>
      </c>
      <c r="R554" s="24">
        <f t="shared" si="34"/>
        <v>0.42916811695092244</v>
      </c>
      <c r="S554" t="s">
        <v>540</v>
      </c>
      <c r="T554" t="s">
        <v>64</v>
      </c>
    </row>
    <row r="555" spans="1:20">
      <c r="A555" t="s">
        <v>627</v>
      </c>
      <c r="B555" s="5">
        <v>45745</v>
      </c>
      <c r="C555" s="8">
        <f>YEAR(Tabla2[[#This Row],[fecha]])</f>
        <v>2025</v>
      </c>
      <c r="D555" s="8">
        <f>MONTH(Tabla2[[#This Row],[fecha]])</f>
        <v>3</v>
      </c>
      <c r="E555" s="8" t="str">
        <f>TEXT(Tabla2[[#This Row],[fecha]], "mmmm")</f>
        <v>marzo</v>
      </c>
      <c r="F555" s="8" t="str">
        <f>"T"&amp;ROUNDUP(Tabla2[[#This Row],[mes]]/3,0)</f>
        <v>T1</v>
      </c>
      <c r="G555" t="s">
        <v>36</v>
      </c>
      <c r="H555" t="s">
        <v>37</v>
      </c>
      <c r="I555" s="8" t="str">
        <f>IF(Tabla2[[#This Row],[precio_unitario]]&lt;=30,"Económico",IF(Tabla2[[#This Row],[precio_unitario]]&lt;=58.49,"Accesible","Caro"))</f>
        <v>Económico</v>
      </c>
      <c r="J555" t="s">
        <v>35</v>
      </c>
      <c r="K555">
        <v>3</v>
      </c>
      <c r="L555" s="19">
        <v>13.43</v>
      </c>
      <c r="M555" s="19">
        <v>9.56</v>
      </c>
      <c r="N555" s="11">
        <v>0</v>
      </c>
      <c r="O555" s="17">
        <f t="shared" si="35"/>
        <v>40.29</v>
      </c>
      <c r="P555" s="17">
        <f t="shared" si="32"/>
        <v>28.68</v>
      </c>
      <c r="Q555" s="17">
        <f t="shared" si="33"/>
        <v>11.61</v>
      </c>
      <c r="R555" s="24">
        <f t="shared" si="34"/>
        <v>0.28816083395383468</v>
      </c>
      <c r="S555" t="s">
        <v>67</v>
      </c>
      <c r="T555" t="s">
        <v>64</v>
      </c>
    </row>
    <row r="556" spans="1:20" hidden="1">
      <c r="A556" t="s">
        <v>628</v>
      </c>
      <c r="B556" s="5">
        <v>45300</v>
      </c>
      <c r="C556" s="8">
        <f>YEAR(Tabla2[[#This Row],[fecha]])</f>
        <v>2024</v>
      </c>
      <c r="D556" s="8">
        <f>MONTH(Tabla2[[#This Row],[fecha]])</f>
        <v>1</v>
      </c>
      <c r="E556" s="8" t="str">
        <f>TEXT(Tabla2[[#This Row],[fecha]], "mmmm")</f>
        <v>enero</v>
      </c>
      <c r="F556" s="8" t="str">
        <f>"T"&amp;ROUNDUP(Tabla2[[#This Row],[mes]]/3,0)</f>
        <v>T1</v>
      </c>
      <c r="G556" t="s">
        <v>47</v>
      </c>
      <c r="H556" t="s">
        <v>48</v>
      </c>
      <c r="I556" s="8" t="str">
        <f>IF(Tabla2[[#This Row],[precio_unitario]]&lt;=30,"Económico",IF(Tabla2[[#This Row],[precio_unitario]]&lt;=58.49,"Accesible","Caro"))</f>
        <v>Accesible</v>
      </c>
      <c r="J556" t="s">
        <v>44</v>
      </c>
      <c r="K556">
        <v>8</v>
      </c>
      <c r="L556" s="19">
        <v>55.26</v>
      </c>
      <c r="M556" s="19">
        <v>33.99</v>
      </c>
      <c r="N556" s="11">
        <v>0</v>
      </c>
      <c r="O556" s="17">
        <f t="shared" si="35"/>
        <v>442.08</v>
      </c>
      <c r="P556" s="17">
        <f t="shared" si="32"/>
        <v>271.92</v>
      </c>
      <c r="Q556" s="17">
        <f t="shared" si="33"/>
        <v>170.15999999999997</v>
      </c>
      <c r="R556" s="24">
        <f t="shared" si="34"/>
        <v>0.38490770901194349</v>
      </c>
      <c r="S556" t="s">
        <v>83</v>
      </c>
      <c r="T556" t="s">
        <v>64</v>
      </c>
    </row>
    <row r="557" spans="1:20" hidden="1">
      <c r="A557" t="s">
        <v>629</v>
      </c>
      <c r="B557" s="5">
        <v>45434</v>
      </c>
      <c r="C557" s="8">
        <f>YEAR(Tabla2[[#This Row],[fecha]])</f>
        <v>2024</v>
      </c>
      <c r="D557" s="8">
        <f>MONTH(Tabla2[[#This Row],[fecha]])</f>
        <v>5</v>
      </c>
      <c r="E557" s="8" t="str">
        <f>TEXT(Tabla2[[#This Row],[fecha]], "mmmm")</f>
        <v>mayo</v>
      </c>
      <c r="F557" s="8" t="str">
        <f>"T"&amp;ROUNDUP(Tabla2[[#This Row],[mes]]/3,0)</f>
        <v>T2</v>
      </c>
      <c r="G557" t="s">
        <v>49</v>
      </c>
      <c r="H557" t="s">
        <v>50</v>
      </c>
      <c r="I557" s="8" t="str">
        <f>IF(Tabla2[[#This Row],[precio_unitario]]&lt;=30,"Económico",IF(Tabla2[[#This Row],[precio_unitario]]&lt;=58.49,"Accesible","Caro"))</f>
        <v>Caro</v>
      </c>
      <c r="J557" t="s">
        <v>44</v>
      </c>
      <c r="K557">
        <v>7</v>
      </c>
      <c r="L557" s="19">
        <v>60.63</v>
      </c>
      <c r="M557" s="19">
        <v>34.11</v>
      </c>
      <c r="N557" s="11">
        <v>0.28999999999999998</v>
      </c>
      <c r="O557" s="17">
        <f t="shared" si="35"/>
        <v>301.33109999999999</v>
      </c>
      <c r="P557" s="17">
        <f t="shared" si="32"/>
        <v>238.76999999999998</v>
      </c>
      <c r="Q557" s="17">
        <f t="shared" si="33"/>
        <v>62.56110000000001</v>
      </c>
      <c r="R557" s="24">
        <f t="shared" si="34"/>
        <v>0.20761580865698898</v>
      </c>
      <c r="S557" t="s">
        <v>63</v>
      </c>
      <c r="T557" t="s">
        <v>64</v>
      </c>
    </row>
    <row r="558" spans="1:20" hidden="1">
      <c r="A558" t="s">
        <v>630</v>
      </c>
      <c r="B558" s="5">
        <v>45301</v>
      </c>
      <c r="C558" s="8">
        <f>YEAR(Tabla2[[#This Row],[fecha]])</f>
        <v>2024</v>
      </c>
      <c r="D558" s="8">
        <f>MONTH(Tabla2[[#This Row],[fecha]])</f>
        <v>1</v>
      </c>
      <c r="E558" s="8" t="str">
        <f>TEXT(Tabla2[[#This Row],[fecha]], "mmmm")</f>
        <v>enero</v>
      </c>
      <c r="F558" s="8" t="str">
        <f>"T"&amp;ROUNDUP(Tabla2[[#This Row],[mes]]/3,0)</f>
        <v>T1</v>
      </c>
      <c r="G558" t="s">
        <v>20</v>
      </c>
      <c r="H558" t="s">
        <v>21</v>
      </c>
      <c r="I558" s="8" t="str">
        <f>IF(Tabla2[[#This Row],[precio_unitario]]&lt;=30,"Económico",IF(Tabla2[[#This Row],[precio_unitario]]&lt;=58.49,"Accesible","Caro"))</f>
        <v>Económico</v>
      </c>
      <c r="J558" t="s">
        <v>17</v>
      </c>
      <c r="K558">
        <v>1</v>
      </c>
      <c r="L558" s="19">
        <v>19.260000000000002</v>
      </c>
      <c r="M558" s="19">
        <v>12.41</v>
      </c>
      <c r="N558" s="11">
        <v>0</v>
      </c>
      <c r="O558" s="17">
        <f t="shared" si="35"/>
        <v>19.260000000000002</v>
      </c>
      <c r="P558" s="17">
        <f t="shared" si="32"/>
        <v>12.41</v>
      </c>
      <c r="Q558" s="17">
        <f t="shared" si="33"/>
        <v>6.8500000000000014</v>
      </c>
      <c r="R558" s="24">
        <f t="shared" si="34"/>
        <v>0.3556593977154725</v>
      </c>
      <c r="S558" t="s">
        <v>67</v>
      </c>
      <c r="T558" t="s">
        <v>64</v>
      </c>
    </row>
    <row r="559" spans="1:20" hidden="1">
      <c r="A559" t="s">
        <v>631</v>
      </c>
      <c r="B559" s="5">
        <v>45512</v>
      </c>
      <c r="C559" s="8">
        <f>YEAR(Tabla2[[#This Row],[fecha]])</f>
        <v>2024</v>
      </c>
      <c r="D559" s="8">
        <f>MONTH(Tabla2[[#This Row],[fecha]])</f>
        <v>8</v>
      </c>
      <c r="E559" s="8" t="str">
        <f>TEXT(Tabla2[[#This Row],[fecha]], "mmmm")</f>
        <v>agosto</v>
      </c>
      <c r="F559" s="8" t="str">
        <f>"T"&amp;ROUNDUP(Tabla2[[#This Row],[mes]]/3,0)</f>
        <v>T3</v>
      </c>
      <c r="G559" t="s">
        <v>45</v>
      </c>
      <c r="H559" t="s">
        <v>46</v>
      </c>
      <c r="I559" s="8" t="str">
        <f>IF(Tabla2[[#This Row],[precio_unitario]]&lt;=30,"Económico",IF(Tabla2[[#This Row],[precio_unitario]]&lt;=58.49,"Accesible","Caro"))</f>
        <v>Accesible</v>
      </c>
      <c r="J559" t="s">
        <v>44</v>
      </c>
      <c r="K559">
        <v>2</v>
      </c>
      <c r="L559" s="19">
        <v>30.41</v>
      </c>
      <c r="M559" s="19">
        <v>17.71</v>
      </c>
      <c r="N559" s="13">
        <v>0</v>
      </c>
      <c r="O559" s="17">
        <f t="shared" si="35"/>
        <v>60.82</v>
      </c>
      <c r="P559" s="17">
        <f t="shared" si="32"/>
        <v>35.42</v>
      </c>
      <c r="Q559" s="17">
        <f t="shared" si="33"/>
        <v>25.4</v>
      </c>
      <c r="R559" s="24">
        <f t="shared" si="34"/>
        <v>0.41762578099309433</v>
      </c>
      <c r="S559" t="s">
        <v>540</v>
      </c>
      <c r="T559" t="s">
        <v>64</v>
      </c>
    </row>
    <row r="560" spans="1:20" hidden="1">
      <c r="A560" t="s">
        <v>632</v>
      </c>
      <c r="B560" s="5">
        <v>45395</v>
      </c>
      <c r="C560" s="8">
        <f>YEAR(Tabla2[[#This Row],[fecha]])</f>
        <v>2024</v>
      </c>
      <c r="D560" s="8">
        <f>MONTH(Tabla2[[#This Row],[fecha]])</f>
        <v>4</v>
      </c>
      <c r="E560" s="8" t="str">
        <f>TEXT(Tabla2[[#This Row],[fecha]], "mmmm")</f>
        <v>abril</v>
      </c>
      <c r="F560" s="8" t="str">
        <f>"T"&amp;ROUNDUP(Tabla2[[#This Row],[mes]]/3,0)</f>
        <v>T2</v>
      </c>
      <c r="G560" t="s">
        <v>13</v>
      </c>
      <c r="H560" t="s">
        <v>14</v>
      </c>
      <c r="I560" s="8" t="str">
        <f>IF(Tabla2[[#This Row],[precio_unitario]]&lt;=30,"Económico",IF(Tabla2[[#This Row],[precio_unitario]]&lt;=58.49,"Accesible","Caro"))</f>
        <v>Caro</v>
      </c>
      <c r="J560" t="s">
        <v>8</v>
      </c>
      <c r="K560">
        <v>1</v>
      </c>
      <c r="L560" s="19">
        <v>169.43</v>
      </c>
      <c r="M560" s="19">
        <v>109.26</v>
      </c>
      <c r="N560" s="13">
        <v>0.13500000000000001</v>
      </c>
      <c r="O560" s="17">
        <f t="shared" si="35"/>
        <v>146.55695</v>
      </c>
      <c r="P560" s="17">
        <f t="shared" si="32"/>
        <v>109.26</v>
      </c>
      <c r="Q560" s="17">
        <f t="shared" si="33"/>
        <v>37.296949999999995</v>
      </c>
      <c r="R560" s="24">
        <f t="shared" si="34"/>
        <v>0.25448776055997341</v>
      </c>
      <c r="S560" t="s">
        <v>67</v>
      </c>
      <c r="T560" t="s">
        <v>60</v>
      </c>
    </row>
    <row r="561" spans="1:20" hidden="1">
      <c r="A561" t="s">
        <v>633</v>
      </c>
      <c r="B561" s="5">
        <v>45644</v>
      </c>
      <c r="C561" s="8">
        <f>YEAR(Tabla2[[#This Row],[fecha]])</f>
        <v>2024</v>
      </c>
      <c r="D561" s="8">
        <f>MONTH(Tabla2[[#This Row],[fecha]])</f>
        <v>12</v>
      </c>
      <c r="E561" s="8" t="str">
        <f>TEXT(Tabla2[[#This Row],[fecha]], "mmmm")</f>
        <v>diciembre</v>
      </c>
      <c r="F561" s="8" t="str">
        <f>"T"&amp;ROUNDUP(Tabla2[[#This Row],[mes]]/3,0)</f>
        <v>T4</v>
      </c>
      <c r="G561" t="s">
        <v>22</v>
      </c>
      <c r="H561" t="s">
        <v>23</v>
      </c>
      <c r="I561" s="8" t="str">
        <f>IF(Tabla2[[#This Row],[precio_unitario]]&lt;=30,"Económico",IF(Tabla2[[#This Row],[precio_unitario]]&lt;=58.49,"Accesible","Caro"))</f>
        <v>Caro</v>
      </c>
      <c r="J561" t="s">
        <v>17</v>
      </c>
      <c r="K561">
        <v>1</v>
      </c>
      <c r="L561" s="19">
        <v>95.97</v>
      </c>
      <c r="M561" s="19">
        <v>59.03</v>
      </c>
      <c r="N561" s="11">
        <v>0</v>
      </c>
      <c r="O561" s="17">
        <f t="shared" si="35"/>
        <v>95.97</v>
      </c>
      <c r="P561" s="17">
        <f t="shared" si="32"/>
        <v>59.03</v>
      </c>
      <c r="Q561" s="17">
        <f t="shared" si="33"/>
        <v>36.94</v>
      </c>
      <c r="R561" s="24">
        <f t="shared" si="34"/>
        <v>0.38491195165155778</v>
      </c>
      <c r="S561" t="s">
        <v>101</v>
      </c>
      <c r="T561" t="s">
        <v>60</v>
      </c>
    </row>
    <row r="562" spans="1:20" hidden="1">
      <c r="A562" t="s">
        <v>634</v>
      </c>
      <c r="B562" s="5">
        <v>45530</v>
      </c>
      <c r="C562" s="8">
        <f>YEAR(Tabla2[[#This Row],[fecha]])</f>
        <v>2024</v>
      </c>
      <c r="D562" s="8">
        <f>MONTH(Tabla2[[#This Row],[fecha]])</f>
        <v>8</v>
      </c>
      <c r="E562" s="8" t="str">
        <f>TEXT(Tabla2[[#This Row],[fecha]], "mmmm")</f>
        <v>agosto</v>
      </c>
      <c r="F562" s="8" t="str">
        <f>"T"&amp;ROUNDUP(Tabla2[[#This Row],[mes]]/3,0)</f>
        <v>T3</v>
      </c>
      <c r="G562" t="s">
        <v>29</v>
      </c>
      <c r="H562" t="s">
        <v>30</v>
      </c>
      <c r="I562" s="8" t="str">
        <f>IF(Tabla2[[#This Row],[precio_unitario]]&lt;=30,"Económico",IF(Tabla2[[#This Row],[precio_unitario]]&lt;=58.49,"Accesible","Caro"))</f>
        <v>Económico</v>
      </c>
      <c r="J562" t="s">
        <v>26</v>
      </c>
      <c r="K562">
        <v>1</v>
      </c>
      <c r="L562" s="19">
        <v>22.93</v>
      </c>
      <c r="M562" s="19">
        <v>11.31</v>
      </c>
      <c r="N562" s="11">
        <v>0</v>
      </c>
      <c r="O562" s="17">
        <f t="shared" si="35"/>
        <v>22.93</v>
      </c>
      <c r="P562" s="17">
        <f t="shared" si="32"/>
        <v>11.31</v>
      </c>
      <c r="Q562" s="17">
        <f t="shared" si="33"/>
        <v>11.62</v>
      </c>
      <c r="R562" s="24">
        <f t="shared" si="34"/>
        <v>0.50675970344526822</v>
      </c>
      <c r="S562" t="s">
        <v>67</v>
      </c>
      <c r="T562" t="s">
        <v>60</v>
      </c>
    </row>
    <row r="563" spans="1:20" hidden="1">
      <c r="A563" t="s">
        <v>635</v>
      </c>
      <c r="B563" s="5">
        <v>45340</v>
      </c>
      <c r="C563" s="8">
        <f>YEAR(Tabla2[[#This Row],[fecha]])</f>
        <v>2024</v>
      </c>
      <c r="D563" s="8">
        <f>MONTH(Tabla2[[#This Row],[fecha]])</f>
        <v>2</v>
      </c>
      <c r="E563" s="8" t="str">
        <f>TEXT(Tabla2[[#This Row],[fecha]], "mmmm")</f>
        <v>febrero</v>
      </c>
      <c r="F563" s="8" t="str">
        <f>"T"&amp;ROUNDUP(Tabla2[[#This Row],[mes]]/3,0)</f>
        <v>T1</v>
      </c>
      <c r="G563" t="s">
        <v>47</v>
      </c>
      <c r="H563" t="s">
        <v>48</v>
      </c>
      <c r="I563" s="8" t="str">
        <f>IF(Tabla2[[#This Row],[precio_unitario]]&lt;=30,"Económico",IF(Tabla2[[#This Row],[precio_unitario]]&lt;=58.49,"Accesible","Caro"))</f>
        <v>Caro</v>
      </c>
      <c r="J563" t="s">
        <v>44</v>
      </c>
      <c r="K563">
        <v>1</v>
      </c>
      <c r="L563" s="19">
        <v>59.2</v>
      </c>
      <c r="M563" s="19">
        <v>33.1</v>
      </c>
      <c r="N563" s="11">
        <v>0</v>
      </c>
      <c r="O563" s="17">
        <f t="shared" si="35"/>
        <v>59.2</v>
      </c>
      <c r="P563" s="17">
        <f t="shared" si="32"/>
        <v>33.1</v>
      </c>
      <c r="Q563" s="17">
        <f t="shared" si="33"/>
        <v>26.1</v>
      </c>
      <c r="R563" s="24">
        <f t="shared" si="34"/>
        <v>0.4408783783783784</v>
      </c>
      <c r="S563" t="s">
        <v>540</v>
      </c>
      <c r="T563" t="s">
        <v>64</v>
      </c>
    </row>
    <row r="564" spans="1:20" hidden="1">
      <c r="A564" t="s">
        <v>636</v>
      </c>
      <c r="B564" s="5">
        <v>45588</v>
      </c>
      <c r="C564" s="8">
        <f>YEAR(Tabla2[[#This Row],[fecha]])</f>
        <v>2024</v>
      </c>
      <c r="D564" s="8">
        <f>MONTH(Tabla2[[#This Row],[fecha]])</f>
        <v>10</v>
      </c>
      <c r="E564" s="8" t="str">
        <f>TEXT(Tabla2[[#This Row],[fecha]], "mmmm")</f>
        <v>octubre</v>
      </c>
      <c r="F564" s="8" t="str">
        <f>"T"&amp;ROUNDUP(Tabla2[[#This Row],[mes]]/3,0)</f>
        <v>T4</v>
      </c>
      <c r="G564" t="s">
        <v>24</v>
      </c>
      <c r="H564" t="s">
        <v>25</v>
      </c>
      <c r="I564" s="8" t="str">
        <f>IF(Tabla2[[#This Row],[precio_unitario]]&lt;=30,"Económico",IF(Tabla2[[#This Row],[precio_unitario]]&lt;=58.49,"Accesible","Caro"))</f>
        <v>Económico</v>
      </c>
      <c r="J564" t="s">
        <v>26</v>
      </c>
      <c r="K564">
        <v>1</v>
      </c>
      <c r="L564" s="19">
        <v>7.86</v>
      </c>
      <c r="M564" s="19">
        <v>4.12</v>
      </c>
      <c r="N564" s="13">
        <v>0</v>
      </c>
      <c r="O564" s="17">
        <f t="shared" si="35"/>
        <v>7.86</v>
      </c>
      <c r="P564" s="17">
        <f t="shared" si="32"/>
        <v>4.12</v>
      </c>
      <c r="Q564" s="17">
        <f t="shared" si="33"/>
        <v>3.74</v>
      </c>
      <c r="R564" s="24">
        <f t="shared" si="34"/>
        <v>0.47582697201017815</v>
      </c>
      <c r="S564" t="s">
        <v>96</v>
      </c>
      <c r="T564" t="s">
        <v>64</v>
      </c>
    </row>
    <row r="565" spans="1:20" hidden="1">
      <c r="A565" t="s">
        <v>637</v>
      </c>
      <c r="B565" s="5">
        <v>45389</v>
      </c>
      <c r="C565" s="8">
        <f>YEAR(Tabla2[[#This Row],[fecha]])</f>
        <v>2024</v>
      </c>
      <c r="D565" s="8">
        <f>MONTH(Tabla2[[#This Row],[fecha]])</f>
        <v>4</v>
      </c>
      <c r="E565" s="8" t="str">
        <f>TEXT(Tabla2[[#This Row],[fecha]], "mmmm")</f>
        <v>abril</v>
      </c>
      <c r="F565" s="8" t="str">
        <f>"T"&amp;ROUNDUP(Tabla2[[#This Row],[mes]]/3,0)</f>
        <v>T2</v>
      </c>
      <c r="G565" t="s">
        <v>47</v>
      </c>
      <c r="H565" t="s">
        <v>48</v>
      </c>
      <c r="I565" s="8" t="str">
        <f>IF(Tabla2[[#This Row],[precio_unitario]]&lt;=30,"Económico",IF(Tabla2[[#This Row],[precio_unitario]]&lt;=58.49,"Accesible","Caro"))</f>
        <v>Caro</v>
      </c>
      <c r="J565" t="s">
        <v>44</v>
      </c>
      <c r="K565">
        <v>3</v>
      </c>
      <c r="L565" s="19">
        <v>58.73</v>
      </c>
      <c r="M565" s="19">
        <v>32.18</v>
      </c>
      <c r="N565" s="13">
        <v>0</v>
      </c>
      <c r="O565" s="17">
        <f t="shared" si="35"/>
        <v>176.19</v>
      </c>
      <c r="P565" s="17">
        <f t="shared" si="32"/>
        <v>96.539999999999992</v>
      </c>
      <c r="Q565" s="17">
        <f t="shared" si="33"/>
        <v>79.650000000000006</v>
      </c>
      <c r="R565" s="24">
        <f t="shared" si="34"/>
        <v>0.45206878937510647</v>
      </c>
      <c r="S565" t="s">
        <v>83</v>
      </c>
      <c r="T565" t="s">
        <v>60</v>
      </c>
    </row>
    <row r="566" spans="1:20" hidden="1">
      <c r="A566" t="s">
        <v>638</v>
      </c>
      <c r="B566" s="5">
        <v>45572</v>
      </c>
      <c r="C566" s="8">
        <f>YEAR(Tabla2[[#This Row],[fecha]])</f>
        <v>2024</v>
      </c>
      <c r="D566" s="8">
        <f>MONTH(Tabla2[[#This Row],[fecha]])</f>
        <v>10</v>
      </c>
      <c r="E566" s="8" t="str">
        <f>TEXT(Tabla2[[#This Row],[fecha]], "mmmm")</f>
        <v>octubre</v>
      </c>
      <c r="F566" s="8" t="str">
        <f>"T"&amp;ROUNDUP(Tabla2[[#This Row],[mes]]/3,0)</f>
        <v>T4</v>
      </c>
      <c r="G566" t="s">
        <v>20</v>
      </c>
      <c r="H566" t="s">
        <v>21</v>
      </c>
      <c r="I566" s="8" t="str">
        <f>IF(Tabla2[[#This Row],[precio_unitario]]&lt;=30,"Económico",IF(Tabla2[[#This Row],[precio_unitario]]&lt;=58.49,"Accesible","Caro"))</f>
        <v>Económico</v>
      </c>
      <c r="J566" t="s">
        <v>17</v>
      </c>
      <c r="K566">
        <v>2</v>
      </c>
      <c r="L566" s="19">
        <v>20.43</v>
      </c>
      <c r="M566" s="19">
        <v>12.57</v>
      </c>
      <c r="N566" s="11">
        <v>0</v>
      </c>
      <c r="O566" s="17">
        <f t="shared" si="35"/>
        <v>40.86</v>
      </c>
      <c r="P566" s="17">
        <f t="shared" si="32"/>
        <v>25.14</v>
      </c>
      <c r="Q566" s="17">
        <f t="shared" si="33"/>
        <v>15.719999999999999</v>
      </c>
      <c r="R566" s="24">
        <f t="shared" si="34"/>
        <v>0.38472834067547723</v>
      </c>
      <c r="S566" t="s">
        <v>67</v>
      </c>
      <c r="T566" t="s">
        <v>64</v>
      </c>
    </row>
    <row r="567" spans="1:20" hidden="1">
      <c r="A567" t="s">
        <v>639</v>
      </c>
      <c r="B567" s="5">
        <v>45530</v>
      </c>
      <c r="C567" s="8">
        <f>YEAR(Tabla2[[#This Row],[fecha]])</f>
        <v>2024</v>
      </c>
      <c r="D567" s="8">
        <f>MONTH(Tabla2[[#This Row],[fecha]])</f>
        <v>8</v>
      </c>
      <c r="E567" s="8" t="str">
        <f>TEXT(Tabla2[[#This Row],[fecha]], "mmmm")</f>
        <v>agosto</v>
      </c>
      <c r="F567" s="8" t="str">
        <f>"T"&amp;ROUNDUP(Tabla2[[#This Row],[mes]]/3,0)</f>
        <v>T3</v>
      </c>
      <c r="G567" t="s">
        <v>9</v>
      </c>
      <c r="H567" t="s">
        <v>10</v>
      </c>
      <c r="I567" s="8" t="str">
        <f>IF(Tabla2[[#This Row],[precio_unitario]]&lt;=30,"Económico",IF(Tabla2[[#This Row],[precio_unitario]]&lt;=58.49,"Accesible","Caro"))</f>
        <v>Caro</v>
      </c>
      <c r="J567" t="s">
        <v>8</v>
      </c>
      <c r="K567">
        <v>5</v>
      </c>
      <c r="L567" s="19">
        <v>74.739999999999995</v>
      </c>
      <c r="M567" s="19">
        <v>45.07</v>
      </c>
      <c r="N567" s="11">
        <v>0</v>
      </c>
      <c r="O567" s="17">
        <f t="shared" si="35"/>
        <v>373.7</v>
      </c>
      <c r="P567" s="17">
        <f t="shared" si="32"/>
        <v>225.35</v>
      </c>
      <c r="Q567" s="17">
        <f t="shared" si="33"/>
        <v>148.35</v>
      </c>
      <c r="R567" s="24">
        <f t="shared" si="34"/>
        <v>0.39697618410489699</v>
      </c>
      <c r="S567" t="s">
        <v>67</v>
      </c>
      <c r="T567" t="s">
        <v>60</v>
      </c>
    </row>
    <row r="568" spans="1:20" hidden="1">
      <c r="A568" t="s">
        <v>640</v>
      </c>
      <c r="B568" s="5">
        <v>45339</v>
      </c>
      <c r="C568" s="8">
        <f>YEAR(Tabla2[[#This Row],[fecha]])</f>
        <v>2024</v>
      </c>
      <c r="D568" s="8">
        <f>MONTH(Tabla2[[#This Row],[fecha]])</f>
        <v>2</v>
      </c>
      <c r="E568" s="8" t="str">
        <f>TEXT(Tabla2[[#This Row],[fecha]], "mmmm")</f>
        <v>febrero</v>
      </c>
      <c r="F568" s="8" t="str">
        <f>"T"&amp;ROUNDUP(Tabla2[[#This Row],[mes]]/3,0)</f>
        <v>T1</v>
      </c>
      <c r="G568" t="s">
        <v>22</v>
      </c>
      <c r="H568" t="s">
        <v>23</v>
      </c>
      <c r="I568" s="8" t="str">
        <f>IF(Tabla2[[#This Row],[precio_unitario]]&lt;=30,"Económico",IF(Tabla2[[#This Row],[precio_unitario]]&lt;=58.49,"Accesible","Caro"))</f>
        <v>Caro</v>
      </c>
      <c r="J568" t="s">
        <v>17</v>
      </c>
      <c r="K568">
        <v>1</v>
      </c>
      <c r="L568" s="19">
        <v>104.75</v>
      </c>
      <c r="M568" s="19">
        <v>56.21</v>
      </c>
      <c r="N568" s="11">
        <v>0.18</v>
      </c>
      <c r="O568" s="17">
        <f t="shared" si="35"/>
        <v>85.89500000000001</v>
      </c>
      <c r="P568" s="17">
        <f t="shared" si="32"/>
        <v>56.21</v>
      </c>
      <c r="Q568" s="17">
        <f t="shared" si="33"/>
        <v>29.685000000000009</v>
      </c>
      <c r="R568" s="24">
        <f t="shared" si="34"/>
        <v>0.34559636765818741</v>
      </c>
      <c r="S568" t="s">
        <v>63</v>
      </c>
      <c r="T568" t="s">
        <v>64</v>
      </c>
    </row>
    <row r="569" spans="1:20" hidden="1">
      <c r="A569" t="s">
        <v>641</v>
      </c>
      <c r="B569" s="5">
        <v>45688</v>
      </c>
      <c r="C569" s="8">
        <f>YEAR(Tabla2[[#This Row],[fecha]])</f>
        <v>2025</v>
      </c>
      <c r="D569" s="8">
        <f>MONTH(Tabla2[[#This Row],[fecha]])</f>
        <v>1</v>
      </c>
      <c r="E569" s="8" t="str">
        <f>TEXT(Tabla2[[#This Row],[fecha]], "mmmm")</f>
        <v>enero</v>
      </c>
      <c r="F569" s="8" t="str">
        <f>"T"&amp;ROUNDUP(Tabla2[[#This Row],[mes]]/3,0)</f>
        <v>T1</v>
      </c>
      <c r="G569" t="s">
        <v>27</v>
      </c>
      <c r="H569" t="s">
        <v>28</v>
      </c>
      <c r="I569" s="8" t="str">
        <f>IF(Tabla2[[#This Row],[precio_unitario]]&lt;=30,"Económico",IF(Tabla2[[#This Row],[precio_unitario]]&lt;=58.49,"Accesible","Caro"))</f>
        <v>Económico</v>
      </c>
      <c r="J569" t="s">
        <v>26</v>
      </c>
      <c r="K569">
        <v>1</v>
      </c>
      <c r="L569" s="19">
        <v>15.5</v>
      </c>
      <c r="M569" s="19">
        <v>11.32</v>
      </c>
      <c r="N569" s="11">
        <v>0</v>
      </c>
      <c r="O569" s="17">
        <f t="shared" si="35"/>
        <v>15.5</v>
      </c>
      <c r="P569" s="17">
        <f t="shared" si="32"/>
        <v>11.32</v>
      </c>
      <c r="Q569" s="17">
        <f t="shared" si="33"/>
        <v>4.18</v>
      </c>
      <c r="R569" s="24">
        <f t="shared" si="34"/>
        <v>0.26967741935483869</v>
      </c>
      <c r="S569" t="s">
        <v>83</v>
      </c>
      <c r="T569" t="s">
        <v>64</v>
      </c>
    </row>
    <row r="570" spans="1:20" hidden="1">
      <c r="A570" t="s">
        <v>642</v>
      </c>
      <c r="B570" s="5">
        <v>45597</v>
      </c>
      <c r="C570" s="8">
        <f>YEAR(Tabla2[[#This Row],[fecha]])</f>
        <v>2024</v>
      </c>
      <c r="D570" s="8">
        <f>MONTH(Tabla2[[#This Row],[fecha]])</f>
        <v>11</v>
      </c>
      <c r="E570" s="8" t="str">
        <f>TEXT(Tabla2[[#This Row],[fecha]], "mmmm")</f>
        <v>noviembre</v>
      </c>
      <c r="F570" s="8" t="str">
        <f>"T"&amp;ROUNDUP(Tabla2[[#This Row],[mes]]/3,0)</f>
        <v>T4</v>
      </c>
      <c r="G570" t="s">
        <v>33</v>
      </c>
      <c r="H570" t="s">
        <v>34</v>
      </c>
      <c r="I570" s="8" t="str">
        <f>IF(Tabla2[[#This Row],[precio_unitario]]&lt;=30,"Económico",IF(Tabla2[[#This Row],[precio_unitario]]&lt;=58.49,"Accesible","Caro"))</f>
        <v>Caro</v>
      </c>
      <c r="J570" t="s">
        <v>35</v>
      </c>
      <c r="K570">
        <v>3</v>
      </c>
      <c r="L570" s="19">
        <v>73.89</v>
      </c>
      <c r="M570" s="19">
        <v>47.8</v>
      </c>
      <c r="N570" s="13">
        <v>0</v>
      </c>
      <c r="O570" s="17">
        <f t="shared" si="35"/>
        <v>221.67000000000002</v>
      </c>
      <c r="P570" s="17">
        <f t="shared" si="32"/>
        <v>143.39999999999998</v>
      </c>
      <c r="Q570" s="17">
        <f t="shared" si="33"/>
        <v>78.270000000000039</v>
      </c>
      <c r="R570" s="24">
        <f t="shared" si="34"/>
        <v>0.35309243470023022</v>
      </c>
      <c r="S570" t="s">
        <v>96</v>
      </c>
      <c r="T570" t="s">
        <v>60</v>
      </c>
    </row>
    <row r="571" spans="1:20" hidden="1">
      <c r="A571" t="s">
        <v>643</v>
      </c>
      <c r="B571" s="5">
        <v>45678</v>
      </c>
      <c r="C571" s="8">
        <f>YEAR(Tabla2[[#This Row],[fecha]])</f>
        <v>2025</v>
      </c>
      <c r="D571" s="8">
        <f>MONTH(Tabla2[[#This Row],[fecha]])</f>
        <v>1</v>
      </c>
      <c r="E571" s="8" t="str">
        <f>TEXT(Tabla2[[#This Row],[fecha]], "mmmm")</f>
        <v>enero</v>
      </c>
      <c r="F571" s="8" t="str">
        <f>"T"&amp;ROUNDUP(Tabla2[[#This Row],[mes]]/3,0)</f>
        <v>T1</v>
      </c>
      <c r="G571" t="s">
        <v>33</v>
      </c>
      <c r="H571" t="s">
        <v>34</v>
      </c>
      <c r="I571" s="8" t="str">
        <f>IF(Tabla2[[#This Row],[precio_unitario]]&lt;=30,"Económico",IF(Tabla2[[#This Row],[precio_unitario]]&lt;=58.49,"Accesible","Caro"))</f>
        <v>Caro</v>
      </c>
      <c r="J571" t="s">
        <v>35</v>
      </c>
      <c r="K571">
        <v>2</v>
      </c>
      <c r="L571" s="19">
        <v>76.05</v>
      </c>
      <c r="M571" s="19">
        <v>49.51</v>
      </c>
      <c r="N571" s="11">
        <v>0</v>
      </c>
      <c r="O571" s="17">
        <f t="shared" si="35"/>
        <v>152.1</v>
      </c>
      <c r="P571" s="17">
        <f t="shared" si="32"/>
        <v>99.02</v>
      </c>
      <c r="Q571" s="17">
        <f t="shared" si="33"/>
        <v>53.08</v>
      </c>
      <c r="R571" s="24">
        <f t="shared" si="34"/>
        <v>0.34898093359631821</v>
      </c>
      <c r="S571" t="s">
        <v>83</v>
      </c>
      <c r="T571" t="s">
        <v>64</v>
      </c>
    </row>
    <row r="572" spans="1:20" hidden="1">
      <c r="A572" t="s">
        <v>644</v>
      </c>
      <c r="B572" s="5">
        <v>45920</v>
      </c>
      <c r="C572" s="8">
        <f>YEAR(Tabla2[[#This Row],[fecha]])</f>
        <v>2025</v>
      </c>
      <c r="D572" s="8">
        <f>MONTH(Tabla2[[#This Row],[fecha]])</f>
        <v>9</v>
      </c>
      <c r="E572" s="8" t="str">
        <f>TEXT(Tabla2[[#This Row],[fecha]], "mmmm")</f>
        <v>septiembre</v>
      </c>
      <c r="F572" s="8" t="str">
        <f>"T"&amp;ROUNDUP(Tabla2[[#This Row],[mes]]/3,0)</f>
        <v>T3</v>
      </c>
      <c r="G572" t="s">
        <v>27</v>
      </c>
      <c r="H572" t="s">
        <v>28</v>
      </c>
      <c r="I572" s="8" t="str">
        <f>IF(Tabla2[[#This Row],[precio_unitario]]&lt;=30,"Económico",IF(Tabla2[[#This Row],[precio_unitario]]&lt;=58.49,"Accesible","Caro"))</f>
        <v>Económico</v>
      </c>
      <c r="J572" t="s">
        <v>26</v>
      </c>
      <c r="K572">
        <v>1</v>
      </c>
      <c r="L572" s="19">
        <v>16.78</v>
      </c>
      <c r="M572" s="21">
        <f>INDEX(Tabla3[coste_objetivo], MATCH(Tabla2[[#This Row],[id_producto]], Tabla3[id_producto],0))</f>
        <v>11.44</v>
      </c>
      <c r="N572" s="11">
        <v>0</v>
      </c>
      <c r="O572" s="17">
        <f t="shared" si="35"/>
        <v>16.78</v>
      </c>
      <c r="P572" s="17">
        <f t="shared" si="32"/>
        <v>11.44</v>
      </c>
      <c r="Q572" s="17">
        <f t="shared" si="33"/>
        <v>5.3400000000000016</v>
      </c>
      <c r="R572" s="24">
        <f t="shared" si="34"/>
        <v>0.31823599523241963</v>
      </c>
      <c r="S572" t="s">
        <v>83</v>
      </c>
      <c r="T572" t="s">
        <v>60</v>
      </c>
    </row>
    <row r="573" spans="1:20" hidden="1">
      <c r="A573" t="s">
        <v>645</v>
      </c>
      <c r="B573" s="5">
        <v>45654</v>
      </c>
      <c r="C573" s="8">
        <f>YEAR(Tabla2[[#This Row],[fecha]])</f>
        <v>2024</v>
      </c>
      <c r="D573" s="8">
        <f>MONTH(Tabla2[[#This Row],[fecha]])</f>
        <v>12</v>
      </c>
      <c r="E573" s="8" t="str">
        <f>TEXT(Tabla2[[#This Row],[fecha]], "mmmm")</f>
        <v>diciembre</v>
      </c>
      <c r="F573" s="8" t="str">
        <f>"T"&amp;ROUNDUP(Tabla2[[#This Row],[mes]]/3,0)</f>
        <v>T4</v>
      </c>
      <c r="G573" t="s">
        <v>29</v>
      </c>
      <c r="H573" t="s">
        <v>30</v>
      </c>
      <c r="I573" s="8" t="str">
        <f>IF(Tabla2[[#This Row],[precio_unitario]]&lt;=30,"Económico",IF(Tabla2[[#This Row],[precio_unitario]]&lt;=58.49,"Accesible","Caro"))</f>
        <v>Económico</v>
      </c>
      <c r="J573" t="s">
        <v>26</v>
      </c>
      <c r="K573">
        <v>2</v>
      </c>
      <c r="L573" s="19">
        <v>20.36</v>
      </c>
      <c r="M573" s="19">
        <v>11.52</v>
      </c>
      <c r="N573" s="11">
        <v>0.08</v>
      </c>
      <c r="O573" s="17">
        <f t="shared" si="35"/>
        <v>37.462400000000002</v>
      </c>
      <c r="P573" s="17">
        <f t="shared" si="32"/>
        <v>23.04</v>
      </c>
      <c r="Q573" s="17">
        <f t="shared" si="33"/>
        <v>14.422400000000003</v>
      </c>
      <c r="R573" s="24">
        <f t="shared" si="34"/>
        <v>0.38498334329888106</v>
      </c>
      <c r="S573" t="s">
        <v>67</v>
      </c>
      <c r="T573" t="s">
        <v>60</v>
      </c>
    </row>
    <row r="574" spans="1:20" hidden="1">
      <c r="A574" t="s">
        <v>646</v>
      </c>
      <c r="B574" s="5">
        <v>45689</v>
      </c>
      <c r="C574" s="8">
        <f>YEAR(Tabla2[[#This Row],[fecha]])</f>
        <v>2025</v>
      </c>
      <c r="D574" s="8">
        <f>MONTH(Tabla2[[#This Row],[fecha]])</f>
        <v>2</v>
      </c>
      <c r="E574" s="8" t="str">
        <f>TEXT(Tabla2[[#This Row],[fecha]], "mmmm")</f>
        <v>febrero</v>
      </c>
      <c r="F574" s="8" t="str">
        <f>"T"&amp;ROUNDUP(Tabla2[[#This Row],[mes]]/3,0)</f>
        <v>T1</v>
      </c>
      <c r="G574" t="s">
        <v>11</v>
      </c>
      <c r="H574" t="s">
        <v>12</v>
      </c>
      <c r="I574" s="8" t="str">
        <f>IF(Tabla2[[#This Row],[precio_unitario]]&lt;=30,"Económico",IF(Tabla2[[#This Row],[precio_unitario]]&lt;=58.49,"Accesible","Caro"))</f>
        <v>Caro</v>
      </c>
      <c r="J574" t="s">
        <v>8</v>
      </c>
      <c r="K574">
        <v>1</v>
      </c>
      <c r="L574" s="20">
        <f>INDEX(Tabla3[precio_venta_recomendado], MATCH(Tabla2[[#This Row],[id_producto]], Tabla3[id_producto], 0))</f>
        <v>177.72</v>
      </c>
      <c r="M574" s="19">
        <v>93.12</v>
      </c>
      <c r="N574" s="11">
        <v>0</v>
      </c>
      <c r="O574" s="17">
        <f t="shared" si="35"/>
        <v>177.72</v>
      </c>
      <c r="P574" s="17">
        <f t="shared" si="32"/>
        <v>93.12</v>
      </c>
      <c r="Q574" s="17">
        <f t="shared" si="33"/>
        <v>84.6</v>
      </c>
      <c r="R574" s="24">
        <f t="shared" si="34"/>
        <v>0.47602970965563807</v>
      </c>
      <c r="S574" t="s">
        <v>83</v>
      </c>
      <c r="T574" t="s">
        <v>64</v>
      </c>
    </row>
    <row r="575" spans="1:20">
      <c r="A575" t="s">
        <v>647</v>
      </c>
      <c r="B575" s="5">
        <v>45810</v>
      </c>
      <c r="C575" s="8">
        <f>YEAR(Tabla2[[#This Row],[fecha]])</f>
        <v>2025</v>
      </c>
      <c r="D575" s="8">
        <f>MONTH(Tabla2[[#This Row],[fecha]])</f>
        <v>6</v>
      </c>
      <c r="E575" s="8" t="str">
        <f>TEXT(Tabla2[[#This Row],[fecha]], "mmmm")</f>
        <v>junio</v>
      </c>
      <c r="F575" s="8" t="str">
        <f>"T"&amp;ROUNDUP(Tabla2[[#This Row],[mes]]/3,0)</f>
        <v>T2</v>
      </c>
      <c r="G575" t="s">
        <v>36</v>
      </c>
      <c r="H575" t="s">
        <v>37</v>
      </c>
      <c r="I575" s="8" t="str">
        <f>IF(Tabla2[[#This Row],[precio_unitario]]&lt;=30,"Económico",IF(Tabla2[[#This Row],[precio_unitario]]&lt;=58.49,"Accesible","Caro"))</f>
        <v>Económico</v>
      </c>
      <c r="J575" t="s">
        <v>35</v>
      </c>
      <c r="K575">
        <v>1</v>
      </c>
      <c r="L575" s="19">
        <v>14.77</v>
      </c>
      <c r="M575" s="19">
        <v>10.02</v>
      </c>
      <c r="N575" s="11">
        <v>0</v>
      </c>
      <c r="O575" s="17">
        <f t="shared" si="35"/>
        <v>14.77</v>
      </c>
      <c r="P575" s="17">
        <f t="shared" si="32"/>
        <v>10.02</v>
      </c>
      <c r="Q575" s="17">
        <f t="shared" si="33"/>
        <v>4.75</v>
      </c>
      <c r="R575" s="24">
        <f t="shared" si="34"/>
        <v>0.32159783344617471</v>
      </c>
      <c r="S575" t="s">
        <v>67</v>
      </c>
      <c r="T575" t="s">
        <v>60</v>
      </c>
    </row>
    <row r="576" spans="1:20" hidden="1">
      <c r="A576" t="s">
        <v>648</v>
      </c>
      <c r="B576" s="5">
        <v>45500</v>
      </c>
      <c r="C576" s="8">
        <f>YEAR(Tabla2[[#This Row],[fecha]])</f>
        <v>2024</v>
      </c>
      <c r="D576" s="8">
        <f>MONTH(Tabla2[[#This Row],[fecha]])</f>
        <v>7</v>
      </c>
      <c r="E576" s="8" t="str">
        <f>TEXT(Tabla2[[#This Row],[fecha]], "mmmm")</f>
        <v>julio</v>
      </c>
      <c r="F576" s="8" t="str">
        <f>"T"&amp;ROUNDUP(Tabla2[[#This Row],[mes]]/3,0)</f>
        <v>T3</v>
      </c>
      <c r="G576" t="s">
        <v>29</v>
      </c>
      <c r="H576" t="s">
        <v>30</v>
      </c>
      <c r="I576" s="8" t="str">
        <f>IF(Tabla2[[#This Row],[precio_unitario]]&lt;=30,"Económico",IF(Tabla2[[#This Row],[precio_unitario]]&lt;=58.49,"Accesible","Caro"))</f>
        <v>Económico</v>
      </c>
      <c r="J576" t="s">
        <v>26</v>
      </c>
      <c r="K576">
        <v>3</v>
      </c>
      <c r="L576" s="19">
        <v>20.29</v>
      </c>
      <c r="M576" s="19">
        <v>11.13</v>
      </c>
      <c r="N576" s="11">
        <v>0</v>
      </c>
      <c r="O576" s="17">
        <f t="shared" si="35"/>
        <v>60.87</v>
      </c>
      <c r="P576" s="17">
        <f t="shared" si="32"/>
        <v>33.39</v>
      </c>
      <c r="Q576" s="17">
        <f t="shared" si="33"/>
        <v>27.479999999999997</v>
      </c>
      <c r="R576" s="24">
        <f t="shared" si="34"/>
        <v>0.45145391818629865</v>
      </c>
      <c r="S576" t="s">
        <v>67</v>
      </c>
      <c r="T576" t="s">
        <v>60</v>
      </c>
    </row>
    <row r="577" spans="1:20" hidden="1">
      <c r="A577" t="s">
        <v>649</v>
      </c>
      <c r="B577" s="5">
        <v>45503</v>
      </c>
      <c r="C577" s="8">
        <f>YEAR(Tabla2[[#This Row],[fecha]])</f>
        <v>2024</v>
      </c>
      <c r="D577" s="8">
        <f>MONTH(Tabla2[[#This Row],[fecha]])</f>
        <v>7</v>
      </c>
      <c r="E577" s="8" t="str">
        <f>TEXT(Tabla2[[#This Row],[fecha]], "mmmm")</f>
        <v>julio</v>
      </c>
      <c r="F577" s="8" t="str">
        <f>"T"&amp;ROUNDUP(Tabla2[[#This Row],[mes]]/3,0)</f>
        <v>T3</v>
      </c>
      <c r="G577" t="s">
        <v>38</v>
      </c>
      <c r="H577" t="s">
        <v>39</v>
      </c>
      <c r="I577" s="8" t="str">
        <f>IF(Tabla2[[#This Row],[precio_unitario]]&lt;=30,"Económico",IF(Tabla2[[#This Row],[precio_unitario]]&lt;=58.49,"Accesible","Caro"))</f>
        <v>Caro</v>
      </c>
      <c r="J577" t="s">
        <v>35</v>
      </c>
      <c r="K577">
        <v>1</v>
      </c>
      <c r="L577" s="19">
        <v>77.58</v>
      </c>
      <c r="M577" s="19">
        <v>41.11</v>
      </c>
      <c r="N577" s="13">
        <v>0</v>
      </c>
      <c r="O577" s="17">
        <f t="shared" si="35"/>
        <v>77.58</v>
      </c>
      <c r="P577" s="17">
        <f t="shared" si="32"/>
        <v>41.11</v>
      </c>
      <c r="Q577" s="17">
        <f t="shared" si="33"/>
        <v>36.47</v>
      </c>
      <c r="R577" s="24">
        <f t="shared" si="34"/>
        <v>0.47009538540861046</v>
      </c>
      <c r="S577" t="s">
        <v>67</v>
      </c>
      <c r="T577" t="s">
        <v>64</v>
      </c>
    </row>
    <row r="578" spans="1:20" hidden="1">
      <c r="A578" t="s">
        <v>650</v>
      </c>
      <c r="B578" s="5">
        <v>45729</v>
      </c>
      <c r="C578" s="8">
        <f>YEAR(Tabla2[[#This Row],[fecha]])</f>
        <v>2025</v>
      </c>
      <c r="D578" s="8">
        <f>MONTH(Tabla2[[#This Row],[fecha]])</f>
        <v>3</v>
      </c>
      <c r="E578" s="8" t="str">
        <f>TEXT(Tabla2[[#This Row],[fecha]], "mmmm")</f>
        <v>marzo</v>
      </c>
      <c r="F578" s="8" t="str">
        <f>"T"&amp;ROUNDUP(Tabla2[[#This Row],[mes]]/3,0)</f>
        <v>T1</v>
      </c>
      <c r="G578" t="s">
        <v>31</v>
      </c>
      <c r="H578" t="s">
        <v>32</v>
      </c>
      <c r="I578" s="8" t="str">
        <f>IF(Tabla2[[#This Row],[precio_unitario]]&lt;=30,"Económico",IF(Tabla2[[#This Row],[precio_unitario]]&lt;=58.49,"Accesible","Caro"))</f>
        <v>Económico</v>
      </c>
      <c r="J578" t="s">
        <v>26</v>
      </c>
      <c r="K578">
        <v>2</v>
      </c>
      <c r="L578" s="19">
        <v>8.08</v>
      </c>
      <c r="M578" s="19">
        <v>5.92</v>
      </c>
      <c r="N578" s="13">
        <v>0</v>
      </c>
      <c r="O578" s="17">
        <f t="shared" si="35"/>
        <v>16.16</v>
      </c>
      <c r="P578" s="17">
        <f t="shared" ref="P578:P641" si="36">M578*K578</f>
        <v>11.84</v>
      </c>
      <c r="Q578" s="17">
        <f t="shared" ref="Q578:Q641" si="37">O578-P578</f>
        <v>4.32</v>
      </c>
      <c r="R578" s="24">
        <f t="shared" ref="R578:R641" si="38">IFERROR(Q578/O578,0)</f>
        <v>0.26732673267326734</v>
      </c>
      <c r="S578" t="s">
        <v>540</v>
      </c>
      <c r="T578" t="s">
        <v>64</v>
      </c>
    </row>
    <row r="579" spans="1:20">
      <c r="A579" t="s">
        <v>651</v>
      </c>
      <c r="B579" s="5">
        <v>45847</v>
      </c>
      <c r="C579" s="8">
        <f>YEAR(Tabla2[[#This Row],[fecha]])</f>
        <v>2025</v>
      </c>
      <c r="D579" s="8">
        <f>MONTH(Tabla2[[#This Row],[fecha]])</f>
        <v>7</v>
      </c>
      <c r="E579" s="8" t="str">
        <f>TEXT(Tabla2[[#This Row],[fecha]], "mmmm")</f>
        <v>julio</v>
      </c>
      <c r="F579" s="8" t="str">
        <f>"T"&amp;ROUNDUP(Tabla2[[#This Row],[mes]]/3,0)</f>
        <v>T3</v>
      </c>
      <c r="G579" t="s">
        <v>31</v>
      </c>
      <c r="H579" t="s">
        <v>32</v>
      </c>
      <c r="I579" s="8" t="str">
        <f>IF(Tabla2[[#This Row],[precio_unitario]]&lt;=30,"Económico",IF(Tabla2[[#This Row],[precio_unitario]]&lt;=58.49,"Accesible","Caro"))</f>
        <v>Económico</v>
      </c>
      <c r="J579" t="s">
        <v>26</v>
      </c>
      <c r="K579">
        <v>1</v>
      </c>
      <c r="L579" s="19">
        <v>8.84</v>
      </c>
      <c r="M579" s="19">
        <v>6.02</v>
      </c>
      <c r="N579" s="11">
        <v>0.12</v>
      </c>
      <c r="O579" s="17">
        <f t="shared" ref="O579:O642" si="39">K579*L579*(1-N579)</f>
        <v>7.7792000000000003</v>
      </c>
      <c r="P579" s="17">
        <f t="shared" si="36"/>
        <v>6.02</v>
      </c>
      <c r="Q579" s="17">
        <f t="shared" si="37"/>
        <v>1.7592000000000008</v>
      </c>
      <c r="R579" s="24">
        <f t="shared" si="38"/>
        <v>0.22614150555327034</v>
      </c>
      <c r="S579" t="s">
        <v>67</v>
      </c>
      <c r="T579" t="s">
        <v>64</v>
      </c>
    </row>
    <row r="580" spans="1:20" hidden="1">
      <c r="A580" t="s">
        <v>652</v>
      </c>
      <c r="B580" s="5">
        <v>45370</v>
      </c>
      <c r="C580" s="8">
        <f>YEAR(Tabla2[[#This Row],[fecha]])</f>
        <v>2024</v>
      </c>
      <c r="D580" s="8">
        <f>MONTH(Tabla2[[#This Row],[fecha]])</f>
        <v>3</v>
      </c>
      <c r="E580" s="8" t="str">
        <f>TEXT(Tabla2[[#This Row],[fecha]], "mmmm")</f>
        <v>marzo</v>
      </c>
      <c r="F580" s="8" t="str">
        <f>"T"&amp;ROUNDUP(Tabla2[[#This Row],[mes]]/3,0)</f>
        <v>T1</v>
      </c>
      <c r="G580" t="s">
        <v>15</v>
      </c>
      <c r="H580" t="s">
        <v>16</v>
      </c>
      <c r="I580" s="8" t="str">
        <f>IF(Tabla2[[#This Row],[precio_unitario]]&lt;=30,"Económico",IF(Tabla2[[#This Row],[precio_unitario]]&lt;=58.49,"Accesible","Caro"))</f>
        <v>Caro</v>
      </c>
      <c r="J580" t="s">
        <v>17</v>
      </c>
      <c r="K580">
        <v>1</v>
      </c>
      <c r="L580" s="19">
        <v>62.6</v>
      </c>
      <c r="M580" s="19">
        <v>42.84</v>
      </c>
      <c r="N580" s="11">
        <v>0</v>
      </c>
      <c r="O580" s="17">
        <f t="shared" si="39"/>
        <v>62.6</v>
      </c>
      <c r="P580" s="17">
        <f t="shared" si="36"/>
        <v>42.84</v>
      </c>
      <c r="Q580" s="17">
        <f t="shared" si="37"/>
        <v>19.759999999999998</v>
      </c>
      <c r="R580" s="24">
        <f t="shared" si="38"/>
        <v>0.31565495207667726</v>
      </c>
      <c r="S580" t="s">
        <v>67</v>
      </c>
      <c r="T580" t="s">
        <v>64</v>
      </c>
    </row>
    <row r="581" spans="1:20" hidden="1">
      <c r="A581" t="s">
        <v>653</v>
      </c>
      <c r="B581" s="5">
        <v>45476</v>
      </c>
      <c r="C581" s="8">
        <f>YEAR(Tabla2[[#This Row],[fecha]])</f>
        <v>2024</v>
      </c>
      <c r="D581" s="8">
        <f>MONTH(Tabla2[[#This Row],[fecha]])</f>
        <v>7</v>
      </c>
      <c r="E581" s="8" t="str">
        <f>TEXT(Tabla2[[#This Row],[fecha]], "mmmm")</f>
        <v>julio</v>
      </c>
      <c r="F581" s="8" t="str">
        <f>"T"&amp;ROUNDUP(Tabla2[[#This Row],[mes]]/3,0)</f>
        <v>T3</v>
      </c>
      <c r="G581" t="s">
        <v>20</v>
      </c>
      <c r="H581" t="s">
        <v>21</v>
      </c>
      <c r="I581" s="8" t="str">
        <f>IF(Tabla2[[#This Row],[precio_unitario]]&lt;=30,"Económico",IF(Tabla2[[#This Row],[precio_unitario]]&lt;=58.49,"Accesible","Caro"))</f>
        <v>Económico</v>
      </c>
      <c r="J581" t="s">
        <v>17</v>
      </c>
      <c r="K581">
        <v>4</v>
      </c>
      <c r="L581" s="19">
        <v>20.8</v>
      </c>
      <c r="M581" s="19">
        <v>12.74</v>
      </c>
      <c r="N581" s="11">
        <v>0.17</v>
      </c>
      <c r="O581" s="17">
        <f t="shared" si="39"/>
        <v>69.055999999999997</v>
      </c>
      <c r="P581" s="17">
        <f t="shared" si="36"/>
        <v>50.96</v>
      </c>
      <c r="Q581" s="17">
        <f t="shared" si="37"/>
        <v>18.095999999999997</v>
      </c>
      <c r="R581" s="24">
        <f t="shared" si="38"/>
        <v>0.26204819277108432</v>
      </c>
      <c r="S581" t="s">
        <v>540</v>
      </c>
      <c r="T581" t="s">
        <v>64</v>
      </c>
    </row>
    <row r="582" spans="1:20" hidden="1">
      <c r="A582" t="s">
        <v>654</v>
      </c>
      <c r="B582" s="5">
        <v>45521</v>
      </c>
      <c r="C582" s="8">
        <f>YEAR(Tabla2[[#This Row],[fecha]])</f>
        <v>2024</v>
      </c>
      <c r="D582" s="8">
        <f>MONTH(Tabla2[[#This Row],[fecha]])</f>
        <v>8</v>
      </c>
      <c r="E582" s="8" t="str">
        <f>TEXT(Tabla2[[#This Row],[fecha]], "mmmm")</f>
        <v>agosto</v>
      </c>
      <c r="F582" s="8" t="str">
        <f>"T"&amp;ROUNDUP(Tabla2[[#This Row],[mes]]/3,0)</f>
        <v>T3</v>
      </c>
      <c r="G582" t="s">
        <v>45</v>
      </c>
      <c r="H582" t="s">
        <v>46</v>
      </c>
      <c r="I582" s="8" t="str">
        <f>IF(Tabla2[[#This Row],[precio_unitario]]&lt;=30,"Económico",IF(Tabla2[[#This Row],[precio_unitario]]&lt;=58.49,"Accesible","Caro"))</f>
        <v>Accesible</v>
      </c>
      <c r="J582" t="s">
        <v>44</v>
      </c>
      <c r="K582">
        <v>1</v>
      </c>
      <c r="L582" s="19">
        <v>30.9</v>
      </c>
      <c r="M582" s="19">
        <v>17.2</v>
      </c>
      <c r="N582" s="11">
        <v>0</v>
      </c>
      <c r="O582" s="17">
        <f t="shared" si="39"/>
        <v>30.9</v>
      </c>
      <c r="P582" s="17">
        <f t="shared" si="36"/>
        <v>17.2</v>
      </c>
      <c r="Q582" s="17">
        <f t="shared" si="37"/>
        <v>13.7</v>
      </c>
      <c r="R582" s="24">
        <f t="shared" si="38"/>
        <v>0.44336569579288027</v>
      </c>
      <c r="S582" t="s">
        <v>540</v>
      </c>
      <c r="T582" t="s">
        <v>64</v>
      </c>
    </row>
    <row r="583" spans="1:20" hidden="1">
      <c r="A583" t="s">
        <v>655</v>
      </c>
      <c r="B583" s="5">
        <v>45968</v>
      </c>
      <c r="C583" s="8">
        <f>YEAR(Tabla2[[#This Row],[fecha]])</f>
        <v>2025</v>
      </c>
      <c r="D583" s="8">
        <f>MONTH(Tabla2[[#This Row],[fecha]])</f>
        <v>11</v>
      </c>
      <c r="E583" s="8" t="str">
        <f>TEXT(Tabla2[[#This Row],[fecha]], "mmmm")</f>
        <v>noviembre</v>
      </c>
      <c r="F583" s="8" t="str">
        <f>"T"&amp;ROUNDUP(Tabla2[[#This Row],[mes]]/3,0)</f>
        <v>T4</v>
      </c>
      <c r="G583" t="s">
        <v>24</v>
      </c>
      <c r="H583" t="s">
        <v>25</v>
      </c>
      <c r="I583" s="8" t="str">
        <f>IF(Tabla2[[#This Row],[precio_unitario]]&lt;=30,"Económico",IF(Tabla2[[#This Row],[precio_unitario]]&lt;=58.49,"Accesible","Caro"))</f>
        <v>Económico</v>
      </c>
      <c r="J583" t="s">
        <v>26</v>
      </c>
      <c r="K583">
        <v>5</v>
      </c>
      <c r="L583" s="19">
        <v>7.55</v>
      </c>
      <c r="M583" s="19">
        <v>4.1500000000000004</v>
      </c>
      <c r="N583" s="11">
        <v>0</v>
      </c>
      <c r="O583" s="17">
        <f t="shared" si="39"/>
        <v>37.75</v>
      </c>
      <c r="P583" s="17">
        <f t="shared" si="36"/>
        <v>20.75</v>
      </c>
      <c r="Q583" s="17">
        <f t="shared" si="37"/>
        <v>17</v>
      </c>
      <c r="R583" s="24">
        <f t="shared" si="38"/>
        <v>0.45033112582781459</v>
      </c>
      <c r="S583" t="s">
        <v>96</v>
      </c>
      <c r="T583" t="s">
        <v>64</v>
      </c>
    </row>
    <row r="584" spans="1:20">
      <c r="A584" t="s">
        <v>656</v>
      </c>
      <c r="B584" s="5">
        <v>45724</v>
      </c>
      <c r="C584" s="8">
        <f>YEAR(Tabla2[[#This Row],[fecha]])</f>
        <v>2025</v>
      </c>
      <c r="D584" s="8">
        <f>MONTH(Tabla2[[#This Row],[fecha]])</f>
        <v>3</v>
      </c>
      <c r="E584" s="8" t="str">
        <f>TEXT(Tabla2[[#This Row],[fecha]], "mmmm")</f>
        <v>marzo</v>
      </c>
      <c r="F584" s="8" t="str">
        <f>"T"&amp;ROUNDUP(Tabla2[[#This Row],[mes]]/3,0)</f>
        <v>T1</v>
      </c>
      <c r="G584" t="s">
        <v>29</v>
      </c>
      <c r="H584" t="s">
        <v>30</v>
      </c>
      <c r="I584" s="8" t="str">
        <f>IF(Tabla2[[#This Row],[precio_unitario]]&lt;=30,"Económico",IF(Tabla2[[#This Row],[precio_unitario]]&lt;=58.49,"Accesible","Caro"))</f>
        <v>Económico</v>
      </c>
      <c r="J584" t="s">
        <v>26</v>
      </c>
      <c r="K584">
        <v>5</v>
      </c>
      <c r="L584" s="19">
        <v>22.36</v>
      </c>
      <c r="M584" s="21">
        <f>INDEX(Tabla3[coste_objetivo], MATCH(Tabla2[[#This Row],[id_producto]], Tabla3[id_producto],0))</f>
        <v>11.4</v>
      </c>
      <c r="N584" s="11">
        <v>0</v>
      </c>
      <c r="O584" s="17">
        <f t="shared" si="39"/>
        <v>111.8</v>
      </c>
      <c r="P584" s="17">
        <f t="shared" si="36"/>
        <v>57</v>
      </c>
      <c r="Q584" s="17">
        <f t="shared" si="37"/>
        <v>54.8</v>
      </c>
      <c r="R584" s="24">
        <f t="shared" si="38"/>
        <v>0.49016100178890876</v>
      </c>
      <c r="S584" t="s">
        <v>67</v>
      </c>
      <c r="T584" t="s">
        <v>60</v>
      </c>
    </row>
    <row r="585" spans="1:20" hidden="1">
      <c r="A585" t="s">
        <v>657</v>
      </c>
      <c r="B585" s="5">
        <v>45298</v>
      </c>
      <c r="C585" s="8">
        <f>YEAR(Tabla2[[#This Row],[fecha]])</f>
        <v>2024</v>
      </c>
      <c r="D585" s="8">
        <f>MONTH(Tabla2[[#This Row],[fecha]])</f>
        <v>1</v>
      </c>
      <c r="E585" s="8" t="str">
        <f>TEXT(Tabla2[[#This Row],[fecha]], "mmmm")</f>
        <v>enero</v>
      </c>
      <c r="F585" s="8" t="str">
        <f>"T"&amp;ROUNDUP(Tabla2[[#This Row],[mes]]/3,0)</f>
        <v>T1</v>
      </c>
      <c r="G585" t="s">
        <v>27</v>
      </c>
      <c r="H585" t="s">
        <v>28</v>
      </c>
      <c r="I585" s="8" t="str">
        <f>IF(Tabla2[[#This Row],[precio_unitario]]&lt;=30,"Económico",IF(Tabla2[[#This Row],[precio_unitario]]&lt;=58.49,"Accesible","Caro"))</f>
        <v>Económico</v>
      </c>
      <c r="J585" t="s">
        <v>26</v>
      </c>
      <c r="K585">
        <v>2</v>
      </c>
      <c r="L585" s="19">
        <v>16.89</v>
      </c>
      <c r="M585" s="19">
        <v>11.23</v>
      </c>
      <c r="N585" s="11">
        <v>0</v>
      </c>
      <c r="O585" s="17">
        <f t="shared" si="39"/>
        <v>33.78</v>
      </c>
      <c r="P585" s="17">
        <f t="shared" si="36"/>
        <v>22.46</v>
      </c>
      <c r="Q585" s="17">
        <f t="shared" si="37"/>
        <v>11.32</v>
      </c>
      <c r="R585" s="24">
        <f t="shared" si="38"/>
        <v>0.33510953226761397</v>
      </c>
      <c r="S585" t="s">
        <v>67</v>
      </c>
      <c r="T585" t="s">
        <v>64</v>
      </c>
    </row>
    <row r="586" spans="1:20" hidden="1">
      <c r="A586" t="s">
        <v>658</v>
      </c>
      <c r="B586" s="5">
        <v>45414</v>
      </c>
      <c r="C586" s="8">
        <f>YEAR(Tabla2[[#This Row],[fecha]])</f>
        <v>2024</v>
      </c>
      <c r="D586" s="8">
        <f>MONTH(Tabla2[[#This Row],[fecha]])</f>
        <v>5</v>
      </c>
      <c r="E586" s="8" t="str">
        <f>TEXT(Tabla2[[#This Row],[fecha]], "mmmm")</f>
        <v>mayo</v>
      </c>
      <c r="F586" s="8" t="str">
        <f>"T"&amp;ROUNDUP(Tabla2[[#This Row],[mes]]/3,0)</f>
        <v>T2</v>
      </c>
      <c r="G586" t="s">
        <v>24</v>
      </c>
      <c r="H586" t="s">
        <v>25</v>
      </c>
      <c r="I586" s="8" t="str">
        <f>IF(Tabla2[[#This Row],[precio_unitario]]&lt;=30,"Económico",IF(Tabla2[[#This Row],[precio_unitario]]&lt;=58.49,"Accesible","Caro"))</f>
        <v>Económico</v>
      </c>
      <c r="J586" t="s">
        <v>26</v>
      </c>
      <c r="K586">
        <v>1</v>
      </c>
      <c r="L586" s="19">
        <v>7.98</v>
      </c>
      <c r="M586" s="19">
        <v>4.2</v>
      </c>
      <c r="N586" s="11">
        <v>0</v>
      </c>
      <c r="O586" s="17">
        <f t="shared" si="39"/>
        <v>7.98</v>
      </c>
      <c r="P586" s="17">
        <f t="shared" si="36"/>
        <v>4.2</v>
      </c>
      <c r="Q586" s="17">
        <f t="shared" si="37"/>
        <v>3.7800000000000002</v>
      </c>
      <c r="R586" s="24">
        <f t="shared" si="38"/>
        <v>0.47368421052631582</v>
      </c>
      <c r="S586" t="s">
        <v>67</v>
      </c>
      <c r="T586" t="s">
        <v>64</v>
      </c>
    </row>
    <row r="587" spans="1:20" hidden="1">
      <c r="A587" t="s">
        <v>659</v>
      </c>
      <c r="B587" s="5">
        <v>45346</v>
      </c>
      <c r="C587" s="8">
        <f>YEAR(Tabla2[[#This Row],[fecha]])</f>
        <v>2024</v>
      </c>
      <c r="D587" s="8">
        <f>MONTH(Tabla2[[#This Row],[fecha]])</f>
        <v>2</v>
      </c>
      <c r="E587" s="8" t="str">
        <f>TEXT(Tabla2[[#This Row],[fecha]], "mmmm")</f>
        <v>febrero</v>
      </c>
      <c r="F587" s="8" t="str">
        <f>"T"&amp;ROUNDUP(Tabla2[[#This Row],[mes]]/3,0)</f>
        <v>T1</v>
      </c>
      <c r="G587" t="s">
        <v>15</v>
      </c>
      <c r="H587" t="s">
        <v>16</v>
      </c>
      <c r="I587" s="8" t="str">
        <f>IF(Tabla2[[#This Row],[precio_unitario]]&lt;=30,"Económico",IF(Tabla2[[#This Row],[precio_unitario]]&lt;=58.49,"Accesible","Caro"))</f>
        <v>Caro</v>
      </c>
      <c r="J587" t="s">
        <v>17</v>
      </c>
      <c r="K587">
        <v>4</v>
      </c>
      <c r="L587" s="19">
        <v>58.55</v>
      </c>
      <c r="M587" s="19">
        <v>39.54</v>
      </c>
      <c r="N587" s="11">
        <v>0</v>
      </c>
      <c r="O587" s="17">
        <f t="shared" si="39"/>
        <v>234.2</v>
      </c>
      <c r="P587" s="17">
        <f t="shared" si="36"/>
        <v>158.16</v>
      </c>
      <c r="Q587" s="17">
        <f t="shared" si="37"/>
        <v>76.039999999999992</v>
      </c>
      <c r="R587" s="24">
        <f t="shared" si="38"/>
        <v>0.32467976088812978</v>
      </c>
      <c r="S587" t="s">
        <v>67</v>
      </c>
      <c r="T587" t="s">
        <v>64</v>
      </c>
    </row>
    <row r="588" spans="1:20">
      <c r="A588" t="s">
        <v>660</v>
      </c>
      <c r="B588" s="5">
        <v>46020</v>
      </c>
      <c r="C588" s="8">
        <f>YEAR(Tabla2[[#This Row],[fecha]])</f>
        <v>2025</v>
      </c>
      <c r="D588" s="8">
        <f>MONTH(Tabla2[[#This Row],[fecha]])</f>
        <v>12</v>
      </c>
      <c r="E588" s="8" t="str">
        <f>TEXT(Tabla2[[#This Row],[fecha]], "mmmm")</f>
        <v>diciembre</v>
      </c>
      <c r="F588" s="8" t="str">
        <f>"T"&amp;ROUNDUP(Tabla2[[#This Row],[mes]]/3,0)</f>
        <v>T4</v>
      </c>
      <c r="G588" t="s">
        <v>36</v>
      </c>
      <c r="H588" t="s">
        <v>37</v>
      </c>
      <c r="I588" s="8" t="str">
        <f>IF(Tabla2[[#This Row],[precio_unitario]]&lt;=30,"Económico",IF(Tabla2[[#This Row],[precio_unitario]]&lt;=58.49,"Accesible","Caro"))</f>
        <v>Económico</v>
      </c>
      <c r="J588" t="s">
        <v>35</v>
      </c>
      <c r="K588">
        <v>1</v>
      </c>
      <c r="L588" s="19">
        <v>13.81</v>
      </c>
      <c r="M588" s="19">
        <v>9.68</v>
      </c>
      <c r="N588" s="11">
        <v>0</v>
      </c>
      <c r="O588" s="17">
        <f t="shared" si="39"/>
        <v>13.81</v>
      </c>
      <c r="P588" s="17">
        <f t="shared" si="36"/>
        <v>9.68</v>
      </c>
      <c r="Q588" s="17">
        <f t="shared" si="37"/>
        <v>4.1300000000000008</v>
      </c>
      <c r="R588" s="24">
        <f t="shared" si="38"/>
        <v>0.29905865314989144</v>
      </c>
      <c r="S588" t="s">
        <v>67</v>
      </c>
      <c r="T588" t="s">
        <v>60</v>
      </c>
    </row>
    <row r="589" spans="1:20" hidden="1">
      <c r="A589" t="s">
        <v>661</v>
      </c>
      <c r="B589" s="5">
        <v>45425</v>
      </c>
      <c r="C589" s="8">
        <f>YEAR(Tabla2[[#This Row],[fecha]])</f>
        <v>2024</v>
      </c>
      <c r="D589" s="8">
        <f>MONTH(Tabla2[[#This Row],[fecha]])</f>
        <v>5</v>
      </c>
      <c r="E589" s="8" t="str">
        <f>TEXT(Tabla2[[#This Row],[fecha]], "mmmm")</f>
        <v>mayo</v>
      </c>
      <c r="F589" s="8" t="str">
        <f>"T"&amp;ROUNDUP(Tabla2[[#This Row],[mes]]/3,0)</f>
        <v>T2</v>
      </c>
      <c r="G589" t="s">
        <v>31</v>
      </c>
      <c r="H589" t="s">
        <v>32</v>
      </c>
      <c r="I589" s="8" t="str">
        <f>IF(Tabla2[[#This Row],[precio_unitario]]&lt;=30,"Económico",IF(Tabla2[[#This Row],[precio_unitario]]&lt;=58.49,"Accesible","Caro"))</f>
        <v>Económico</v>
      </c>
      <c r="J589" t="s">
        <v>26</v>
      </c>
      <c r="K589">
        <v>3</v>
      </c>
      <c r="L589" s="19">
        <v>8.2100000000000009</v>
      </c>
      <c r="M589" s="19">
        <v>5.69</v>
      </c>
      <c r="N589" s="11">
        <v>0</v>
      </c>
      <c r="O589" s="17">
        <f t="shared" si="39"/>
        <v>24.630000000000003</v>
      </c>
      <c r="P589" s="17">
        <f t="shared" si="36"/>
        <v>17.07</v>
      </c>
      <c r="Q589" s="17">
        <f t="shared" si="37"/>
        <v>7.5600000000000023</v>
      </c>
      <c r="R589" s="24">
        <f t="shared" si="38"/>
        <v>0.30694275274056038</v>
      </c>
      <c r="S589" t="s">
        <v>83</v>
      </c>
      <c r="T589" t="s">
        <v>64</v>
      </c>
    </row>
    <row r="590" spans="1:20" hidden="1">
      <c r="A590" t="s">
        <v>662</v>
      </c>
      <c r="B590" s="5">
        <v>45890</v>
      </c>
      <c r="C590" s="8">
        <f>YEAR(Tabla2[[#This Row],[fecha]])</f>
        <v>2025</v>
      </c>
      <c r="D590" s="8">
        <f>MONTH(Tabla2[[#This Row],[fecha]])</f>
        <v>8</v>
      </c>
      <c r="E590" s="8" t="str">
        <f>TEXT(Tabla2[[#This Row],[fecha]], "mmmm")</f>
        <v>agosto</v>
      </c>
      <c r="F590" s="8" t="str">
        <f>"T"&amp;ROUNDUP(Tabla2[[#This Row],[mes]]/3,0)</f>
        <v>T3</v>
      </c>
      <c r="G590" t="s">
        <v>31</v>
      </c>
      <c r="H590" t="s">
        <v>32</v>
      </c>
      <c r="I590" s="8" t="str">
        <f>IF(Tabla2[[#This Row],[precio_unitario]]&lt;=30,"Económico",IF(Tabla2[[#This Row],[precio_unitario]]&lt;=58.49,"Accesible","Caro"))</f>
        <v>Económico</v>
      </c>
      <c r="J590" t="s">
        <v>26</v>
      </c>
      <c r="K590">
        <v>3</v>
      </c>
      <c r="L590" s="19">
        <v>9.3800000000000008</v>
      </c>
      <c r="M590" s="19">
        <v>5.79</v>
      </c>
      <c r="N590" s="11">
        <v>0</v>
      </c>
      <c r="O590" s="17">
        <f t="shared" si="39"/>
        <v>28.14</v>
      </c>
      <c r="P590" s="17">
        <f t="shared" si="36"/>
        <v>17.37</v>
      </c>
      <c r="Q590" s="17">
        <f t="shared" si="37"/>
        <v>10.77</v>
      </c>
      <c r="R590" s="24">
        <f t="shared" si="38"/>
        <v>0.38272921108742003</v>
      </c>
      <c r="S590" t="s">
        <v>540</v>
      </c>
      <c r="T590" t="s">
        <v>60</v>
      </c>
    </row>
    <row r="591" spans="1:20" hidden="1">
      <c r="A591" t="s">
        <v>663</v>
      </c>
      <c r="B591" s="5">
        <v>45305</v>
      </c>
      <c r="C591" s="8">
        <f>YEAR(Tabla2[[#This Row],[fecha]])</f>
        <v>2024</v>
      </c>
      <c r="D591" s="8">
        <f>MONTH(Tabla2[[#This Row],[fecha]])</f>
        <v>1</v>
      </c>
      <c r="E591" s="8" t="str">
        <f>TEXT(Tabla2[[#This Row],[fecha]], "mmmm")</f>
        <v>enero</v>
      </c>
      <c r="F591" s="8" t="str">
        <f>"T"&amp;ROUNDUP(Tabla2[[#This Row],[mes]]/3,0)</f>
        <v>T1</v>
      </c>
      <c r="G591" t="s">
        <v>15</v>
      </c>
      <c r="H591" t="s">
        <v>16</v>
      </c>
      <c r="I591" s="8" t="str">
        <f>IF(Tabla2[[#This Row],[precio_unitario]]&lt;=30,"Económico",IF(Tabla2[[#This Row],[precio_unitario]]&lt;=58.49,"Accesible","Caro"))</f>
        <v>Accesible</v>
      </c>
      <c r="J591" t="s">
        <v>17</v>
      </c>
      <c r="K591">
        <v>4</v>
      </c>
      <c r="L591" s="19">
        <v>57.63</v>
      </c>
      <c r="M591" s="19">
        <v>40.76</v>
      </c>
      <c r="N591" s="13">
        <v>0</v>
      </c>
      <c r="O591" s="17">
        <f t="shared" si="39"/>
        <v>230.52</v>
      </c>
      <c r="P591" s="17">
        <f t="shared" si="36"/>
        <v>163.04</v>
      </c>
      <c r="Q591" s="17">
        <f t="shared" si="37"/>
        <v>67.480000000000018</v>
      </c>
      <c r="R591" s="24">
        <f t="shared" si="38"/>
        <v>0.29272948117300024</v>
      </c>
      <c r="S591" t="s">
        <v>96</v>
      </c>
      <c r="T591" t="s">
        <v>60</v>
      </c>
    </row>
    <row r="592" spans="1:20" hidden="1">
      <c r="A592" t="s">
        <v>664</v>
      </c>
      <c r="B592" s="5">
        <v>45923</v>
      </c>
      <c r="C592" s="8">
        <f>YEAR(Tabla2[[#This Row],[fecha]])</f>
        <v>2025</v>
      </c>
      <c r="D592" s="8">
        <f>MONTH(Tabla2[[#This Row],[fecha]])</f>
        <v>9</v>
      </c>
      <c r="E592" s="8" t="str">
        <f>TEXT(Tabla2[[#This Row],[fecha]], "mmmm")</f>
        <v>septiembre</v>
      </c>
      <c r="F592" s="8" t="str">
        <f>"T"&amp;ROUNDUP(Tabla2[[#This Row],[mes]]/3,0)</f>
        <v>T3</v>
      </c>
      <c r="G592" t="s">
        <v>38</v>
      </c>
      <c r="H592" t="s">
        <v>39</v>
      </c>
      <c r="I592" s="8" t="str">
        <f>IF(Tabla2[[#This Row],[precio_unitario]]&lt;=30,"Económico",IF(Tabla2[[#This Row],[precio_unitario]]&lt;=58.49,"Accesible","Caro"))</f>
        <v>Caro</v>
      </c>
      <c r="J592" t="s">
        <v>35</v>
      </c>
      <c r="K592">
        <v>2</v>
      </c>
      <c r="L592" s="19">
        <v>76.62</v>
      </c>
      <c r="M592" s="19">
        <v>40.83</v>
      </c>
      <c r="N592" s="11">
        <v>0</v>
      </c>
      <c r="O592" s="17">
        <f t="shared" si="39"/>
        <v>153.24</v>
      </c>
      <c r="P592" s="17">
        <f t="shared" si="36"/>
        <v>81.66</v>
      </c>
      <c r="Q592" s="17">
        <f t="shared" si="37"/>
        <v>71.580000000000013</v>
      </c>
      <c r="R592" s="24">
        <f t="shared" si="38"/>
        <v>0.46711041503523887</v>
      </c>
      <c r="S592" t="s">
        <v>540</v>
      </c>
      <c r="T592" t="s">
        <v>60</v>
      </c>
    </row>
    <row r="593" spans="1:20" hidden="1">
      <c r="A593" t="s">
        <v>665</v>
      </c>
      <c r="B593" s="5">
        <v>45760</v>
      </c>
      <c r="C593" s="8">
        <f>YEAR(Tabla2[[#This Row],[fecha]])</f>
        <v>2025</v>
      </c>
      <c r="D593" s="8">
        <f>MONTH(Tabla2[[#This Row],[fecha]])</f>
        <v>4</v>
      </c>
      <c r="E593" s="8" t="str">
        <f>TEXT(Tabla2[[#This Row],[fecha]], "mmmm")</f>
        <v>abril</v>
      </c>
      <c r="F593" s="8" t="str">
        <f>"T"&amp;ROUNDUP(Tabla2[[#This Row],[mes]]/3,0)</f>
        <v>T2</v>
      </c>
      <c r="G593" t="s">
        <v>49</v>
      </c>
      <c r="H593" t="s">
        <v>50</v>
      </c>
      <c r="I593" s="8" t="str">
        <f>IF(Tabla2[[#This Row],[precio_unitario]]&lt;=30,"Económico",IF(Tabla2[[#This Row],[precio_unitario]]&lt;=58.49,"Accesible","Caro"))</f>
        <v>Caro</v>
      </c>
      <c r="J593" t="s">
        <v>44</v>
      </c>
      <c r="K593">
        <v>3</v>
      </c>
      <c r="L593" s="19">
        <v>63.45</v>
      </c>
      <c r="M593" s="19">
        <v>35.1</v>
      </c>
      <c r="N593" s="11">
        <v>0</v>
      </c>
      <c r="O593" s="17">
        <f t="shared" si="39"/>
        <v>190.35000000000002</v>
      </c>
      <c r="P593" s="17">
        <f t="shared" si="36"/>
        <v>105.30000000000001</v>
      </c>
      <c r="Q593" s="17">
        <f t="shared" si="37"/>
        <v>85.050000000000011</v>
      </c>
      <c r="R593" s="24">
        <f t="shared" si="38"/>
        <v>0.44680851063829785</v>
      </c>
      <c r="S593" t="s">
        <v>83</v>
      </c>
      <c r="T593" t="s">
        <v>64</v>
      </c>
    </row>
    <row r="594" spans="1:20" hidden="1">
      <c r="A594" t="s">
        <v>666</v>
      </c>
      <c r="B594" s="5">
        <v>45312</v>
      </c>
      <c r="C594" s="8">
        <f>YEAR(Tabla2[[#This Row],[fecha]])</f>
        <v>2024</v>
      </c>
      <c r="D594" s="8">
        <f>MONTH(Tabla2[[#This Row],[fecha]])</f>
        <v>1</v>
      </c>
      <c r="E594" s="8" t="str">
        <f>TEXT(Tabla2[[#This Row],[fecha]], "mmmm")</f>
        <v>enero</v>
      </c>
      <c r="F594" s="8" t="str">
        <f>"T"&amp;ROUNDUP(Tabla2[[#This Row],[mes]]/3,0)</f>
        <v>T1</v>
      </c>
      <c r="G594" t="s">
        <v>33</v>
      </c>
      <c r="H594" t="s">
        <v>34</v>
      </c>
      <c r="I594" s="8" t="str">
        <f>IF(Tabla2[[#This Row],[precio_unitario]]&lt;=30,"Económico",IF(Tabla2[[#This Row],[precio_unitario]]&lt;=58.49,"Accesible","Caro"))</f>
        <v>Caro</v>
      </c>
      <c r="J594" t="s">
        <v>35</v>
      </c>
      <c r="K594">
        <v>2</v>
      </c>
      <c r="L594" s="19">
        <v>71.069999999999993</v>
      </c>
      <c r="M594" s="19">
        <v>49.52</v>
      </c>
      <c r="N594" s="11">
        <v>0</v>
      </c>
      <c r="O594" s="17">
        <f t="shared" si="39"/>
        <v>142.13999999999999</v>
      </c>
      <c r="P594" s="17">
        <f t="shared" si="36"/>
        <v>99.04</v>
      </c>
      <c r="Q594" s="17">
        <f t="shared" si="37"/>
        <v>43.09999999999998</v>
      </c>
      <c r="R594" s="24">
        <f t="shared" si="38"/>
        <v>0.30322217532010681</v>
      </c>
      <c r="S594" t="s">
        <v>67</v>
      </c>
      <c r="T594" t="s">
        <v>60</v>
      </c>
    </row>
    <row r="595" spans="1:20" hidden="1">
      <c r="A595" t="s">
        <v>667</v>
      </c>
      <c r="B595" s="5">
        <v>45367</v>
      </c>
      <c r="C595" s="8">
        <f>YEAR(Tabla2[[#This Row],[fecha]])</f>
        <v>2024</v>
      </c>
      <c r="D595" s="8">
        <f>MONTH(Tabla2[[#This Row],[fecha]])</f>
        <v>3</v>
      </c>
      <c r="E595" s="8" t="str">
        <f>TEXT(Tabla2[[#This Row],[fecha]], "mmmm")</f>
        <v>marzo</v>
      </c>
      <c r="F595" s="8" t="str">
        <f>"T"&amp;ROUNDUP(Tabla2[[#This Row],[mes]]/3,0)</f>
        <v>T1</v>
      </c>
      <c r="G595" t="s">
        <v>11</v>
      </c>
      <c r="H595" t="s">
        <v>12</v>
      </c>
      <c r="I595" s="8" t="str">
        <f>IF(Tabla2[[#This Row],[precio_unitario]]&lt;=30,"Económico",IF(Tabla2[[#This Row],[precio_unitario]]&lt;=58.49,"Accesible","Caro"))</f>
        <v>Caro</v>
      </c>
      <c r="J595" t="s">
        <v>8</v>
      </c>
      <c r="K595">
        <v>5</v>
      </c>
      <c r="L595" s="20">
        <f>INDEX(Tabla3[precio_venta_recomendado], MATCH(Tabla2[[#This Row],[id_producto]], Tabla3[id_producto], 0))</f>
        <v>177.72</v>
      </c>
      <c r="M595" s="19">
        <v>90.38</v>
      </c>
      <c r="N595" s="11">
        <v>0</v>
      </c>
      <c r="O595" s="17">
        <f t="shared" si="39"/>
        <v>888.6</v>
      </c>
      <c r="P595" s="17">
        <f t="shared" si="36"/>
        <v>451.9</v>
      </c>
      <c r="Q595" s="17">
        <f t="shared" si="37"/>
        <v>436.70000000000005</v>
      </c>
      <c r="R595" s="24">
        <f t="shared" si="38"/>
        <v>0.4914472203466127</v>
      </c>
      <c r="S595" t="s">
        <v>540</v>
      </c>
      <c r="T595" t="s">
        <v>64</v>
      </c>
    </row>
    <row r="596" spans="1:20" hidden="1">
      <c r="A596" t="s">
        <v>668</v>
      </c>
      <c r="B596" s="5">
        <v>45427</v>
      </c>
      <c r="C596" s="8">
        <f>YEAR(Tabla2[[#This Row],[fecha]])</f>
        <v>2024</v>
      </c>
      <c r="D596" s="8">
        <f>MONTH(Tabla2[[#This Row],[fecha]])</f>
        <v>5</v>
      </c>
      <c r="E596" s="8" t="str">
        <f>TEXT(Tabla2[[#This Row],[fecha]], "mmmm")</f>
        <v>mayo</v>
      </c>
      <c r="F596" s="8" t="str">
        <f>"T"&amp;ROUNDUP(Tabla2[[#This Row],[mes]]/3,0)</f>
        <v>T2</v>
      </c>
      <c r="G596" t="s">
        <v>20</v>
      </c>
      <c r="H596" t="s">
        <v>21</v>
      </c>
      <c r="I596" s="8" t="str">
        <f>IF(Tabla2[[#This Row],[precio_unitario]]&lt;=30,"Económico",IF(Tabla2[[#This Row],[precio_unitario]]&lt;=58.49,"Accesible","Caro"))</f>
        <v>Económico</v>
      </c>
      <c r="J596" t="s">
        <v>17</v>
      </c>
      <c r="K596">
        <v>2</v>
      </c>
      <c r="L596" s="19">
        <v>19.13</v>
      </c>
      <c r="M596" s="19">
        <v>12.47</v>
      </c>
      <c r="N596" s="11">
        <v>0</v>
      </c>
      <c r="O596" s="17">
        <f t="shared" si="39"/>
        <v>38.26</v>
      </c>
      <c r="P596" s="17">
        <f t="shared" si="36"/>
        <v>24.94</v>
      </c>
      <c r="Q596" s="17">
        <f t="shared" si="37"/>
        <v>13.319999999999997</v>
      </c>
      <c r="R596" s="24">
        <f t="shared" si="38"/>
        <v>0.34814427600627279</v>
      </c>
      <c r="S596" t="s">
        <v>63</v>
      </c>
      <c r="T596" t="s">
        <v>64</v>
      </c>
    </row>
    <row r="597" spans="1:20" hidden="1">
      <c r="A597" t="s">
        <v>669</v>
      </c>
      <c r="B597" s="5">
        <v>46006</v>
      </c>
      <c r="C597" s="8">
        <f>YEAR(Tabla2[[#This Row],[fecha]])</f>
        <v>2025</v>
      </c>
      <c r="D597" s="8">
        <f>MONTH(Tabla2[[#This Row],[fecha]])</f>
        <v>12</v>
      </c>
      <c r="E597" s="8" t="str">
        <f>TEXT(Tabla2[[#This Row],[fecha]], "mmmm")</f>
        <v>diciembre</v>
      </c>
      <c r="F597" s="8" t="str">
        <f>"T"&amp;ROUNDUP(Tabla2[[#This Row],[mes]]/3,0)</f>
        <v>T4</v>
      </c>
      <c r="G597" t="s">
        <v>13</v>
      </c>
      <c r="H597" t="s">
        <v>14</v>
      </c>
      <c r="I597" s="8" t="str">
        <f>IF(Tabla2[[#This Row],[precio_unitario]]&lt;=30,"Económico",IF(Tabla2[[#This Row],[precio_unitario]]&lt;=58.49,"Accesible","Caro"))</f>
        <v>Caro</v>
      </c>
      <c r="J597" t="s">
        <v>8</v>
      </c>
      <c r="K597">
        <v>2</v>
      </c>
      <c r="L597" s="19">
        <v>149.9</v>
      </c>
      <c r="M597" s="19">
        <v>111.14</v>
      </c>
      <c r="N597" s="11">
        <v>0</v>
      </c>
      <c r="O597" s="17">
        <f t="shared" si="39"/>
        <v>299.8</v>
      </c>
      <c r="P597" s="17">
        <f t="shared" si="36"/>
        <v>222.28</v>
      </c>
      <c r="Q597" s="17">
        <f t="shared" si="37"/>
        <v>77.52000000000001</v>
      </c>
      <c r="R597" s="24">
        <f t="shared" si="38"/>
        <v>0.25857238158772516</v>
      </c>
      <c r="S597" t="s">
        <v>540</v>
      </c>
      <c r="T597" t="s">
        <v>60</v>
      </c>
    </row>
    <row r="598" spans="1:20" hidden="1">
      <c r="A598" t="s">
        <v>670</v>
      </c>
      <c r="B598" s="5">
        <v>45475</v>
      </c>
      <c r="C598" s="8">
        <f>YEAR(Tabla2[[#This Row],[fecha]])</f>
        <v>2024</v>
      </c>
      <c r="D598" s="8">
        <f>MONTH(Tabla2[[#This Row],[fecha]])</f>
        <v>7</v>
      </c>
      <c r="E598" s="8" t="str">
        <f>TEXT(Tabla2[[#This Row],[fecha]], "mmmm")</f>
        <v>julio</v>
      </c>
      <c r="F598" s="8" t="str">
        <f>"T"&amp;ROUNDUP(Tabla2[[#This Row],[mes]]/3,0)</f>
        <v>T3</v>
      </c>
      <c r="G598" t="s">
        <v>47</v>
      </c>
      <c r="H598" t="s">
        <v>48</v>
      </c>
      <c r="I598" s="8" t="str">
        <f>IF(Tabla2[[#This Row],[precio_unitario]]&lt;=30,"Económico",IF(Tabla2[[#This Row],[precio_unitario]]&lt;=58.49,"Accesible","Caro"))</f>
        <v>Caro</v>
      </c>
      <c r="J598" t="s">
        <v>44</v>
      </c>
      <c r="K598">
        <v>1</v>
      </c>
      <c r="L598" s="19">
        <v>59.71</v>
      </c>
      <c r="M598" s="19">
        <v>31.51</v>
      </c>
      <c r="N598" s="11">
        <v>0.06</v>
      </c>
      <c r="O598" s="17">
        <f t="shared" si="39"/>
        <v>56.127399999999994</v>
      </c>
      <c r="P598" s="17">
        <f t="shared" si="36"/>
        <v>31.51</v>
      </c>
      <c r="Q598" s="17">
        <f t="shared" si="37"/>
        <v>24.617399999999993</v>
      </c>
      <c r="R598" s="24">
        <f t="shared" si="38"/>
        <v>0.43859861671839412</v>
      </c>
      <c r="S598" t="s">
        <v>67</v>
      </c>
      <c r="T598" t="s">
        <v>64</v>
      </c>
    </row>
    <row r="599" spans="1:20" hidden="1">
      <c r="A599" t="s">
        <v>671</v>
      </c>
      <c r="B599" s="5">
        <v>45328</v>
      </c>
      <c r="C599" s="8">
        <f>YEAR(Tabla2[[#This Row],[fecha]])</f>
        <v>2024</v>
      </c>
      <c r="D599" s="8">
        <f>MONTH(Tabla2[[#This Row],[fecha]])</f>
        <v>2</v>
      </c>
      <c r="E599" s="8" t="str">
        <f>TEXT(Tabla2[[#This Row],[fecha]], "mmmm")</f>
        <v>febrero</v>
      </c>
      <c r="F599" s="8" t="str">
        <f>"T"&amp;ROUNDUP(Tabla2[[#This Row],[mes]]/3,0)</f>
        <v>T1</v>
      </c>
      <c r="G599" t="s">
        <v>33</v>
      </c>
      <c r="H599" t="s">
        <v>34</v>
      </c>
      <c r="I599" s="8" t="str">
        <f>IF(Tabla2[[#This Row],[precio_unitario]]&lt;=30,"Económico",IF(Tabla2[[#This Row],[precio_unitario]]&lt;=58.49,"Accesible","Caro"))</f>
        <v>Caro</v>
      </c>
      <c r="J599" t="s">
        <v>35</v>
      </c>
      <c r="K599">
        <v>5</v>
      </c>
      <c r="L599" s="19">
        <v>78.510000000000005</v>
      </c>
      <c r="M599" s="19">
        <v>47.5</v>
      </c>
      <c r="N599" s="13">
        <v>0</v>
      </c>
      <c r="O599" s="17">
        <f t="shared" si="39"/>
        <v>392.55</v>
      </c>
      <c r="P599" s="17">
        <f t="shared" si="36"/>
        <v>237.5</v>
      </c>
      <c r="Q599" s="17">
        <f t="shared" si="37"/>
        <v>155.05000000000001</v>
      </c>
      <c r="R599" s="24">
        <f t="shared" si="38"/>
        <v>0.39498153101515732</v>
      </c>
      <c r="S599" t="s">
        <v>83</v>
      </c>
      <c r="T599" t="s">
        <v>64</v>
      </c>
    </row>
    <row r="600" spans="1:20">
      <c r="A600" t="s">
        <v>672</v>
      </c>
      <c r="B600" s="5">
        <v>45777</v>
      </c>
      <c r="C600" s="8">
        <f>YEAR(Tabla2[[#This Row],[fecha]])</f>
        <v>2025</v>
      </c>
      <c r="D600" s="8">
        <f>MONTH(Tabla2[[#This Row],[fecha]])</f>
        <v>4</v>
      </c>
      <c r="E600" s="8" t="str">
        <f>TEXT(Tabla2[[#This Row],[fecha]], "mmmm")</f>
        <v>abril</v>
      </c>
      <c r="F600" s="8" t="str">
        <f>"T"&amp;ROUNDUP(Tabla2[[#This Row],[mes]]/3,0)</f>
        <v>T2</v>
      </c>
      <c r="G600" t="s">
        <v>22</v>
      </c>
      <c r="H600" t="s">
        <v>23</v>
      </c>
      <c r="I600" s="8" t="str">
        <f>IF(Tabla2[[#This Row],[precio_unitario]]&lt;=30,"Económico",IF(Tabla2[[#This Row],[precio_unitario]]&lt;=58.49,"Accesible","Caro"))</f>
        <v>Caro</v>
      </c>
      <c r="J600" t="s">
        <v>17</v>
      </c>
      <c r="K600">
        <v>1</v>
      </c>
      <c r="L600" s="19">
        <v>106.8</v>
      </c>
      <c r="M600" s="19">
        <v>56.67</v>
      </c>
      <c r="N600" s="11">
        <v>0</v>
      </c>
      <c r="O600" s="17">
        <f t="shared" si="39"/>
        <v>106.8</v>
      </c>
      <c r="P600" s="17">
        <f t="shared" si="36"/>
        <v>56.67</v>
      </c>
      <c r="Q600" s="17">
        <f t="shared" si="37"/>
        <v>50.129999999999995</v>
      </c>
      <c r="R600" s="24">
        <f t="shared" si="38"/>
        <v>0.46938202247191008</v>
      </c>
      <c r="S600" t="s">
        <v>67</v>
      </c>
      <c r="T600" t="s">
        <v>64</v>
      </c>
    </row>
    <row r="601" spans="1:20" hidden="1">
      <c r="A601" t="s">
        <v>673</v>
      </c>
      <c r="B601" s="5">
        <v>45562</v>
      </c>
      <c r="C601" s="8">
        <f>YEAR(Tabla2[[#This Row],[fecha]])</f>
        <v>2024</v>
      </c>
      <c r="D601" s="8">
        <f>MONTH(Tabla2[[#This Row],[fecha]])</f>
        <v>9</v>
      </c>
      <c r="E601" s="8" t="str">
        <f>TEXT(Tabla2[[#This Row],[fecha]], "mmmm")</f>
        <v>septiembre</v>
      </c>
      <c r="F601" s="8" t="str">
        <f>"T"&amp;ROUNDUP(Tabla2[[#This Row],[mes]]/3,0)</f>
        <v>T3</v>
      </c>
      <c r="G601" t="s">
        <v>13</v>
      </c>
      <c r="H601" t="s">
        <v>14</v>
      </c>
      <c r="I601" s="8" t="str">
        <f>IF(Tabla2[[#This Row],[precio_unitario]]&lt;=30,"Económico",IF(Tabla2[[#This Row],[precio_unitario]]&lt;=58.49,"Accesible","Caro"))</f>
        <v>Caro</v>
      </c>
      <c r="J601" t="s">
        <v>8</v>
      </c>
      <c r="K601">
        <v>2</v>
      </c>
      <c r="L601" s="19">
        <v>154.62</v>
      </c>
      <c r="M601" s="19">
        <v>109</v>
      </c>
      <c r="N601" s="11">
        <v>0</v>
      </c>
      <c r="O601" s="17">
        <f t="shared" si="39"/>
        <v>309.24</v>
      </c>
      <c r="P601" s="17">
        <f t="shared" si="36"/>
        <v>218</v>
      </c>
      <c r="Q601" s="17">
        <f t="shared" si="37"/>
        <v>91.240000000000009</v>
      </c>
      <c r="R601" s="24">
        <f t="shared" si="38"/>
        <v>0.29504591902729271</v>
      </c>
      <c r="S601" t="s">
        <v>101</v>
      </c>
      <c r="T601" t="s">
        <v>64</v>
      </c>
    </row>
    <row r="602" spans="1:20" hidden="1">
      <c r="A602" t="s">
        <v>674</v>
      </c>
      <c r="B602" s="5">
        <v>45920</v>
      </c>
      <c r="C602" s="8">
        <f>YEAR(Tabla2[[#This Row],[fecha]])</f>
        <v>2025</v>
      </c>
      <c r="D602" s="8">
        <f>MONTH(Tabla2[[#This Row],[fecha]])</f>
        <v>9</v>
      </c>
      <c r="E602" s="8" t="str">
        <f>TEXT(Tabla2[[#This Row],[fecha]], "mmmm")</f>
        <v>septiembre</v>
      </c>
      <c r="F602" s="8" t="str">
        <f>"T"&amp;ROUNDUP(Tabla2[[#This Row],[mes]]/3,0)</f>
        <v>T3</v>
      </c>
      <c r="G602" t="s">
        <v>49</v>
      </c>
      <c r="H602" t="s">
        <v>50</v>
      </c>
      <c r="I602" s="8" t="str">
        <f>IF(Tabla2[[#This Row],[precio_unitario]]&lt;=30,"Económico",IF(Tabla2[[#This Row],[precio_unitario]]&lt;=58.49,"Accesible","Caro"))</f>
        <v>Caro</v>
      </c>
      <c r="J602" t="s">
        <v>44</v>
      </c>
      <c r="K602">
        <v>4</v>
      </c>
      <c r="L602" s="19">
        <v>62.19</v>
      </c>
      <c r="M602" s="19">
        <v>32.19</v>
      </c>
      <c r="N602" s="11">
        <v>0</v>
      </c>
      <c r="O602" s="17">
        <f t="shared" si="39"/>
        <v>248.76</v>
      </c>
      <c r="P602" s="17">
        <f t="shared" si="36"/>
        <v>128.76</v>
      </c>
      <c r="Q602" s="17">
        <f t="shared" si="37"/>
        <v>120</v>
      </c>
      <c r="R602" s="24">
        <f t="shared" si="38"/>
        <v>0.482392667631452</v>
      </c>
      <c r="S602" t="s">
        <v>83</v>
      </c>
      <c r="T602" t="s">
        <v>64</v>
      </c>
    </row>
    <row r="603" spans="1:20" hidden="1">
      <c r="A603" t="s">
        <v>675</v>
      </c>
      <c r="B603" s="5">
        <v>45631</v>
      </c>
      <c r="C603" s="8">
        <f>YEAR(Tabla2[[#This Row],[fecha]])</f>
        <v>2024</v>
      </c>
      <c r="D603" s="8">
        <f>MONTH(Tabla2[[#This Row],[fecha]])</f>
        <v>12</v>
      </c>
      <c r="E603" s="8" t="str">
        <f>TEXT(Tabla2[[#This Row],[fecha]], "mmmm")</f>
        <v>diciembre</v>
      </c>
      <c r="F603" s="8" t="str">
        <f>"T"&amp;ROUNDUP(Tabla2[[#This Row],[mes]]/3,0)</f>
        <v>T4</v>
      </c>
      <c r="G603" t="s">
        <v>9</v>
      </c>
      <c r="H603" t="s">
        <v>10</v>
      </c>
      <c r="I603" s="8" t="str">
        <f>IF(Tabla2[[#This Row],[precio_unitario]]&lt;=30,"Económico",IF(Tabla2[[#This Row],[precio_unitario]]&lt;=58.49,"Accesible","Caro"))</f>
        <v>Caro</v>
      </c>
      <c r="J603" t="s">
        <v>8</v>
      </c>
      <c r="K603">
        <v>1</v>
      </c>
      <c r="L603" s="19">
        <v>77.819999999999993</v>
      </c>
      <c r="M603" s="19">
        <v>46.58</v>
      </c>
      <c r="N603" s="11">
        <v>0</v>
      </c>
      <c r="O603" s="17">
        <f t="shared" si="39"/>
        <v>77.819999999999993</v>
      </c>
      <c r="P603" s="17">
        <f t="shared" si="36"/>
        <v>46.58</v>
      </c>
      <c r="Q603" s="17">
        <f t="shared" si="37"/>
        <v>31.239999999999995</v>
      </c>
      <c r="R603" s="24">
        <f t="shared" si="38"/>
        <v>0.40143921870984317</v>
      </c>
      <c r="S603" t="s">
        <v>96</v>
      </c>
      <c r="T603" t="s">
        <v>60</v>
      </c>
    </row>
    <row r="604" spans="1:20" hidden="1">
      <c r="A604" t="s">
        <v>676</v>
      </c>
      <c r="B604" s="5">
        <v>45329</v>
      </c>
      <c r="C604" s="8">
        <f>YEAR(Tabla2[[#This Row],[fecha]])</f>
        <v>2024</v>
      </c>
      <c r="D604" s="8">
        <f>MONTH(Tabla2[[#This Row],[fecha]])</f>
        <v>2</v>
      </c>
      <c r="E604" s="8" t="str">
        <f>TEXT(Tabla2[[#This Row],[fecha]], "mmmm")</f>
        <v>febrero</v>
      </c>
      <c r="F604" s="8" t="str">
        <f>"T"&amp;ROUNDUP(Tabla2[[#This Row],[mes]]/3,0)</f>
        <v>T1</v>
      </c>
      <c r="G604" t="s">
        <v>31</v>
      </c>
      <c r="H604" t="s">
        <v>32</v>
      </c>
      <c r="I604" s="8" t="str">
        <f>IF(Tabla2[[#This Row],[precio_unitario]]&lt;=30,"Económico",IF(Tabla2[[#This Row],[precio_unitario]]&lt;=58.49,"Accesible","Caro"))</f>
        <v>Económico</v>
      </c>
      <c r="J604" t="s">
        <v>26</v>
      </c>
      <c r="K604">
        <v>3</v>
      </c>
      <c r="L604" s="19">
        <v>8.5</v>
      </c>
      <c r="M604" s="19">
        <v>5.53</v>
      </c>
      <c r="N604" s="11">
        <v>0.3</v>
      </c>
      <c r="O604" s="17">
        <f t="shared" si="39"/>
        <v>17.849999999999998</v>
      </c>
      <c r="P604" s="17">
        <f t="shared" si="36"/>
        <v>16.59</v>
      </c>
      <c r="Q604" s="17">
        <f t="shared" si="37"/>
        <v>1.259999999999998</v>
      </c>
      <c r="R604" s="24">
        <f t="shared" si="38"/>
        <v>7.0588235294117549E-2</v>
      </c>
      <c r="S604" t="s">
        <v>67</v>
      </c>
      <c r="T604" t="s">
        <v>60</v>
      </c>
    </row>
    <row r="605" spans="1:20" hidden="1">
      <c r="A605" t="s">
        <v>677</v>
      </c>
      <c r="B605" s="5">
        <v>45704</v>
      </c>
      <c r="C605" s="8">
        <f>YEAR(Tabla2[[#This Row],[fecha]])</f>
        <v>2025</v>
      </c>
      <c r="D605" s="8">
        <f>MONTH(Tabla2[[#This Row],[fecha]])</f>
        <v>2</v>
      </c>
      <c r="E605" s="8" t="str">
        <f>TEXT(Tabla2[[#This Row],[fecha]], "mmmm")</f>
        <v>febrero</v>
      </c>
      <c r="F605" s="8" t="str">
        <f>"T"&amp;ROUNDUP(Tabla2[[#This Row],[mes]]/3,0)</f>
        <v>T1</v>
      </c>
      <c r="G605" t="s">
        <v>27</v>
      </c>
      <c r="H605" t="s">
        <v>28</v>
      </c>
      <c r="I605" s="8" t="str">
        <f>IF(Tabla2[[#This Row],[precio_unitario]]&lt;=30,"Económico",IF(Tabla2[[#This Row],[precio_unitario]]&lt;=58.49,"Accesible","Caro"))</f>
        <v>Económico</v>
      </c>
      <c r="J605" t="s">
        <v>26</v>
      </c>
      <c r="K605">
        <v>3</v>
      </c>
      <c r="L605" s="19">
        <v>16.52</v>
      </c>
      <c r="M605" s="19">
        <v>10.97</v>
      </c>
      <c r="N605" s="11">
        <v>0</v>
      </c>
      <c r="O605" s="17">
        <f t="shared" si="39"/>
        <v>49.56</v>
      </c>
      <c r="P605" s="17">
        <f t="shared" si="36"/>
        <v>32.910000000000004</v>
      </c>
      <c r="Q605" s="17">
        <f t="shared" si="37"/>
        <v>16.649999999999999</v>
      </c>
      <c r="R605" s="24">
        <f t="shared" si="38"/>
        <v>0.33595641646489099</v>
      </c>
      <c r="S605" t="s">
        <v>540</v>
      </c>
      <c r="T605" t="s">
        <v>64</v>
      </c>
    </row>
    <row r="606" spans="1:20" hidden="1">
      <c r="A606" t="s">
        <v>678</v>
      </c>
      <c r="B606" s="5">
        <v>45637</v>
      </c>
      <c r="C606" s="8">
        <f>YEAR(Tabla2[[#This Row],[fecha]])</f>
        <v>2024</v>
      </c>
      <c r="D606" s="8">
        <f>MONTH(Tabla2[[#This Row],[fecha]])</f>
        <v>12</v>
      </c>
      <c r="E606" s="8" t="str">
        <f>TEXT(Tabla2[[#This Row],[fecha]], "mmmm")</f>
        <v>diciembre</v>
      </c>
      <c r="F606" s="8" t="str">
        <f>"T"&amp;ROUNDUP(Tabla2[[#This Row],[mes]]/3,0)</f>
        <v>T4</v>
      </c>
      <c r="G606" t="s">
        <v>11</v>
      </c>
      <c r="H606" t="s">
        <v>12</v>
      </c>
      <c r="I606" s="8" t="str">
        <f>IF(Tabla2[[#This Row],[precio_unitario]]&lt;=30,"Económico",IF(Tabla2[[#This Row],[precio_unitario]]&lt;=58.49,"Accesible","Caro"))</f>
        <v>Caro</v>
      </c>
      <c r="J606" t="s">
        <v>8</v>
      </c>
      <c r="K606">
        <v>1</v>
      </c>
      <c r="L606" s="19">
        <v>170.83</v>
      </c>
      <c r="M606" s="19">
        <v>92.69</v>
      </c>
      <c r="N606" s="11">
        <v>0</v>
      </c>
      <c r="O606" s="17">
        <f t="shared" si="39"/>
        <v>170.83</v>
      </c>
      <c r="P606" s="17">
        <f t="shared" si="36"/>
        <v>92.69</v>
      </c>
      <c r="Q606" s="17">
        <f t="shared" si="37"/>
        <v>78.140000000000015</v>
      </c>
      <c r="R606" s="24">
        <f t="shared" si="38"/>
        <v>0.45741380319615998</v>
      </c>
      <c r="S606" t="s">
        <v>540</v>
      </c>
      <c r="T606" t="s">
        <v>64</v>
      </c>
    </row>
    <row r="607" spans="1:20" hidden="1">
      <c r="A607" t="s">
        <v>679</v>
      </c>
      <c r="B607" s="5">
        <v>45442</v>
      </c>
      <c r="C607" s="8">
        <f>YEAR(Tabla2[[#This Row],[fecha]])</f>
        <v>2024</v>
      </c>
      <c r="D607" s="8">
        <f>MONTH(Tabla2[[#This Row],[fecha]])</f>
        <v>5</v>
      </c>
      <c r="E607" s="8" t="str">
        <f>TEXT(Tabla2[[#This Row],[fecha]], "mmmm")</f>
        <v>mayo</v>
      </c>
      <c r="F607" s="8" t="str">
        <f>"T"&amp;ROUNDUP(Tabla2[[#This Row],[mes]]/3,0)</f>
        <v>T2</v>
      </c>
      <c r="G607" t="s">
        <v>15</v>
      </c>
      <c r="H607" t="s">
        <v>16</v>
      </c>
      <c r="I607" s="8" t="str">
        <f>IF(Tabla2[[#This Row],[precio_unitario]]&lt;=30,"Económico",IF(Tabla2[[#This Row],[precio_unitario]]&lt;=58.49,"Accesible","Caro"))</f>
        <v>Caro</v>
      </c>
      <c r="J607" t="s">
        <v>17</v>
      </c>
      <c r="K607">
        <v>2</v>
      </c>
      <c r="L607" s="19">
        <v>61.39</v>
      </c>
      <c r="M607" s="19">
        <v>40.94</v>
      </c>
      <c r="N607" s="11">
        <v>0.21</v>
      </c>
      <c r="O607" s="17">
        <f t="shared" si="39"/>
        <v>96.996200000000002</v>
      </c>
      <c r="P607" s="17">
        <f t="shared" si="36"/>
        <v>81.88</v>
      </c>
      <c r="Q607" s="17">
        <f t="shared" si="37"/>
        <v>15.116200000000006</v>
      </c>
      <c r="R607" s="24">
        <f t="shared" si="38"/>
        <v>0.15584321860031636</v>
      </c>
      <c r="S607" t="s">
        <v>63</v>
      </c>
      <c r="T607" t="s">
        <v>64</v>
      </c>
    </row>
    <row r="608" spans="1:20" hidden="1">
      <c r="A608" t="s">
        <v>680</v>
      </c>
      <c r="B608" s="5">
        <v>45889</v>
      </c>
      <c r="C608" s="8">
        <f>YEAR(Tabla2[[#This Row],[fecha]])</f>
        <v>2025</v>
      </c>
      <c r="D608" s="8">
        <f>MONTH(Tabla2[[#This Row],[fecha]])</f>
        <v>8</v>
      </c>
      <c r="E608" s="8" t="str">
        <f>TEXT(Tabla2[[#This Row],[fecha]], "mmmm")</f>
        <v>agosto</v>
      </c>
      <c r="F608" s="8" t="str">
        <f>"T"&amp;ROUNDUP(Tabla2[[#This Row],[mes]]/3,0)</f>
        <v>T3</v>
      </c>
      <c r="G608" t="s">
        <v>36</v>
      </c>
      <c r="H608" t="s">
        <v>37</v>
      </c>
      <c r="I608" s="8" t="str">
        <f>IF(Tabla2[[#This Row],[precio_unitario]]&lt;=30,"Económico",IF(Tabla2[[#This Row],[precio_unitario]]&lt;=58.49,"Accesible","Caro"))</f>
        <v>Económico</v>
      </c>
      <c r="J608" t="s">
        <v>35</v>
      </c>
      <c r="K608">
        <v>1</v>
      </c>
      <c r="L608" s="19">
        <v>14.75</v>
      </c>
      <c r="M608" s="19">
        <v>9.51</v>
      </c>
      <c r="N608" s="13">
        <v>0</v>
      </c>
      <c r="O608" s="17">
        <f t="shared" si="39"/>
        <v>14.75</v>
      </c>
      <c r="P608" s="17">
        <f t="shared" si="36"/>
        <v>9.51</v>
      </c>
      <c r="Q608" s="17">
        <f t="shared" si="37"/>
        <v>5.24</v>
      </c>
      <c r="R608" s="24">
        <f t="shared" si="38"/>
        <v>0.3552542372881356</v>
      </c>
      <c r="S608" t="s">
        <v>540</v>
      </c>
      <c r="T608" t="s">
        <v>60</v>
      </c>
    </row>
    <row r="609" spans="1:20">
      <c r="A609" t="s">
        <v>681</v>
      </c>
      <c r="B609" s="5">
        <v>45949</v>
      </c>
      <c r="C609" s="8">
        <f>YEAR(Tabla2[[#This Row],[fecha]])</f>
        <v>2025</v>
      </c>
      <c r="D609" s="8">
        <f>MONTH(Tabla2[[#This Row],[fecha]])</f>
        <v>10</v>
      </c>
      <c r="E609" s="8" t="str">
        <f>TEXT(Tabla2[[#This Row],[fecha]], "mmmm")</f>
        <v>octubre</v>
      </c>
      <c r="F609" s="8" t="str">
        <f>"T"&amp;ROUNDUP(Tabla2[[#This Row],[mes]]/3,0)</f>
        <v>T4</v>
      </c>
      <c r="G609" t="s">
        <v>47</v>
      </c>
      <c r="H609" t="s">
        <v>48</v>
      </c>
      <c r="I609" s="8" t="str">
        <f>IF(Tabla2[[#This Row],[precio_unitario]]&lt;=30,"Económico",IF(Tabla2[[#This Row],[precio_unitario]]&lt;=58.49,"Accesible","Caro"))</f>
        <v>Caro</v>
      </c>
      <c r="J609" t="s">
        <v>44</v>
      </c>
      <c r="K609">
        <v>1</v>
      </c>
      <c r="L609" s="19">
        <v>59.5</v>
      </c>
      <c r="M609" s="19">
        <v>32.700000000000003</v>
      </c>
      <c r="N609" s="11">
        <v>0</v>
      </c>
      <c r="O609" s="17">
        <f t="shared" si="39"/>
        <v>59.5</v>
      </c>
      <c r="P609" s="17">
        <f t="shared" si="36"/>
        <v>32.700000000000003</v>
      </c>
      <c r="Q609" s="17">
        <f t="shared" si="37"/>
        <v>26.799999999999997</v>
      </c>
      <c r="R609" s="24">
        <f t="shared" si="38"/>
        <v>0.45042016806722684</v>
      </c>
      <c r="S609" t="s">
        <v>67</v>
      </c>
      <c r="T609" t="s">
        <v>60</v>
      </c>
    </row>
    <row r="610" spans="1:20" hidden="1">
      <c r="A610" t="s">
        <v>682</v>
      </c>
      <c r="B610" s="5">
        <v>45894</v>
      </c>
      <c r="C610" s="8">
        <f>YEAR(Tabla2[[#This Row],[fecha]])</f>
        <v>2025</v>
      </c>
      <c r="D610" s="8">
        <f>MONTH(Tabla2[[#This Row],[fecha]])</f>
        <v>8</v>
      </c>
      <c r="E610" s="8" t="str">
        <f>TEXT(Tabla2[[#This Row],[fecha]], "mmmm")</f>
        <v>agosto</v>
      </c>
      <c r="F610" s="8" t="str">
        <f>"T"&amp;ROUNDUP(Tabla2[[#This Row],[mes]]/3,0)</f>
        <v>T3</v>
      </c>
      <c r="G610" t="s">
        <v>29</v>
      </c>
      <c r="H610" t="s">
        <v>30</v>
      </c>
      <c r="I610" s="8" t="str">
        <f>IF(Tabla2[[#This Row],[precio_unitario]]&lt;=30,"Económico",IF(Tabla2[[#This Row],[precio_unitario]]&lt;=58.49,"Accesible","Caro"))</f>
        <v>Económico</v>
      </c>
      <c r="J610" t="s">
        <v>26</v>
      </c>
      <c r="K610">
        <v>4</v>
      </c>
      <c r="L610" s="19">
        <v>19.940000000000001</v>
      </c>
      <c r="M610" s="19">
        <v>11.8</v>
      </c>
      <c r="N610" s="11">
        <v>7.0000000000000007E-2</v>
      </c>
      <c r="O610" s="17">
        <f t="shared" si="39"/>
        <v>74.1768</v>
      </c>
      <c r="P610" s="17">
        <f t="shared" si="36"/>
        <v>47.2</v>
      </c>
      <c r="Q610" s="17">
        <f t="shared" si="37"/>
        <v>26.976799999999997</v>
      </c>
      <c r="R610" s="24">
        <f t="shared" si="38"/>
        <v>0.36368244518501736</v>
      </c>
      <c r="S610" t="s">
        <v>101</v>
      </c>
      <c r="T610" t="s">
        <v>60</v>
      </c>
    </row>
    <row r="611" spans="1:20" hidden="1">
      <c r="A611" t="s">
        <v>683</v>
      </c>
      <c r="B611" s="5">
        <v>45847</v>
      </c>
      <c r="C611" s="8">
        <f>YEAR(Tabla2[[#This Row],[fecha]])</f>
        <v>2025</v>
      </c>
      <c r="D611" s="8">
        <f>MONTH(Tabla2[[#This Row],[fecha]])</f>
        <v>7</v>
      </c>
      <c r="E611" s="8" t="str">
        <f>TEXT(Tabla2[[#This Row],[fecha]], "mmmm")</f>
        <v>julio</v>
      </c>
      <c r="F611" s="8" t="str">
        <f>"T"&amp;ROUNDUP(Tabla2[[#This Row],[mes]]/3,0)</f>
        <v>T3</v>
      </c>
      <c r="G611" t="s">
        <v>31</v>
      </c>
      <c r="H611" t="s">
        <v>32</v>
      </c>
      <c r="I611" s="8" t="str">
        <f>IF(Tabla2[[#This Row],[precio_unitario]]&lt;=30,"Económico",IF(Tabla2[[#This Row],[precio_unitario]]&lt;=58.49,"Accesible","Caro"))</f>
        <v>Económico</v>
      </c>
      <c r="J611" t="s">
        <v>26</v>
      </c>
      <c r="K611">
        <v>2</v>
      </c>
      <c r="L611" s="19">
        <v>8.68</v>
      </c>
      <c r="M611" s="19">
        <v>5.7</v>
      </c>
      <c r="N611" s="11">
        <v>0</v>
      </c>
      <c r="O611" s="17">
        <f t="shared" si="39"/>
        <v>17.36</v>
      </c>
      <c r="P611" s="17">
        <f t="shared" si="36"/>
        <v>11.4</v>
      </c>
      <c r="Q611" s="17">
        <f t="shared" si="37"/>
        <v>5.9599999999999991</v>
      </c>
      <c r="R611" s="24">
        <f t="shared" si="38"/>
        <v>0.34331797235023037</v>
      </c>
      <c r="S611" t="s">
        <v>540</v>
      </c>
      <c r="T611" t="s">
        <v>64</v>
      </c>
    </row>
    <row r="612" spans="1:20">
      <c r="A612" t="s">
        <v>684</v>
      </c>
      <c r="B612" s="5">
        <v>45998</v>
      </c>
      <c r="C612" s="8">
        <f>YEAR(Tabla2[[#This Row],[fecha]])</f>
        <v>2025</v>
      </c>
      <c r="D612" s="8">
        <f>MONTH(Tabla2[[#This Row],[fecha]])</f>
        <v>12</v>
      </c>
      <c r="E612" s="8" t="str">
        <f>TEXT(Tabla2[[#This Row],[fecha]], "mmmm")</f>
        <v>diciembre</v>
      </c>
      <c r="F612" s="8" t="str">
        <f>"T"&amp;ROUNDUP(Tabla2[[#This Row],[mes]]/3,0)</f>
        <v>T4</v>
      </c>
      <c r="G612" t="s">
        <v>9</v>
      </c>
      <c r="H612" t="s">
        <v>10</v>
      </c>
      <c r="I612" s="8" t="str">
        <f>IF(Tabla2[[#This Row],[precio_unitario]]&lt;=30,"Económico",IF(Tabla2[[#This Row],[precio_unitario]]&lt;=58.49,"Accesible","Caro"))</f>
        <v>Caro</v>
      </c>
      <c r="J612" t="s">
        <v>8</v>
      </c>
      <c r="K612">
        <v>8</v>
      </c>
      <c r="L612" s="19">
        <v>74.14</v>
      </c>
      <c r="M612" s="19">
        <v>46.78</v>
      </c>
      <c r="N612" s="11">
        <v>0</v>
      </c>
      <c r="O612" s="17">
        <f t="shared" si="39"/>
        <v>593.12</v>
      </c>
      <c r="P612" s="17">
        <f t="shared" si="36"/>
        <v>374.24</v>
      </c>
      <c r="Q612" s="17">
        <f t="shared" si="37"/>
        <v>218.88</v>
      </c>
      <c r="R612" s="24">
        <f t="shared" si="38"/>
        <v>0.36903156190990016</v>
      </c>
      <c r="S612" t="s">
        <v>67</v>
      </c>
      <c r="T612" t="s">
        <v>60</v>
      </c>
    </row>
    <row r="613" spans="1:20" hidden="1">
      <c r="A613" t="s">
        <v>685</v>
      </c>
      <c r="B613" s="5">
        <v>45443</v>
      </c>
      <c r="C613" s="8">
        <f>YEAR(Tabla2[[#This Row],[fecha]])</f>
        <v>2024</v>
      </c>
      <c r="D613" s="8">
        <f>MONTH(Tabla2[[#This Row],[fecha]])</f>
        <v>5</v>
      </c>
      <c r="E613" s="8" t="str">
        <f>TEXT(Tabla2[[#This Row],[fecha]], "mmmm")</f>
        <v>mayo</v>
      </c>
      <c r="F613" s="8" t="str">
        <f>"T"&amp;ROUNDUP(Tabla2[[#This Row],[mes]]/3,0)</f>
        <v>T2</v>
      </c>
      <c r="G613" t="s">
        <v>36</v>
      </c>
      <c r="H613" t="s">
        <v>37</v>
      </c>
      <c r="I613" s="8" t="str">
        <f>IF(Tabla2[[#This Row],[precio_unitario]]&lt;=30,"Económico",IF(Tabla2[[#This Row],[precio_unitario]]&lt;=58.49,"Accesible","Caro"))</f>
        <v>Económico</v>
      </c>
      <c r="J613" t="s">
        <v>35</v>
      </c>
      <c r="K613">
        <v>3</v>
      </c>
      <c r="L613" s="19">
        <v>13.65</v>
      </c>
      <c r="M613" s="19">
        <v>9.7200000000000006</v>
      </c>
      <c r="N613" s="13">
        <v>0</v>
      </c>
      <c r="O613" s="17">
        <f t="shared" si="39"/>
        <v>40.950000000000003</v>
      </c>
      <c r="P613" s="17">
        <f t="shared" si="36"/>
        <v>29.160000000000004</v>
      </c>
      <c r="Q613" s="17">
        <f t="shared" si="37"/>
        <v>11.79</v>
      </c>
      <c r="R613" s="24">
        <f t="shared" si="38"/>
        <v>0.28791208791208789</v>
      </c>
      <c r="S613" t="s">
        <v>67</v>
      </c>
      <c r="T613" t="s">
        <v>64</v>
      </c>
    </row>
    <row r="614" spans="1:20" hidden="1">
      <c r="A614" t="s">
        <v>686</v>
      </c>
      <c r="B614" s="5">
        <v>45920</v>
      </c>
      <c r="C614" s="8">
        <f>YEAR(Tabla2[[#This Row],[fecha]])</f>
        <v>2025</v>
      </c>
      <c r="D614" s="8">
        <f>MONTH(Tabla2[[#This Row],[fecha]])</f>
        <v>9</v>
      </c>
      <c r="E614" s="8" t="str">
        <f>TEXT(Tabla2[[#This Row],[fecha]], "mmmm")</f>
        <v>septiembre</v>
      </c>
      <c r="F614" s="8" t="str">
        <f>"T"&amp;ROUNDUP(Tabla2[[#This Row],[mes]]/3,0)</f>
        <v>T3</v>
      </c>
      <c r="G614" t="s">
        <v>45</v>
      </c>
      <c r="H614" t="s">
        <v>46</v>
      </c>
      <c r="I614" s="8" t="str">
        <f>IF(Tabla2[[#This Row],[precio_unitario]]&lt;=30,"Económico",IF(Tabla2[[#This Row],[precio_unitario]]&lt;=58.49,"Accesible","Caro"))</f>
        <v>Económico</v>
      </c>
      <c r="J614" t="s">
        <v>44</v>
      </c>
      <c r="K614">
        <v>1</v>
      </c>
      <c r="L614" s="19">
        <v>29.73</v>
      </c>
      <c r="M614" s="19">
        <v>16.47</v>
      </c>
      <c r="N614" s="11">
        <v>0</v>
      </c>
      <c r="O614" s="17">
        <f t="shared" si="39"/>
        <v>29.73</v>
      </c>
      <c r="P614" s="17">
        <f t="shared" si="36"/>
        <v>16.47</v>
      </c>
      <c r="Q614" s="17">
        <f t="shared" si="37"/>
        <v>13.260000000000002</v>
      </c>
      <c r="R614" s="24">
        <f t="shared" si="38"/>
        <v>0.44601412714429872</v>
      </c>
      <c r="S614" t="s">
        <v>540</v>
      </c>
      <c r="T614" t="s">
        <v>64</v>
      </c>
    </row>
    <row r="615" spans="1:20">
      <c r="A615" t="s">
        <v>687</v>
      </c>
      <c r="B615" s="5">
        <v>46002</v>
      </c>
      <c r="C615" s="8">
        <f>YEAR(Tabla2[[#This Row],[fecha]])</f>
        <v>2025</v>
      </c>
      <c r="D615" s="8">
        <f>MONTH(Tabla2[[#This Row],[fecha]])</f>
        <v>12</v>
      </c>
      <c r="E615" s="8" t="str">
        <f>TEXT(Tabla2[[#This Row],[fecha]], "mmmm")</f>
        <v>diciembre</v>
      </c>
      <c r="F615" s="8" t="str">
        <f>"T"&amp;ROUNDUP(Tabla2[[#This Row],[mes]]/3,0)</f>
        <v>T4</v>
      </c>
      <c r="G615" t="s">
        <v>31</v>
      </c>
      <c r="H615" t="s">
        <v>32</v>
      </c>
      <c r="I615" s="8" t="str">
        <f>IF(Tabla2[[#This Row],[precio_unitario]]&lt;=30,"Económico",IF(Tabla2[[#This Row],[precio_unitario]]&lt;=58.49,"Accesible","Caro"))</f>
        <v>Económico</v>
      </c>
      <c r="J615" t="s">
        <v>26</v>
      </c>
      <c r="K615">
        <v>6</v>
      </c>
      <c r="L615" s="19">
        <v>8.4700000000000006</v>
      </c>
      <c r="M615" s="19">
        <v>6.04</v>
      </c>
      <c r="N615" s="11">
        <v>0.11</v>
      </c>
      <c r="O615" s="17">
        <f t="shared" si="39"/>
        <v>45.229800000000004</v>
      </c>
      <c r="P615" s="17">
        <f t="shared" si="36"/>
        <v>36.24</v>
      </c>
      <c r="Q615" s="17">
        <f t="shared" si="37"/>
        <v>8.9898000000000025</v>
      </c>
      <c r="R615" s="24">
        <f t="shared" si="38"/>
        <v>0.19875834073995466</v>
      </c>
      <c r="S615" t="s">
        <v>67</v>
      </c>
      <c r="T615" t="s">
        <v>64</v>
      </c>
    </row>
    <row r="616" spans="1:20" hidden="1">
      <c r="A616" t="s">
        <v>688</v>
      </c>
      <c r="B616" s="5">
        <v>45538</v>
      </c>
      <c r="C616" s="8">
        <f>YEAR(Tabla2[[#This Row],[fecha]])</f>
        <v>2024</v>
      </c>
      <c r="D616" s="8">
        <f>MONTH(Tabla2[[#This Row],[fecha]])</f>
        <v>9</v>
      </c>
      <c r="E616" s="8" t="str">
        <f>TEXT(Tabla2[[#This Row],[fecha]], "mmmm")</f>
        <v>septiembre</v>
      </c>
      <c r="F616" s="8" t="str">
        <f>"T"&amp;ROUNDUP(Tabla2[[#This Row],[mes]]/3,0)</f>
        <v>T3</v>
      </c>
      <c r="G616" t="s">
        <v>15</v>
      </c>
      <c r="H616" t="s">
        <v>16</v>
      </c>
      <c r="I616" s="8" t="str">
        <f>IF(Tabla2[[#This Row],[precio_unitario]]&lt;=30,"Económico",IF(Tabla2[[#This Row],[precio_unitario]]&lt;=58.49,"Accesible","Caro"))</f>
        <v>Caro</v>
      </c>
      <c r="J616" t="s">
        <v>17</v>
      </c>
      <c r="K616">
        <v>2</v>
      </c>
      <c r="L616" s="19">
        <v>58.77</v>
      </c>
      <c r="M616" s="19">
        <v>41.44</v>
      </c>
      <c r="N616" s="11">
        <v>0</v>
      </c>
      <c r="O616" s="17">
        <f t="shared" si="39"/>
        <v>117.54</v>
      </c>
      <c r="P616" s="17">
        <f t="shared" si="36"/>
        <v>82.88</v>
      </c>
      <c r="Q616" s="17">
        <f t="shared" si="37"/>
        <v>34.660000000000011</v>
      </c>
      <c r="R616" s="24">
        <f t="shared" si="38"/>
        <v>0.29487833928875284</v>
      </c>
      <c r="S616" t="s">
        <v>67</v>
      </c>
      <c r="T616" t="s">
        <v>64</v>
      </c>
    </row>
    <row r="617" spans="1:20" hidden="1">
      <c r="A617" t="s">
        <v>689</v>
      </c>
      <c r="B617" s="5">
        <v>45342</v>
      </c>
      <c r="C617" s="8">
        <f>YEAR(Tabla2[[#This Row],[fecha]])</f>
        <v>2024</v>
      </c>
      <c r="D617" s="8">
        <f>MONTH(Tabla2[[#This Row],[fecha]])</f>
        <v>2</v>
      </c>
      <c r="E617" s="8" t="str">
        <f>TEXT(Tabla2[[#This Row],[fecha]], "mmmm")</f>
        <v>febrero</v>
      </c>
      <c r="F617" s="8" t="str">
        <f>"T"&amp;ROUNDUP(Tabla2[[#This Row],[mes]]/3,0)</f>
        <v>T1</v>
      </c>
      <c r="G617" t="s">
        <v>22</v>
      </c>
      <c r="H617" t="s">
        <v>23</v>
      </c>
      <c r="I617" s="8" t="str">
        <f>IF(Tabla2[[#This Row],[precio_unitario]]&lt;=30,"Económico",IF(Tabla2[[#This Row],[precio_unitario]]&lt;=58.49,"Accesible","Caro"))</f>
        <v>Caro</v>
      </c>
      <c r="J617" t="s">
        <v>17</v>
      </c>
      <c r="K617">
        <v>3</v>
      </c>
      <c r="L617" s="19">
        <v>108.52</v>
      </c>
      <c r="M617" s="19">
        <v>59.26</v>
      </c>
      <c r="N617" s="11">
        <v>0</v>
      </c>
      <c r="O617" s="17">
        <f t="shared" si="39"/>
        <v>325.56</v>
      </c>
      <c r="P617" s="17">
        <f t="shared" si="36"/>
        <v>177.78</v>
      </c>
      <c r="Q617" s="17">
        <f t="shared" si="37"/>
        <v>147.78</v>
      </c>
      <c r="R617" s="24">
        <f t="shared" si="38"/>
        <v>0.45392554367858462</v>
      </c>
      <c r="S617" t="s">
        <v>67</v>
      </c>
      <c r="T617" t="s">
        <v>64</v>
      </c>
    </row>
    <row r="618" spans="1:20" hidden="1">
      <c r="A618" t="s">
        <v>690</v>
      </c>
      <c r="B618" s="5">
        <v>45369</v>
      </c>
      <c r="C618" s="8">
        <f>YEAR(Tabla2[[#This Row],[fecha]])</f>
        <v>2024</v>
      </c>
      <c r="D618" s="8">
        <f>MONTH(Tabla2[[#This Row],[fecha]])</f>
        <v>3</v>
      </c>
      <c r="E618" s="8" t="str">
        <f>TEXT(Tabla2[[#This Row],[fecha]], "mmmm")</f>
        <v>marzo</v>
      </c>
      <c r="F618" s="8" t="str">
        <f>"T"&amp;ROUNDUP(Tabla2[[#This Row],[mes]]/3,0)</f>
        <v>T1</v>
      </c>
      <c r="G618" t="s">
        <v>20</v>
      </c>
      <c r="H618" t="s">
        <v>21</v>
      </c>
      <c r="I618" s="8" t="str">
        <f>IF(Tabla2[[#This Row],[precio_unitario]]&lt;=30,"Económico",IF(Tabla2[[#This Row],[precio_unitario]]&lt;=58.49,"Accesible","Caro"))</f>
        <v>Económico</v>
      </c>
      <c r="J618" t="s">
        <v>17</v>
      </c>
      <c r="K618">
        <v>2</v>
      </c>
      <c r="L618" s="19">
        <v>21.14</v>
      </c>
      <c r="M618" s="19">
        <v>12.75</v>
      </c>
      <c r="N618" s="13">
        <v>0</v>
      </c>
      <c r="O618" s="17">
        <f t="shared" si="39"/>
        <v>42.28</v>
      </c>
      <c r="P618" s="17">
        <f t="shared" si="36"/>
        <v>25.5</v>
      </c>
      <c r="Q618" s="17">
        <f t="shared" si="37"/>
        <v>16.78</v>
      </c>
      <c r="R618" s="24">
        <f t="shared" si="38"/>
        <v>0.39687795648060548</v>
      </c>
      <c r="S618" t="s">
        <v>540</v>
      </c>
      <c r="T618" t="s">
        <v>60</v>
      </c>
    </row>
    <row r="619" spans="1:20">
      <c r="A619" t="s">
        <v>691</v>
      </c>
      <c r="B619" s="5">
        <v>45901</v>
      </c>
      <c r="C619" s="8">
        <f>YEAR(Tabla2[[#This Row],[fecha]])</f>
        <v>2025</v>
      </c>
      <c r="D619" s="8">
        <f>MONTH(Tabla2[[#This Row],[fecha]])</f>
        <v>9</v>
      </c>
      <c r="E619" s="8" t="str">
        <f>TEXT(Tabla2[[#This Row],[fecha]], "mmmm")</f>
        <v>septiembre</v>
      </c>
      <c r="F619" s="8" t="str">
        <f>"T"&amp;ROUNDUP(Tabla2[[#This Row],[mes]]/3,0)</f>
        <v>T3</v>
      </c>
      <c r="G619" t="s">
        <v>40</v>
      </c>
      <c r="H619" t="s">
        <v>41</v>
      </c>
      <c r="I619" s="8" t="str">
        <f>IF(Tabla2[[#This Row],[precio_unitario]]&lt;=30,"Económico",IF(Tabla2[[#This Row],[precio_unitario]]&lt;=58.49,"Accesible","Caro"))</f>
        <v>Caro</v>
      </c>
      <c r="J619" t="s">
        <v>35</v>
      </c>
      <c r="K619">
        <v>2</v>
      </c>
      <c r="L619" s="19">
        <v>74.11</v>
      </c>
      <c r="M619" s="19">
        <v>42.08</v>
      </c>
      <c r="N619" s="11">
        <v>0</v>
      </c>
      <c r="O619" s="17">
        <f t="shared" si="39"/>
        <v>148.22</v>
      </c>
      <c r="P619" s="17">
        <f t="shared" si="36"/>
        <v>84.16</v>
      </c>
      <c r="Q619" s="17">
        <f t="shared" si="37"/>
        <v>64.06</v>
      </c>
      <c r="R619" s="24">
        <f t="shared" si="38"/>
        <v>0.43219538523815954</v>
      </c>
      <c r="S619" t="s">
        <v>67</v>
      </c>
      <c r="T619" t="s">
        <v>64</v>
      </c>
    </row>
    <row r="620" spans="1:20" hidden="1">
      <c r="A620" t="s">
        <v>692</v>
      </c>
      <c r="B620" s="5">
        <v>45938</v>
      </c>
      <c r="C620" s="8">
        <f>YEAR(Tabla2[[#This Row],[fecha]])</f>
        <v>2025</v>
      </c>
      <c r="D620" s="8">
        <f>MONTH(Tabla2[[#This Row],[fecha]])</f>
        <v>10</v>
      </c>
      <c r="E620" s="8" t="str">
        <f>TEXT(Tabla2[[#This Row],[fecha]], "mmmm")</f>
        <v>octubre</v>
      </c>
      <c r="F620" s="8" t="str">
        <f>"T"&amp;ROUNDUP(Tabla2[[#This Row],[mes]]/3,0)</f>
        <v>T4</v>
      </c>
      <c r="G620" t="s">
        <v>38</v>
      </c>
      <c r="H620" t="s">
        <v>39</v>
      </c>
      <c r="I620" s="8" t="str">
        <f>IF(Tabla2[[#This Row],[precio_unitario]]&lt;=30,"Económico",IF(Tabla2[[#This Row],[precio_unitario]]&lt;=58.49,"Accesible","Caro"))</f>
        <v>Caro</v>
      </c>
      <c r="J620" t="s">
        <v>35</v>
      </c>
      <c r="K620">
        <v>1</v>
      </c>
      <c r="L620" s="19">
        <v>80.34</v>
      </c>
      <c r="M620" s="19">
        <v>41.5</v>
      </c>
      <c r="N620" s="11">
        <v>0</v>
      </c>
      <c r="O620" s="17">
        <f t="shared" si="39"/>
        <v>80.34</v>
      </c>
      <c r="P620" s="17">
        <f t="shared" si="36"/>
        <v>41.5</v>
      </c>
      <c r="Q620" s="17">
        <f t="shared" si="37"/>
        <v>38.840000000000003</v>
      </c>
      <c r="R620" s="24">
        <f t="shared" si="38"/>
        <v>0.48344535723176502</v>
      </c>
      <c r="S620" t="s">
        <v>96</v>
      </c>
      <c r="T620" t="s">
        <v>64</v>
      </c>
    </row>
    <row r="621" spans="1:20" hidden="1">
      <c r="A621" t="s">
        <v>693</v>
      </c>
      <c r="B621" s="5">
        <v>45800</v>
      </c>
      <c r="C621" s="8">
        <f>YEAR(Tabla2[[#This Row],[fecha]])</f>
        <v>2025</v>
      </c>
      <c r="D621" s="8">
        <f>MONTH(Tabla2[[#This Row],[fecha]])</f>
        <v>5</v>
      </c>
      <c r="E621" s="8" t="str">
        <f>TEXT(Tabla2[[#This Row],[fecha]], "mmmm")</f>
        <v>mayo</v>
      </c>
      <c r="F621" s="8" t="str">
        <f>"T"&amp;ROUNDUP(Tabla2[[#This Row],[mes]]/3,0)</f>
        <v>T2</v>
      </c>
      <c r="G621" t="s">
        <v>47</v>
      </c>
      <c r="H621" t="s">
        <v>48</v>
      </c>
      <c r="I621" s="8" t="str">
        <f>IF(Tabla2[[#This Row],[precio_unitario]]&lt;=30,"Económico",IF(Tabla2[[#This Row],[precio_unitario]]&lt;=58.49,"Accesible","Caro"))</f>
        <v>Accesible</v>
      </c>
      <c r="J621" t="s">
        <v>44</v>
      </c>
      <c r="K621">
        <v>1</v>
      </c>
      <c r="L621" s="19">
        <v>56.02</v>
      </c>
      <c r="M621" s="19">
        <v>31.67</v>
      </c>
      <c r="N621" s="11">
        <v>0</v>
      </c>
      <c r="O621" s="17">
        <f t="shared" si="39"/>
        <v>56.02</v>
      </c>
      <c r="P621" s="17">
        <f t="shared" si="36"/>
        <v>31.67</v>
      </c>
      <c r="Q621" s="17">
        <f t="shared" si="37"/>
        <v>24.35</v>
      </c>
      <c r="R621" s="24">
        <f t="shared" si="38"/>
        <v>0.43466619064619777</v>
      </c>
      <c r="S621" t="s">
        <v>63</v>
      </c>
      <c r="T621" t="s">
        <v>64</v>
      </c>
    </row>
    <row r="622" spans="1:20" hidden="1">
      <c r="A622" t="s">
        <v>694</v>
      </c>
      <c r="B622" s="5">
        <v>45843</v>
      </c>
      <c r="C622" s="8">
        <f>YEAR(Tabla2[[#This Row],[fecha]])</f>
        <v>2025</v>
      </c>
      <c r="D622" s="8">
        <f>MONTH(Tabla2[[#This Row],[fecha]])</f>
        <v>7</v>
      </c>
      <c r="E622" s="8" t="str">
        <f>TEXT(Tabla2[[#This Row],[fecha]], "mmmm")</f>
        <v>julio</v>
      </c>
      <c r="F622" s="8" t="str">
        <f>"T"&amp;ROUNDUP(Tabla2[[#This Row],[mes]]/3,0)</f>
        <v>T3</v>
      </c>
      <c r="G622" t="s">
        <v>38</v>
      </c>
      <c r="H622" t="s">
        <v>39</v>
      </c>
      <c r="I622" s="8" t="str">
        <f>IF(Tabla2[[#This Row],[precio_unitario]]&lt;=30,"Económico",IF(Tabla2[[#This Row],[precio_unitario]]&lt;=58.49,"Accesible","Caro"))</f>
        <v>Caro</v>
      </c>
      <c r="J622" t="s">
        <v>35</v>
      </c>
      <c r="K622">
        <v>6</v>
      </c>
      <c r="L622" s="19">
        <v>83.19</v>
      </c>
      <c r="M622" s="19">
        <v>44.37</v>
      </c>
      <c r="N622" s="13">
        <v>0</v>
      </c>
      <c r="O622" s="17">
        <f t="shared" si="39"/>
        <v>499.14</v>
      </c>
      <c r="P622" s="17">
        <f t="shared" si="36"/>
        <v>266.21999999999997</v>
      </c>
      <c r="Q622" s="17">
        <f t="shared" si="37"/>
        <v>232.92000000000002</v>
      </c>
      <c r="R622" s="24">
        <f t="shared" si="38"/>
        <v>0.46664262531554279</v>
      </c>
      <c r="S622" t="s">
        <v>540</v>
      </c>
      <c r="T622" t="s">
        <v>60</v>
      </c>
    </row>
    <row r="623" spans="1:20" hidden="1">
      <c r="A623" t="s">
        <v>695</v>
      </c>
      <c r="B623" s="5">
        <v>45526</v>
      </c>
      <c r="C623" s="8">
        <f>YEAR(Tabla2[[#This Row],[fecha]])</f>
        <v>2024</v>
      </c>
      <c r="D623" s="8">
        <f>MONTH(Tabla2[[#This Row],[fecha]])</f>
        <v>8</v>
      </c>
      <c r="E623" s="8" t="str">
        <f>TEXT(Tabla2[[#This Row],[fecha]], "mmmm")</f>
        <v>agosto</v>
      </c>
      <c r="F623" s="8" t="str">
        <f>"T"&amp;ROUNDUP(Tabla2[[#This Row],[mes]]/3,0)</f>
        <v>T3</v>
      </c>
      <c r="G623" t="s">
        <v>31</v>
      </c>
      <c r="H623" t="s">
        <v>32</v>
      </c>
      <c r="I623" s="8" t="str">
        <f>IF(Tabla2[[#This Row],[precio_unitario]]&lt;=30,"Económico",IF(Tabla2[[#This Row],[precio_unitario]]&lt;=58.49,"Accesible","Caro"))</f>
        <v>Económico</v>
      </c>
      <c r="J623" t="s">
        <v>26</v>
      </c>
      <c r="K623">
        <v>1</v>
      </c>
      <c r="L623" s="19">
        <v>8.35</v>
      </c>
      <c r="M623" s="21">
        <f>INDEX(Tabla3[coste_objetivo], MATCH(Tabla2[[#This Row],[id_producto]], Tabla3[id_producto],0))</f>
        <v>5.77</v>
      </c>
      <c r="N623" s="11">
        <v>0</v>
      </c>
      <c r="O623" s="17">
        <f t="shared" si="39"/>
        <v>8.35</v>
      </c>
      <c r="P623" s="17">
        <f t="shared" si="36"/>
        <v>5.77</v>
      </c>
      <c r="Q623" s="17">
        <f t="shared" si="37"/>
        <v>2.58</v>
      </c>
      <c r="R623" s="24">
        <f t="shared" si="38"/>
        <v>0.30898203592814372</v>
      </c>
      <c r="S623" t="s">
        <v>67</v>
      </c>
      <c r="T623" t="s">
        <v>64</v>
      </c>
    </row>
    <row r="624" spans="1:20" hidden="1">
      <c r="A624" t="s">
        <v>696</v>
      </c>
      <c r="B624" s="5">
        <v>45613</v>
      </c>
      <c r="C624" s="8">
        <f>YEAR(Tabla2[[#This Row],[fecha]])</f>
        <v>2024</v>
      </c>
      <c r="D624" s="8">
        <f>MONTH(Tabla2[[#This Row],[fecha]])</f>
        <v>11</v>
      </c>
      <c r="E624" s="8" t="str">
        <f>TEXT(Tabla2[[#This Row],[fecha]], "mmmm")</f>
        <v>noviembre</v>
      </c>
      <c r="F624" s="8" t="str">
        <f>"T"&amp;ROUNDUP(Tabla2[[#This Row],[mes]]/3,0)</f>
        <v>T4</v>
      </c>
      <c r="G624" t="s">
        <v>27</v>
      </c>
      <c r="H624" t="s">
        <v>28</v>
      </c>
      <c r="I624" s="8" t="str">
        <f>IF(Tabla2[[#This Row],[precio_unitario]]&lt;=30,"Económico",IF(Tabla2[[#This Row],[precio_unitario]]&lt;=58.49,"Accesible","Caro"))</f>
        <v>Económico</v>
      </c>
      <c r="J624" t="s">
        <v>26</v>
      </c>
      <c r="K624">
        <v>4</v>
      </c>
      <c r="L624" s="19">
        <v>15.73</v>
      </c>
      <c r="M624" s="19">
        <v>11.97</v>
      </c>
      <c r="N624" s="11">
        <v>0</v>
      </c>
      <c r="O624" s="17">
        <f t="shared" si="39"/>
        <v>62.92</v>
      </c>
      <c r="P624" s="17">
        <f t="shared" si="36"/>
        <v>47.88</v>
      </c>
      <c r="Q624" s="17">
        <f t="shared" si="37"/>
        <v>15.04</v>
      </c>
      <c r="R624" s="24">
        <f t="shared" si="38"/>
        <v>0.23903369357914811</v>
      </c>
      <c r="S624" t="s">
        <v>83</v>
      </c>
      <c r="T624" t="s">
        <v>64</v>
      </c>
    </row>
    <row r="625" spans="1:20" hidden="1">
      <c r="A625" t="s">
        <v>697</v>
      </c>
      <c r="B625" s="5">
        <v>45394</v>
      </c>
      <c r="C625" s="8">
        <f>YEAR(Tabla2[[#This Row],[fecha]])</f>
        <v>2024</v>
      </c>
      <c r="D625" s="8">
        <f>MONTH(Tabla2[[#This Row],[fecha]])</f>
        <v>4</v>
      </c>
      <c r="E625" s="8" t="str">
        <f>TEXT(Tabla2[[#This Row],[fecha]], "mmmm")</f>
        <v>abril</v>
      </c>
      <c r="F625" s="8" t="str">
        <f>"T"&amp;ROUNDUP(Tabla2[[#This Row],[mes]]/3,0)</f>
        <v>T2</v>
      </c>
      <c r="G625" t="s">
        <v>22</v>
      </c>
      <c r="H625" t="s">
        <v>23</v>
      </c>
      <c r="I625" s="8" t="str">
        <f>IF(Tabla2[[#This Row],[precio_unitario]]&lt;=30,"Económico",IF(Tabla2[[#This Row],[precio_unitario]]&lt;=58.49,"Accesible","Caro"))</f>
        <v>Caro</v>
      </c>
      <c r="J625" t="s">
        <v>17</v>
      </c>
      <c r="K625">
        <v>3</v>
      </c>
      <c r="L625" s="19">
        <v>97.63</v>
      </c>
      <c r="M625" s="19">
        <v>59.19</v>
      </c>
      <c r="N625" s="11">
        <v>0</v>
      </c>
      <c r="O625" s="17">
        <f t="shared" si="39"/>
        <v>292.89</v>
      </c>
      <c r="P625" s="17">
        <f t="shared" si="36"/>
        <v>177.57</v>
      </c>
      <c r="Q625" s="17">
        <f t="shared" si="37"/>
        <v>115.32</v>
      </c>
      <c r="R625" s="24">
        <f t="shared" si="38"/>
        <v>0.39373143500973062</v>
      </c>
      <c r="S625" t="s">
        <v>63</v>
      </c>
      <c r="T625" t="s">
        <v>64</v>
      </c>
    </row>
    <row r="626" spans="1:20" hidden="1">
      <c r="A626" t="s">
        <v>698</v>
      </c>
      <c r="B626" s="5">
        <v>45430</v>
      </c>
      <c r="C626" s="8">
        <f>YEAR(Tabla2[[#This Row],[fecha]])</f>
        <v>2024</v>
      </c>
      <c r="D626" s="8">
        <f>MONTH(Tabla2[[#This Row],[fecha]])</f>
        <v>5</v>
      </c>
      <c r="E626" s="8" t="str">
        <f>TEXT(Tabla2[[#This Row],[fecha]], "mmmm")</f>
        <v>mayo</v>
      </c>
      <c r="F626" s="8" t="str">
        <f>"T"&amp;ROUNDUP(Tabla2[[#This Row],[mes]]/3,0)</f>
        <v>T2</v>
      </c>
      <c r="G626" t="s">
        <v>18</v>
      </c>
      <c r="H626" t="s">
        <v>19</v>
      </c>
      <c r="I626" s="8" t="str">
        <f>IF(Tabla2[[#This Row],[precio_unitario]]&lt;=30,"Económico",IF(Tabla2[[#This Row],[precio_unitario]]&lt;=58.49,"Accesible","Caro"))</f>
        <v>Accesible</v>
      </c>
      <c r="J626" t="s">
        <v>17</v>
      </c>
      <c r="K626">
        <v>1</v>
      </c>
      <c r="L626" s="19">
        <v>44.36</v>
      </c>
      <c r="M626" s="19">
        <v>27.86</v>
      </c>
      <c r="N626" s="11">
        <v>0</v>
      </c>
      <c r="O626" s="17">
        <f t="shared" si="39"/>
        <v>44.36</v>
      </c>
      <c r="P626" s="17">
        <f t="shared" si="36"/>
        <v>27.86</v>
      </c>
      <c r="Q626" s="17">
        <f t="shared" si="37"/>
        <v>16.5</v>
      </c>
      <c r="R626" s="24">
        <f t="shared" si="38"/>
        <v>0.37195671776375111</v>
      </c>
      <c r="S626" t="s">
        <v>63</v>
      </c>
      <c r="T626" t="s">
        <v>64</v>
      </c>
    </row>
    <row r="627" spans="1:20" hidden="1">
      <c r="A627" t="s">
        <v>699</v>
      </c>
      <c r="B627" s="5">
        <v>45343</v>
      </c>
      <c r="C627" s="8">
        <f>YEAR(Tabla2[[#This Row],[fecha]])</f>
        <v>2024</v>
      </c>
      <c r="D627" s="8">
        <f>MONTH(Tabla2[[#This Row],[fecha]])</f>
        <v>2</v>
      </c>
      <c r="E627" s="8" t="str">
        <f>TEXT(Tabla2[[#This Row],[fecha]], "mmmm")</f>
        <v>febrero</v>
      </c>
      <c r="F627" s="8" t="str">
        <f>"T"&amp;ROUNDUP(Tabla2[[#This Row],[mes]]/3,0)</f>
        <v>T1</v>
      </c>
      <c r="G627" t="s">
        <v>13</v>
      </c>
      <c r="H627" t="s">
        <v>14</v>
      </c>
      <c r="I627" s="8" t="str">
        <f>IF(Tabla2[[#This Row],[precio_unitario]]&lt;=30,"Económico",IF(Tabla2[[#This Row],[precio_unitario]]&lt;=58.49,"Accesible","Caro"))</f>
        <v>Caro</v>
      </c>
      <c r="J627" t="s">
        <v>8</v>
      </c>
      <c r="K627">
        <v>2</v>
      </c>
      <c r="L627" s="19">
        <v>149.83000000000001</v>
      </c>
      <c r="M627" s="19">
        <v>112.77</v>
      </c>
      <c r="N627" s="11">
        <v>0</v>
      </c>
      <c r="O627" s="17">
        <f t="shared" si="39"/>
        <v>299.66000000000003</v>
      </c>
      <c r="P627" s="17">
        <f t="shared" si="36"/>
        <v>225.54</v>
      </c>
      <c r="Q627" s="17">
        <f t="shared" si="37"/>
        <v>74.120000000000033</v>
      </c>
      <c r="R627" s="24">
        <f t="shared" si="38"/>
        <v>0.24734699325902698</v>
      </c>
      <c r="S627" t="s">
        <v>540</v>
      </c>
      <c r="T627" t="s">
        <v>64</v>
      </c>
    </row>
    <row r="628" spans="1:20" hidden="1">
      <c r="A628" t="s">
        <v>700</v>
      </c>
      <c r="B628" s="5">
        <v>45301</v>
      </c>
      <c r="C628" s="8">
        <f>YEAR(Tabla2[[#This Row],[fecha]])</f>
        <v>2024</v>
      </c>
      <c r="D628" s="8">
        <f>MONTH(Tabla2[[#This Row],[fecha]])</f>
        <v>1</v>
      </c>
      <c r="E628" s="8" t="str">
        <f>TEXT(Tabla2[[#This Row],[fecha]], "mmmm")</f>
        <v>enero</v>
      </c>
      <c r="F628" s="8" t="str">
        <f>"T"&amp;ROUNDUP(Tabla2[[#This Row],[mes]]/3,0)</f>
        <v>T1</v>
      </c>
      <c r="G628" t="s">
        <v>40</v>
      </c>
      <c r="H628" t="s">
        <v>41</v>
      </c>
      <c r="I628" s="8" t="str">
        <f>IF(Tabla2[[#This Row],[precio_unitario]]&lt;=30,"Económico",IF(Tabla2[[#This Row],[precio_unitario]]&lt;=58.49,"Accesible","Caro"))</f>
        <v>Caro</v>
      </c>
      <c r="J628" t="s">
        <v>35</v>
      </c>
      <c r="K628">
        <v>3</v>
      </c>
      <c r="L628" s="19">
        <v>82.47</v>
      </c>
      <c r="M628" s="19">
        <v>40.19</v>
      </c>
      <c r="N628" s="11">
        <v>0</v>
      </c>
      <c r="O628" s="17">
        <f t="shared" si="39"/>
        <v>247.41</v>
      </c>
      <c r="P628" s="17">
        <f t="shared" si="36"/>
        <v>120.57</v>
      </c>
      <c r="Q628" s="17">
        <f t="shared" si="37"/>
        <v>126.84</v>
      </c>
      <c r="R628" s="24">
        <f t="shared" si="38"/>
        <v>0.51267127440281313</v>
      </c>
      <c r="S628" t="s">
        <v>67</v>
      </c>
      <c r="T628" t="s">
        <v>64</v>
      </c>
    </row>
    <row r="629" spans="1:20" hidden="1">
      <c r="A629" t="s">
        <v>701</v>
      </c>
      <c r="B629" s="5">
        <v>46001</v>
      </c>
      <c r="C629" s="8">
        <f>YEAR(Tabla2[[#This Row],[fecha]])</f>
        <v>2025</v>
      </c>
      <c r="D629" s="8">
        <f>MONTH(Tabla2[[#This Row],[fecha]])</f>
        <v>12</v>
      </c>
      <c r="E629" s="8" t="str">
        <f>TEXT(Tabla2[[#This Row],[fecha]], "mmmm")</f>
        <v>diciembre</v>
      </c>
      <c r="F629" s="8" t="str">
        <f>"T"&amp;ROUNDUP(Tabla2[[#This Row],[mes]]/3,0)</f>
        <v>T4</v>
      </c>
      <c r="G629" t="s">
        <v>29</v>
      </c>
      <c r="H629" t="s">
        <v>30</v>
      </c>
      <c r="I629" s="8" t="str">
        <f>IF(Tabla2[[#This Row],[precio_unitario]]&lt;=30,"Económico",IF(Tabla2[[#This Row],[precio_unitario]]&lt;=58.49,"Accesible","Caro"))</f>
        <v>Económico</v>
      </c>
      <c r="J629" t="s">
        <v>26</v>
      </c>
      <c r="K629">
        <v>2</v>
      </c>
      <c r="L629" s="19">
        <v>21.84</v>
      </c>
      <c r="M629" s="19">
        <v>10.91</v>
      </c>
      <c r="N629" s="11">
        <v>0</v>
      </c>
      <c r="O629" s="17">
        <f t="shared" si="39"/>
        <v>43.68</v>
      </c>
      <c r="P629" s="17">
        <f t="shared" si="36"/>
        <v>21.82</v>
      </c>
      <c r="Q629" s="17">
        <f t="shared" si="37"/>
        <v>21.86</v>
      </c>
      <c r="R629" s="24">
        <f t="shared" si="38"/>
        <v>0.50045787545787546</v>
      </c>
      <c r="S629" t="s">
        <v>540</v>
      </c>
      <c r="T629" t="s">
        <v>60</v>
      </c>
    </row>
    <row r="630" spans="1:20" hidden="1">
      <c r="A630" t="s">
        <v>702</v>
      </c>
      <c r="B630" s="5">
        <v>45473</v>
      </c>
      <c r="C630" s="8">
        <f>YEAR(Tabla2[[#This Row],[fecha]])</f>
        <v>2024</v>
      </c>
      <c r="D630" s="8">
        <f>MONTH(Tabla2[[#This Row],[fecha]])</f>
        <v>6</v>
      </c>
      <c r="E630" s="8" t="str">
        <f>TEXT(Tabla2[[#This Row],[fecha]], "mmmm")</f>
        <v>junio</v>
      </c>
      <c r="F630" s="8" t="str">
        <f>"T"&amp;ROUNDUP(Tabla2[[#This Row],[mes]]/3,0)</f>
        <v>T2</v>
      </c>
      <c r="G630" t="s">
        <v>33</v>
      </c>
      <c r="H630" t="s">
        <v>34</v>
      </c>
      <c r="I630" s="8" t="str">
        <f>IF(Tabla2[[#This Row],[precio_unitario]]&lt;=30,"Económico",IF(Tabla2[[#This Row],[precio_unitario]]&lt;=58.49,"Accesible","Caro"))</f>
        <v>Caro</v>
      </c>
      <c r="J630" t="s">
        <v>35</v>
      </c>
      <c r="K630">
        <v>2</v>
      </c>
      <c r="L630" s="19">
        <v>80.209999999999994</v>
      </c>
      <c r="M630" s="19">
        <v>45.24</v>
      </c>
      <c r="N630" s="11">
        <v>0.09</v>
      </c>
      <c r="O630" s="17">
        <f t="shared" si="39"/>
        <v>145.98220000000001</v>
      </c>
      <c r="P630" s="17">
        <f t="shared" si="36"/>
        <v>90.48</v>
      </c>
      <c r="Q630" s="17">
        <f t="shared" si="37"/>
        <v>55.502200000000002</v>
      </c>
      <c r="R630" s="24">
        <f t="shared" si="38"/>
        <v>0.38019840775108199</v>
      </c>
      <c r="S630" t="s">
        <v>540</v>
      </c>
      <c r="T630" t="s">
        <v>60</v>
      </c>
    </row>
    <row r="631" spans="1:20" hidden="1">
      <c r="A631" t="s">
        <v>703</v>
      </c>
      <c r="B631" s="5">
        <v>45843</v>
      </c>
      <c r="C631" s="8">
        <f>YEAR(Tabla2[[#This Row],[fecha]])</f>
        <v>2025</v>
      </c>
      <c r="D631" s="8">
        <f>MONTH(Tabla2[[#This Row],[fecha]])</f>
        <v>7</v>
      </c>
      <c r="E631" s="8" t="str">
        <f>TEXT(Tabla2[[#This Row],[fecha]], "mmmm")</f>
        <v>julio</v>
      </c>
      <c r="F631" s="8" t="str">
        <f>"T"&amp;ROUNDUP(Tabla2[[#This Row],[mes]]/3,0)</f>
        <v>T3</v>
      </c>
      <c r="G631" t="s">
        <v>38</v>
      </c>
      <c r="H631" t="s">
        <v>39</v>
      </c>
      <c r="I631" s="8" t="str">
        <f>IF(Tabla2[[#This Row],[precio_unitario]]&lt;=30,"Económico",IF(Tabla2[[#This Row],[precio_unitario]]&lt;=58.49,"Accesible","Caro"))</f>
        <v>Caro</v>
      </c>
      <c r="J631" t="s">
        <v>35</v>
      </c>
      <c r="K631">
        <v>4</v>
      </c>
      <c r="L631" s="19">
        <v>71.900000000000006</v>
      </c>
      <c r="M631" s="19">
        <v>41.29</v>
      </c>
      <c r="N631" s="11">
        <v>0</v>
      </c>
      <c r="O631" s="17">
        <f t="shared" si="39"/>
        <v>287.60000000000002</v>
      </c>
      <c r="P631" s="17">
        <f t="shared" si="36"/>
        <v>165.16</v>
      </c>
      <c r="Q631" s="17">
        <f t="shared" si="37"/>
        <v>122.44000000000003</v>
      </c>
      <c r="R631" s="24">
        <f t="shared" si="38"/>
        <v>0.42573018080667602</v>
      </c>
      <c r="S631" t="s">
        <v>83</v>
      </c>
      <c r="T631" t="s">
        <v>60</v>
      </c>
    </row>
    <row r="632" spans="1:20" hidden="1">
      <c r="A632" t="s">
        <v>704</v>
      </c>
      <c r="B632" s="5">
        <v>45707</v>
      </c>
      <c r="C632" s="8">
        <f>YEAR(Tabla2[[#This Row],[fecha]])</f>
        <v>2025</v>
      </c>
      <c r="D632" s="8">
        <f>MONTH(Tabla2[[#This Row],[fecha]])</f>
        <v>2</v>
      </c>
      <c r="E632" s="8" t="str">
        <f>TEXT(Tabla2[[#This Row],[fecha]], "mmmm")</f>
        <v>febrero</v>
      </c>
      <c r="F632" s="8" t="str">
        <f>"T"&amp;ROUNDUP(Tabla2[[#This Row],[mes]]/3,0)</f>
        <v>T1</v>
      </c>
      <c r="G632" t="s">
        <v>47</v>
      </c>
      <c r="H632" t="s">
        <v>48</v>
      </c>
      <c r="I632" s="8" t="str">
        <f>IF(Tabla2[[#This Row],[precio_unitario]]&lt;=30,"Económico",IF(Tabla2[[#This Row],[precio_unitario]]&lt;=58.49,"Accesible","Caro"))</f>
        <v>Accesible</v>
      </c>
      <c r="J632" t="s">
        <v>44</v>
      </c>
      <c r="K632">
        <v>4</v>
      </c>
      <c r="L632" s="19">
        <v>55.79</v>
      </c>
      <c r="M632" s="19">
        <v>31.96</v>
      </c>
      <c r="N632" s="11">
        <v>0</v>
      </c>
      <c r="O632" s="17">
        <f t="shared" si="39"/>
        <v>223.16</v>
      </c>
      <c r="P632" s="17">
        <f t="shared" si="36"/>
        <v>127.84</v>
      </c>
      <c r="Q632" s="17">
        <f t="shared" si="37"/>
        <v>95.32</v>
      </c>
      <c r="R632" s="24">
        <f t="shared" si="38"/>
        <v>0.42713747983509587</v>
      </c>
      <c r="S632" t="s">
        <v>540</v>
      </c>
      <c r="T632" t="s">
        <v>60</v>
      </c>
    </row>
    <row r="633" spans="1:20" hidden="1">
      <c r="A633" t="s">
        <v>705</v>
      </c>
      <c r="B633" s="5">
        <v>45627</v>
      </c>
      <c r="C633" s="8">
        <f>YEAR(Tabla2[[#This Row],[fecha]])</f>
        <v>2024</v>
      </c>
      <c r="D633" s="8">
        <f>MONTH(Tabla2[[#This Row],[fecha]])</f>
        <v>12</v>
      </c>
      <c r="E633" s="8" t="str">
        <f>TEXT(Tabla2[[#This Row],[fecha]], "mmmm")</f>
        <v>diciembre</v>
      </c>
      <c r="F633" s="8" t="str">
        <f>"T"&amp;ROUNDUP(Tabla2[[#This Row],[mes]]/3,0)</f>
        <v>T4</v>
      </c>
      <c r="G633" t="s">
        <v>24</v>
      </c>
      <c r="H633" t="s">
        <v>25</v>
      </c>
      <c r="I633" s="8" t="str">
        <f>IF(Tabla2[[#This Row],[precio_unitario]]&lt;=30,"Económico",IF(Tabla2[[#This Row],[precio_unitario]]&lt;=58.49,"Accesible","Caro"))</f>
        <v>Económico</v>
      </c>
      <c r="J633" t="s">
        <v>26</v>
      </c>
      <c r="K633">
        <v>3</v>
      </c>
      <c r="L633" s="19">
        <v>7.97</v>
      </c>
      <c r="M633" s="19">
        <v>4.3899999999999997</v>
      </c>
      <c r="N633" s="11">
        <v>0</v>
      </c>
      <c r="O633" s="17">
        <f t="shared" si="39"/>
        <v>23.91</v>
      </c>
      <c r="P633" s="17">
        <f t="shared" si="36"/>
        <v>13.169999999999998</v>
      </c>
      <c r="Q633" s="17">
        <f t="shared" si="37"/>
        <v>10.740000000000002</v>
      </c>
      <c r="R633" s="24">
        <f t="shared" si="38"/>
        <v>0.44918444165621085</v>
      </c>
      <c r="S633" t="s">
        <v>67</v>
      </c>
      <c r="T633" t="s">
        <v>60</v>
      </c>
    </row>
    <row r="634" spans="1:20">
      <c r="A634" t="s">
        <v>706</v>
      </c>
      <c r="B634" s="5">
        <v>45934</v>
      </c>
      <c r="C634" s="8">
        <f>YEAR(Tabla2[[#This Row],[fecha]])</f>
        <v>2025</v>
      </c>
      <c r="D634" s="8">
        <f>MONTH(Tabla2[[#This Row],[fecha]])</f>
        <v>10</v>
      </c>
      <c r="E634" s="8" t="str">
        <f>TEXT(Tabla2[[#This Row],[fecha]], "mmmm")</f>
        <v>octubre</v>
      </c>
      <c r="F634" s="8" t="str">
        <f>"T"&amp;ROUNDUP(Tabla2[[#This Row],[mes]]/3,0)</f>
        <v>T4</v>
      </c>
      <c r="G634" t="s">
        <v>20</v>
      </c>
      <c r="H634" t="s">
        <v>21</v>
      </c>
      <c r="I634" s="8" t="str">
        <f>IF(Tabla2[[#This Row],[precio_unitario]]&lt;=30,"Económico",IF(Tabla2[[#This Row],[precio_unitario]]&lt;=58.49,"Accesible","Caro"))</f>
        <v>Económico</v>
      </c>
      <c r="J634" t="s">
        <v>17</v>
      </c>
      <c r="K634">
        <v>2</v>
      </c>
      <c r="L634" s="19">
        <v>20.83</v>
      </c>
      <c r="M634" s="19">
        <v>12.37</v>
      </c>
      <c r="N634" s="11">
        <v>0</v>
      </c>
      <c r="O634" s="17">
        <f t="shared" si="39"/>
        <v>41.66</v>
      </c>
      <c r="P634" s="17">
        <f t="shared" si="36"/>
        <v>24.74</v>
      </c>
      <c r="Q634" s="17">
        <f t="shared" si="37"/>
        <v>16.919999999999998</v>
      </c>
      <c r="R634" s="24">
        <f t="shared" si="38"/>
        <v>0.40614498319731157</v>
      </c>
      <c r="S634" t="s">
        <v>67</v>
      </c>
      <c r="T634" t="s">
        <v>64</v>
      </c>
    </row>
    <row r="635" spans="1:20" hidden="1">
      <c r="A635" t="s">
        <v>707</v>
      </c>
      <c r="B635" s="5">
        <v>45374</v>
      </c>
      <c r="C635" s="8">
        <f>YEAR(Tabla2[[#This Row],[fecha]])</f>
        <v>2024</v>
      </c>
      <c r="D635" s="8">
        <f>MONTH(Tabla2[[#This Row],[fecha]])</f>
        <v>3</v>
      </c>
      <c r="E635" s="8" t="str">
        <f>TEXT(Tabla2[[#This Row],[fecha]], "mmmm")</f>
        <v>marzo</v>
      </c>
      <c r="F635" s="8" t="str">
        <f>"T"&amp;ROUNDUP(Tabla2[[#This Row],[mes]]/3,0)</f>
        <v>T1</v>
      </c>
      <c r="G635" t="s">
        <v>11</v>
      </c>
      <c r="H635" t="s">
        <v>12</v>
      </c>
      <c r="I635" s="8" t="str">
        <f>IF(Tabla2[[#This Row],[precio_unitario]]&lt;=30,"Económico",IF(Tabla2[[#This Row],[precio_unitario]]&lt;=58.49,"Accesible","Caro"))</f>
        <v>Caro</v>
      </c>
      <c r="J635" t="s">
        <v>8</v>
      </c>
      <c r="K635">
        <v>1</v>
      </c>
      <c r="L635" s="20">
        <f>INDEX(Tabla3[precio_venta_recomendado], MATCH(Tabla2[[#This Row],[id_producto]], Tabla3[id_producto], 0))</f>
        <v>177.72</v>
      </c>
      <c r="M635" s="19">
        <v>96.19</v>
      </c>
      <c r="N635" s="13">
        <v>0</v>
      </c>
      <c r="O635" s="17">
        <f t="shared" si="39"/>
        <v>177.72</v>
      </c>
      <c r="P635" s="17">
        <f t="shared" si="36"/>
        <v>96.19</v>
      </c>
      <c r="Q635" s="17">
        <f t="shared" si="37"/>
        <v>81.53</v>
      </c>
      <c r="R635" s="24">
        <f t="shared" si="38"/>
        <v>0.45875534548728336</v>
      </c>
      <c r="S635" t="s">
        <v>67</v>
      </c>
      <c r="T635" t="s">
        <v>60</v>
      </c>
    </row>
    <row r="636" spans="1:20" hidden="1">
      <c r="A636" t="s">
        <v>708</v>
      </c>
      <c r="B636" s="5">
        <v>45585</v>
      </c>
      <c r="C636" s="8">
        <f>YEAR(Tabla2[[#This Row],[fecha]])</f>
        <v>2024</v>
      </c>
      <c r="D636" s="8">
        <f>MONTH(Tabla2[[#This Row],[fecha]])</f>
        <v>10</v>
      </c>
      <c r="E636" s="8" t="str">
        <f>TEXT(Tabla2[[#This Row],[fecha]], "mmmm")</f>
        <v>octubre</v>
      </c>
      <c r="F636" s="8" t="str">
        <f>"T"&amp;ROUNDUP(Tabla2[[#This Row],[mes]]/3,0)</f>
        <v>T4</v>
      </c>
      <c r="G636" t="s">
        <v>20</v>
      </c>
      <c r="H636" t="s">
        <v>21</v>
      </c>
      <c r="I636" s="8" t="str">
        <f>IF(Tabla2[[#This Row],[precio_unitario]]&lt;=30,"Económico",IF(Tabla2[[#This Row],[precio_unitario]]&lt;=58.49,"Accesible","Caro"))</f>
        <v>Económico</v>
      </c>
      <c r="J636" t="s">
        <v>17</v>
      </c>
      <c r="K636">
        <v>2</v>
      </c>
      <c r="L636" s="19">
        <v>20.12</v>
      </c>
      <c r="M636" s="19">
        <v>13.36</v>
      </c>
      <c r="N636" s="11">
        <v>0.11</v>
      </c>
      <c r="O636" s="17">
        <f t="shared" si="39"/>
        <v>35.813600000000001</v>
      </c>
      <c r="P636" s="17">
        <f t="shared" si="36"/>
        <v>26.72</v>
      </c>
      <c r="Q636" s="17">
        <f t="shared" si="37"/>
        <v>9.0936000000000021</v>
      </c>
      <c r="R636" s="24">
        <f t="shared" si="38"/>
        <v>0.25391471396341059</v>
      </c>
      <c r="S636" t="s">
        <v>83</v>
      </c>
      <c r="T636" t="s">
        <v>64</v>
      </c>
    </row>
    <row r="637" spans="1:20" hidden="1">
      <c r="A637" t="s">
        <v>709</v>
      </c>
      <c r="B637" s="5">
        <v>45547</v>
      </c>
      <c r="C637" s="8">
        <f>YEAR(Tabla2[[#This Row],[fecha]])</f>
        <v>2024</v>
      </c>
      <c r="D637" s="8">
        <f>MONTH(Tabla2[[#This Row],[fecha]])</f>
        <v>9</v>
      </c>
      <c r="E637" s="8" t="str">
        <f>TEXT(Tabla2[[#This Row],[fecha]], "mmmm")</f>
        <v>septiembre</v>
      </c>
      <c r="F637" s="8" t="str">
        <f>"T"&amp;ROUNDUP(Tabla2[[#This Row],[mes]]/3,0)</f>
        <v>T3</v>
      </c>
      <c r="G637" t="s">
        <v>29</v>
      </c>
      <c r="H637" t="s">
        <v>30</v>
      </c>
      <c r="I637" s="8" t="str">
        <f>IF(Tabla2[[#This Row],[precio_unitario]]&lt;=30,"Económico",IF(Tabla2[[#This Row],[precio_unitario]]&lt;=58.49,"Accesible","Caro"))</f>
        <v>Económico</v>
      </c>
      <c r="J637" t="s">
        <v>26</v>
      </c>
      <c r="K637">
        <v>2</v>
      </c>
      <c r="L637" s="19">
        <v>20.03</v>
      </c>
      <c r="M637" s="19">
        <v>11.63</v>
      </c>
      <c r="N637" s="11">
        <v>0</v>
      </c>
      <c r="O637" s="17">
        <f t="shared" si="39"/>
        <v>40.06</v>
      </c>
      <c r="P637" s="17">
        <f t="shared" si="36"/>
        <v>23.26</v>
      </c>
      <c r="Q637" s="17">
        <f t="shared" si="37"/>
        <v>16.8</v>
      </c>
      <c r="R637" s="24">
        <f t="shared" si="38"/>
        <v>0.41937094358462307</v>
      </c>
      <c r="S637" t="s">
        <v>67</v>
      </c>
      <c r="T637" t="s">
        <v>64</v>
      </c>
    </row>
    <row r="638" spans="1:20" hidden="1">
      <c r="A638" t="s">
        <v>710</v>
      </c>
      <c r="B638" s="5">
        <v>45538</v>
      </c>
      <c r="C638" s="8">
        <f>YEAR(Tabla2[[#This Row],[fecha]])</f>
        <v>2024</v>
      </c>
      <c r="D638" s="8">
        <f>MONTH(Tabla2[[#This Row],[fecha]])</f>
        <v>9</v>
      </c>
      <c r="E638" s="8" t="str">
        <f>TEXT(Tabla2[[#This Row],[fecha]], "mmmm")</f>
        <v>septiembre</v>
      </c>
      <c r="F638" s="8" t="str">
        <f>"T"&amp;ROUNDUP(Tabla2[[#This Row],[mes]]/3,0)</f>
        <v>T3</v>
      </c>
      <c r="G638" t="s">
        <v>13</v>
      </c>
      <c r="H638" t="s">
        <v>14</v>
      </c>
      <c r="I638" s="8" t="str">
        <f>IF(Tabla2[[#This Row],[precio_unitario]]&lt;=30,"Económico",IF(Tabla2[[#This Row],[precio_unitario]]&lt;=58.49,"Accesible","Caro"))</f>
        <v>Caro</v>
      </c>
      <c r="J638" t="s">
        <v>8</v>
      </c>
      <c r="K638">
        <v>2</v>
      </c>
      <c r="L638" s="19">
        <v>156.94</v>
      </c>
      <c r="M638" s="19">
        <v>110.27</v>
      </c>
      <c r="N638" s="11">
        <v>0</v>
      </c>
      <c r="O638" s="17">
        <f t="shared" si="39"/>
        <v>313.88</v>
      </c>
      <c r="P638" s="17">
        <f t="shared" si="36"/>
        <v>220.54</v>
      </c>
      <c r="Q638" s="17">
        <f t="shared" si="37"/>
        <v>93.34</v>
      </c>
      <c r="R638" s="24">
        <f t="shared" si="38"/>
        <v>0.29737479291448965</v>
      </c>
      <c r="S638" t="s">
        <v>83</v>
      </c>
      <c r="T638" t="s">
        <v>60</v>
      </c>
    </row>
    <row r="639" spans="1:20" hidden="1">
      <c r="A639" t="s">
        <v>711</v>
      </c>
      <c r="B639" s="5">
        <v>45838</v>
      </c>
      <c r="C639" s="8">
        <f>YEAR(Tabla2[[#This Row],[fecha]])</f>
        <v>2025</v>
      </c>
      <c r="D639" s="8">
        <f>MONTH(Tabla2[[#This Row],[fecha]])</f>
        <v>6</v>
      </c>
      <c r="E639" s="8" t="str">
        <f>TEXT(Tabla2[[#This Row],[fecha]], "mmmm")</f>
        <v>junio</v>
      </c>
      <c r="F639" s="8" t="str">
        <f>"T"&amp;ROUNDUP(Tabla2[[#This Row],[mes]]/3,0)</f>
        <v>T2</v>
      </c>
      <c r="G639" t="s">
        <v>20</v>
      </c>
      <c r="H639" t="s">
        <v>21</v>
      </c>
      <c r="I639" s="8" t="str">
        <f>IF(Tabla2[[#This Row],[precio_unitario]]&lt;=30,"Económico",IF(Tabla2[[#This Row],[precio_unitario]]&lt;=58.49,"Accesible","Caro"))</f>
        <v>Económico</v>
      </c>
      <c r="J639" t="s">
        <v>17</v>
      </c>
      <c r="K639">
        <v>1</v>
      </c>
      <c r="L639" s="19">
        <v>19.059999999999999</v>
      </c>
      <c r="M639" s="19">
        <v>13.39</v>
      </c>
      <c r="N639" s="13">
        <v>0</v>
      </c>
      <c r="O639" s="17">
        <f t="shared" si="39"/>
        <v>19.059999999999999</v>
      </c>
      <c r="P639" s="17">
        <f t="shared" si="36"/>
        <v>13.39</v>
      </c>
      <c r="Q639" s="17">
        <f t="shared" si="37"/>
        <v>5.6699999999999982</v>
      </c>
      <c r="R639" s="24">
        <f t="shared" si="38"/>
        <v>0.29748163693599156</v>
      </c>
      <c r="S639" t="s">
        <v>63</v>
      </c>
      <c r="T639" t="s">
        <v>60</v>
      </c>
    </row>
    <row r="640" spans="1:20" hidden="1">
      <c r="A640" t="s">
        <v>712</v>
      </c>
      <c r="B640" s="5">
        <v>45295</v>
      </c>
      <c r="C640" s="8">
        <f>YEAR(Tabla2[[#This Row],[fecha]])</f>
        <v>2024</v>
      </c>
      <c r="D640" s="8">
        <f>MONTH(Tabla2[[#This Row],[fecha]])</f>
        <v>1</v>
      </c>
      <c r="E640" s="8" t="str">
        <f>TEXT(Tabla2[[#This Row],[fecha]], "mmmm")</f>
        <v>enero</v>
      </c>
      <c r="F640" s="8" t="str">
        <f>"T"&amp;ROUNDUP(Tabla2[[#This Row],[mes]]/3,0)</f>
        <v>T1</v>
      </c>
      <c r="G640" t="s">
        <v>18</v>
      </c>
      <c r="H640" t="s">
        <v>19</v>
      </c>
      <c r="I640" s="8" t="str">
        <f>IF(Tabla2[[#This Row],[precio_unitario]]&lt;=30,"Económico",IF(Tabla2[[#This Row],[precio_unitario]]&lt;=58.49,"Accesible","Caro"))</f>
        <v>Accesible</v>
      </c>
      <c r="J640" t="s">
        <v>17</v>
      </c>
      <c r="K640">
        <v>3</v>
      </c>
      <c r="L640" s="19">
        <v>43.54</v>
      </c>
      <c r="M640" s="19">
        <v>25.35</v>
      </c>
      <c r="N640" s="13">
        <v>0</v>
      </c>
      <c r="O640" s="17">
        <f t="shared" si="39"/>
        <v>130.62</v>
      </c>
      <c r="P640" s="17">
        <f t="shared" si="36"/>
        <v>76.050000000000011</v>
      </c>
      <c r="Q640" s="17">
        <f t="shared" si="37"/>
        <v>54.569999999999993</v>
      </c>
      <c r="R640" s="24">
        <f t="shared" si="38"/>
        <v>0.41777675700505273</v>
      </c>
      <c r="S640" t="s">
        <v>67</v>
      </c>
      <c r="T640" t="s">
        <v>64</v>
      </c>
    </row>
    <row r="641" spans="1:20">
      <c r="A641" t="s">
        <v>713</v>
      </c>
      <c r="B641" s="5">
        <v>45748</v>
      </c>
      <c r="C641" s="8">
        <f>YEAR(Tabla2[[#This Row],[fecha]])</f>
        <v>2025</v>
      </c>
      <c r="D641" s="8">
        <f>MONTH(Tabla2[[#This Row],[fecha]])</f>
        <v>4</v>
      </c>
      <c r="E641" s="8" t="str">
        <f>TEXT(Tabla2[[#This Row],[fecha]], "mmmm")</f>
        <v>abril</v>
      </c>
      <c r="F641" s="8" t="str">
        <f>"T"&amp;ROUNDUP(Tabla2[[#This Row],[mes]]/3,0)</f>
        <v>T2</v>
      </c>
      <c r="G641" t="s">
        <v>27</v>
      </c>
      <c r="H641" t="s">
        <v>28</v>
      </c>
      <c r="I641" s="8" t="str">
        <f>IF(Tabla2[[#This Row],[precio_unitario]]&lt;=30,"Económico",IF(Tabla2[[#This Row],[precio_unitario]]&lt;=58.49,"Accesible","Caro"))</f>
        <v>Económico</v>
      </c>
      <c r="J641" t="s">
        <v>26</v>
      </c>
      <c r="K641">
        <v>11</v>
      </c>
      <c r="L641" s="19">
        <v>15.04</v>
      </c>
      <c r="M641" s="19">
        <v>11.74</v>
      </c>
      <c r="N641" s="13">
        <v>0</v>
      </c>
      <c r="O641" s="17">
        <f t="shared" si="39"/>
        <v>165.44</v>
      </c>
      <c r="P641" s="17">
        <f t="shared" si="36"/>
        <v>129.14000000000001</v>
      </c>
      <c r="Q641" s="17">
        <f t="shared" si="37"/>
        <v>36.299999999999983</v>
      </c>
      <c r="R641" s="24">
        <f t="shared" si="38"/>
        <v>0.21941489361702118</v>
      </c>
      <c r="S641" t="s">
        <v>67</v>
      </c>
      <c r="T641" t="s">
        <v>60</v>
      </c>
    </row>
    <row r="642" spans="1:20" hidden="1">
      <c r="A642" t="s">
        <v>714</v>
      </c>
      <c r="B642" s="5">
        <v>45999</v>
      </c>
      <c r="C642" s="8">
        <f>YEAR(Tabla2[[#This Row],[fecha]])</f>
        <v>2025</v>
      </c>
      <c r="D642" s="8">
        <f>MONTH(Tabla2[[#This Row],[fecha]])</f>
        <v>12</v>
      </c>
      <c r="E642" s="8" t="str">
        <f>TEXT(Tabla2[[#This Row],[fecha]], "mmmm")</f>
        <v>diciembre</v>
      </c>
      <c r="F642" s="8" t="str">
        <f>"T"&amp;ROUNDUP(Tabla2[[#This Row],[mes]]/3,0)</f>
        <v>T4</v>
      </c>
      <c r="G642" t="s">
        <v>9</v>
      </c>
      <c r="H642" t="s">
        <v>10</v>
      </c>
      <c r="I642" s="8" t="str">
        <f>IF(Tabla2[[#This Row],[precio_unitario]]&lt;=30,"Económico",IF(Tabla2[[#This Row],[precio_unitario]]&lt;=58.49,"Accesible","Caro"))</f>
        <v>Caro</v>
      </c>
      <c r="J642" t="s">
        <v>8</v>
      </c>
      <c r="K642">
        <v>1</v>
      </c>
      <c r="L642" s="19">
        <v>75.44</v>
      </c>
      <c r="M642" s="19">
        <v>48.18</v>
      </c>
      <c r="N642" s="11">
        <v>0</v>
      </c>
      <c r="O642" s="17">
        <f t="shared" si="39"/>
        <v>75.44</v>
      </c>
      <c r="P642" s="17">
        <f t="shared" ref="P642:P705" si="40">M642*K642</f>
        <v>48.18</v>
      </c>
      <c r="Q642" s="17">
        <f t="shared" ref="Q642:Q705" si="41">O642-P642</f>
        <v>27.259999999999998</v>
      </c>
      <c r="R642" s="24">
        <f t="shared" ref="R642:R705" si="42">IFERROR(Q642/O642,0)</f>
        <v>0.36134676564156942</v>
      </c>
      <c r="S642" t="s">
        <v>96</v>
      </c>
      <c r="T642" t="s">
        <v>64</v>
      </c>
    </row>
    <row r="643" spans="1:20" hidden="1">
      <c r="A643" t="s">
        <v>715</v>
      </c>
      <c r="B643" s="5">
        <v>45830</v>
      </c>
      <c r="C643" s="8">
        <f>YEAR(Tabla2[[#This Row],[fecha]])</f>
        <v>2025</v>
      </c>
      <c r="D643" s="8">
        <f>MONTH(Tabla2[[#This Row],[fecha]])</f>
        <v>6</v>
      </c>
      <c r="E643" s="8" t="str">
        <f>TEXT(Tabla2[[#This Row],[fecha]], "mmmm")</f>
        <v>junio</v>
      </c>
      <c r="F643" s="8" t="str">
        <f>"T"&amp;ROUNDUP(Tabla2[[#This Row],[mes]]/3,0)</f>
        <v>T2</v>
      </c>
      <c r="G643" t="s">
        <v>13</v>
      </c>
      <c r="H643" t="s">
        <v>14</v>
      </c>
      <c r="I643" s="8" t="str">
        <f>IF(Tabla2[[#This Row],[precio_unitario]]&lt;=30,"Económico",IF(Tabla2[[#This Row],[precio_unitario]]&lt;=58.49,"Accesible","Caro"))</f>
        <v>Caro</v>
      </c>
      <c r="J643" t="s">
        <v>8</v>
      </c>
      <c r="K643">
        <v>1</v>
      </c>
      <c r="L643" s="19">
        <v>154.85</v>
      </c>
      <c r="M643" s="19">
        <v>110.36</v>
      </c>
      <c r="N643" s="11">
        <v>0</v>
      </c>
      <c r="O643" s="17">
        <f t="shared" ref="O643:O706" si="43">K643*L643*(1-N643)</f>
        <v>154.85</v>
      </c>
      <c r="P643" s="17">
        <f t="shared" si="40"/>
        <v>110.36</v>
      </c>
      <c r="Q643" s="17">
        <f t="shared" si="41"/>
        <v>44.489999999999995</v>
      </c>
      <c r="R643" s="24">
        <f t="shared" si="42"/>
        <v>0.28731030029060378</v>
      </c>
      <c r="S643" t="s">
        <v>83</v>
      </c>
      <c r="T643" t="s">
        <v>64</v>
      </c>
    </row>
    <row r="644" spans="1:20" hidden="1">
      <c r="A644" t="s">
        <v>716</v>
      </c>
      <c r="B644" s="5">
        <v>45471</v>
      </c>
      <c r="C644" s="8">
        <f>YEAR(Tabla2[[#This Row],[fecha]])</f>
        <v>2024</v>
      </c>
      <c r="D644" s="8">
        <f>MONTH(Tabla2[[#This Row],[fecha]])</f>
        <v>6</v>
      </c>
      <c r="E644" s="8" t="str">
        <f>TEXT(Tabla2[[#This Row],[fecha]], "mmmm")</f>
        <v>junio</v>
      </c>
      <c r="F644" s="8" t="str">
        <f>"T"&amp;ROUNDUP(Tabla2[[#This Row],[mes]]/3,0)</f>
        <v>T2</v>
      </c>
      <c r="G644" t="s">
        <v>27</v>
      </c>
      <c r="H644" t="s">
        <v>28</v>
      </c>
      <c r="I644" s="8" t="str">
        <f>IF(Tabla2[[#This Row],[precio_unitario]]&lt;=30,"Económico",IF(Tabla2[[#This Row],[precio_unitario]]&lt;=58.49,"Accesible","Caro"))</f>
        <v>Económico</v>
      </c>
      <c r="J644" t="s">
        <v>26</v>
      </c>
      <c r="K644">
        <v>1</v>
      </c>
      <c r="L644" s="19">
        <v>16.41</v>
      </c>
      <c r="M644" s="19">
        <v>10.87</v>
      </c>
      <c r="N644" s="11">
        <v>0</v>
      </c>
      <c r="O644" s="17">
        <f t="shared" si="43"/>
        <v>16.41</v>
      </c>
      <c r="P644" s="17">
        <f t="shared" si="40"/>
        <v>10.87</v>
      </c>
      <c r="Q644" s="17">
        <f t="shared" si="41"/>
        <v>5.5400000000000009</v>
      </c>
      <c r="R644" s="24">
        <f t="shared" si="42"/>
        <v>0.33759902498476546</v>
      </c>
      <c r="S644" t="s">
        <v>540</v>
      </c>
      <c r="T644" t="s">
        <v>60</v>
      </c>
    </row>
    <row r="645" spans="1:20" hidden="1">
      <c r="A645" t="s">
        <v>717</v>
      </c>
      <c r="B645" s="5">
        <v>45622</v>
      </c>
      <c r="C645" s="8">
        <f>YEAR(Tabla2[[#This Row],[fecha]])</f>
        <v>2024</v>
      </c>
      <c r="D645" s="8">
        <f>MONTH(Tabla2[[#This Row],[fecha]])</f>
        <v>11</v>
      </c>
      <c r="E645" s="8" t="str">
        <f>TEXT(Tabla2[[#This Row],[fecha]], "mmmm")</f>
        <v>noviembre</v>
      </c>
      <c r="F645" s="8" t="str">
        <f>"T"&amp;ROUNDUP(Tabla2[[#This Row],[mes]]/3,0)</f>
        <v>T4</v>
      </c>
      <c r="G645" t="s">
        <v>11</v>
      </c>
      <c r="H645" t="s">
        <v>12</v>
      </c>
      <c r="I645" s="8" t="str">
        <f>IF(Tabla2[[#This Row],[precio_unitario]]&lt;=30,"Económico",IF(Tabla2[[#This Row],[precio_unitario]]&lt;=58.49,"Accesible","Caro"))</f>
        <v>Caro</v>
      </c>
      <c r="J645" t="s">
        <v>8</v>
      </c>
      <c r="K645">
        <v>1</v>
      </c>
      <c r="L645" s="20">
        <f>INDEX(Tabla3[precio_venta_recomendado], MATCH(Tabla2[[#This Row],[id_producto]], Tabla3[id_producto], 0))</f>
        <v>177.72</v>
      </c>
      <c r="M645" s="19">
        <v>96.08</v>
      </c>
      <c r="N645" s="11">
        <v>0</v>
      </c>
      <c r="O645" s="17">
        <f t="shared" si="43"/>
        <v>177.72</v>
      </c>
      <c r="P645" s="17">
        <f t="shared" si="40"/>
        <v>96.08</v>
      </c>
      <c r="Q645" s="17">
        <f t="shared" si="41"/>
        <v>81.64</v>
      </c>
      <c r="R645" s="24">
        <f t="shared" si="42"/>
        <v>0.45937429664641011</v>
      </c>
      <c r="S645" t="s">
        <v>101</v>
      </c>
      <c r="T645" t="s">
        <v>64</v>
      </c>
    </row>
    <row r="646" spans="1:20">
      <c r="A646" t="s">
        <v>718</v>
      </c>
      <c r="B646" s="5">
        <v>45862</v>
      </c>
      <c r="C646" s="8">
        <f>YEAR(Tabla2[[#This Row],[fecha]])</f>
        <v>2025</v>
      </c>
      <c r="D646" s="8">
        <f>MONTH(Tabla2[[#This Row],[fecha]])</f>
        <v>7</v>
      </c>
      <c r="E646" s="8" t="str">
        <f>TEXT(Tabla2[[#This Row],[fecha]], "mmmm")</f>
        <v>julio</v>
      </c>
      <c r="F646" s="8" t="str">
        <f>"T"&amp;ROUNDUP(Tabla2[[#This Row],[mes]]/3,0)</f>
        <v>T3</v>
      </c>
      <c r="G646" t="s">
        <v>9</v>
      </c>
      <c r="H646" t="s">
        <v>10</v>
      </c>
      <c r="I646" s="8" t="str">
        <f>IF(Tabla2[[#This Row],[precio_unitario]]&lt;=30,"Económico",IF(Tabla2[[#This Row],[precio_unitario]]&lt;=58.49,"Accesible","Caro"))</f>
        <v>Caro</v>
      </c>
      <c r="J646" t="s">
        <v>8</v>
      </c>
      <c r="K646">
        <v>1</v>
      </c>
      <c r="L646" s="19">
        <v>74.14</v>
      </c>
      <c r="M646" s="19">
        <v>44.89</v>
      </c>
      <c r="N646" s="13">
        <v>0</v>
      </c>
      <c r="O646" s="17">
        <f t="shared" si="43"/>
        <v>74.14</v>
      </c>
      <c r="P646" s="17">
        <f t="shared" si="40"/>
        <v>44.89</v>
      </c>
      <c r="Q646" s="17">
        <f t="shared" si="41"/>
        <v>29.25</v>
      </c>
      <c r="R646" s="24">
        <f t="shared" si="42"/>
        <v>0.39452387375236042</v>
      </c>
      <c r="S646" t="s">
        <v>67</v>
      </c>
      <c r="T646" t="s">
        <v>60</v>
      </c>
    </row>
    <row r="647" spans="1:20" hidden="1">
      <c r="A647" t="s">
        <v>719</v>
      </c>
      <c r="B647" s="5">
        <v>45421</v>
      </c>
      <c r="C647" s="8">
        <f>YEAR(Tabla2[[#This Row],[fecha]])</f>
        <v>2024</v>
      </c>
      <c r="D647" s="8">
        <f>MONTH(Tabla2[[#This Row],[fecha]])</f>
        <v>5</v>
      </c>
      <c r="E647" s="8" t="str">
        <f>TEXT(Tabla2[[#This Row],[fecha]], "mmmm")</f>
        <v>mayo</v>
      </c>
      <c r="F647" s="8" t="str">
        <f>"T"&amp;ROUNDUP(Tabla2[[#This Row],[mes]]/3,0)</f>
        <v>T2</v>
      </c>
      <c r="G647" t="s">
        <v>33</v>
      </c>
      <c r="H647" t="s">
        <v>34</v>
      </c>
      <c r="I647" s="8" t="str">
        <f>IF(Tabla2[[#This Row],[precio_unitario]]&lt;=30,"Económico",IF(Tabla2[[#This Row],[precio_unitario]]&lt;=58.49,"Accesible","Caro"))</f>
        <v>Caro</v>
      </c>
      <c r="J647" t="s">
        <v>35</v>
      </c>
      <c r="K647">
        <v>1</v>
      </c>
      <c r="L647" s="19">
        <v>74.5</v>
      </c>
      <c r="M647" s="21">
        <f>INDEX(Tabla3[coste_objetivo], MATCH(Tabla2[[#This Row],[id_producto]], Tabla3[id_producto],0))</f>
        <v>47.62</v>
      </c>
      <c r="N647" s="11">
        <v>0</v>
      </c>
      <c r="O647" s="17">
        <f t="shared" si="43"/>
        <v>74.5</v>
      </c>
      <c r="P647" s="17">
        <f t="shared" si="40"/>
        <v>47.62</v>
      </c>
      <c r="Q647" s="17">
        <f t="shared" si="41"/>
        <v>26.880000000000003</v>
      </c>
      <c r="R647" s="24">
        <f t="shared" si="42"/>
        <v>0.36080536912751682</v>
      </c>
      <c r="S647" t="s">
        <v>540</v>
      </c>
      <c r="T647" t="s">
        <v>64</v>
      </c>
    </row>
    <row r="648" spans="1:20" hidden="1">
      <c r="A648" t="s">
        <v>720</v>
      </c>
      <c r="B648" s="5">
        <v>45482</v>
      </c>
      <c r="C648" s="8">
        <f>YEAR(Tabla2[[#This Row],[fecha]])</f>
        <v>2024</v>
      </c>
      <c r="D648" s="8">
        <f>MONTH(Tabla2[[#This Row],[fecha]])</f>
        <v>7</v>
      </c>
      <c r="E648" s="8" t="str">
        <f>TEXT(Tabla2[[#This Row],[fecha]], "mmmm")</f>
        <v>julio</v>
      </c>
      <c r="F648" s="8" t="str">
        <f>"T"&amp;ROUNDUP(Tabla2[[#This Row],[mes]]/3,0)</f>
        <v>T3</v>
      </c>
      <c r="G648" t="s">
        <v>11</v>
      </c>
      <c r="H648" t="s">
        <v>12</v>
      </c>
      <c r="I648" s="8" t="str">
        <f>IF(Tabla2[[#This Row],[precio_unitario]]&lt;=30,"Económico",IF(Tabla2[[#This Row],[precio_unitario]]&lt;=58.49,"Accesible","Caro"))</f>
        <v>Caro</v>
      </c>
      <c r="J648" t="s">
        <v>8</v>
      </c>
      <c r="K648">
        <v>3</v>
      </c>
      <c r="L648" s="19">
        <v>165.83</v>
      </c>
      <c r="M648" s="19">
        <v>95.67</v>
      </c>
      <c r="N648" s="11">
        <v>0</v>
      </c>
      <c r="O648" s="17">
        <f t="shared" si="43"/>
        <v>497.49</v>
      </c>
      <c r="P648" s="17">
        <f t="shared" si="40"/>
        <v>287.01</v>
      </c>
      <c r="Q648" s="17">
        <f t="shared" si="41"/>
        <v>210.48000000000002</v>
      </c>
      <c r="R648" s="24">
        <f t="shared" si="42"/>
        <v>0.42308388108303685</v>
      </c>
      <c r="S648" t="s">
        <v>67</v>
      </c>
      <c r="T648" t="s">
        <v>60</v>
      </c>
    </row>
    <row r="649" spans="1:20" hidden="1">
      <c r="A649" t="s">
        <v>721</v>
      </c>
      <c r="B649" s="5">
        <v>45525</v>
      </c>
      <c r="C649" s="8">
        <f>YEAR(Tabla2[[#This Row],[fecha]])</f>
        <v>2024</v>
      </c>
      <c r="D649" s="8">
        <f>MONTH(Tabla2[[#This Row],[fecha]])</f>
        <v>8</v>
      </c>
      <c r="E649" s="8" t="str">
        <f>TEXT(Tabla2[[#This Row],[fecha]], "mmmm")</f>
        <v>agosto</v>
      </c>
      <c r="F649" s="8" t="str">
        <f>"T"&amp;ROUNDUP(Tabla2[[#This Row],[mes]]/3,0)</f>
        <v>T3</v>
      </c>
      <c r="G649" t="s">
        <v>29</v>
      </c>
      <c r="H649" t="s">
        <v>30</v>
      </c>
      <c r="I649" s="8" t="str">
        <f>IF(Tabla2[[#This Row],[precio_unitario]]&lt;=30,"Económico",IF(Tabla2[[#This Row],[precio_unitario]]&lt;=58.49,"Accesible","Caro"))</f>
        <v>Económico</v>
      </c>
      <c r="J649" t="s">
        <v>26</v>
      </c>
      <c r="K649">
        <v>5</v>
      </c>
      <c r="L649" s="19">
        <v>21.62</v>
      </c>
      <c r="M649" s="19">
        <v>11.36</v>
      </c>
      <c r="N649" s="11">
        <v>0</v>
      </c>
      <c r="O649" s="17">
        <f t="shared" si="43"/>
        <v>108.10000000000001</v>
      </c>
      <c r="P649" s="17">
        <f t="shared" si="40"/>
        <v>56.8</v>
      </c>
      <c r="Q649" s="17">
        <f t="shared" si="41"/>
        <v>51.300000000000011</v>
      </c>
      <c r="R649" s="24">
        <f t="shared" si="42"/>
        <v>0.47456059204440337</v>
      </c>
      <c r="S649" t="s">
        <v>540</v>
      </c>
      <c r="T649" t="s">
        <v>64</v>
      </c>
    </row>
    <row r="650" spans="1:20" hidden="1">
      <c r="A650" t="s">
        <v>722</v>
      </c>
      <c r="B650" s="5">
        <v>45667</v>
      </c>
      <c r="C650" s="8">
        <f>YEAR(Tabla2[[#This Row],[fecha]])</f>
        <v>2025</v>
      </c>
      <c r="D650" s="8">
        <f>MONTH(Tabla2[[#This Row],[fecha]])</f>
        <v>1</v>
      </c>
      <c r="E650" s="8" t="str">
        <f>TEXT(Tabla2[[#This Row],[fecha]], "mmmm")</f>
        <v>enero</v>
      </c>
      <c r="F650" s="8" t="str">
        <f>"T"&amp;ROUNDUP(Tabla2[[#This Row],[mes]]/3,0)</f>
        <v>T1</v>
      </c>
      <c r="G650" t="s">
        <v>13</v>
      </c>
      <c r="H650" t="s">
        <v>14</v>
      </c>
      <c r="I650" s="8" t="str">
        <f>IF(Tabla2[[#This Row],[precio_unitario]]&lt;=30,"Económico",IF(Tabla2[[#This Row],[precio_unitario]]&lt;=58.49,"Accesible","Caro"))</f>
        <v>Caro</v>
      </c>
      <c r="J650" t="s">
        <v>8</v>
      </c>
      <c r="K650">
        <v>2</v>
      </c>
      <c r="L650" s="19">
        <v>168.83</v>
      </c>
      <c r="M650" s="19">
        <v>111.38</v>
      </c>
      <c r="N650" s="11">
        <v>0</v>
      </c>
      <c r="O650" s="17">
        <f t="shared" si="43"/>
        <v>337.66</v>
      </c>
      <c r="P650" s="17">
        <f t="shared" si="40"/>
        <v>222.76</v>
      </c>
      <c r="Q650" s="17">
        <f t="shared" si="41"/>
        <v>114.90000000000003</v>
      </c>
      <c r="R650" s="24">
        <f t="shared" si="42"/>
        <v>0.34028312503701957</v>
      </c>
      <c r="S650" t="s">
        <v>63</v>
      </c>
      <c r="T650" t="s">
        <v>64</v>
      </c>
    </row>
    <row r="651" spans="1:20" hidden="1">
      <c r="A651" t="s">
        <v>723</v>
      </c>
      <c r="B651" s="5">
        <v>45720</v>
      </c>
      <c r="C651" s="8">
        <f>YEAR(Tabla2[[#This Row],[fecha]])</f>
        <v>2025</v>
      </c>
      <c r="D651" s="8">
        <f>MONTH(Tabla2[[#This Row],[fecha]])</f>
        <v>3</v>
      </c>
      <c r="E651" s="8" t="str">
        <f>TEXT(Tabla2[[#This Row],[fecha]], "mmmm")</f>
        <v>marzo</v>
      </c>
      <c r="F651" s="8" t="str">
        <f>"T"&amp;ROUNDUP(Tabla2[[#This Row],[mes]]/3,0)</f>
        <v>T1</v>
      </c>
      <c r="G651" t="s">
        <v>15</v>
      </c>
      <c r="H651" t="s">
        <v>16</v>
      </c>
      <c r="I651" s="8" t="str">
        <f>IF(Tabla2[[#This Row],[precio_unitario]]&lt;=30,"Económico",IF(Tabla2[[#This Row],[precio_unitario]]&lt;=58.49,"Accesible","Caro"))</f>
        <v>Accesible</v>
      </c>
      <c r="J651" t="s">
        <v>17</v>
      </c>
      <c r="K651">
        <v>1</v>
      </c>
      <c r="L651" s="19">
        <v>56.79</v>
      </c>
      <c r="M651" s="19">
        <v>39.93</v>
      </c>
      <c r="N651" s="11">
        <v>0</v>
      </c>
      <c r="O651" s="17">
        <f t="shared" si="43"/>
        <v>56.79</v>
      </c>
      <c r="P651" s="17">
        <f t="shared" si="40"/>
        <v>39.93</v>
      </c>
      <c r="Q651" s="17">
        <f t="shared" si="41"/>
        <v>16.86</v>
      </c>
      <c r="R651" s="24">
        <f t="shared" si="42"/>
        <v>0.29688325409403066</v>
      </c>
      <c r="S651" t="s">
        <v>96</v>
      </c>
      <c r="T651" t="s">
        <v>60</v>
      </c>
    </row>
    <row r="652" spans="1:20">
      <c r="A652" t="s">
        <v>724</v>
      </c>
      <c r="B652" s="5">
        <v>46021</v>
      </c>
      <c r="C652" s="8">
        <f>YEAR(Tabla2[[#This Row],[fecha]])</f>
        <v>2025</v>
      </c>
      <c r="D652" s="8">
        <f>MONTH(Tabla2[[#This Row],[fecha]])</f>
        <v>12</v>
      </c>
      <c r="E652" s="8" t="str">
        <f>TEXT(Tabla2[[#This Row],[fecha]], "mmmm")</f>
        <v>diciembre</v>
      </c>
      <c r="F652" s="8" t="str">
        <f>"T"&amp;ROUNDUP(Tabla2[[#This Row],[mes]]/3,0)</f>
        <v>T4</v>
      </c>
      <c r="G652" t="s">
        <v>22</v>
      </c>
      <c r="H652" t="s">
        <v>23</v>
      </c>
      <c r="I652" s="8" t="str">
        <f>IF(Tabla2[[#This Row],[precio_unitario]]&lt;=30,"Económico",IF(Tabla2[[#This Row],[precio_unitario]]&lt;=58.49,"Accesible","Caro"))</f>
        <v>Caro</v>
      </c>
      <c r="J652" t="s">
        <v>17</v>
      </c>
      <c r="K652">
        <v>3</v>
      </c>
      <c r="L652" s="19">
        <v>104.48</v>
      </c>
      <c r="M652" s="19">
        <v>54.86</v>
      </c>
      <c r="N652" s="11">
        <v>0</v>
      </c>
      <c r="O652" s="17">
        <f t="shared" si="43"/>
        <v>313.44</v>
      </c>
      <c r="P652" s="17">
        <f t="shared" si="40"/>
        <v>164.57999999999998</v>
      </c>
      <c r="Q652" s="17">
        <f t="shared" si="41"/>
        <v>148.86000000000001</v>
      </c>
      <c r="R652" s="24">
        <f t="shared" si="42"/>
        <v>0.47492343032159268</v>
      </c>
      <c r="S652" t="s">
        <v>67</v>
      </c>
      <c r="T652" t="s">
        <v>64</v>
      </c>
    </row>
    <row r="653" spans="1:20" hidden="1">
      <c r="A653" t="s">
        <v>725</v>
      </c>
      <c r="B653" s="5">
        <v>45602</v>
      </c>
      <c r="C653" s="8">
        <f>YEAR(Tabla2[[#This Row],[fecha]])</f>
        <v>2024</v>
      </c>
      <c r="D653" s="8">
        <f>MONTH(Tabla2[[#This Row],[fecha]])</f>
        <v>11</v>
      </c>
      <c r="E653" s="8" t="str">
        <f>TEXT(Tabla2[[#This Row],[fecha]], "mmmm")</f>
        <v>noviembre</v>
      </c>
      <c r="F653" s="8" t="str">
        <f>"T"&amp;ROUNDUP(Tabla2[[#This Row],[mes]]/3,0)</f>
        <v>T4</v>
      </c>
      <c r="G653" t="s">
        <v>40</v>
      </c>
      <c r="H653" t="s">
        <v>41</v>
      </c>
      <c r="I653" s="8" t="str">
        <f>IF(Tabla2[[#This Row],[precio_unitario]]&lt;=30,"Económico",IF(Tabla2[[#This Row],[precio_unitario]]&lt;=58.49,"Accesible","Caro"))</f>
        <v>Caro</v>
      </c>
      <c r="J653" t="s">
        <v>35</v>
      </c>
      <c r="K653">
        <v>1</v>
      </c>
      <c r="L653" s="19">
        <v>74.77</v>
      </c>
      <c r="M653" s="19">
        <v>42.48</v>
      </c>
      <c r="N653" s="13">
        <v>0</v>
      </c>
      <c r="O653" s="17">
        <f t="shared" si="43"/>
        <v>74.77</v>
      </c>
      <c r="P653" s="17">
        <f t="shared" si="40"/>
        <v>42.48</v>
      </c>
      <c r="Q653" s="17">
        <f t="shared" si="41"/>
        <v>32.29</v>
      </c>
      <c r="R653" s="24">
        <f t="shared" si="42"/>
        <v>0.43185769693727433</v>
      </c>
      <c r="S653" t="s">
        <v>67</v>
      </c>
      <c r="T653" t="s">
        <v>64</v>
      </c>
    </row>
    <row r="654" spans="1:20">
      <c r="A654" t="s">
        <v>726</v>
      </c>
      <c r="B654" s="5">
        <v>46002</v>
      </c>
      <c r="C654" s="8">
        <f>YEAR(Tabla2[[#This Row],[fecha]])</f>
        <v>2025</v>
      </c>
      <c r="D654" s="8">
        <f>MONTH(Tabla2[[#This Row],[fecha]])</f>
        <v>12</v>
      </c>
      <c r="E654" s="8" t="str">
        <f>TEXT(Tabla2[[#This Row],[fecha]], "mmmm")</f>
        <v>diciembre</v>
      </c>
      <c r="F654" s="8" t="str">
        <f>"T"&amp;ROUNDUP(Tabla2[[#This Row],[mes]]/3,0)</f>
        <v>T4</v>
      </c>
      <c r="G654" t="s">
        <v>20</v>
      </c>
      <c r="H654" t="s">
        <v>21</v>
      </c>
      <c r="I654" s="8" t="str">
        <f>IF(Tabla2[[#This Row],[precio_unitario]]&lt;=30,"Económico",IF(Tabla2[[#This Row],[precio_unitario]]&lt;=58.49,"Accesible","Caro"))</f>
        <v>Económico</v>
      </c>
      <c r="J654" t="s">
        <v>17</v>
      </c>
      <c r="K654">
        <v>1</v>
      </c>
      <c r="L654" s="19">
        <v>20.149999999999999</v>
      </c>
      <c r="M654" s="19">
        <v>12.34</v>
      </c>
      <c r="N654" s="11">
        <v>0</v>
      </c>
      <c r="O654" s="17">
        <f t="shared" si="43"/>
        <v>20.149999999999999</v>
      </c>
      <c r="P654" s="17">
        <f t="shared" si="40"/>
        <v>12.34</v>
      </c>
      <c r="Q654" s="17">
        <f t="shared" si="41"/>
        <v>7.8099999999999987</v>
      </c>
      <c r="R654" s="24">
        <f t="shared" si="42"/>
        <v>0.3875930521091811</v>
      </c>
      <c r="S654" t="s">
        <v>67</v>
      </c>
      <c r="T654" t="s">
        <v>64</v>
      </c>
    </row>
    <row r="655" spans="1:20" hidden="1">
      <c r="A655" t="s">
        <v>727</v>
      </c>
      <c r="B655" s="5">
        <v>45630</v>
      </c>
      <c r="C655" s="8">
        <f>YEAR(Tabla2[[#This Row],[fecha]])</f>
        <v>2024</v>
      </c>
      <c r="D655" s="8">
        <f>MONTH(Tabla2[[#This Row],[fecha]])</f>
        <v>12</v>
      </c>
      <c r="E655" s="8" t="str">
        <f>TEXT(Tabla2[[#This Row],[fecha]], "mmmm")</f>
        <v>diciembre</v>
      </c>
      <c r="F655" s="8" t="str">
        <f>"T"&amp;ROUNDUP(Tabla2[[#This Row],[mes]]/3,0)</f>
        <v>T4</v>
      </c>
      <c r="G655" t="s">
        <v>6</v>
      </c>
      <c r="H655" t="s">
        <v>7</v>
      </c>
      <c r="I655" s="8" t="str">
        <f>IF(Tabla2[[#This Row],[precio_unitario]]&lt;=30,"Económico",IF(Tabla2[[#This Row],[precio_unitario]]&lt;=58.49,"Accesible","Caro"))</f>
        <v>Caro</v>
      </c>
      <c r="J655" t="s">
        <v>8</v>
      </c>
      <c r="K655">
        <v>1</v>
      </c>
      <c r="L655" s="19">
        <v>124.08</v>
      </c>
      <c r="M655" s="19">
        <v>86.62</v>
      </c>
      <c r="N655" s="11">
        <v>0</v>
      </c>
      <c r="O655" s="17">
        <f t="shared" si="43"/>
        <v>124.08</v>
      </c>
      <c r="P655" s="17">
        <f t="shared" si="40"/>
        <v>86.62</v>
      </c>
      <c r="Q655" s="17">
        <f t="shared" si="41"/>
        <v>37.459999999999994</v>
      </c>
      <c r="R655" s="24">
        <f t="shared" si="42"/>
        <v>0.30190199871050932</v>
      </c>
      <c r="S655" t="s">
        <v>540</v>
      </c>
      <c r="T655" t="s">
        <v>64</v>
      </c>
    </row>
    <row r="656" spans="1:20" hidden="1">
      <c r="A656" t="s">
        <v>728</v>
      </c>
      <c r="B656" s="5">
        <v>45638</v>
      </c>
      <c r="C656" s="8">
        <f>YEAR(Tabla2[[#This Row],[fecha]])</f>
        <v>2024</v>
      </c>
      <c r="D656" s="8">
        <f>MONTH(Tabla2[[#This Row],[fecha]])</f>
        <v>12</v>
      </c>
      <c r="E656" s="8" t="str">
        <f>TEXT(Tabla2[[#This Row],[fecha]], "mmmm")</f>
        <v>diciembre</v>
      </c>
      <c r="F656" s="8" t="str">
        <f>"T"&amp;ROUNDUP(Tabla2[[#This Row],[mes]]/3,0)</f>
        <v>T4</v>
      </c>
      <c r="G656" t="s">
        <v>20</v>
      </c>
      <c r="H656" t="s">
        <v>21</v>
      </c>
      <c r="I656" s="8" t="str">
        <f>IF(Tabla2[[#This Row],[precio_unitario]]&lt;=30,"Económico",IF(Tabla2[[#This Row],[precio_unitario]]&lt;=58.49,"Accesible","Caro"))</f>
        <v>Económico</v>
      </c>
      <c r="J656" t="s">
        <v>17</v>
      </c>
      <c r="K656">
        <v>5</v>
      </c>
      <c r="L656" s="19">
        <v>18.66</v>
      </c>
      <c r="M656" s="19">
        <v>13.41</v>
      </c>
      <c r="N656" s="13">
        <v>0</v>
      </c>
      <c r="O656" s="17">
        <f t="shared" si="43"/>
        <v>93.3</v>
      </c>
      <c r="P656" s="17">
        <f t="shared" si="40"/>
        <v>67.05</v>
      </c>
      <c r="Q656" s="17">
        <f t="shared" si="41"/>
        <v>26.25</v>
      </c>
      <c r="R656" s="24">
        <f t="shared" si="42"/>
        <v>0.28135048231511256</v>
      </c>
      <c r="S656" t="s">
        <v>67</v>
      </c>
      <c r="T656" t="s">
        <v>64</v>
      </c>
    </row>
    <row r="657" spans="1:20" hidden="1">
      <c r="A657" t="s">
        <v>729</v>
      </c>
      <c r="B657" s="5">
        <v>45383</v>
      </c>
      <c r="C657" s="8">
        <f>YEAR(Tabla2[[#This Row],[fecha]])</f>
        <v>2024</v>
      </c>
      <c r="D657" s="8">
        <f>MONTH(Tabla2[[#This Row],[fecha]])</f>
        <v>4</v>
      </c>
      <c r="E657" s="8" t="str">
        <f>TEXT(Tabla2[[#This Row],[fecha]], "mmmm")</f>
        <v>abril</v>
      </c>
      <c r="F657" s="8" t="str">
        <f>"T"&amp;ROUNDUP(Tabla2[[#This Row],[mes]]/3,0)</f>
        <v>T2</v>
      </c>
      <c r="G657" t="s">
        <v>36</v>
      </c>
      <c r="H657" t="s">
        <v>37</v>
      </c>
      <c r="I657" s="8" t="str">
        <f>IF(Tabla2[[#This Row],[precio_unitario]]&lt;=30,"Económico",IF(Tabla2[[#This Row],[precio_unitario]]&lt;=58.49,"Accesible","Caro"))</f>
        <v>Económico</v>
      </c>
      <c r="J657" t="s">
        <v>35</v>
      </c>
      <c r="K657">
        <v>7</v>
      </c>
      <c r="L657" s="19">
        <v>13.57</v>
      </c>
      <c r="M657" s="19">
        <v>9.3000000000000007</v>
      </c>
      <c r="N657" s="13">
        <v>0</v>
      </c>
      <c r="O657" s="17">
        <f t="shared" si="43"/>
        <v>94.990000000000009</v>
      </c>
      <c r="P657" s="17">
        <f t="shared" si="40"/>
        <v>65.100000000000009</v>
      </c>
      <c r="Q657" s="17">
        <f t="shared" si="41"/>
        <v>29.89</v>
      </c>
      <c r="R657" s="24">
        <f t="shared" si="42"/>
        <v>0.31466470154753129</v>
      </c>
      <c r="S657" t="s">
        <v>67</v>
      </c>
      <c r="T657" t="s">
        <v>64</v>
      </c>
    </row>
    <row r="658" spans="1:20" hidden="1">
      <c r="A658" t="s">
        <v>730</v>
      </c>
      <c r="B658" s="5">
        <v>45555</v>
      </c>
      <c r="C658" s="8">
        <f>YEAR(Tabla2[[#This Row],[fecha]])</f>
        <v>2024</v>
      </c>
      <c r="D658" s="8">
        <f>MONTH(Tabla2[[#This Row],[fecha]])</f>
        <v>9</v>
      </c>
      <c r="E658" s="8" t="str">
        <f>TEXT(Tabla2[[#This Row],[fecha]], "mmmm")</f>
        <v>septiembre</v>
      </c>
      <c r="F658" s="8" t="str">
        <f>"T"&amp;ROUNDUP(Tabla2[[#This Row],[mes]]/3,0)</f>
        <v>T3</v>
      </c>
      <c r="G658" t="s">
        <v>29</v>
      </c>
      <c r="H658" t="s">
        <v>30</v>
      </c>
      <c r="I658" s="8" t="str">
        <f>IF(Tabla2[[#This Row],[precio_unitario]]&lt;=30,"Económico",IF(Tabla2[[#This Row],[precio_unitario]]&lt;=58.49,"Accesible","Caro"))</f>
        <v>Económico</v>
      </c>
      <c r="J658" t="s">
        <v>26</v>
      </c>
      <c r="K658">
        <v>5</v>
      </c>
      <c r="L658" s="19">
        <v>21.38</v>
      </c>
      <c r="M658" s="19">
        <v>11.67</v>
      </c>
      <c r="N658" s="13">
        <v>0</v>
      </c>
      <c r="O658" s="17">
        <f t="shared" si="43"/>
        <v>106.89999999999999</v>
      </c>
      <c r="P658" s="17">
        <f t="shared" si="40"/>
        <v>58.35</v>
      </c>
      <c r="Q658" s="17">
        <f t="shared" si="41"/>
        <v>48.54999999999999</v>
      </c>
      <c r="R658" s="24">
        <f t="shared" si="42"/>
        <v>0.45416276894293728</v>
      </c>
      <c r="S658" t="s">
        <v>63</v>
      </c>
      <c r="T658" t="s">
        <v>64</v>
      </c>
    </row>
    <row r="659" spans="1:20" hidden="1">
      <c r="A659" t="s">
        <v>731</v>
      </c>
      <c r="B659" s="5">
        <v>45870</v>
      </c>
      <c r="C659" s="8">
        <f>YEAR(Tabla2[[#This Row],[fecha]])</f>
        <v>2025</v>
      </c>
      <c r="D659" s="8">
        <f>MONTH(Tabla2[[#This Row],[fecha]])</f>
        <v>8</v>
      </c>
      <c r="E659" s="8" t="str">
        <f>TEXT(Tabla2[[#This Row],[fecha]], "mmmm")</f>
        <v>agosto</v>
      </c>
      <c r="F659" s="8" t="str">
        <f>"T"&amp;ROUNDUP(Tabla2[[#This Row],[mes]]/3,0)</f>
        <v>T3</v>
      </c>
      <c r="G659" t="s">
        <v>22</v>
      </c>
      <c r="H659" t="s">
        <v>23</v>
      </c>
      <c r="I659" s="8" t="str">
        <f>IF(Tabla2[[#This Row],[precio_unitario]]&lt;=30,"Económico",IF(Tabla2[[#This Row],[precio_unitario]]&lt;=58.49,"Accesible","Caro"))</f>
        <v>Caro</v>
      </c>
      <c r="J659" t="s">
        <v>17</v>
      </c>
      <c r="K659">
        <v>3</v>
      </c>
      <c r="L659" s="19">
        <v>106.45</v>
      </c>
      <c r="M659" s="19">
        <v>59.47</v>
      </c>
      <c r="N659" s="11">
        <v>0</v>
      </c>
      <c r="O659" s="17">
        <f t="shared" si="43"/>
        <v>319.35000000000002</v>
      </c>
      <c r="P659" s="17">
        <f t="shared" si="40"/>
        <v>178.41</v>
      </c>
      <c r="Q659" s="17">
        <f t="shared" si="41"/>
        <v>140.94000000000003</v>
      </c>
      <c r="R659" s="24">
        <f t="shared" si="42"/>
        <v>0.44133395960544863</v>
      </c>
      <c r="S659" t="s">
        <v>540</v>
      </c>
      <c r="T659" t="s">
        <v>64</v>
      </c>
    </row>
    <row r="660" spans="1:20" hidden="1">
      <c r="A660" t="s">
        <v>732</v>
      </c>
      <c r="B660" s="5">
        <v>45517</v>
      </c>
      <c r="C660" s="8">
        <f>YEAR(Tabla2[[#This Row],[fecha]])</f>
        <v>2024</v>
      </c>
      <c r="D660" s="8">
        <f>MONTH(Tabla2[[#This Row],[fecha]])</f>
        <v>8</v>
      </c>
      <c r="E660" s="8" t="str">
        <f>TEXT(Tabla2[[#This Row],[fecha]], "mmmm")</f>
        <v>agosto</v>
      </c>
      <c r="F660" s="8" t="str">
        <f>"T"&amp;ROUNDUP(Tabla2[[#This Row],[mes]]/3,0)</f>
        <v>T3</v>
      </c>
      <c r="G660" t="s">
        <v>31</v>
      </c>
      <c r="H660" t="s">
        <v>32</v>
      </c>
      <c r="I660" s="8" t="str">
        <f>IF(Tabla2[[#This Row],[precio_unitario]]&lt;=30,"Económico",IF(Tabla2[[#This Row],[precio_unitario]]&lt;=58.49,"Accesible","Caro"))</f>
        <v>Económico</v>
      </c>
      <c r="J660" t="s">
        <v>26</v>
      </c>
      <c r="K660">
        <v>2</v>
      </c>
      <c r="L660" s="19">
        <v>9.26</v>
      </c>
      <c r="M660" s="19">
        <v>5.62</v>
      </c>
      <c r="N660" s="13">
        <v>0</v>
      </c>
      <c r="O660" s="17">
        <f t="shared" si="43"/>
        <v>18.52</v>
      </c>
      <c r="P660" s="17">
        <f t="shared" si="40"/>
        <v>11.24</v>
      </c>
      <c r="Q660" s="17">
        <f t="shared" si="41"/>
        <v>7.2799999999999994</v>
      </c>
      <c r="R660" s="24">
        <f t="shared" si="42"/>
        <v>0.39308855291576672</v>
      </c>
      <c r="S660" t="s">
        <v>540</v>
      </c>
      <c r="T660" t="s">
        <v>60</v>
      </c>
    </row>
    <row r="661" spans="1:20" hidden="1">
      <c r="A661" t="s">
        <v>733</v>
      </c>
      <c r="B661" s="5">
        <v>45590</v>
      </c>
      <c r="C661" s="8">
        <f>YEAR(Tabla2[[#This Row],[fecha]])</f>
        <v>2024</v>
      </c>
      <c r="D661" s="8">
        <f>MONTH(Tabla2[[#This Row],[fecha]])</f>
        <v>10</v>
      </c>
      <c r="E661" s="8" t="str">
        <f>TEXT(Tabla2[[#This Row],[fecha]], "mmmm")</f>
        <v>octubre</v>
      </c>
      <c r="F661" s="8" t="str">
        <f>"T"&amp;ROUNDUP(Tabla2[[#This Row],[mes]]/3,0)</f>
        <v>T4</v>
      </c>
      <c r="G661" t="s">
        <v>6</v>
      </c>
      <c r="H661" t="s">
        <v>7</v>
      </c>
      <c r="I661" s="8" t="str">
        <f>IF(Tabla2[[#This Row],[precio_unitario]]&lt;=30,"Económico",IF(Tabla2[[#This Row],[precio_unitario]]&lt;=58.49,"Accesible","Caro"))</f>
        <v>Caro</v>
      </c>
      <c r="J661" t="s">
        <v>8</v>
      </c>
      <c r="K661">
        <v>7</v>
      </c>
      <c r="L661" s="19">
        <v>122.57</v>
      </c>
      <c r="M661" s="19">
        <v>82.93</v>
      </c>
      <c r="N661" s="13">
        <v>0</v>
      </c>
      <c r="O661" s="17">
        <f t="shared" si="43"/>
        <v>857.99</v>
      </c>
      <c r="P661" s="17">
        <f t="shared" si="40"/>
        <v>580.51</v>
      </c>
      <c r="Q661" s="17">
        <f t="shared" si="41"/>
        <v>277.48</v>
      </c>
      <c r="R661" s="24">
        <f t="shared" si="42"/>
        <v>0.32340703271599902</v>
      </c>
      <c r="S661" t="s">
        <v>67</v>
      </c>
      <c r="T661" t="s">
        <v>60</v>
      </c>
    </row>
    <row r="662" spans="1:20" hidden="1">
      <c r="A662" t="s">
        <v>734</v>
      </c>
      <c r="B662" s="5">
        <v>45882</v>
      </c>
      <c r="C662" s="8">
        <f>YEAR(Tabla2[[#This Row],[fecha]])</f>
        <v>2025</v>
      </c>
      <c r="D662" s="8">
        <f>MONTH(Tabla2[[#This Row],[fecha]])</f>
        <v>8</v>
      </c>
      <c r="E662" s="8" t="str">
        <f>TEXT(Tabla2[[#This Row],[fecha]], "mmmm")</f>
        <v>agosto</v>
      </c>
      <c r="F662" s="8" t="str">
        <f>"T"&amp;ROUNDUP(Tabla2[[#This Row],[mes]]/3,0)</f>
        <v>T3</v>
      </c>
      <c r="G662" t="s">
        <v>45</v>
      </c>
      <c r="H662" t="s">
        <v>46</v>
      </c>
      <c r="I662" s="8" t="str">
        <f>IF(Tabla2[[#This Row],[precio_unitario]]&lt;=30,"Económico",IF(Tabla2[[#This Row],[precio_unitario]]&lt;=58.49,"Accesible","Caro"))</f>
        <v>Accesible</v>
      </c>
      <c r="J662" t="s">
        <v>44</v>
      </c>
      <c r="K662">
        <v>3</v>
      </c>
      <c r="L662" s="19">
        <v>30.92</v>
      </c>
      <c r="M662" s="19">
        <v>16.48</v>
      </c>
      <c r="N662" s="13">
        <v>0</v>
      </c>
      <c r="O662" s="17">
        <f t="shared" si="43"/>
        <v>92.76</v>
      </c>
      <c r="P662" s="17">
        <f t="shared" si="40"/>
        <v>49.44</v>
      </c>
      <c r="Q662" s="17">
        <f t="shared" si="41"/>
        <v>43.320000000000007</v>
      </c>
      <c r="R662" s="24">
        <f t="shared" si="42"/>
        <v>0.46701164294954728</v>
      </c>
      <c r="S662" t="s">
        <v>63</v>
      </c>
      <c r="T662" t="s">
        <v>64</v>
      </c>
    </row>
    <row r="663" spans="1:20">
      <c r="A663" t="s">
        <v>735</v>
      </c>
      <c r="B663" s="5">
        <v>45882</v>
      </c>
      <c r="C663" s="8">
        <f>YEAR(Tabla2[[#This Row],[fecha]])</f>
        <v>2025</v>
      </c>
      <c r="D663" s="8">
        <f>MONTH(Tabla2[[#This Row],[fecha]])</f>
        <v>8</v>
      </c>
      <c r="E663" s="8" t="str">
        <f>TEXT(Tabla2[[#This Row],[fecha]], "mmmm")</f>
        <v>agosto</v>
      </c>
      <c r="F663" s="8" t="str">
        <f>"T"&amp;ROUNDUP(Tabla2[[#This Row],[mes]]/3,0)</f>
        <v>T3</v>
      </c>
      <c r="G663" t="s">
        <v>42</v>
      </c>
      <c r="H663" t="s">
        <v>43</v>
      </c>
      <c r="I663" s="8" t="str">
        <f>IF(Tabla2[[#This Row],[precio_unitario]]&lt;=30,"Económico",IF(Tabla2[[#This Row],[precio_unitario]]&lt;=58.49,"Accesible","Caro"))</f>
        <v>Accesible</v>
      </c>
      <c r="J663" t="s">
        <v>44</v>
      </c>
      <c r="K663">
        <v>1</v>
      </c>
      <c r="L663" s="19">
        <v>51.96</v>
      </c>
      <c r="M663" s="19">
        <v>22.31</v>
      </c>
      <c r="N663" s="11">
        <v>0</v>
      </c>
      <c r="O663" s="17">
        <f t="shared" si="43"/>
        <v>51.96</v>
      </c>
      <c r="P663" s="17">
        <f t="shared" si="40"/>
        <v>22.31</v>
      </c>
      <c r="Q663" s="17">
        <f t="shared" si="41"/>
        <v>29.650000000000002</v>
      </c>
      <c r="R663" s="24">
        <f t="shared" si="42"/>
        <v>0.57063125481139343</v>
      </c>
      <c r="S663" t="s">
        <v>67</v>
      </c>
      <c r="T663" t="s">
        <v>64</v>
      </c>
    </row>
    <row r="664" spans="1:20" hidden="1">
      <c r="A664" t="s">
        <v>736</v>
      </c>
      <c r="B664" s="5">
        <v>45812</v>
      </c>
      <c r="C664" s="8">
        <f>YEAR(Tabla2[[#This Row],[fecha]])</f>
        <v>2025</v>
      </c>
      <c r="D664" s="8">
        <f>MONTH(Tabla2[[#This Row],[fecha]])</f>
        <v>6</v>
      </c>
      <c r="E664" s="8" t="str">
        <f>TEXT(Tabla2[[#This Row],[fecha]], "mmmm")</f>
        <v>junio</v>
      </c>
      <c r="F664" s="8" t="str">
        <f>"T"&amp;ROUNDUP(Tabla2[[#This Row],[mes]]/3,0)</f>
        <v>T2</v>
      </c>
      <c r="G664" t="s">
        <v>42</v>
      </c>
      <c r="H664" t="s">
        <v>43</v>
      </c>
      <c r="I664" s="8" t="str">
        <f>IF(Tabla2[[#This Row],[precio_unitario]]&lt;=30,"Económico",IF(Tabla2[[#This Row],[precio_unitario]]&lt;=58.49,"Accesible","Caro"))</f>
        <v>Accesible</v>
      </c>
      <c r="J664" t="s">
        <v>44</v>
      </c>
      <c r="K664">
        <v>3</v>
      </c>
      <c r="L664" s="19">
        <v>46.7</v>
      </c>
      <c r="M664" s="19">
        <v>23.73</v>
      </c>
      <c r="N664" s="13">
        <v>0</v>
      </c>
      <c r="O664" s="17">
        <f t="shared" si="43"/>
        <v>140.10000000000002</v>
      </c>
      <c r="P664" s="17">
        <f t="shared" si="40"/>
        <v>71.19</v>
      </c>
      <c r="Q664" s="17">
        <f t="shared" si="41"/>
        <v>68.910000000000025</v>
      </c>
      <c r="R664" s="24">
        <f t="shared" si="42"/>
        <v>0.49186295503212002</v>
      </c>
      <c r="S664" t="s">
        <v>540</v>
      </c>
      <c r="T664" t="s">
        <v>60</v>
      </c>
    </row>
    <row r="665" spans="1:20" hidden="1">
      <c r="A665" t="s">
        <v>737</v>
      </c>
      <c r="B665" s="5">
        <v>45982</v>
      </c>
      <c r="C665" s="8">
        <f>YEAR(Tabla2[[#This Row],[fecha]])</f>
        <v>2025</v>
      </c>
      <c r="D665" s="8">
        <f>MONTH(Tabla2[[#This Row],[fecha]])</f>
        <v>11</v>
      </c>
      <c r="E665" s="8" t="str">
        <f>TEXT(Tabla2[[#This Row],[fecha]], "mmmm")</f>
        <v>noviembre</v>
      </c>
      <c r="F665" s="8" t="str">
        <f>"T"&amp;ROUNDUP(Tabla2[[#This Row],[mes]]/3,0)</f>
        <v>T4</v>
      </c>
      <c r="G665" t="s">
        <v>36</v>
      </c>
      <c r="H665" t="s">
        <v>37</v>
      </c>
      <c r="I665" s="8" t="str">
        <f>IF(Tabla2[[#This Row],[precio_unitario]]&lt;=30,"Económico",IF(Tabla2[[#This Row],[precio_unitario]]&lt;=58.49,"Accesible","Caro"))</f>
        <v>Económico</v>
      </c>
      <c r="J665" t="s">
        <v>35</v>
      </c>
      <c r="K665">
        <v>1</v>
      </c>
      <c r="L665" s="19">
        <v>13.67</v>
      </c>
      <c r="M665" s="19">
        <v>9.18</v>
      </c>
      <c r="N665" s="11">
        <v>0</v>
      </c>
      <c r="O665" s="17">
        <f t="shared" si="43"/>
        <v>13.67</v>
      </c>
      <c r="P665" s="17">
        <f t="shared" si="40"/>
        <v>9.18</v>
      </c>
      <c r="Q665" s="17">
        <f t="shared" si="41"/>
        <v>4.49</v>
      </c>
      <c r="R665" s="24">
        <f t="shared" si="42"/>
        <v>0.32845647403072425</v>
      </c>
      <c r="S665" t="s">
        <v>83</v>
      </c>
      <c r="T665" t="s">
        <v>60</v>
      </c>
    </row>
    <row r="666" spans="1:20" hidden="1">
      <c r="A666" t="s">
        <v>738</v>
      </c>
      <c r="B666" s="5">
        <v>45405</v>
      </c>
      <c r="C666" s="8">
        <f>YEAR(Tabla2[[#This Row],[fecha]])</f>
        <v>2024</v>
      </c>
      <c r="D666" s="8">
        <f>MONTH(Tabla2[[#This Row],[fecha]])</f>
        <v>4</v>
      </c>
      <c r="E666" s="8" t="str">
        <f>TEXT(Tabla2[[#This Row],[fecha]], "mmmm")</f>
        <v>abril</v>
      </c>
      <c r="F666" s="8" t="str">
        <f>"T"&amp;ROUNDUP(Tabla2[[#This Row],[mes]]/3,0)</f>
        <v>T2</v>
      </c>
      <c r="G666" t="s">
        <v>15</v>
      </c>
      <c r="H666" t="s">
        <v>16</v>
      </c>
      <c r="I666" s="8" t="str">
        <f>IF(Tabla2[[#This Row],[precio_unitario]]&lt;=30,"Económico",IF(Tabla2[[#This Row],[precio_unitario]]&lt;=58.49,"Accesible","Caro"))</f>
        <v>Accesible</v>
      </c>
      <c r="J666" t="s">
        <v>17</v>
      </c>
      <c r="K666">
        <v>1</v>
      </c>
      <c r="L666" s="19">
        <v>56.2</v>
      </c>
      <c r="M666" s="19">
        <v>39.76</v>
      </c>
      <c r="N666" s="11">
        <v>0</v>
      </c>
      <c r="O666" s="17">
        <f t="shared" si="43"/>
        <v>56.2</v>
      </c>
      <c r="P666" s="17">
        <f t="shared" si="40"/>
        <v>39.76</v>
      </c>
      <c r="Q666" s="17">
        <f t="shared" si="41"/>
        <v>16.440000000000005</v>
      </c>
      <c r="R666" s="24">
        <f t="shared" si="42"/>
        <v>0.29252669039145912</v>
      </c>
      <c r="S666" t="s">
        <v>96</v>
      </c>
      <c r="T666" t="s">
        <v>64</v>
      </c>
    </row>
    <row r="667" spans="1:20" hidden="1">
      <c r="A667" t="s">
        <v>739</v>
      </c>
      <c r="B667" s="5">
        <v>45570</v>
      </c>
      <c r="C667" s="8">
        <f>YEAR(Tabla2[[#This Row],[fecha]])</f>
        <v>2024</v>
      </c>
      <c r="D667" s="8">
        <f>MONTH(Tabla2[[#This Row],[fecha]])</f>
        <v>10</v>
      </c>
      <c r="E667" s="8" t="str">
        <f>TEXT(Tabla2[[#This Row],[fecha]], "mmmm")</f>
        <v>octubre</v>
      </c>
      <c r="F667" s="8" t="str">
        <f>"T"&amp;ROUNDUP(Tabla2[[#This Row],[mes]]/3,0)</f>
        <v>T4</v>
      </c>
      <c r="G667" t="s">
        <v>36</v>
      </c>
      <c r="H667" t="s">
        <v>37</v>
      </c>
      <c r="I667" s="8" t="str">
        <f>IF(Tabla2[[#This Row],[precio_unitario]]&lt;=30,"Económico",IF(Tabla2[[#This Row],[precio_unitario]]&lt;=58.49,"Accesible","Caro"))</f>
        <v>Económico</v>
      </c>
      <c r="J667" t="s">
        <v>35</v>
      </c>
      <c r="K667">
        <v>3</v>
      </c>
      <c r="L667" s="19">
        <v>13.09</v>
      </c>
      <c r="M667" s="19">
        <v>9.92</v>
      </c>
      <c r="N667" s="11">
        <v>0.09</v>
      </c>
      <c r="O667" s="17">
        <f t="shared" si="43"/>
        <v>35.735699999999994</v>
      </c>
      <c r="P667" s="17">
        <f t="shared" si="40"/>
        <v>29.759999999999998</v>
      </c>
      <c r="Q667" s="17">
        <f t="shared" si="41"/>
        <v>5.9756999999999962</v>
      </c>
      <c r="R667" s="24">
        <f t="shared" si="42"/>
        <v>0.1672193352865621</v>
      </c>
      <c r="S667" t="s">
        <v>540</v>
      </c>
      <c r="T667" t="s">
        <v>60</v>
      </c>
    </row>
    <row r="668" spans="1:20" hidden="1">
      <c r="A668" t="s">
        <v>740</v>
      </c>
      <c r="B668" s="5">
        <v>45329</v>
      </c>
      <c r="C668" s="8">
        <f>YEAR(Tabla2[[#This Row],[fecha]])</f>
        <v>2024</v>
      </c>
      <c r="D668" s="8">
        <f>MONTH(Tabla2[[#This Row],[fecha]])</f>
        <v>2</v>
      </c>
      <c r="E668" s="8" t="str">
        <f>TEXT(Tabla2[[#This Row],[fecha]], "mmmm")</f>
        <v>febrero</v>
      </c>
      <c r="F668" s="8" t="str">
        <f>"T"&amp;ROUNDUP(Tabla2[[#This Row],[mes]]/3,0)</f>
        <v>T1</v>
      </c>
      <c r="G668" t="s">
        <v>6</v>
      </c>
      <c r="H668" t="s">
        <v>7</v>
      </c>
      <c r="I668" s="8" t="str">
        <f>IF(Tabla2[[#This Row],[precio_unitario]]&lt;=30,"Económico",IF(Tabla2[[#This Row],[precio_unitario]]&lt;=58.49,"Accesible","Caro"))</f>
        <v>Caro</v>
      </c>
      <c r="J668" t="s">
        <v>8</v>
      </c>
      <c r="K668">
        <v>5</v>
      </c>
      <c r="L668" s="19">
        <v>116.55</v>
      </c>
      <c r="M668" s="19">
        <v>85.61</v>
      </c>
      <c r="N668" s="11">
        <v>0</v>
      </c>
      <c r="O668" s="17">
        <f t="shared" si="43"/>
        <v>582.75</v>
      </c>
      <c r="P668" s="17">
        <f t="shared" si="40"/>
        <v>428.05</v>
      </c>
      <c r="Q668" s="17">
        <f t="shared" si="41"/>
        <v>154.69999999999999</v>
      </c>
      <c r="R668" s="24">
        <f t="shared" si="42"/>
        <v>0.26546546546546546</v>
      </c>
      <c r="S668" t="s">
        <v>67</v>
      </c>
      <c r="T668" t="s">
        <v>60</v>
      </c>
    </row>
    <row r="669" spans="1:20" hidden="1">
      <c r="A669" t="s">
        <v>741</v>
      </c>
      <c r="B669" s="5">
        <v>45364</v>
      </c>
      <c r="C669" s="8">
        <f>YEAR(Tabla2[[#This Row],[fecha]])</f>
        <v>2024</v>
      </c>
      <c r="D669" s="8">
        <f>MONTH(Tabla2[[#This Row],[fecha]])</f>
        <v>3</v>
      </c>
      <c r="E669" s="8" t="str">
        <f>TEXT(Tabla2[[#This Row],[fecha]], "mmmm")</f>
        <v>marzo</v>
      </c>
      <c r="F669" s="8" t="str">
        <f>"T"&amp;ROUNDUP(Tabla2[[#This Row],[mes]]/3,0)</f>
        <v>T1</v>
      </c>
      <c r="G669" t="s">
        <v>33</v>
      </c>
      <c r="H669" t="s">
        <v>34</v>
      </c>
      <c r="I669" s="8" t="str">
        <f>IF(Tabla2[[#This Row],[precio_unitario]]&lt;=30,"Económico",IF(Tabla2[[#This Row],[precio_unitario]]&lt;=58.49,"Accesible","Caro"))</f>
        <v>Caro</v>
      </c>
      <c r="J669" t="s">
        <v>35</v>
      </c>
      <c r="K669">
        <v>3</v>
      </c>
      <c r="L669" s="19">
        <v>76.790000000000006</v>
      </c>
      <c r="M669" s="19">
        <v>45.48</v>
      </c>
      <c r="N669" s="13">
        <v>0</v>
      </c>
      <c r="O669" s="17">
        <f t="shared" si="43"/>
        <v>230.37</v>
      </c>
      <c r="P669" s="17">
        <f t="shared" si="40"/>
        <v>136.44</v>
      </c>
      <c r="Q669" s="17">
        <f t="shared" si="41"/>
        <v>93.93</v>
      </c>
      <c r="R669" s="24">
        <f t="shared" si="42"/>
        <v>0.40773538221122546</v>
      </c>
      <c r="S669" t="s">
        <v>83</v>
      </c>
      <c r="T669" t="s">
        <v>60</v>
      </c>
    </row>
    <row r="670" spans="1:20" hidden="1">
      <c r="A670" t="s">
        <v>742</v>
      </c>
      <c r="B670" s="5">
        <v>45359</v>
      </c>
      <c r="C670" s="8">
        <f>YEAR(Tabla2[[#This Row],[fecha]])</f>
        <v>2024</v>
      </c>
      <c r="D670" s="8">
        <f>MONTH(Tabla2[[#This Row],[fecha]])</f>
        <v>3</v>
      </c>
      <c r="E670" s="8" t="str">
        <f>TEXT(Tabla2[[#This Row],[fecha]], "mmmm")</f>
        <v>marzo</v>
      </c>
      <c r="F670" s="8" t="str">
        <f>"T"&amp;ROUNDUP(Tabla2[[#This Row],[mes]]/3,0)</f>
        <v>T1</v>
      </c>
      <c r="G670" t="s">
        <v>45</v>
      </c>
      <c r="H670" t="s">
        <v>46</v>
      </c>
      <c r="I670" s="8" t="str">
        <f>IF(Tabla2[[#This Row],[precio_unitario]]&lt;=30,"Económico",IF(Tabla2[[#This Row],[precio_unitario]]&lt;=58.49,"Accesible","Caro"))</f>
        <v>Económico</v>
      </c>
      <c r="J670" t="s">
        <v>44</v>
      </c>
      <c r="K670">
        <v>3</v>
      </c>
      <c r="L670" s="19">
        <v>29.81</v>
      </c>
      <c r="M670" s="19">
        <v>17.5</v>
      </c>
      <c r="N670" s="11">
        <v>0</v>
      </c>
      <c r="O670" s="17">
        <f t="shared" si="43"/>
        <v>89.429999999999993</v>
      </c>
      <c r="P670" s="17">
        <f t="shared" si="40"/>
        <v>52.5</v>
      </c>
      <c r="Q670" s="17">
        <f t="shared" si="41"/>
        <v>36.929999999999993</v>
      </c>
      <c r="R670" s="24">
        <f t="shared" si="42"/>
        <v>0.41294867494129484</v>
      </c>
      <c r="S670" t="s">
        <v>540</v>
      </c>
      <c r="T670" t="s">
        <v>64</v>
      </c>
    </row>
    <row r="671" spans="1:20" hidden="1">
      <c r="A671" t="s">
        <v>743</v>
      </c>
      <c r="B671" s="5">
        <v>45467</v>
      </c>
      <c r="C671" s="8">
        <f>YEAR(Tabla2[[#This Row],[fecha]])</f>
        <v>2024</v>
      </c>
      <c r="D671" s="8">
        <f>MONTH(Tabla2[[#This Row],[fecha]])</f>
        <v>6</v>
      </c>
      <c r="E671" s="8" t="str">
        <f>TEXT(Tabla2[[#This Row],[fecha]], "mmmm")</f>
        <v>junio</v>
      </c>
      <c r="F671" s="8" t="str">
        <f>"T"&amp;ROUNDUP(Tabla2[[#This Row],[mes]]/3,0)</f>
        <v>T2</v>
      </c>
      <c r="G671" t="s">
        <v>49</v>
      </c>
      <c r="H671" t="s">
        <v>50</v>
      </c>
      <c r="I671" s="8" t="str">
        <f>IF(Tabla2[[#This Row],[precio_unitario]]&lt;=30,"Económico",IF(Tabla2[[#This Row],[precio_unitario]]&lt;=58.49,"Accesible","Caro"))</f>
        <v>Caro</v>
      </c>
      <c r="J671" t="s">
        <v>44</v>
      </c>
      <c r="K671">
        <v>4</v>
      </c>
      <c r="L671" s="19">
        <v>59.34</v>
      </c>
      <c r="M671" s="19">
        <v>34.450000000000003</v>
      </c>
      <c r="N671" s="11">
        <v>0.16</v>
      </c>
      <c r="O671" s="17">
        <f t="shared" si="43"/>
        <v>199.38240000000002</v>
      </c>
      <c r="P671" s="17">
        <f t="shared" si="40"/>
        <v>137.80000000000001</v>
      </c>
      <c r="Q671" s="17">
        <f t="shared" si="41"/>
        <v>61.582400000000007</v>
      </c>
      <c r="R671" s="24">
        <f t="shared" si="42"/>
        <v>0.30886577752098482</v>
      </c>
      <c r="S671" t="s">
        <v>83</v>
      </c>
      <c r="T671" t="s">
        <v>64</v>
      </c>
    </row>
    <row r="672" spans="1:20" hidden="1">
      <c r="A672" t="s">
        <v>744</v>
      </c>
      <c r="B672" s="5">
        <v>45346</v>
      </c>
      <c r="C672" s="8">
        <f>YEAR(Tabla2[[#This Row],[fecha]])</f>
        <v>2024</v>
      </c>
      <c r="D672" s="8">
        <f>MONTH(Tabla2[[#This Row],[fecha]])</f>
        <v>2</v>
      </c>
      <c r="E672" s="8" t="str">
        <f>TEXT(Tabla2[[#This Row],[fecha]], "mmmm")</f>
        <v>febrero</v>
      </c>
      <c r="F672" s="8" t="str">
        <f>"T"&amp;ROUNDUP(Tabla2[[#This Row],[mes]]/3,0)</f>
        <v>T1</v>
      </c>
      <c r="G672" t="s">
        <v>42</v>
      </c>
      <c r="H672" t="s">
        <v>43</v>
      </c>
      <c r="I672" s="8" t="str">
        <f>IF(Tabla2[[#This Row],[precio_unitario]]&lt;=30,"Económico",IF(Tabla2[[#This Row],[precio_unitario]]&lt;=58.49,"Accesible","Caro"))</f>
        <v>Accesible</v>
      </c>
      <c r="J672" t="s">
        <v>44</v>
      </c>
      <c r="K672">
        <v>3</v>
      </c>
      <c r="L672" s="19">
        <v>46.46</v>
      </c>
      <c r="M672" s="19">
        <v>23.59</v>
      </c>
      <c r="N672" s="11">
        <v>0</v>
      </c>
      <c r="O672" s="17">
        <f t="shared" si="43"/>
        <v>139.38</v>
      </c>
      <c r="P672" s="17">
        <f t="shared" si="40"/>
        <v>70.77</v>
      </c>
      <c r="Q672" s="17">
        <f t="shared" si="41"/>
        <v>68.61</v>
      </c>
      <c r="R672" s="24">
        <f t="shared" si="42"/>
        <v>0.49225139905294879</v>
      </c>
      <c r="S672" t="s">
        <v>83</v>
      </c>
      <c r="T672" t="s">
        <v>64</v>
      </c>
    </row>
    <row r="673" spans="1:20" hidden="1">
      <c r="A673" t="s">
        <v>745</v>
      </c>
      <c r="B673" s="5">
        <v>45472</v>
      </c>
      <c r="C673" s="8">
        <f>YEAR(Tabla2[[#This Row],[fecha]])</f>
        <v>2024</v>
      </c>
      <c r="D673" s="8">
        <f>MONTH(Tabla2[[#This Row],[fecha]])</f>
        <v>6</v>
      </c>
      <c r="E673" s="8" t="str">
        <f>TEXT(Tabla2[[#This Row],[fecha]], "mmmm")</f>
        <v>junio</v>
      </c>
      <c r="F673" s="8" t="str">
        <f>"T"&amp;ROUNDUP(Tabla2[[#This Row],[mes]]/3,0)</f>
        <v>T2</v>
      </c>
      <c r="G673" t="s">
        <v>45</v>
      </c>
      <c r="H673" t="s">
        <v>46</v>
      </c>
      <c r="I673" s="8" t="str">
        <f>IF(Tabla2[[#This Row],[precio_unitario]]&lt;=30,"Económico",IF(Tabla2[[#This Row],[precio_unitario]]&lt;=58.49,"Accesible","Caro"))</f>
        <v>Accesible</v>
      </c>
      <c r="J673" t="s">
        <v>44</v>
      </c>
      <c r="K673">
        <v>2</v>
      </c>
      <c r="L673" s="19">
        <v>33.06</v>
      </c>
      <c r="M673" s="19">
        <v>17.13</v>
      </c>
      <c r="N673" s="11">
        <v>0</v>
      </c>
      <c r="O673" s="17">
        <f t="shared" si="43"/>
        <v>66.12</v>
      </c>
      <c r="P673" s="17">
        <f t="shared" si="40"/>
        <v>34.26</v>
      </c>
      <c r="Q673" s="17">
        <f t="shared" si="41"/>
        <v>31.860000000000007</v>
      </c>
      <c r="R673" s="24">
        <f t="shared" si="42"/>
        <v>0.48185117967332131</v>
      </c>
      <c r="S673" t="s">
        <v>63</v>
      </c>
      <c r="T673" t="s">
        <v>60</v>
      </c>
    </row>
    <row r="674" spans="1:20" hidden="1">
      <c r="A674" t="s">
        <v>746</v>
      </c>
      <c r="B674" s="5">
        <v>45497</v>
      </c>
      <c r="C674" s="8">
        <f>YEAR(Tabla2[[#This Row],[fecha]])</f>
        <v>2024</v>
      </c>
      <c r="D674" s="8">
        <f>MONTH(Tabla2[[#This Row],[fecha]])</f>
        <v>7</v>
      </c>
      <c r="E674" s="8" t="str">
        <f>TEXT(Tabla2[[#This Row],[fecha]], "mmmm")</f>
        <v>julio</v>
      </c>
      <c r="F674" s="8" t="str">
        <f>"T"&amp;ROUNDUP(Tabla2[[#This Row],[mes]]/3,0)</f>
        <v>T3</v>
      </c>
      <c r="G674" t="s">
        <v>47</v>
      </c>
      <c r="H674" t="s">
        <v>48</v>
      </c>
      <c r="I674" s="8" t="str">
        <f>IF(Tabla2[[#This Row],[precio_unitario]]&lt;=30,"Económico",IF(Tabla2[[#This Row],[precio_unitario]]&lt;=58.49,"Accesible","Caro"))</f>
        <v>Accesible</v>
      </c>
      <c r="J674" t="s">
        <v>44</v>
      </c>
      <c r="K674">
        <v>1</v>
      </c>
      <c r="L674" s="19">
        <v>57.37</v>
      </c>
      <c r="M674" s="19">
        <v>33.76</v>
      </c>
      <c r="N674" s="11">
        <v>0</v>
      </c>
      <c r="O674" s="17">
        <f t="shared" si="43"/>
        <v>57.37</v>
      </c>
      <c r="P674" s="17">
        <f t="shared" si="40"/>
        <v>33.76</v>
      </c>
      <c r="Q674" s="17">
        <f t="shared" si="41"/>
        <v>23.61</v>
      </c>
      <c r="R674" s="24">
        <f t="shared" si="42"/>
        <v>0.41153913195049679</v>
      </c>
      <c r="S674" t="s">
        <v>540</v>
      </c>
      <c r="T674" t="s">
        <v>64</v>
      </c>
    </row>
    <row r="675" spans="1:20">
      <c r="A675" t="s">
        <v>747</v>
      </c>
      <c r="B675" s="5">
        <v>45768</v>
      </c>
      <c r="C675" s="8">
        <f>YEAR(Tabla2[[#This Row],[fecha]])</f>
        <v>2025</v>
      </c>
      <c r="D675" s="8">
        <f>MONTH(Tabla2[[#This Row],[fecha]])</f>
        <v>4</v>
      </c>
      <c r="E675" s="8" t="str">
        <f>TEXT(Tabla2[[#This Row],[fecha]], "mmmm")</f>
        <v>abril</v>
      </c>
      <c r="F675" s="8" t="str">
        <f>"T"&amp;ROUNDUP(Tabla2[[#This Row],[mes]]/3,0)</f>
        <v>T2</v>
      </c>
      <c r="G675" t="s">
        <v>38</v>
      </c>
      <c r="H675" t="s">
        <v>39</v>
      </c>
      <c r="I675" s="8" t="str">
        <f>IF(Tabla2[[#This Row],[precio_unitario]]&lt;=30,"Económico",IF(Tabla2[[#This Row],[precio_unitario]]&lt;=58.49,"Accesible","Caro"))</f>
        <v>Caro</v>
      </c>
      <c r="J675" t="s">
        <v>35</v>
      </c>
      <c r="K675">
        <v>3</v>
      </c>
      <c r="L675" s="19">
        <v>80.25</v>
      </c>
      <c r="M675" s="19">
        <v>41.06</v>
      </c>
      <c r="N675" s="11">
        <v>0</v>
      </c>
      <c r="O675" s="17">
        <f t="shared" si="43"/>
        <v>240.75</v>
      </c>
      <c r="P675" s="17">
        <f t="shared" si="40"/>
        <v>123.18</v>
      </c>
      <c r="Q675" s="17">
        <f t="shared" si="41"/>
        <v>117.57</v>
      </c>
      <c r="R675" s="24">
        <f t="shared" si="42"/>
        <v>0.48834890965732086</v>
      </c>
      <c r="S675" t="s">
        <v>67</v>
      </c>
      <c r="T675" t="s">
        <v>64</v>
      </c>
    </row>
    <row r="676" spans="1:20" hidden="1">
      <c r="A676" t="s">
        <v>748</v>
      </c>
      <c r="B676" s="5">
        <v>45900</v>
      </c>
      <c r="C676" s="8">
        <f>YEAR(Tabla2[[#This Row],[fecha]])</f>
        <v>2025</v>
      </c>
      <c r="D676" s="8">
        <f>MONTH(Tabla2[[#This Row],[fecha]])</f>
        <v>8</v>
      </c>
      <c r="E676" s="8" t="str">
        <f>TEXT(Tabla2[[#This Row],[fecha]], "mmmm")</f>
        <v>agosto</v>
      </c>
      <c r="F676" s="8" t="str">
        <f>"T"&amp;ROUNDUP(Tabla2[[#This Row],[mes]]/3,0)</f>
        <v>T3</v>
      </c>
      <c r="G676" t="s">
        <v>15</v>
      </c>
      <c r="H676" t="s">
        <v>16</v>
      </c>
      <c r="I676" s="8" t="str">
        <f>IF(Tabla2[[#This Row],[precio_unitario]]&lt;=30,"Económico",IF(Tabla2[[#This Row],[precio_unitario]]&lt;=58.49,"Accesible","Caro"))</f>
        <v>Caro</v>
      </c>
      <c r="J676" t="s">
        <v>17</v>
      </c>
      <c r="K676">
        <v>2</v>
      </c>
      <c r="L676" s="19">
        <v>61.92</v>
      </c>
      <c r="M676" s="19">
        <v>40.18</v>
      </c>
      <c r="N676" s="11">
        <v>0</v>
      </c>
      <c r="O676" s="17">
        <f t="shared" si="43"/>
        <v>123.84</v>
      </c>
      <c r="P676" s="17">
        <f t="shared" si="40"/>
        <v>80.36</v>
      </c>
      <c r="Q676" s="17">
        <f t="shared" si="41"/>
        <v>43.480000000000004</v>
      </c>
      <c r="R676" s="24">
        <f t="shared" si="42"/>
        <v>0.35109819121447033</v>
      </c>
      <c r="S676" t="s">
        <v>83</v>
      </c>
      <c r="T676" t="s">
        <v>64</v>
      </c>
    </row>
    <row r="677" spans="1:20" hidden="1">
      <c r="A677" t="s">
        <v>749</v>
      </c>
      <c r="B677" s="5">
        <v>45324</v>
      </c>
      <c r="C677" s="8">
        <f>YEAR(Tabla2[[#This Row],[fecha]])</f>
        <v>2024</v>
      </c>
      <c r="D677" s="8">
        <f>MONTH(Tabla2[[#This Row],[fecha]])</f>
        <v>2</v>
      </c>
      <c r="E677" s="8" t="str">
        <f>TEXT(Tabla2[[#This Row],[fecha]], "mmmm")</f>
        <v>febrero</v>
      </c>
      <c r="F677" s="8" t="str">
        <f>"T"&amp;ROUNDUP(Tabla2[[#This Row],[mes]]/3,0)</f>
        <v>T1</v>
      </c>
      <c r="G677" t="s">
        <v>27</v>
      </c>
      <c r="H677" t="s">
        <v>28</v>
      </c>
      <c r="I677" s="8" t="str">
        <f>IF(Tabla2[[#This Row],[precio_unitario]]&lt;=30,"Económico",IF(Tabla2[[#This Row],[precio_unitario]]&lt;=58.49,"Accesible","Caro"))</f>
        <v>Económico</v>
      </c>
      <c r="J677" t="s">
        <v>26</v>
      </c>
      <c r="K677">
        <v>1</v>
      </c>
      <c r="L677" s="19">
        <v>16.22</v>
      </c>
      <c r="M677" s="19">
        <v>11.96</v>
      </c>
      <c r="N677" s="11">
        <v>0</v>
      </c>
      <c r="O677" s="17">
        <f t="shared" si="43"/>
        <v>16.22</v>
      </c>
      <c r="P677" s="17">
        <f t="shared" si="40"/>
        <v>11.96</v>
      </c>
      <c r="Q677" s="17">
        <f t="shared" si="41"/>
        <v>4.259999999999998</v>
      </c>
      <c r="R677" s="24">
        <f t="shared" si="42"/>
        <v>0.26263871763255231</v>
      </c>
      <c r="S677" t="s">
        <v>540</v>
      </c>
      <c r="T677" t="s">
        <v>60</v>
      </c>
    </row>
    <row r="678" spans="1:20" hidden="1">
      <c r="A678" t="s">
        <v>750</v>
      </c>
      <c r="B678" s="5">
        <v>45406</v>
      </c>
      <c r="C678" s="8">
        <f>YEAR(Tabla2[[#This Row],[fecha]])</f>
        <v>2024</v>
      </c>
      <c r="D678" s="8">
        <f>MONTH(Tabla2[[#This Row],[fecha]])</f>
        <v>4</v>
      </c>
      <c r="E678" s="8" t="str">
        <f>TEXT(Tabla2[[#This Row],[fecha]], "mmmm")</f>
        <v>abril</v>
      </c>
      <c r="F678" s="8" t="str">
        <f>"T"&amp;ROUNDUP(Tabla2[[#This Row],[mes]]/3,0)</f>
        <v>T2</v>
      </c>
      <c r="G678" t="s">
        <v>15</v>
      </c>
      <c r="H678" t="s">
        <v>16</v>
      </c>
      <c r="I678" s="8" t="str">
        <f>IF(Tabla2[[#This Row],[precio_unitario]]&lt;=30,"Económico",IF(Tabla2[[#This Row],[precio_unitario]]&lt;=58.49,"Accesible","Caro"))</f>
        <v>Caro</v>
      </c>
      <c r="J678" t="s">
        <v>17</v>
      </c>
      <c r="K678">
        <v>1</v>
      </c>
      <c r="L678" s="19">
        <v>59.7</v>
      </c>
      <c r="M678" s="19">
        <v>41.53</v>
      </c>
      <c r="N678" s="11">
        <v>0</v>
      </c>
      <c r="O678" s="17">
        <f t="shared" si="43"/>
        <v>59.7</v>
      </c>
      <c r="P678" s="17">
        <f t="shared" si="40"/>
        <v>41.53</v>
      </c>
      <c r="Q678" s="17">
        <f t="shared" si="41"/>
        <v>18.170000000000002</v>
      </c>
      <c r="R678" s="24">
        <f t="shared" si="42"/>
        <v>0.30435510887772194</v>
      </c>
      <c r="S678" t="s">
        <v>67</v>
      </c>
      <c r="T678" t="s">
        <v>64</v>
      </c>
    </row>
    <row r="679" spans="1:20" hidden="1">
      <c r="A679" t="s">
        <v>751</v>
      </c>
      <c r="B679" s="5">
        <v>45584</v>
      </c>
      <c r="C679" s="8">
        <f>YEAR(Tabla2[[#This Row],[fecha]])</f>
        <v>2024</v>
      </c>
      <c r="D679" s="8">
        <f>MONTH(Tabla2[[#This Row],[fecha]])</f>
        <v>10</v>
      </c>
      <c r="E679" s="8" t="str">
        <f>TEXT(Tabla2[[#This Row],[fecha]], "mmmm")</f>
        <v>octubre</v>
      </c>
      <c r="F679" s="8" t="str">
        <f>"T"&amp;ROUNDUP(Tabla2[[#This Row],[mes]]/3,0)</f>
        <v>T4</v>
      </c>
      <c r="G679" t="s">
        <v>38</v>
      </c>
      <c r="H679" t="s">
        <v>39</v>
      </c>
      <c r="I679" s="8" t="str">
        <f>IF(Tabla2[[#This Row],[precio_unitario]]&lt;=30,"Económico",IF(Tabla2[[#This Row],[precio_unitario]]&lt;=58.49,"Accesible","Caro"))</f>
        <v>Caro</v>
      </c>
      <c r="J679" t="s">
        <v>35</v>
      </c>
      <c r="K679">
        <v>5</v>
      </c>
      <c r="L679" s="19">
        <v>75.27</v>
      </c>
      <c r="M679" s="19">
        <v>44.8</v>
      </c>
      <c r="N679" s="13">
        <v>0</v>
      </c>
      <c r="O679" s="17">
        <f t="shared" si="43"/>
        <v>376.34999999999997</v>
      </c>
      <c r="P679" s="17">
        <f t="shared" si="40"/>
        <v>224</v>
      </c>
      <c r="Q679" s="17">
        <f t="shared" si="41"/>
        <v>152.34999999999997</v>
      </c>
      <c r="R679" s="24">
        <f t="shared" si="42"/>
        <v>0.40480935299588144</v>
      </c>
      <c r="S679" t="s">
        <v>540</v>
      </c>
      <c r="T679" t="s">
        <v>64</v>
      </c>
    </row>
    <row r="680" spans="1:20" hidden="1">
      <c r="A680" t="s">
        <v>752</v>
      </c>
      <c r="B680" s="5">
        <v>45617</v>
      </c>
      <c r="C680" s="8">
        <f>YEAR(Tabla2[[#This Row],[fecha]])</f>
        <v>2024</v>
      </c>
      <c r="D680" s="8">
        <f>MONTH(Tabla2[[#This Row],[fecha]])</f>
        <v>11</v>
      </c>
      <c r="E680" s="8" t="str">
        <f>TEXT(Tabla2[[#This Row],[fecha]], "mmmm")</f>
        <v>noviembre</v>
      </c>
      <c r="F680" s="8" t="str">
        <f>"T"&amp;ROUNDUP(Tabla2[[#This Row],[mes]]/3,0)</f>
        <v>T4</v>
      </c>
      <c r="G680" t="s">
        <v>49</v>
      </c>
      <c r="H680" t="s">
        <v>50</v>
      </c>
      <c r="I680" s="8" t="str">
        <f>IF(Tabla2[[#This Row],[precio_unitario]]&lt;=30,"Económico",IF(Tabla2[[#This Row],[precio_unitario]]&lt;=58.49,"Accesible","Caro"))</f>
        <v>Caro</v>
      </c>
      <c r="J680" t="s">
        <v>44</v>
      </c>
      <c r="K680">
        <v>4</v>
      </c>
      <c r="L680" s="19">
        <v>63.23</v>
      </c>
      <c r="M680" s="19">
        <v>34.04</v>
      </c>
      <c r="N680" s="11">
        <v>0.21</v>
      </c>
      <c r="O680" s="17">
        <f t="shared" si="43"/>
        <v>199.80680000000001</v>
      </c>
      <c r="P680" s="17">
        <f t="shared" si="40"/>
        <v>136.16</v>
      </c>
      <c r="Q680" s="17">
        <f t="shared" si="41"/>
        <v>63.646800000000013</v>
      </c>
      <c r="R680" s="24">
        <f t="shared" si="42"/>
        <v>0.31854171129310921</v>
      </c>
      <c r="S680" t="s">
        <v>67</v>
      </c>
      <c r="T680" t="s">
        <v>64</v>
      </c>
    </row>
    <row r="681" spans="1:20" hidden="1">
      <c r="A681" t="s">
        <v>753</v>
      </c>
      <c r="B681" s="5">
        <v>45692</v>
      </c>
      <c r="C681" s="8">
        <f>YEAR(Tabla2[[#This Row],[fecha]])</f>
        <v>2025</v>
      </c>
      <c r="D681" s="8">
        <f>MONTH(Tabla2[[#This Row],[fecha]])</f>
        <v>2</v>
      </c>
      <c r="E681" s="8" t="str">
        <f>TEXT(Tabla2[[#This Row],[fecha]], "mmmm")</f>
        <v>febrero</v>
      </c>
      <c r="F681" s="8" t="str">
        <f>"T"&amp;ROUNDUP(Tabla2[[#This Row],[mes]]/3,0)</f>
        <v>T1</v>
      </c>
      <c r="G681" t="s">
        <v>38</v>
      </c>
      <c r="H681" t="s">
        <v>39</v>
      </c>
      <c r="I681" s="8" t="str">
        <f>IF(Tabla2[[#This Row],[precio_unitario]]&lt;=30,"Económico",IF(Tabla2[[#This Row],[precio_unitario]]&lt;=58.49,"Accesible","Caro"))</f>
        <v>Caro</v>
      </c>
      <c r="J681" t="s">
        <v>35</v>
      </c>
      <c r="K681">
        <v>3</v>
      </c>
      <c r="L681" s="19">
        <v>75.13</v>
      </c>
      <c r="M681" s="19">
        <v>44.87</v>
      </c>
      <c r="N681" s="11">
        <v>0</v>
      </c>
      <c r="O681" s="17">
        <f t="shared" si="43"/>
        <v>225.39</v>
      </c>
      <c r="P681" s="17">
        <f t="shared" si="40"/>
        <v>134.60999999999999</v>
      </c>
      <c r="Q681" s="17">
        <f t="shared" si="41"/>
        <v>90.78</v>
      </c>
      <c r="R681" s="24">
        <f t="shared" si="42"/>
        <v>0.40276853454013045</v>
      </c>
      <c r="S681" t="s">
        <v>83</v>
      </c>
      <c r="T681" t="s">
        <v>60</v>
      </c>
    </row>
    <row r="682" spans="1:20" hidden="1">
      <c r="A682" t="s">
        <v>754</v>
      </c>
      <c r="B682" s="5">
        <v>45309</v>
      </c>
      <c r="C682" s="8">
        <f>YEAR(Tabla2[[#This Row],[fecha]])</f>
        <v>2024</v>
      </c>
      <c r="D682" s="8">
        <f>MONTH(Tabla2[[#This Row],[fecha]])</f>
        <v>1</v>
      </c>
      <c r="E682" s="8" t="str">
        <f>TEXT(Tabla2[[#This Row],[fecha]], "mmmm")</f>
        <v>enero</v>
      </c>
      <c r="F682" s="8" t="str">
        <f>"T"&amp;ROUNDUP(Tabla2[[#This Row],[mes]]/3,0)</f>
        <v>T1</v>
      </c>
      <c r="G682" t="s">
        <v>11</v>
      </c>
      <c r="H682" t="s">
        <v>12</v>
      </c>
      <c r="I682" s="8" t="str">
        <f>IF(Tabla2[[#This Row],[precio_unitario]]&lt;=30,"Económico",IF(Tabla2[[#This Row],[precio_unitario]]&lt;=58.49,"Accesible","Caro"))</f>
        <v>Caro</v>
      </c>
      <c r="J682" t="s">
        <v>8</v>
      </c>
      <c r="K682">
        <v>1</v>
      </c>
      <c r="L682" s="20">
        <f>INDEX(Tabla3[precio_venta_recomendado], MATCH(Tabla2[[#This Row],[id_producto]], Tabla3[id_producto], 0))</f>
        <v>177.72</v>
      </c>
      <c r="M682" s="19">
        <v>93.23</v>
      </c>
      <c r="N682" s="11">
        <v>0</v>
      </c>
      <c r="O682" s="17">
        <f t="shared" si="43"/>
        <v>177.72</v>
      </c>
      <c r="P682" s="17">
        <f t="shared" si="40"/>
        <v>93.23</v>
      </c>
      <c r="Q682" s="17">
        <f t="shared" si="41"/>
        <v>84.49</v>
      </c>
      <c r="R682" s="24">
        <f t="shared" si="42"/>
        <v>0.47541075849651132</v>
      </c>
      <c r="S682" t="s">
        <v>83</v>
      </c>
      <c r="T682" t="s">
        <v>60</v>
      </c>
    </row>
    <row r="683" spans="1:20">
      <c r="A683" t="s">
        <v>755</v>
      </c>
      <c r="B683" s="5">
        <v>45785</v>
      </c>
      <c r="C683" s="8">
        <f>YEAR(Tabla2[[#This Row],[fecha]])</f>
        <v>2025</v>
      </c>
      <c r="D683" s="8">
        <f>MONTH(Tabla2[[#This Row],[fecha]])</f>
        <v>5</v>
      </c>
      <c r="E683" s="8" t="str">
        <f>TEXT(Tabla2[[#This Row],[fecha]], "mmmm")</f>
        <v>mayo</v>
      </c>
      <c r="F683" s="8" t="str">
        <f>"T"&amp;ROUNDUP(Tabla2[[#This Row],[mes]]/3,0)</f>
        <v>T2</v>
      </c>
      <c r="G683" t="s">
        <v>15</v>
      </c>
      <c r="H683" t="s">
        <v>16</v>
      </c>
      <c r="I683" s="8" t="str">
        <f>IF(Tabla2[[#This Row],[precio_unitario]]&lt;=30,"Económico",IF(Tabla2[[#This Row],[precio_unitario]]&lt;=58.49,"Accesible","Caro"))</f>
        <v>Caro</v>
      </c>
      <c r="J683" t="s">
        <v>17</v>
      </c>
      <c r="K683">
        <v>8</v>
      </c>
      <c r="L683" s="19">
        <v>63.69</v>
      </c>
      <c r="M683" s="19">
        <v>41.56</v>
      </c>
      <c r="N683" s="11">
        <v>0.23</v>
      </c>
      <c r="O683" s="17">
        <f t="shared" si="43"/>
        <v>392.3304</v>
      </c>
      <c r="P683" s="17">
        <f t="shared" si="40"/>
        <v>332.48</v>
      </c>
      <c r="Q683" s="17">
        <f t="shared" si="41"/>
        <v>59.850399999999979</v>
      </c>
      <c r="R683" s="24">
        <f t="shared" si="42"/>
        <v>0.15255101312567157</v>
      </c>
      <c r="S683" t="s">
        <v>67</v>
      </c>
      <c r="T683" t="s">
        <v>60</v>
      </c>
    </row>
    <row r="684" spans="1:20">
      <c r="A684" t="s">
        <v>756</v>
      </c>
      <c r="B684" s="5">
        <v>45760</v>
      </c>
      <c r="C684" s="8">
        <f>YEAR(Tabla2[[#This Row],[fecha]])</f>
        <v>2025</v>
      </c>
      <c r="D684" s="8">
        <f>MONTH(Tabla2[[#This Row],[fecha]])</f>
        <v>4</v>
      </c>
      <c r="E684" s="8" t="str">
        <f>TEXT(Tabla2[[#This Row],[fecha]], "mmmm")</f>
        <v>abril</v>
      </c>
      <c r="F684" s="8" t="str">
        <f>"T"&amp;ROUNDUP(Tabla2[[#This Row],[mes]]/3,0)</f>
        <v>T2</v>
      </c>
      <c r="G684" t="s">
        <v>47</v>
      </c>
      <c r="H684" t="s">
        <v>48</v>
      </c>
      <c r="I684" s="8" t="str">
        <f>IF(Tabla2[[#This Row],[precio_unitario]]&lt;=30,"Económico",IF(Tabla2[[#This Row],[precio_unitario]]&lt;=58.49,"Accesible","Caro"))</f>
        <v>Accesible</v>
      </c>
      <c r="J684" t="s">
        <v>44</v>
      </c>
      <c r="K684">
        <v>1</v>
      </c>
      <c r="L684" s="19">
        <v>57.83</v>
      </c>
      <c r="M684" s="19">
        <v>34.270000000000003</v>
      </c>
      <c r="N684" s="11">
        <v>0</v>
      </c>
      <c r="O684" s="17">
        <f t="shared" si="43"/>
        <v>57.83</v>
      </c>
      <c r="P684" s="17">
        <f t="shared" si="40"/>
        <v>34.270000000000003</v>
      </c>
      <c r="Q684" s="17">
        <f t="shared" si="41"/>
        <v>23.559999999999995</v>
      </c>
      <c r="R684" s="24">
        <f t="shared" si="42"/>
        <v>0.40740100293965065</v>
      </c>
      <c r="S684" t="s">
        <v>67</v>
      </c>
      <c r="T684" t="s">
        <v>64</v>
      </c>
    </row>
    <row r="685" spans="1:20" hidden="1">
      <c r="A685" t="s">
        <v>757</v>
      </c>
      <c r="B685" s="5">
        <v>45415</v>
      </c>
      <c r="C685" s="8">
        <f>YEAR(Tabla2[[#This Row],[fecha]])</f>
        <v>2024</v>
      </c>
      <c r="D685" s="8">
        <f>MONTH(Tabla2[[#This Row],[fecha]])</f>
        <v>5</v>
      </c>
      <c r="E685" s="8" t="str">
        <f>TEXT(Tabla2[[#This Row],[fecha]], "mmmm")</f>
        <v>mayo</v>
      </c>
      <c r="F685" s="8" t="str">
        <f>"T"&amp;ROUNDUP(Tabla2[[#This Row],[mes]]/3,0)</f>
        <v>T2</v>
      </c>
      <c r="G685" t="s">
        <v>13</v>
      </c>
      <c r="H685" t="s">
        <v>14</v>
      </c>
      <c r="I685" s="8" t="str">
        <f>IF(Tabla2[[#This Row],[precio_unitario]]&lt;=30,"Económico",IF(Tabla2[[#This Row],[precio_unitario]]&lt;=58.49,"Accesible","Caro"))</f>
        <v>Caro</v>
      </c>
      <c r="J685" t="s">
        <v>8</v>
      </c>
      <c r="K685">
        <v>2</v>
      </c>
      <c r="L685" s="19">
        <v>151.01</v>
      </c>
      <c r="M685" s="19">
        <v>114.07</v>
      </c>
      <c r="N685" s="11">
        <v>0</v>
      </c>
      <c r="O685" s="17">
        <f t="shared" si="43"/>
        <v>302.02</v>
      </c>
      <c r="P685" s="17">
        <f t="shared" si="40"/>
        <v>228.14</v>
      </c>
      <c r="Q685" s="17">
        <f t="shared" si="41"/>
        <v>73.88</v>
      </c>
      <c r="R685" s="24">
        <f t="shared" si="42"/>
        <v>0.24461956161843587</v>
      </c>
      <c r="S685" t="s">
        <v>83</v>
      </c>
      <c r="T685" t="s">
        <v>60</v>
      </c>
    </row>
    <row r="686" spans="1:20" hidden="1">
      <c r="A686" t="s">
        <v>758</v>
      </c>
      <c r="B686" s="5">
        <v>45678</v>
      </c>
      <c r="C686" s="8">
        <f>YEAR(Tabla2[[#This Row],[fecha]])</f>
        <v>2025</v>
      </c>
      <c r="D686" s="8">
        <f>MONTH(Tabla2[[#This Row],[fecha]])</f>
        <v>1</v>
      </c>
      <c r="E686" s="8" t="str">
        <f>TEXT(Tabla2[[#This Row],[fecha]], "mmmm")</f>
        <v>enero</v>
      </c>
      <c r="F686" s="8" t="str">
        <f>"T"&amp;ROUNDUP(Tabla2[[#This Row],[mes]]/3,0)</f>
        <v>T1</v>
      </c>
      <c r="G686" t="s">
        <v>29</v>
      </c>
      <c r="H686" t="s">
        <v>30</v>
      </c>
      <c r="I686" s="8" t="str">
        <f>IF(Tabla2[[#This Row],[precio_unitario]]&lt;=30,"Económico",IF(Tabla2[[#This Row],[precio_unitario]]&lt;=58.49,"Accesible","Caro"))</f>
        <v>Económico</v>
      </c>
      <c r="J686" t="s">
        <v>26</v>
      </c>
      <c r="K686">
        <v>5</v>
      </c>
      <c r="L686" s="19">
        <v>22.49</v>
      </c>
      <c r="M686" s="19">
        <v>11.93</v>
      </c>
      <c r="N686" s="13">
        <v>0</v>
      </c>
      <c r="O686" s="17">
        <f t="shared" si="43"/>
        <v>112.44999999999999</v>
      </c>
      <c r="P686" s="17">
        <f t="shared" si="40"/>
        <v>59.65</v>
      </c>
      <c r="Q686" s="17">
        <f t="shared" si="41"/>
        <v>52.79999999999999</v>
      </c>
      <c r="R686" s="24">
        <f t="shared" si="42"/>
        <v>0.46954201867496659</v>
      </c>
      <c r="S686" t="s">
        <v>96</v>
      </c>
      <c r="T686" t="s">
        <v>64</v>
      </c>
    </row>
    <row r="687" spans="1:20" hidden="1">
      <c r="A687" t="s">
        <v>759</v>
      </c>
      <c r="B687" s="5">
        <v>45391</v>
      </c>
      <c r="C687" s="8">
        <f>YEAR(Tabla2[[#This Row],[fecha]])</f>
        <v>2024</v>
      </c>
      <c r="D687" s="8">
        <f>MONTH(Tabla2[[#This Row],[fecha]])</f>
        <v>4</v>
      </c>
      <c r="E687" s="8" t="str">
        <f>TEXT(Tabla2[[#This Row],[fecha]], "mmmm")</f>
        <v>abril</v>
      </c>
      <c r="F687" s="8" t="str">
        <f>"T"&amp;ROUNDUP(Tabla2[[#This Row],[mes]]/3,0)</f>
        <v>T2</v>
      </c>
      <c r="G687" t="s">
        <v>47</v>
      </c>
      <c r="H687" t="s">
        <v>48</v>
      </c>
      <c r="I687" s="8" t="str">
        <f>IF(Tabla2[[#This Row],[precio_unitario]]&lt;=30,"Económico",IF(Tabla2[[#This Row],[precio_unitario]]&lt;=58.49,"Accesible","Caro"))</f>
        <v>Caro</v>
      </c>
      <c r="J687" t="s">
        <v>44</v>
      </c>
      <c r="K687">
        <v>1</v>
      </c>
      <c r="L687" s="19">
        <v>62.03</v>
      </c>
      <c r="M687" s="19">
        <v>33.01</v>
      </c>
      <c r="N687" s="11">
        <v>0.1</v>
      </c>
      <c r="O687" s="17">
        <f t="shared" si="43"/>
        <v>55.827000000000005</v>
      </c>
      <c r="P687" s="17">
        <f t="shared" si="40"/>
        <v>33.01</v>
      </c>
      <c r="Q687" s="17">
        <f t="shared" si="41"/>
        <v>22.817000000000007</v>
      </c>
      <c r="R687" s="24">
        <f t="shared" si="42"/>
        <v>0.40870904759345844</v>
      </c>
      <c r="S687" t="s">
        <v>67</v>
      </c>
      <c r="T687" t="s">
        <v>64</v>
      </c>
    </row>
    <row r="688" spans="1:20">
      <c r="A688" t="s">
        <v>760</v>
      </c>
      <c r="B688" s="5">
        <v>45752</v>
      </c>
      <c r="C688" s="8">
        <f>YEAR(Tabla2[[#This Row],[fecha]])</f>
        <v>2025</v>
      </c>
      <c r="D688" s="8">
        <f>MONTH(Tabla2[[#This Row],[fecha]])</f>
        <v>4</v>
      </c>
      <c r="E688" s="8" t="str">
        <f>TEXT(Tabla2[[#This Row],[fecha]], "mmmm")</f>
        <v>abril</v>
      </c>
      <c r="F688" s="8" t="str">
        <f>"T"&amp;ROUNDUP(Tabla2[[#This Row],[mes]]/3,0)</f>
        <v>T2</v>
      </c>
      <c r="G688" t="s">
        <v>40</v>
      </c>
      <c r="H688" t="s">
        <v>41</v>
      </c>
      <c r="I688" s="8" t="str">
        <f>IF(Tabla2[[#This Row],[precio_unitario]]&lt;=30,"Económico",IF(Tabla2[[#This Row],[precio_unitario]]&lt;=58.49,"Accesible","Caro"))</f>
        <v>Caro</v>
      </c>
      <c r="J688" t="s">
        <v>35</v>
      </c>
      <c r="K688">
        <v>4</v>
      </c>
      <c r="L688" s="19">
        <v>79.14</v>
      </c>
      <c r="M688" s="19">
        <v>41.53</v>
      </c>
      <c r="N688" s="13">
        <v>0</v>
      </c>
      <c r="O688" s="17">
        <f t="shared" si="43"/>
        <v>316.56</v>
      </c>
      <c r="P688" s="17">
        <f t="shared" si="40"/>
        <v>166.12</v>
      </c>
      <c r="Q688" s="17">
        <f t="shared" si="41"/>
        <v>150.44</v>
      </c>
      <c r="R688" s="24">
        <f t="shared" si="42"/>
        <v>0.47523376295173109</v>
      </c>
      <c r="S688" t="s">
        <v>67</v>
      </c>
      <c r="T688" t="s">
        <v>60</v>
      </c>
    </row>
    <row r="689" spans="1:20" hidden="1">
      <c r="A689" t="s">
        <v>761</v>
      </c>
      <c r="B689" s="5">
        <v>45630</v>
      </c>
      <c r="C689" s="8">
        <f>YEAR(Tabla2[[#This Row],[fecha]])</f>
        <v>2024</v>
      </c>
      <c r="D689" s="8">
        <f>MONTH(Tabla2[[#This Row],[fecha]])</f>
        <v>12</v>
      </c>
      <c r="E689" s="8" t="str">
        <f>TEXT(Tabla2[[#This Row],[fecha]], "mmmm")</f>
        <v>diciembre</v>
      </c>
      <c r="F689" s="8" t="str">
        <f>"T"&amp;ROUNDUP(Tabla2[[#This Row],[mes]]/3,0)</f>
        <v>T4</v>
      </c>
      <c r="G689" t="s">
        <v>9</v>
      </c>
      <c r="H689" t="s">
        <v>10</v>
      </c>
      <c r="I689" s="8" t="str">
        <f>IF(Tabla2[[#This Row],[precio_unitario]]&lt;=30,"Económico",IF(Tabla2[[#This Row],[precio_unitario]]&lt;=58.49,"Accesible","Caro"))</f>
        <v>Caro</v>
      </c>
      <c r="J689" t="s">
        <v>8</v>
      </c>
      <c r="K689">
        <v>5</v>
      </c>
      <c r="L689" s="19">
        <v>77.84</v>
      </c>
      <c r="M689" s="19">
        <v>46.91</v>
      </c>
      <c r="N689" s="11">
        <v>0</v>
      </c>
      <c r="O689" s="17">
        <f t="shared" si="43"/>
        <v>389.20000000000005</v>
      </c>
      <c r="P689" s="17">
        <f t="shared" si="40"/>
        <v>234.54999999999998</v>
      </c>
      <c r="Q689" s="17">
        <f t="shared" si="41"/>
        <v>154.65000000000006</v>
      </c>
      <c r="R689" s="24">
        <f t="shared" si="42"/>
        <v>0.39735354573484083</v>
      </c>
      <c r="S689" t="s">
        <v>63</v>
      </c>
      <c r="T689" t="s">
        <v>64</v>
      </c>
    </row>
    <row r="690" spans="1:20" hidden="1">
      <c r="A690" t="s">
        <v>762</v>
      </c>
      <c r="B690" s="5">
        <v>45893</v>
      </c>
      <c r="C690" s="8">
        <f>YEAR(Tabla2[[#This Row],[fecha]])</f>
        <v>2025</v>
      </c>
      <c r="D690" s="8">
        <f>MONTH(Tabla2[[#This Row],[fecha]])</f>
        <v>8</v>
      </c>
      <c r="E690" s="8" t="str">
        <f>TEXT(Tabla2[[#This Row],[fecha]], "mmmm")</f>
        <v>agosto</v>
      </c>
      <c r="F690" s="8" t="str">
        <f>"T"&amp;ROUNDUP(Tabla2[[#This Row],[mes]]/3,0)</f>
        <v>T3</v>
      </c>
      <c r="G690" t="s">
        <v>36</v>
      </c>
      <c r="H690" t="s">
        <v>37</v>
      </c>
      <c r="I690" s="8" t="str">
        <f>IF(Tabla2[[#This Row],[precio_unitario]]&lt;=30,"Económico",IF(Tabla2[[#This Row],[precio_unitario]]&lt;=58.49,"Accesible","Caro"))</f>
        <v>Económico</v>
      </c>
      <c r="J690" t="s">
        <v>35</v>
      </c>
      <c r="K690">
        <v>2</v>
      </c>
      <c r="L690" s="19">
        <v>14.07</v>
      </c>
      <c r="M690" s="19">
        <v>9.49</v>
      </c>
      <c r="N690" s="11">
        <v>0</v>
      </c>
      <c r="O690" s="17">
        <f t="shared" si="43"/>
        <v>28.14</v>
      </c>
      <c r="P690" s="17">
        <f t="shared" si="40"/>
        <v>18.98</v>
      </c>
      <c r="Q690" s="17">
        <f t="shared" si="41"/>
        <v>9.16</v>
      </c>
      <c r="R690" s="24">
        <f t="shared" si="42"/>
        <v>0.32551528073916136</v>
      </c>
      <c r="S690" t="s">
        <v>63</v>
      </c>
      <c r="T690" t="s">
        <v>60</v>
      </c>
    </row>
    <row r="691" spans="1:20" hidden="1">
      <c r="A691" t="s">
        <v>763</v>
      </c>
      <c r="B691" s="5">
        <v>45948</v>
      </c>
      <c r="C691" s="8">
        <f>YEAR(Tabla2[[#This Row],[fecha]])</f>
        <v>2025</v>
      </c>
      <c r="D691" s="8">
        <f>MONTH(Tabla2[[#This Row],[fecha]])</f>
        <v>10</v>
      </c>
      <c r="E691" s="8" t="str">
        <f>TEXT(Tabla2[[#This Row],[fecha]], "mmmm")</f>
        <v>octubre</v>
      </c>
      <c r="F691" s="8" t="str">
        <f>"T"&amp;ROUNDUP(Tabla2[[#This Row],[mes]]/3,0)</f>
        <v>T4</v>
      </c>
      <c r="G691" t="s">
        <v>15</v>
      </c>
      <c r="H691" t="s">
        <v>16</v>
      </c>
      <c r="I691" s="8" t="str">
        <f>IF(Tabla2[[#This Row],[precio_unitario]]&lt;=30,"Económico",IF(Tabla2[[#This Row],[precio_unitario]]&lt;=58.49,"Accesible","Caro"))</f>
        <v>Caro</v>
      </c>
      <c r="J691" t="s">
        <v>17</v>
      </c>
      <c r="K691">
        <v>3</v>
      </c>
      <c r="L691" s="19">
        <v>61.1</v>
      </c>
      <c r="M691" s="19">
        <v>40.92</v>
      </c>
      <c r="N691" s="11">
        <v>0</v>
      </c>
      <c r="O691" s="17">
        <f t="shared" si="43"/>
        <v>183.3</v>
      </c>
      <c r="P691" s="17">
        <f t="shared" si="40"/>
        <v>122.76</v>
      </c>
      <c r="Q691" s="17">
        <f t="shared" si="41"/>
        <v>60.540000000000006</v>
      </c>
      <c r="R691" s="24">
        <f t="shared" si="42"/>
        <v>0.33027823240589199</v>
      </c>
      <c r="S691" t="s">
        <v>101</v>
      </c>
      <c r="T691" t="s">
        <v>60</v>
      </c>
    </row>
    <row r="692" spans="1:20" hidden="1">
      <c r="A692" t="s">
        <v>764</v>
      </c>
      <c r="B692" s="5">
        <v>45462</v>
      </c>
      <c r="C692" s="8">
        <f>YEAR(Tabla2[[#This Row],[fecha]])</f>
        <v>2024</v>
      </c>
      <c r="D692" s="8">
        <f>MONTH(Tabla2[[#This Row],[fecha]])</f>
        <v>6</v>
      </c>
      <c r="E692" s="8" t="str">
        <f>TEXT(Tabla2[[#This Row],[fecha]], "mmmm")</f>
        <v>junio</v>
      </c>
      <c r="F692" s="8" t="str">
        <f>"T"&amp;ROUNDUP(Tabla2[[#This Row],[mes]]/3,0)</f>
        <v>T2</v>
      </c>
      <c r="G692" t="s">
        <v>24</v>
      </c>
      <c r="H692" t="s">
        <v>25</v>
      </c>
      <c r="I692" s="8" t="str">
        <f>IF(Tabla2[[#This Row],[precio_unitario]]&lt;=30,"Económico",IF(Tabla2[[#This Row],[precio_unitario]]&lt;=58.49,"Accesible","Caro"))</f>
        <v>Económico</v>
      </c>
      <c r="J692" t="s">
        <v>26</v>
      </c>
      <c r="K692">
        <v>9</v>
      </c>
      <c r="L692" s="19">
        <v>7.37</v>
      </c>
      <c r="M692" s="19">
        <v>4.49</v>
      </c>
      <c r="N692" s="11">
        <v>0</v>
      </c>
      <c r="O692" s="17">
        <f t="shared" si="43"/>
        <v>66.33</v>
      </c>
      <c r="P692" s="17">
        <f t="shared" si="40"/>
        <v>40.410000000000004</v>
      </c>
      <c r="Q692" s="17">
        <f t="shared" si="41"/>
        <v>25.919999999999995</v>
      </c>
      <c r="R692" s="24">
        <f t="shared" si="42"/>
        <v>0.39077340569877878</v>
      </c>
      <c r="S692" t="s">
        <v>67</v>
      </c>
      <c r="T692" t="s">
        <v>64</v>
      </c>
    </row>
    <row r="693" spans="1:20" hidden="1">
      <c r="A693" t="s">
        <v>765</v>
      </c>
      <c r="B693" s="5">
        <v>45451</v>
      </c>
      <c r="C693" s="8">
        <f>YEAR(Tabla2[[#This Row],[fecha]])</f>
        <v>2024</v>
      </c>
      <c r="D693" s="8">
        <f>MONTH(Tabla2[[#This Row],[fecha]])</f>
        <v>6</v>
      </c>
      <c r="E693" s="8" t="str">
        <f>TEXT(Tabla2[[#This Row],[fecha]], "mmmm")</f>
        <v>junio</v>
      </c>
      <c r="F693" s="8" t="str">
        <f>"T"&amp;ROUNDUP(Tabla2[[#This Row],[mes]]/3,0)</f>
        <v>T2</v>
      </c>
      <c r="G693" t="s">
        <v>31</v>
      </c>
      <c r="H693" t="s">
        <v>32</v>
      </c>
      <c r="I693" s="8" t="str">
        <f>IF(Tabla2[[#This Row],[precio_unitario]]&lt;=30,"Económico",IF(Tabla2[[#This Row],[precio_unitario]]&lt;=58.49,"Accesible","Caro"))</f>
        <v>Económico</v>
      </c>
      <c r="J693" t="s">
        <v>26</v>
      </c>
      <c r="K693">
        <v>1</v>
      </c>
      <c r="L693" s="19">
        <v>8.73</v>
      </c>
      <c r="M693" s="21">
        <f>INDEX(Tabla3[coste_objetivo], MATCH(Tabla2[[#This Row],[id_producto]], Tabla3[id_producto],0))</f>
        <v>5.77</v>
      </c>
      <c r="N693" s="11">
        <v>0</v>
      </c>
      <c r="O693" s="17">
        <f t="shared" si="43"/>
        <v>8.73</v>
      </c>
      <c r="P693" s="17">
        <f t="shared" si="40"/>
        <v>5.77</v>
      </c>
      <c r="Q693" s="17">
        <f t="shared" si="41"/>
        <v>2.9600000000000009</v>
      </c>
      <c r="R693" s="24">
        <f t="shared" si="42"/>
        <v>0.33906071019473089</v>
      </c>
      <c r="S693" t="s">
        <v>63</v>
      </c>
      <c r="T693" t="s">
        <v>60</v>
      </c>
    </row>
    <row r="694" spans="1:20">
      <c r="A694" t="s">
        <v>766</v>
      </c>
      <c r="B694" s="5">
        <v>45770</v>
      </c>
      <c r="C694" s="8">
        <f>YEAR(Tabla2[[#This Row],[fecha]])</f>
        <v>2025</v>
      </c>
      <c r="D694" s="8">
        <f>MONTH(Tabla2[[#This Row],[fecha]])</f>
        <v>4</v>
      </c>
      <c r="E694" s="8" t="str">
        <f>TEXT(Tabla2[[#This Row],[fecha]], "mmmm")</f>
        <v>abril</v>
      </c>
      <c r="F694" s="8" t="str">
        <f>"T"&amp;ROUNDUP(Tabla2[[#This Row],[mes]]/3,0)</f>
        <v>T2</v>
      </c>
      <c r="G694" t="s">
        <v>36</v>
      </c>
      <c r="H694" t="s">
        <v>37</v>
      </c>
      <c r="I694" s="8" t="str">
        <f>IF(Tabla2[[#This Row],[precio_unitario]]&lt;=30,"Económico",IF(Tabla2[[#This Row],[precio_unitario]]&lt;=58.49,"Accesible","Caro"))</f>
        <v>Económico</v>
      </c>
      <c r="J694" t="s">
        <v>35</v>
      </c>
      <c r="K694">
        <v>1</v>
      </c>
      <c r="L694" s="19">
        <v>13.52</v>
      </c>
      <c r="M694" s="19">
        <v>9.3699999999999992</v>
      </c>
      <c r="N694" s="11">
        <v>0</v>
      </c>
      <c r="O694" s="17">
        <f t="shared" si="43"/>
        <v>13.52</v>
      </c>
      <c r="P694" s="17">
        <f t="shared" si="40"/>
        <v>9.3699999999999992</v>
      </c>
      <c r="Q694" s="17">
        <f t="shared" si="41"/>
        <v>4.1500000000000004</v>
      </c>
      <c r="R694" s="24">
        <f t="shared" si="42"/>
        <v>0.30695266272189353</v>
      </c>
      <c r="S694" t="s">
        <v>67</v>
      </c>
      <c r="T694" t="s">
        <v>64</v>
      </c>
    </row>
    <row r="695" spans="1:20" hidden="1">
      <c r="A695" t="s">
        <v>767</v>
      </c>
      <c r="B695" s="5">
        <v>45645</v>
      </c>
      <c r="C695" s="8">
        <f>YEAR(Tabla2[[#This Row],[fecha]])</f>
        <v>2024</v>
      </c>
      <c r="D695" s="8">
        <f>MONTH(Tabla2[[#This Row],[fecha]])</f>
        <v>12</v>
      </c>
      <c r="E695" s="8" t="str">
        <f>TEXT(Tabla2[[#This Row],[fecha]], "mmmm")</f>
        <v>diciembre</v>
      </c>
      <c r="F695" s="8" t="str">
        <f>"T"&amp;ROUNDUP(Tabla2[[#This Row],[mes]]/3,0)</f>
        <v>T4</v>
      </c>
      <c r="G695" t="s">
        <v>15</v>
      </c>
      <c r="H695" t="s">
        <v>16</v>
      </c>
      <c r="I695" s="8" t="str">
        <f>IF(Tabla2[[#This Row],[precio_unitario]]&lt;=30,"Económico",IF(Tabla2[[#This Row],[precio_unitario]]&lt;=58.49,"Accesible","Caro"))</f>
        <v>Accesible</v>
      </c>
      <c r="J695" t="s">
        <v>17</v>
      </c>
      <c r="K695">
        <v>1</v>
      </c>
      <c r="L695" s="19">
        <v>55.72</v>
      </c>
      <c r="M695" s="19">
        <v>42.53</v>
      </c>
      <c r="N695" s="11">
        <v>0</v>
      </c>
      <c r="O695" s="17">
        <f t="shared" si="43"/>
        <v>55.72</v>
      </c>
      <c r="P695" s="17">
        <f t="shared" si="40"/>
        <v>42.53</v>
      </c>
      <c r="Q695" s="17">
        <f t="shared" si="41"/>
        <v>13.189999999999998</v>
      </c>
      <c r="R695" s="24">
        <f t="shared" si="42"/>
        <v>0.23671931083991382</v>
      </c>
      <c r="S695" t="s">
        <v>101</v>
      </c>
      <c r="T695" t="s">
        <v>64</v>
      </c>
    </row>
    <row r="696" spans="1:20" hidden="1">
      <c r="A696" t="s">
        <v>768</v>
      </c>
      <c r="B696" s="5">
        <v>45445</v>
      </c>
      <c r="C696" s="8">
        <f>YEAR(Tabla2[[#This Row],[fecha]])</f>
        <v>2024</v>
      </c>
      <c r="D696" s="8">
        <f>MONTH(Tabla2[[#This Row],[fecha]])</f>
        <v>6</v>
      </c>
      <c r="E696" s="8" t="str">
        <f>TEXT(Tabla2[[#This Row],[fecha]], "mmmm")</f>
        <v>junio</v>
      </c>
      <c r="F696" s="8" t="str">
        <f>"T"&amp;ROUNDUP(Tabla2[[#This Row],[mes]]/3,0)</f>
        <v>T2</v>
      </c>
      <c r="G696" t="s">
        <v>49</v>
      </c>
      <c r="H696" t="s">
        <v>50</v>
      </c>
      <c r="I696" s="8" t="str">
        <f>IF(Tabla2[[#This Row],[precio_unitario]]&lt;=30,"Económico",IF(Tabla2[[#This Row],[precio_unitario]]&lt;=58.49,"Accesible","Caro"))</f>
        <v>Caro</v>
      </c>
      <c r="J696" t="s">
        <v>44</v>
      </c>
      <c r="K696">
        <v>1</v>
      </c>
      <c r="L696" s="19">
        <v>64.83</v>
      </c>
      <c r="M696" s="19">
        <v>34.450000000000003</v>
      </c>
      <c r="N696" s="11">
        <v>0</v>
      </c>
      <c r="O696" s="17">
        <f t="shared" si="43"/>
        <v>64.83</v>
      </c>
      <c r="P696" s="17">
        <f t="shared" si="40"/>
        <v>34.450000000000003</v>
      </c>
      <c r="Q696" s="17">
        <f t="shared" si="41"/>
        <v>30.379999999999995</v>
      </c>
      <c r="R696" s="24">
        <f t="shared" si="42"/>
        <v>0.46861021132191882</v>
      </c>
      <c r="S696" t="s">
        <v>67</v>
      </c>
      <c r="T696" t="s">
        <v>64</v>
      </c>
    </row>
    <row r="697" spans="1:20" hidden="1">
      <c r="A697" t="s">
        <v>769</v>
      </c>
      <c r="B697" s="5">
        <v>45550</v>
      </c>
      <c r="C697" s="8">
        <f>YEAR(Tabla2[[#This Row],[fecha]])</f>
        <v>2024</v>
      </c>
      <c r="D697" s="8">
        <f>MONTH(Tabla2[[#This Row],[fecha]])</f>
        <v>9</v>
      </c>
      <c r="E697" s="8" t="str">
        <f>TEXT(Tabla2[[#This Row],[fecha]], "mmmm")</f>
        <v>septiembre</v>
      </c>
      <c r="F697" s="8" t="str">
        <f>"T"&amp;ROUNDUP(Tabla2[[#This Row],[mes]]/3,0)</f>
        <v>T3</v>
      </c>
      <c r="G697" t="s">
        <v>24</v>
      </c>
      <c r="H697" t="s">
        <v>25</v>
      </c>
      <c r="I697" s="8" t="str">
        <f>IF(Tabla2[[#This Row],[precio_unitario]]&lt;=30,"Económico",IF(Tabla2[[#This Row],[precio_unitario]]&lt;=58.49,"Accesible","Caro"))</f>
        <v>Económico</v>
      </c>
      <c r="J697" t="s">
        <v>26</v>
      </c>
      <c r="K697">
        <v>1</v>
      </c>
      <c r="L697" s="19">
        <v>7.97</v>
      </c>
      <c r="M697" s="19">
        <v>4.17</v>
      </c>
      <c r="N697" s="11">
        <v>0</v>
      </c>
      <c r="O697" s="17">
        <f t="shared" si="43"/>
        <v>7.97</v>
      </c>
      <c r="P697" s="17">
        <f t="shared" si="40"/>
        <v>4.17</v>
      </c>
      <c r="Q697" s="17">
        <f t="shared" si="41"/>
        <v>3.8</v>
      </c>
      <c r="R697" s="24">
        <f t="shared" si="42"/>
        <v>0.47678795483061481</v>
      </c>
      <c r="S697" t="s">
        <v>67</v>
      </c>
      <c r="T697" t="s">
        <v>60</v>
      </c>
    </row>
    <row r="698" spans="1:20" hidden="1">
      <c r="A698" t="s">
        <v>770</v>
      </c>
      <c r="B698" s="5">
        <v>45531</v>
      </c>
      <c r="C698" s="8">
        <f>YEAR(Tabla2[[#This Row],[fecha]])</f>
        <v>2024</v>
      </c>
      <c r="D698" s="8">
        <f>MONTH(Tabla2[[#This Row],[fecha]])</f>
        <v>8</v>
      </c>
      <c r="E698" s="8" t="str">
        <f>TEXT(Tabla2[[#This Row],[fecha]], "mmmm")</f>
        <v>agosto</v>
      </c>
      <c r="F698" s="8" t="str">
        <f>"T"&amp;ROUNDUP(Tabla2[[#This Row],[mes]]/3,0)</f>
        <v>T3</v>
      </c>
      <c r="G698" t="s">
        <v>13</v>
      </c>
      <c r="H698" t="s">
        <v>14</v>
      </c>
      <c r="I698" s="8" t="str">
        <f>IF(Tabla2[[#This Row],[precio_unitario]]&lt;=30,"Económico",IF(Tabla2[[#This Row],[precio_unitario]]&lt;=58.49,"Accesible","Caro"))</f>
        <v>Caro</v>
      </c>
      <c r="J698" t="s">
        <v>8</v>
      </c>
      <c r="K698">
        <v>1</v>
      </c>
      <c r="L698" s="19">
        <v>173.24</v>
      </c>
      <c r="M698" s="19">
        <v>105.57</v>
      </c>
      <c r="N698" s="11">
        <v>0</v>
      </c>
      <c r="O698" s="17">
        <f t="shared" si="43"/>
        <v>173.24</v>
      </c>
      <c r="P698" s="17">
        <f t="shared" si="40"/>
        <v>105.57</v>
      </c>
      <c r="Q698" s="17">
        <f t="shared" si="41"/>
        <v>67.670000000000016</v>
      </c>
      <c r="R698" s="24">
        <f t="shared" si="42"/>
        <v>0.39061417686446553</v>
      </c>
      <c r="S698" t="s">
        <v>67</v>
      </c>
      <c r="T698" t="s">
        <v>60</v>
      </c>
    </row>
    <row r="699" spans="1:20" hidden="1">
      <c r="A699" t="s">
        <v>771</v>
      </c>
      <c r="B699" s="5">
        <v>45444</v>
      </c>
      <c r="C699" s="8">
        <f>YEAR(Tabla2[[#This Row],[fecha]])</f>
        <v>2024</v>
      </c>
      <c r="D699" s="8">
        <f>MONTH(Tabla2[[#This Row],[fecha]])</f>
        <v>6</v>
      </c>
      <c r="E699" s="8" t="str">
        <f>TEXT(Tabla2[[#This Row],[fecha]], "mmmm")</f>
        <v>junio</v>
      </c>
      <c r="F699" s="8" t="str">
        <f>"T"&amp;ROUNDUP(Tabla2[[#This Row],[mes]]/3,0)</f>
        <v>T2</v>
      </c>
      <c r="G699" t="s">
        <v>45</v>
      </c>
      <c r="H699" t="s">
        <v>46</v>
      </c>
      <c r="I699" s="8" t="str">
        <f>IF(Tabla2[[#This Row],[precio_unitario]]&lt;=30,"Económico",IF(Tabla2[[#This Row],[precio_unitario]]&lt;=58.49,"Accesible","Caro"))</f>
        <v>Accesible</v>
      </c>
      <c r="J699" t="s">
        <v>44</v>
      </c>
      <c r="K699">
        <v>1</v>
      </c>
      <c r="L699" s="19">
        <v>30.86</v>
      </c>
      <c r="M699" s="19">
        <v>16.48</v>
      </c>
      <c r="N699" s="11">
        <v>0</v>
      </c>
      <c r="O699" s="17">
        <f t="shared" si="43"/>
        <v>30.86</v>
      </c>
      <c r="P699" s="17">
        <f t="shared" si="40"/>
        <v>16.48</v>
      </c>
      <c r="Q699" s="17">
        <f t="shared" si="41"/>
        <v>14.379999999999999</v>
      </c>
      <c r="R699" s="24">
        <f t="shared" si="42"/>
        <v>0.46597537265068045</v>
      </c>
      <c r="S699" t="s">
        <v>63</v>
      </c>
      <c r="T699" t="s">
        <v>60</v>
      </c>
    </row>
    <row r="700" spans="1:20" hidden="1">
      <c r="A700" t="s">
        <v>772</v>
      </c>
      <c r="B700" s="5">
        <v>45446</v>
      </c>
      <c r="C700" s="8">
        <f>YEAR(Tabla2[[#This Row],[fecha]])</f>
        <v>2024</v>
      </c>
      <c r="D700" s="8">
        <f>MONTH(Tabla2[[#This Row],[fecha]])</f>
        <v>6</v>
      </c>
      <c r="E700" s="8" t="str">
        <f>TEXT(Tabla2[[#This Row],[fecha]], "mmmm")</f>
        <v>junio</v>
      </c>
      <c r="F700" s="8" t="str">
        <f>"T"&amp;ROUNDUP(Tabla2[[#This Row],[mes]]/3,0)</f>
        <v>T2</v>
      </c>
      <c r="G700" t="s">
        <v>29</v>
      </c>
      <c r="H700" t="s">
        <v>30</v>
      </c>
      <c r="I700" s="8" t="str">
        <f>IF(Tabla2[[#This Row],[precio_unitario]]&lt;=30,"Económico",IF(Tabla2[[#This Row],[precio_unitario]]&lt;=58.49,"Accesible","Caro"))</f>
        <v>Económico</v>
      </c>
      <c r="J700" t="s">
        <v>26</v>
      </c>
      <c r="K700">
        <v>4</v>
      </c>
      <c r="L700" s="19">
        <v>21.82</v>
      </c>
      <c r="M700" s="19">
        <v>11.23</v>
      </c>
      <c r="N700" s="11">
        <v>0.17</v>
      </c>
      <c r="O700" s="17">
        <f t="shared" si="43"/>
        <v>72.442399999999992</v>
      </c>
      <c r="P700" s="17">
        <f t="shared" si="40"/>
        <v>44.92</v>
      </c>
      <c r="Q700" s="17">
        <f t="shared" si="41"/>
        <v>27.52239999999999</v>
      </c>
      <c r="R700" s="24">
        <f t="shared" si="42"/>
        <v>0.37992115114905073</v>
      </c>
      <c r="S700" t="s">
        <v>540</v>
      </c>
      <c r="T700" t="s">
        <v>64</v>
      </c>
    </row>
    <row r="701" spans="1:20">
      <c r="A701" t="s">
        <v>773</v>
      </c>
      <c r="B701" s="5">
        <v>45723</v>
      </c>
      <c r="C701" s="8">
        <f>YEAR(Tabla2[[#This Row],[fecha]])</f>
        <v>2025</v>
      </c>
      <c r="D701" s="8">
        <f>MONTH(Tabla2[[#This Row],[fecha]])</f>
        <v>3</v>
      </c>
      <c r="E701" s="8" t="str">
        <f>TEXT(Tabla2[[#This Row],[fecha]], "mmmm")</f>
        <v>marzo</v>
      </c>
      <c r="F701" s="8" t="str">
        <f>"T"&amp;ROUNDUP(Tabla2[[#This Row],[mes]]/3,0)</f>
        <v>T1</v>
      </c>
      <c r="G701" t="s">
        <v>29</v>
      </c>
      <c r="H701" t="s">
        <v>30</v>
      </c>
      <c r="I701" s="8" t="str">
        <f>IF(Tabla2[[#This Row],[precio_unitario]]&lt;=30,"Económico",IF(Tabla2[[#This Row],[precio_unitario]]&lt;=58.49,"Accesible","Caro"))</f>
        <v>Económico</v>
      </c>
      <c r="J701" t="s">
        <v>26</v>
      </c>
      <c r="K701">
        <v>1</v>
      </c>
      <c r="L701" s="19">
        <v>22.18</v>
      </c>
      <c r="M701" s="19">
        <v>11.51</v>
      </c>
      <c r="N701" s="11">
        <v>0</v>
      </c>
      <c r="O701" s="17">
        <f t="shared" si="43"/>
        <v>22.18</v>
      </c>
      <c r="P701" s="17">
        <f t="shared" si="40"/>
        <v>11.51</v>
      </c>
      <c r="Q701" s="17">
        <f t="shared" si="41"/>
        <v>10.67</v>
      </c>
      <c r="R701" s="24">
        <f t="shared" si="42"/>
        <v>0.48106402164111811</v>
      </c>
      <c r="S701" t="s">
        <v>67</v>
      </c>
      <c r="T701" t="s">
        <v>265</v>
      </c>
    </row>
    <row r="702" spans="1:20" hidden="1">
      <c r="A702" t="s">
        <v>774</v>
      </c>
      <c r="B702" s="5">
        <v>45574</v>
      </c>
      <c r="C702" s="8">
        <f>YEAR(Tabla2[[#This Row],[fecha]])</f>
        <v>2024</v>
      </c>
      <c r="D702" s="8">
        <f>MONTH(Tabla2[[#This Row],[fecha]])</f>
        <v>10</v>
      </c>
      <c r="E702" s="8" t="str">
        <f>TEXT(Tabla2[[#This Row],[fecha]], "mmmm")</f>
        <v>octubre</v>
      </c>
      <c r="F702" s="8" t="str">
        <f>"T"&amp;ROUNDUP(Tabla2[[#This Row],[mes]]/3,0)</f>
        <v>T4</v>
      </c>
      <c r="G702" t="s">
        <v>33</v>
      </c>
      <c r="H702" t="s">
        <v>34</v>
      </c>
      <c r="I702" s="8" t="str">
        <f>IF(Tabla2[[#This Row],[precio_unitario]]&lt;=30,"Económico",IF(Tabla2[[#This Row],[precio_unitario]]&lt;=58.49,"Accesible","Caro"))</f>
        <v>Caro</v>
      </c>
      <c r="J702" t="s">
        <v>35</v>
      </c>
      <c r="K702">
        <v>4</v>
      </c>
      <c r="L702" s="19">
        <v>78</v>
      </c>
      <c r="M702" s="19">
        <v>45.34</v>
      </c>
      <c r="N702" s="11">
        <v>0</v>
      </c>
      <c r="O702" s="17">
        <f t="shared" si="43"/>
        <v>312</v>
      </c>
      <c r="P702" s="17">
        <f t="shared" si="40"/>
        <v>181.36</v>
      </c>
      <c r="Q702" s="17">
        <f t="shared" si="41"/>
        <v>130.63999999999999</v>
      </c>
      <c r="R702" s="24">
        <f t="shared" si="42"/>
        <v>0.41871794871794865</v>
      </c>
      <c r="S702" t="s">
        <v>67</v>
      </c>
      <c r="T702" t="s">
        <v>60</v>
      </c>
    </row>
    <row r="703" spans="1:20" hidden="1">
      <c r="A703" t="s">
        <v>775</v>
      </c>
      <c r="B703" s="5">
        <v>45403</v>
      </c>
      <c r="C703" s="8">
        <f>YEAR(Tabla2[[#This Row],[fecha]])</f>
        <v>2024</v>
      </c>
      <c r="D703" s="8">
        <f>MONTH(Tabla2[[#This Row],[fecha]])</f>
        <v>4</v>
      </c>
      <c r="E703" s="8" t="str">
        <f>TEXT(Tabla2[[#This Row],[fecha]], "mmmm")</f>
        <v>abril</v>
      </c>
      <c r="F703" s="8" t="str">
        <f>"T"&amp;ROUNDUP(Tabla2[[#This Row],[mes]]/3,0)</f>
        <v>T2</v>
      </c>
      <c r="G703" t="s">
        <v>45</v>
      </c>
      <c r="H703" t="s">
        <v>46</v>
      </c>
      <c r="I703" s="8" t="str">
        <f>IF(Tabla2[[#This Row],[precio_unitario]]&lt;=30,"Económico",IF(Tabla2[[#This Row],[precio_unitario]]&lt;=58.49,"Accesible","Caro"))</f>
        <v>Económico</v>
      </c>
      <c r="J703" t="s">
        <v>44</v>
      </c>
      <c r="K703">
        <v>8</v>
      </c>
      <c r="L703" s="19">
        <v>29.13</v>
      </c>
      <c r="M703" s="19">
        <v>17.38</v>
      </c>
      <c r="N703" s="13">
        <v>0</v>
      </c>
      <c r="O703" s="17">
        <f t="shared" si="43"/>
        <v>233.04</v>
      </c>
      <c r="P703" s="17">
        <f t="shared" si="40"/>
        <v>139.04</v>
      </c>
      <c r="Q703" s="17">
        <f t="shared" si="41"/>
        <v>94</v>
      </c>
      <c r="R703" s="24">
        <f t="shared" si="42"/>
        <v>0.4033642293168555</v>
      </c>
      <c r="S703" t="s">
        <v>67</v>
      </c>
      <c r="T703" t="s">
        <v>64</v>
      </c>
    </row>
    <row r="704" spans="1:20">
      <c r="A704" t="s">
        <v>776</v>
      </c>
      <c r="B704" s="5">
        <v>45787</v>
      </c>
      <c r="C704" s="8">
        <f>YEAR(Tabla2[[#This Row],[fecha]])</f>
        <v>2025</v>
      </c>
      <c r="D704" s="8">
        <f>MONTH(Tabla2[[#This Row],[fecha]])</f>
        <v>5</v>
      </c>
      <c r="E704" s="8" t="str">
        <f>TEXT(Tabla2[[#This Row],[fecha]], "mmmm")</f>
        <v>mayo</v>
      </c>
      <c r="F704" s="8" t="str">
        <f>"T"&amp;ROUNDUP(Tabla2[[#This Row],[mes]]/3,0)</f>
        <v>T2</v>
      </c>
      <c r="G704" t="s">
        <v>6</v>
      </c>
      <c r="H704" t="s">
        <v>7</v>
      </c>
      <c r="I704" s="8" t="str">
        <f>IF(Tabla2[[#This Row],[precio_unitario]]&lt;=30,"Económico",IF(Tabla2[[#This Row],[precio_unitario]]&lt;=58.49,"Accesible","Caro"))</f>
        <v>Caro</v>
      </c>
      <c r="J704" t="s">
        <v>8</v>
      </c>
      <c r="K704">
        <v>3</v>
      </c>
      <c r="L704" s="19">
        <v>123.4</v>
      </c>
      <c r="M704" s="19">
        <v>82.85</v>
      </c>
      <c r="N704" s="11">
        <v>0</v>
      </c>
      <c r="O704" s="17">
        <f t="shared" si="43"/>
        <v>370.20000000000005</v>
      </c>
      <c r="P704" s="17">
        <f t="shared" si="40"/>
        <v>248.54999999999998</v>
      </c>
      <c r="Q704" s="17">
        <f t="shared" si="41"/>
        <v>121.65000000000006</v>
      </c>
      <c r="R704" s="24">
        <f t="shared" si="42"/>
        <v>0.32860615883306332</v>
      </c>
      <c r="S704" t="s">
        <v>67</v>
      </c>
      <c r="T704" t="s">
        <v>64</v>
      </c>
    </row>
    <row r="705" spans="1:20" hidden="1">
      <c r="A705" t="s">
        <v>777</v>
      </c>
      <c r="B705" s="5">
        <v>45506</v>
      </c>
      <c r="C705" s="8">
        <f>YEAR(Tabla2[[#This Row],[fecha]])</f>
        <v>2024</v>
      </c>
      <c r="D705" s="8">
        <f>MONTH(Tabla2[[#This Row],[fecha]])</f>
        <v>8</v>
      </c>
      <c r="E705" s="8" t="str">
        <f>TEXT(Tabla2[[#This Row],[fecha]], "mmmm")</f>
        <v>agosto</v>
      </c>
      <c r="F705" s="8" t="str">
        <f>"T"&amp;ROUNDUP(Tabla2[[#This Row],[mes]]/3,0)</f>
        <v>T3</v>
      </c>
      <c r="G705" t="s">
        <v>6</v>
      </c>
      <c r="H705" t="s">
        <v>7</v>
      </c>
      <c r="I705" s="8" t="str">
        <f>IF(Tabla2[[#This Row],[precio_unitario]]&lt;=30,"Económico",IF(Tabla2[[#This Row],[precio_unitario]]&lt;=58.49,"Accesible","Caro"))</f>
        <v>Caro</v>
      </c>
      <c r="J705" t="s">
        <v>8</v>
      </c>
      <c r="K705">
        <v>2</v>
      </c>
      <c r="L705" s="19">
        <v>127.57</v>
      </c>
      <c r="M705" s="19">
        <v>84.97</v>
      </c>
      <c r="N705" s="11">
        <v>0</v>
      </c>
      <c r="O705" s="17">
        <f t="shared" si="43"/>
        <v>255.14</v>
      </c>
      <c r="P705" s="17">
        <f t="shared" si="40"/>
        <v>169.94</v>
      </c>
      <c r="Q705" s="17">
        <f t="shared" si="41"/>
        <v>85.199999999999989</v>
      </c>
      <c r="R705" s="24">
        <f t="shared" si="42"/>
        <v>0.3339343105745865</v>
      </c>
      <c r="S705" t="s">
        <v>540</v>
      </c>
      <c r="T705" t="s">
        <v>60</v>
      </c>
    </row>
    <row r="706" spans="1:20">
      <c r="A706" t="s">
        <v>778</v>
      </c>
      <c r="B706" s="5">
        <v>45801</v>
      </c>
      <c r="C706" s="8">
        <f>YEAR(Tabla2[[#This Row],[fecha]])</f>
        <v>2025</v>
      </c>
      <c r="D706" s="8">
        <f>MONTH(Tabla2[[#This Row],[fecha]])</f>
        <v>5</v>
      </c>
      <c r="E706" s="8" t="str">
        <f>TEXT(Tabla2[[#This Row],[fecha]], "mmmm")</f>
        <v>mayo</v>
      </c>
      <c r="F706" s="8" t="str">
        <f>"T"&amp;ROUNDUP(Tabla2[[#This Row],[mes]]/3,0)</f>
        <v>T2</v>
      </c>
      <c r="G706" t="s">
        <v>40</v>
      </c>
      <c r="H706" t="s">
        <v>41</v>
      </c>
      <c r="I706" s="8" t="str">
        <f>IF(Tabla2[[#This Row],[precio_unitario]]&lt;=30,"Económico",IF(Tabla2[[#This Row],[precio_unitario]]&lt;=58.49,"Accesible","Caro"))</f>
        <v>Caro</v>
      </c>
      <c r="J706" t="s">
        <v>35</v>
      </c>
      <c r="K706">
        <v>1</v>
      </c>
      <c r="L706" s="19">
        <v>76.16</v>
      </c>
      <c r="M706" s="19">
        <v>40.74</v>
      </c>
      <c r="N706" s="11">
        <v>0</v>
      </c>
      <c r="O706" s="17">
        <f t="shared" si="43"/>
        <v>76.16</v>
      </c>
      <c r="P706" s="17">
        <f t="shared" ref="P706:P769" si="44">M706*K706</f>
        <v>40.74</v>
      </c>
      <c r="Q706" s="17">
        <f t="shared" ref="Q706:Q769" si="45">O706-P706</f>
        <v>35.419999999999995</v>
      </c>
      <c r="R706" s="24">
        <f t="shared" ref="R706:R769" si="46">IFERROR(Q706/O706,0)</f>
        <v>0.46507352941176466</v>
      </c>
      <c r="S706" t="s">
        <v>67</v>
      </c>
      <c r="T706" t="s">
        <v>64</v>
      </c>
    </row>
    <row r="707" spans="1:20" hidden="1">
      <c r="A707" t="s">
        <v>779</v>
      </c>
      <c r="B707" s="5">
        <v>45349</v>
      </c>
      <c r="C707" s="8">
        <f>YEAR(Tabla2[[#This Row],[fecha]])</f>
        <v>2024</v>
      </c>
      <c r="D707" s="8">
        <f>MONTH(Tabla2[[#This Row],[fecha]])</f>
        <v>2</v>
      </c>
      <c r="E707" s="8" t="str">
        <f>TEXT(Tabla2[[#This Row],[fecha]], "mmmm")</f>
        <v>febrero</v>
      </c>
      <c r="F707" s="8" t="str">
        <f>"T"&amp;ROUNDUP(Tabla2[[#This Row],[mes]]/3,0)</f>
        <v>T1</v>
      </c>
      <c r="G707" t="s">
        <v>13</v>
      </c>
      <c r="H707" t="s">
        <v>14</v>
      </c>
      <c r="I707" s="8" t="str">
        <f>IF(Tabla2[[#This Row],[precio_unitario]]&lt;=30,"Económico",IF(Tabla2[[#This Row],[precio_unitario]]&lt;=58.49,"Accesible","Caro"))</f>
        <v>Caro</v>
      </c>
      <c r="J707" t="s">
        <v>8</v>
      </c>
      <c r="K707">
        <v>2</v>
      </c>
      <c r="L707" s="19">
        <v>156.05000000000001</v>
      </c>
      <c r="M707" s="19">
        <v>113.91</v>
      </c>
      <c r="N707" s="13">
        <v>0</v>
      </c>
      <c r="O707" s="17">
        <f t="shared" ref="O707:O770" si="47">K707*L707*(1-N707)</f>
        <v>312.10000000000002</v>
      </c>
      <c r="P707" s="17">
        <f t="shared" si="44"/>
        <v>227.82</v>
      </c>
      <c r="Q707" s="17">
        <f t="shared" si="45"/>
        <v>84.28000000000003</v>
      </c>
      <c r="R707" s="24">
        <f t="shared" si="46"/>
        <v>0.27004165331624486</v>
      </c>
      <c r="S707" t="s">
        <v>540</v>
      </c>
      <c r="T707" t="s">
        <v>64</v>
      </c>
    </row>
    <row r="708" spans="1:20" hidden="1">
      <c r="A708" t="s">
        <v>780</v>
      </c>
      <c r="B708" s="5">
        <v>45669</v>
      </c>
      <c r="C708" s="8">
        <f>YEAR(Tabla2[[#This Row],[fecha]])</f>
        <v>2025</v>
      </c>
      <c r="D708" s="8">
        <f>MONTH(Tabla2[[#This Row],[fecha]])</f>
        <v>1</v>
      </c>
      <c r="E708" s="8" t="str">
        <f>TEXT(Tabla2[[#This Row],[fecha]], "mmmm")</f>
        <v>enero</v>
      </c>
      <c r="F708" s="8" t="str">
        <f>"T"&amp;ROUNDUP(Tabla2[[#This Row],[mes]]/3,0)</f>
        <v>T1</v>
      </c>
      <c r="G708" t="s">
        <v>15</v>
      </c>
      <c r="H708" t="s">
        <v>16</v>
      </c>
      <c r="I708" s="8" t="str">
        <f>IF(Tabla2[[#This Row],[precio_unitario]]&lt;=30,"Económico",IF(Tabla2[[#This Row],[precio_unitario]]&lt;=58.49,"Accesible","Caro"))</f>
        <v>Caro</v>
      </c>
      <c r="J708" t="s">
        <v>17</v>
      </c>
      <c r="K708">
        <v>2</v>
      </c>
      <c r="L708" s="19">
        <v>64.069999999999993</v>
      </c>
      <c r="M708" s="19">
        <v>40.15</v>
      </c>
      <c r="N708" s="11">
        <v>0</v>
      </c>
      <c r="O708" s="17">
        <f t="shared" si="47"/>
        <v>128.13999999999999</v>
      </c>
      <c r="P708" s="17">
        <f t="shared" si="44"/>
        <v>80.3</v>
      </c>
      <c r="Q708" s="17">
        <f t="shared" si="45"/>
        <v>47.839999999999989</v>
      </c>
      <c r="R708" s="24">
        <f t="shared" si="46"/>
        <v>0.37334165756204146</v>
      </c>
      <c r="S708" t="s">
        <v>63</v>
      </c>
      <c r="T708" t="s">
        <v>64</v>
      </c>
    </row>
    <row r="709" spans="1:20" hidden="1">
      <c r="A709" t="s">
        <v>781</v>
      </c>
      <c r="B709" s="5">
        <v>45306</v>
      </c>
      <c r="C709" s="8">
        <f>YEAR(Tabla2[[#This Row],[fecha]])</f>
        <v>2024</v>
      </c>
      <c r="D709" s="8">
        <f>MONTH(Tabla2[[#This Row],[fecha]])</f>
        <v>1</v>
      </c>
      <c r="E709" s="8" t="str">
        <f>TEXT(Tabla2[[#This Row],[fecha]], "mmmm")</f>
        <v>enero</v>
      </c>
      <c r="F709" s="8" t="str">
        <f>"T"&amp;ROUNDUP(Tabla2[[#This Row],[mes]]/3,0)</f>
        <v>T1</v>
      </c>
      <c r="G709" t="s">
        <v>6</v>
      </c>
      <c r="H709" t="s">
        <v>7</v>
      </c>
      <c r="I709" s="8" t="str">
        <f>IF(Tabla2[[#This Row],[precio_unitario]]&lt;=30,"Económico",IF(Tabla2[[#This Row],[precio_unitario]]&lt;=58.49,"Accesible","Caro"))</f>
        <v>Caro</v>
      </c>
      <c r="J709" t="s">
        <v>8</v>
      </c>
      <c r="K709">
        <v>4</v>
      </c>
      <c r="L709" s="19">
        <v>129.66</v>
      </c>
      <c r="M709" s="19">
        <v>86.81</v>
      </c>
      <c r="N709" s="11">
        <v>0</v>
      </c>
      <c r="O709" s="17">
        <f t="shared" si="47"/>
        <v>518.64</v>
      </c>
      <c r="P709" s="17">
        <f t="shared" si="44"/>
        <v>347.24</v>
      </c>
      <c r="Q709" s="17">
        <f t="shared" si="45"/>
        <v>171.39999999999998</v>
      </c>
      <c r="R709" s="24">
        <f t="shared" si="46"/>
        <v>0.33047971618078048</v>
      </c>
      <c r="S709" t="s">
        <v>67</v>
      </c>
      <c r="T709" t="s">
        <v>60</v>
      </c>
    </row>
    <row r="710" spans="1:20" hidden="1">
      <c r="A710" t="s">
        <v>782</v>
      </c>
      <c r="B710" s="5">
        <v>45704</v>
      </c>
      <c r="C710" s="8">
        <f>YEAR(Tabla2[[#This Row],[fecha]])</f>
        <v>2025</v>
      </c>
      <c r="D710" s="8">
        <f>MONTH(Tabla2[[#This Row],[fecha]])</f>
        <v>2</v>
      </c>
      <c r="E710" s="8" t="str">
        <f>TEXT(Tabla2[[#This Row],[fecha]], "mmmm")</f>
        <v>febrero</v>
      </c>
      <c r="F710" s="8" t="str">
        <f>"T"&amp;ROUNDUP(Tabla2[[#This Row],[mes]]/3,0)</f>
        <v>T1</v>
      </c>
      <c r="G710" t="s">
        <v>49</v>
      </c>
      <c r="H710" t="s">
        <v>50</v>
      </c>
      <c r="I710" s="8" t="str">
        <f>IF(Tabla2[[#This Row],[precio_unitario]]&lt;=30,"Económico",IF(Tabla2[[#This Row],[precio_unitario]]&lt;=58.49,"Accesible","Caro"))</f>
        <v>Caro</v>
      </c>
      <c r="J710" t="s">
        <v>44</v>
      </c>
      <c r="K710">
        <v>4</v>
      </c>
      <c r="L710" s="19">
        <v>61.21</v>
      </c>
      <c r="M710" s="19">
        <v>32.44</v>
      </c>
      <c r="N710" s="11">
        <v>0.09</v>
      </c>
      <c r="O710" s="17">
        <f t="shared" si="47"/>
        <v>222.80440000000002</v>
      </c>
      <c r="P710" s="17">
        <f t="shared" si="44"/>
        <v>129.76</v>
      </c>
      <c r="Q710" s="17">
        <f t="shared" si="45"/>
        <v>93.044400000000024</v>
      </c>
      <c r="R710" s="24">
        <f t="shared" si="46"/>
        <v>0.41760575643928044</v>
      </c>
      <c r="S710" t="s">
        <v>101</v>
      </c>
      <c r="T710" t="s">
        <v>64</v>
      </c>
    </row>
    <row r="711" spans="1:20" hidden="1">
      <c r="A711" t="s">
        <v>783</v>
      </c>
      <c r="B711" s="5">
        <v>45355</v>
      </c>
      <c r="C711" s="8">
        <f>YEAR(Tabla2[[#This Row],[fecha]])</f>
        <v>2024</v>
      </c>
      <c r="D711" s="8">
        <f>MONTH(Tabla2[[#This Row],[fecha]])</f>
        <v>3</v>
      </c>
      <c r="E711" s="8" t="str">
        <f>TEXT(Tabla2[[#This Row],[fecha]], "mmmm")</f>
        <v>marzo</v>
      </c>
      <c r="F711" s="8" t="str">
        <f>"T"&amp;ROUNDUP(Tabla2[[#This Row],[mes]]/3,0)</f>
        <v>T1</v>
      </c>
      <c r="G711" t="s">
        <v>11</v>
      </c>
      <c r="H711" t="s">
        <v>12</v>
      </c>
      <c r="I711" s="8" t="str">
        <f>IF(Tabla2[[#This Row],[precio_unitario]]&lt;=30,"Económico",IF(Tabla2[[#This Row],[precio_unitario]]&lt;=58.49,"Accesible","Caro"))</f>
        <v>Caro</v>
      </c>
      <c r="J711" t="s">
        <v>8</v>
      </c>
      <c r="K711">
        <v>5</v>
      </c>
      <c r="L711" s="20">
        <f>INDEX(Tabla3[precio_venta_recomendado], MATCH(Tabla2[[#This Row],[id_producto]], Tabla3[id_producto], 0))</f>
        <v>177.72</v>
      </c>
      <c r="M711" s="19">
        <v>90.23</v>
      </c>
      <c r="N711" s="11">
        <v>0</v>
      </c>
      <c r="O711" s="17">
        <f t="shared" si="47"/>
        <v>888.6</v>
      </c>
      <c r="P711" s="17">
        <f t="shared" si="44"/>
        <v>451.15000000000003</v>
      </c>
      <c r="Q711" s="17">
        <f t="shared" si="45"/>
        <v>437.45</v>
      </c>
      <c r="R711" s="24">
        <f t="shared" si="46"/>
        <v>0.49229124465451268</v>
      </c>
      <c r="S711" t="s">
        <v>67</v>
      </c>
      <c r="T711" t="s">
        <v>60</v>
      </c>
    </row>
    <row r="712" spans="1:20" hidden="1">
      <c r="A712" t="s">
        <v>784</v>
      </c>
      <c r="B712" s="5">
        <v>45969</v>
      </c>
      <c r="C712" s="8">
        <f>YEAR(Tabla2[[#This Row],[fecha]])</f>
        <v>2025</v>
      </c>
      <c r="D712" s="8">
        <f>MONTH(Tabla2[[#This Row],[fecha]])</f>
        <v>11</v>
      </c>
      <c r="E712" s="8" t="str">
        <f>TEXT(Tabla2[[#This Row],[fecha]], "mmmm")</f>
        <v>noviembre</v>
      </c>
      <c r="F712" s="8" t="str">
        <f>"T"&amp;ROUNDUP(Tabla2[[#This Row],[mes]]/3,0)</f>
        <v>T4</v>
      </c>
      <c r="G712" t="s">
        <v>27</v>
      </c>
      <c r="H712" t="s">
        <v>28</v>
      </c>
      <c r="I712" s="8" t="str">
        <f>IF(Tabla2[[#This Row],[precio_unitario]]&lt;=30,"Económico",IF(Tabla2[[#This Row],[precio_unitario]]&lt;=58.49,"Accesible","Caro"))</f>
        <v>Económico</v>
      </c>
      <c r="J712" t="s">
        <v>26</v>
      </c>
      <c r="K712">
        <v>1</v>
      </c>
      <c r="L712" s="19">
        <v>16.7</v>
      </c>
      <c r="M712" s="19">
        <v>11.99</v>
      </c>
      <c r="N712" s="11">
        <v>0</v>
      </c>
      <c r="O712" s="17">
        <f t="shared" si="47"/>
        <v>16.7</v>
      </c>
      <c r="P712" s="17">
        <f t="shared" si="44"/>
        <v>11.99</v>
      </c>
      <c r="Q712" s="17">
        <f t="shared" si="45"/>
        <v>4.7099999999999991</v>
      </c>
      <c r="R712" s="24">
        <f t="shared" si="46"/>
        <v>0.28203592814371253</v>
      </c>
      <c r="S712" t="s">
        <v>83</v>
      </c>
      <c r="T712" t="s">
        <v>64</v>
      </c>
    </row>
    <row r="713" spans="1:20" hidden="1">
      <c r="A713" t="s">
        <v>785</v>
      </c>
      <c r="B713" s="5">
        <v>45857</v>
      </c>
      <c r="C713" s="8">
        <f>YEAR(Tabla2[[#This Row],[fecha]])</f>
        <v>2025</v>
      </c>
      <c r="D713" s="8">
        <f>MONTH(Tabla2[[#This Row],[fecha]])</f>
        <v>7</v>
      </c>
      <c r="E713" s="8" t="str">
        <f>TEXT(Tabla2[[#This Row],[fecha]], "mmmm")</f>
        <v>julio</v>
      </c>
      <c r="F713" s="8" t="str">
        <f>"T"&amp;ROUNDUP(Tabla2[[#This Row],[mes]]/3,0)</f>
        <v>T3</v>
      </c>
      <c r="G713" t="s">
        <v>6</v>
      </c>
      <c r="H713" t="s">
        <v>7</v>
      </c>
      <c r="I713" s="8" t="str">
        <f>IF(Tabla2[[#This Row],[precio_unitario]]&lt;=30,"Económico",IF(Tabla2[[#This Row],[precio_unitario]]&lt;=58.49,"Accesible","Caro"))</f>
        <v>Caro</v>
      </c>
      <c r="J713" t="s">
        <v>8</v>
      </c>
      <c r="K713">
        <v>1</v>
      </c>
      <c r="L713" s="19">
        <v>118.12</v>
      </c>
      <c r="M713" s="19">
        <v>86.04</v>
      </c>
      <c r="N713" s="11">
        <v>0</v>
      </c>
      <c r="O713" s="17">
        <f t="shared" si="47"/>
        <v>118.12</v>
      </c>
      <c r="P713" s="17">
        <f t="shared" si="44"/>
        <v>86.04</v>
      </c>
      <c r="Q713" s="17">
        <f t="shared" si="45"/>
        <v>32.08</v>
      </c>
      <c r="R713" s="24">
        <f t="shared" si="46"/>
        <v>0.2715882153741957</v>
      </c>
      <c r="S713" t="s">
        <v>540</v>
      </c>
      <c r="T713" t="s">
        <v>60</v>
      </c>
    </row>
    <row r="714" spans="1:20" hidden="1">
      <c r="A714" t="s">
        <v>786</v>
      </c>
      <c r="B714" s="5">
        <v>45635</v>
      </c>
      <c r="C714" s="8">
        <f>YEAR(Tabla2[[#This Row],[fecha]])</f>
        <v>2024</v>
      </c>
      <c r="D714" s="8">
        <f>MONTH(Tabla2[[#This Row],[fecha]])</f>
        <v>12</v>
      </c>
      <c r="E714" s="8" t="str">
        <f>TEXT(Tabla2[[#This Row],[fecha]], "mmmm")</f>
        <v>diciembre</v>
      </c>
      <c r="F714" s="8" t="str">
        <f>"T"&amp;ROUNDUP(Tabla2[[#This Row],[mes]]/3,0)</f>
        <v>T4</v>
      </c>
      <c r="G714" t="s">
        <v>45</v>
      </c>
      <c r="H714" t="s">
        <v>46</v>
      </c>
      <c r="I714" s="8" t="str">
        <f>IF(Tabla2[[#This Row],[precio_unitario]]&lt;=30,"Económico",IF(Tabla2[[#This Row],[precio_unitario]]&lt;=58.49,"Accesible","Caro"))</f>
        <v>Accesible</v>
      </c>
      <c r="J714" t="s">
        <v>44</v>
      </c>
      <c r="K714">
        <v>3</v>
      </c>
      <c r="L714" s="19">
        <v>31.79</v>
      </c>
      <c r="M714" s="19">
        <v>17.41</v>
      </c>
      <c r="N714" s="11">
        <v>0.19</v>
      </c>
      <c r="O714" s="17">
        <f t="shared" si="47"/>
        <v>77.249700000000004</v>
      </c>
      <c r="P714" s="17">
        <f t="shared" si="44"/>
        <v>52.230000000000004</v>
      </c>
      <c r="Q714" s="17">
        <f t="shared" si="45"/>
        <v>25.0197</v>
      </c>
      <c r="R714" s="24">
        <f t="shared" si="46"/>
        <v>0.32388086944026967</v>
      </c>
      <c r="S714" t="s">
        <v>540</v>
      </c>
      <c r="T714" t="s">
        <v>154</v>
      </c>
    </row>
    <row r="715" spans="1:20" hidden="1">
      <c r="A715" t="s">
        <v>787</v>
      </c>
      <c r="B715" s="5">
        <v>45463</v>
      </c>
      <c r="C715" s="8">
        <f>YEAR(Tabla2[[#This Row],[fecha]])</f>
        <v>2024</v>
      </c>
      <c r="D715" s="8">
        <f>MONTH(Tabla2[[#This Row],[fecha]])</f>
        <v>6</v>
      </c>
      <c r="E715" s="8" t="str">
        <f>TEXT(Tabla2[[#This Row],[fecha]], "mmmm")</f>
        <v>junio</v>
      </c>
      <c r="F715" s="8" t="str">
        <f>"T"&amp;ROUNDUP(Tabla2[[#This Row],[mes]]/3,0)</f>
        <v>T2</v>
      </c>
      <c r="G715" t="s">
        <v>27</v>
      </c>
      <c r="H715" t="s">
        <v>28</v>
      </c>
      <c r="I715" s="8" t="str">
        <f>IF(Tabla2[[#This Row],[precio_unitario]]&lt;=30,"Económico",IF(Tabla2[[#This Row],[precio_unitario]]&lt;=58.49,"Accesible","Caro"))</f>
        <v>Económico</v>
      </c>
      <c r="J715" t="s">
        <v>26</v>
      </c>
      <c r="K715">
        <v>3</v>
      </c>
      <c r="L715" s="19">
        <v>16.170000000000002</v>
      </c>
      <c r="M715" s="19">
        <v>11.65</v>
      </c>
      <c r="N715" s="11">
        <v>0.3</v>
      </c>
      <c r="O715" s="17">
        <f t="shared" si="47"/>
        <v>33.957000000000001</v>
      </c>
      <c r="P715" s="17">
        <f t="shared" si="44"/>
        <v>34.950000000000003</v>
      </c>
      <c r="Q715" s="17">
        <f t="shared" si="45"/>
        <v>-0.9930000000000021</v>
      </c>
      <c r="R715" s="24">
        <f t="shared" si="46"/>
        <v>-2.9242865977559915E-2</v>
      </c>
      <c r="S715" t="s">
        <v>67</v>
      </c>
      <c r="T715" t="s">
        <v>60</v>
      </c>
    </row>
    <row r="716" spans="1:20" hidden="1">
      <c r="A716" t="s">
        <v>788</v>
      </c>
      <c r="B716" s="5">
        <v>45450</v>
      </c>
      <c r="C716" s="8">
        <f>YEAR(Tabla2[[#This Row],[fecha]])</f>
        <v>2024</v>
      </c>
      <c r="D716" s="8">
        <f>MONTH(Tabla2[[#This Row],[fecha]])</f>
        <v>6</v>
      </c>
      <c r="E716" s="8" t="str">
        <f>TEXT(Tabla2[[#This Row],[fecha]], "mmmm")</f>
        <v>junio</v>
      </c>
      <c r="F716" s="8" t="str">
        <f>"T"&amp;ROUNDUP(Tabla2[[#This Row],[mes]]/3,0)</f>
        <v>T2</v>
      </c>
      <c r="G716" t="s">
        <v>47</v>
      </c>
      <c r="H716" t="s">
        <v>48</v>
      </c>
      <c r="I716" s="8" t="str">
        <f>IF(Tabla2[[#This Row],[precio_unitario]]&lt;=30,"Económico",IF(Tabla2[[#This Row],[precio_unitario]]&lt;=58.49,"Accesible","Caro"))</f>
        <v>Caro</v>
      </c>
      <c r="J716" t="s">
        <v>44</v>
      </c>
      <c r="K716">
        <v>1</v>
      </c>
      <c r="L716" s="19">
        <v>63.12</v>
      </c>
      <c r="M716" s="21">
        <f>INDEX(Tabla3[coste_objetivo], MATCH(Tabla2[[#This Row],[id_producto]], Tabla3[id_producto],0))</f>
        <v>32.68</v>
      </c>
      <c r="N716" s="11">
        <v>0</v>
      </c>
      <c r="O716" s="17">
        <f t="shared" si="47"/>
        <v>63.12</v>
      </c>
      <c r="P716" s="17">
        <f t="shared" si="44"/>
        <v>32.68</v>
      </c>
      <c r="Q716" s="17">
        <f t="shared" si="45"/>
        <v>30.439999999999998</v>
      </c>
      <c r="R716" s="24">
        <f t="shared" si="46"/>
        <v>0.48225602027883396</v>
      </c>
      <c r="S716" t="s">
        <v>67</v>
      </c>
      <c r="T716" t="s">
        <v>64</v>
      </c>
    </row>
    <row r="717" spans="1:20" hidden="1">
      <c r="A717" t="s">
        <v>789</v>
      </c>
      <c r="B717" s="5">
        <v>45502</v>
      </c>
      <c r="C717" s="8">
        <f>YEAR(Tabla2[[#This Row],[fecha]])</f>
        <v>2024</v>
      </c>
      <c r="D717" s="8">
        <f>MONTH(Tabla2[[#This Row],[fecha]])</f>
        <v>7</v>
      </c>
      <c r="E717" s="8" t="str">
        <f>TEXT(Tabla2[[#This Row],[fecha]], "mmmm")</f>
        <v>julio</v>
      </c>
      <c r="F717" s="8" t="str">
        <f>"T"&amp;ROUNDUP(Tabla2[[#This Row],[mes]]/3,0)</f>
        <v>T3</v>
      </c>
      <c r="G717" t="s">
        <v>15</v>
      </c>
      <c r="H717" t="s">
        <v>16</v>
      </c>
      <c r="I717" s="8" t="str">
        <f>IF(Tabla2[[#This Row],[precio_unitario]]&lt;=30,"Económico",IF(Tabla2[[#This Row],[precio_unitario]]&lt;=58.49,"Accesible","Caro"))</f>
        <v>Caro</v>
      </c>
      <c r="J717" t="s">
        <v>17</v>
      </c>
      <c r="K717">
        <v>1</v>
      </c>
      <c r="L717" s="19">
        <v>61.22</v>
      </c>
      <c r="M717" s="19">
        <v>40.22</v>
      </c>
      <c r="N717" s="11">
        <v>0</v>
      </c>
      <c r="O717" s="17">
        <f t="shared" si="47"/>
        <v>61.22</v>
      </c>
      <c r="P717" s="17">
        <f t="shared" si="44"/>
        <v>40.22</v>
      </c>
      <c r="Q717" s="17">
        <f t="shared" si="45"/>
        <v>21</v>
      </c>
      <c r="R717" s="24">
        <f t="shared" si="46"/>
        <v>0.34302515517804638</v>
      </c>
      <c r="S717" t="s">
        <v>83</v>
      </c>
      <c r="T717" t="s">
        <v>64</v>
      </c>
    </row>
    <row r="718" spans="1:20" hidden="1">
      <c r="A718" t="s">
        <v>790</v>
      </c>
      <c r="B718" s="5">
        <v>45958</v>
      </c>
      <c r="C718" s="8">
        <f>YEAR(Tabla2[[#This Row],[fecha]])</f>
        <v>2025</v>
      </c>
      <c r="D718" s="8">
        <f>MONTH(Tabla2[[#This Row],[fecha]])</f>
        <v>10</v>
      </c>
      <c r="E718" s="8" t="str">
        <f>TEXT(Tabla2[[#This Row],[fecha]], "mmmm")</f>
        <v>octubre</v>
      </c>
      <c r="F718" s="8" t="str">
        <f>"T"&amp;ROUNDUP(Tabla2[[#This Row],[mes]]/3,0)</f>
        <v>T4</v>
      </c>
      <c r="G718" t="s">
        <v>31</v>
      </c>
      <c r="H718" t="s">
        <v>32</v>
      </c>
      <c r="I718" s="8" t="str">
        <f>IF(Tabla2[[#This Row],[precio_unitario]]&lt;=30,"Económico",IF(Tabla2[[#This Row],[precio_unitario]]&lt;=58.49,"Accesible","Caro"))</f>
        <v>Económico</v>
      </c>
      <c r="J718" t="s">
        <v>26</v>
      </c>
      <c r="K718">
        <v>1</v>
      </c>
      <c r="L718" s="19">
        <v>8.6300000000000008</v>
      </c>
      <c r="M718" s="19">
        <v>5.51</v>
      </c>
      <c r="N718" s="13">
        <v>0</v>
      </c>
      <c r="O718" s="17">
        <f t="shared" si="47"/>
        <v>8.6300000000000008</v>
      </c>
      <c r="P718" s="17">
        <f t="shared" si="44"/>
        <v>5.51</v>
      </c>
      <c r="Q718" s="17">
        <f t="shared" si="45"/>
        <v>3.120000000000001</v>
      </c>
      <c r="R718" s="24">
        <f t="shared" si="46"/>
        <v>0.36152954808806498</v>
      </c>
      <c r="S718" t="s">
        <v>96</v>
      </c>
      <c r="T718" t="s">
        <v>64</v>
      </c>
    </row>
    <row r="719" spans="1:20" hidden="1">
      <c r="A719" t="s">
        <v>791</v>
      </c>
      <c r="B719" s="5">
        <v>45298</v>
      </c>
      <c r="C719" s="8">
        <f>YEAR(Tabla2[[#This Row],[fecha]])</f>
        <v>2024</v>
      </c>
      <c r="D719" s="8">
        <f>MONTH(Tabla2[[#This Row],[fecha]])</f>
        <v>1</v>
      </c>
      <c r="E719" s="8" t="str">
        <f>TEXT(Tabla2[[#This Row],[fecha]], "mmmm")</f>
        <v>enero</v>
      </c>
      <c r="F719" s="8" t="str">
        <f>"T"&amp;ROUNDUP(Tabla2[[#This Row],[mes]]/3,0)</f>
        <v>T1</v>
      </c>
      <c r="G719" t="s">
        <v>9</v>
      </c>
      <c r="H719" t="s">
        <v>10</v>
      </c>
      <c r="I719" s="8" t="str">
        <f>IF(Tabla2[[#This Row],[precio_unitario]]&lt;=30,"Económico",IF(Tabla2[[#This Row],[precio_unitario]]&lt;=58.49,"Accesible","Caro"))</f>
        <v>Caro</v>
      </c>
      <c r="J719" t="s">
        <v>8</v>
      </c>
      <c r="K719">
        <v>1</v>
      </c>
      <c r="L719" s="19">
        <v>68</v>
      </c>
      <c r="M719" s="19">
        <v>47.26</v>
      </c>
      <c r="N719" s="11">
        <v>0</v>
      </c>
      <c r="O719" s="17">
        <f t="shared" si="47"/>
        <v>68</v>
      </c>
      <c r="P719" s="17">
        <f t="shared" si="44"/>
        <v>47.26</v>
      </c>
      <c r="Q719" s="17">
        <f t="shared" si="45"/>
        <v>20.740000000000002</v>
      </c>
      <c r="R719" s="24">
        <f t="shared" si="46"/>
        <v>0.30500000000000005</v>
      </c>
      <c r="S719" t="s">
        <v>540</v>
      </c>
      <c r="T719" t="s">
        <v>64</v>
      </c>
    </row>
    <row r="720" spans="1:20" hidden="1">
      <c r="A720" t="s">
        <v>792</v>
      </c>
      <c r="B720" s="5">
        <v>45373</v>
      </c>
      <c r="C720" s="8">
        <f>YEAR(Tabla2[[#This Row],[fecha]])</f>
        <v>2024</v>
      </c>
      <c r="D720" s="8">
        <f>MONTH(Tabla2[[#This Row],[fecha]])</f>
        <v>3</v>
      </c>
      <c r="E720" s="8" t="str">
        <f>TEXT(Tabla2[[#This Row],[fecha]], "mmmm")</f>
        <v>marzo</v>
      </c>
      <c r="F720" s="8" t="str">
        <f>"T"&amp;ROUNDUP(Tabla2[[#This Row],[mes]]/3,0)</f>
        <v>T1</v>
      </c>
      <c r="G720" t="s">
        <v>6</v>
      </c>
      <c r="H720" t="s">
        <v>7</v>
      </c>
      <c r="I720" s="8" t="str">
        <f>IF(Tabla2[[#This Row],[precio_unitario]]&lt;=30,"Económico",IF(Tabla2[[#This Row],[precio_unitario]]&lt;=58.49,"Accesible","Caro"))</f>
        <v>Caro</v>
      </c>
      <c r="J720" t="s">
        <v>8</v>
      </c>
      <c r="K720">
        <v>1</v>
      </c>
      <c r="L720" s="19">
        <v>131.43</v>
      </c>
      <c r="M720" s="19">
        <v>86</v>
      </c>
      <c r="N720" s="11">
        <v>0</v>
      </c>
      <c r="O720" s="17">
        <f t="shared" si="47"/>
        <v>131.43</v>
      </c>
      <c r="P720" s="17">
        <f t="shared" si="44"/>
        <v>86</v>
      </c>
      <c r="Q720" s="17">
        <f t="shared" si="45"/>
        <v>45.430000000000007</v>
      </c>
      <c r="R720" s="24">
        <f t="shared" si="46"/>
        <v>0.34565928631210535</v>
      </c>
      <c r="S720" t="s">
        <v>67</v>
      </c>
      <c r="T720" t="s">
        <v>60</v>
      </c>
    </row>
    <row r="721" spans="1:20" hidden="1">
      <c r="A721" t="s">
        <v>793</v>
      </c>
      <c r="B721" s="5">
        <v>45874</v>
      </c>
      <c r="C721" s="8">
        <f>YEAR(Tabla2[[#This Row],[fecha]])</f>
        <v>2025</v>
      </c>
      <c r="D721" s="8">
        <f>MONTH(Tabla2[[#This Row],[fecha]])</f>
        <v>8</v>
      </c>
      <c r="E721" s="8" t="str">
        <f>TEXT(Tabla2[[#This Row],[fecha]], "mmmm")</f>
        <v>agosto</v>
      </c>
      <c r="F721" s="8" t="str">
        <f>"T"&amp;ROUNDUP(Tabla2[[#This Row],[mes]]/3,0)</f>
        <v>T3</v>
      </c>
      <c r="G721" t="s">
        <v>6</v>
      </c>
      <c r="H721" t="s">
        <v>7</v>
      </c>
      <c r="I721" s="8" t="str">
        <f>IF(Tabla2[[#This Row],[precio_unitario]]&lt;=30,"Económico",IF(Tabla2[[#This Row],[precio_unitario]]&lt;=58.49,"Accesible","Caro"))</f>
        <v>Caro</v>
      </c>
      <c r="J721" t="s">
        <v>8</v>
      </c>
      <c r="K721">
        <v>6</v>
      </c>
      <c r="L721" s="19">
        <v>115.15</v>
      </c>
      <c r="M721" s="19">
        <v>84.54</v>
      </c>
      <c r="N721" s="11">
        <v>0</v>
      </c>
      <c r="O721" s="17">
        <f t="shared" si="47"/>
        <v>690.90000000000009</v>
      </c>
      <c r="P721" s="17">
        <f t="shared" si="44"/>
        <v>507.24</v>
      </c>
      <c r="Q721" s="17">
        <f t="shared" si="45"/>
        <v>183.66000000000008</v>
      </c>
      <c r="R721" s="24">
        <f t="shared" si="46"/>
        <v>0.26582718193660454</v>
      </c>
      <c r="S721" t="s">
        <v>96</v>
      </c>
      <c r="T721" t="s">
        <v>60</v>
      </c>
    </row>
    <row r="722" spans="1:20" hidden="1">
      <c r="A722" t="s">
        <v>794</v>
      </c>
      <c r="B722" s="5">
        <v>45766</v>
      </c>
      <c r="C722" s="8">
        <f>YEAR(Tabla2[[#This Row],[fecha]])</f>
        <v>2025</v>
      </c>
      <c r="D722" s="8">
        <f>MONTH(Tabla2[[#This Row],[fecha]])</f>
        <v>4</v>
      </c>
      <c r="E722" s="8" t="str">
        <f>TEXT(Tabla2[[#This Row],[fecha]], "mmmm")</f>
        <v>abril</v>
      </c>
      <c r="F722" s="8" t="str">
        <f>"T"&amp;ROUNDUP(Tabla2[[#This Row],[mes]]/3,0)</f>
        <v>T2</v>
      </c>
      <c r="G722" t="s">
        <v>33</v>
      </c>
      <c r="H722" t="s">
        <v>34</v>
      </c>
      <c r="I722" s="8" t="str">
        <f>IF(Tabla2[[#This Row],[precio_unitario]]&lt;=30,"Económico",IF(Tabla2[[#This Row],[precio_unitario]]&lt;=58.49,"Accesible","Caro"))</f>
        <v>Caro</v>
      </c>
      <c r="J722" t="s">
        <v>35</v>
      </c>
      <c r="K722">
        <v>1</v>
      </c>
      <c r="L722" s="19">
        <v>80.040000000000006</v>
      </c>
      <c r="M722" s="19">
        <v>45.87</v>
      </c>
      <c r="N722" s="11">
        <v>0</v>
      </c>
      <c r="O722" s="17">
        <f t="shared" si="47"/>
        <v>80.040000000000006</v>
      </c>
      <c r="P722" s="17">
        <f t="shared" si="44"/>
        <v>45.87</v>
      </c>
      <c r="Q722" s="17">
        <f t="shared" si="45"/>
        <v>34.170000000000009</v>
      </c>
      <c r="R722" s="24">
        <f t="shared" si="46"/>
        <v>0.42691154422788613</v>
      </c>
      <c r="S722" t="s">
        <v>83</v>
      </c>
      <c r="T722" t="s">
        <v>64</v>
      </c>
    </row>
    <row r="723" spans="1:20" hidden="1">
      <c r="A723" t="s">
        <v>795</v>
      </c>
      <c r="B723" s="5">
        <v>45780</v>
      </c>
      <c r="C723" s="8">
        <f>YEAR(Tabla2[[#This Row],[fecha]])</f>
        <v>2025</v>
      </c>
      <c r="D723" s="8">
        <f>MONTH(Tabla2[[#This Row],[fecha]])</f>
        <v>5</v>
      </c>
      <c r="E723" s="8" t="str">
        <f>TEXT(Tabla2[[#This Row],[fecha]], "mmmm")</f>
        <v>mayo</v>
      </c>
      <c r="F723" s="8" t="str">
        <f>"T"&amp;ROUNDUP(Tabla2[[#This Row],[mes]]/3,0)</f>
        <v>T2</v>
      </c>
      <c r="G723" t="s">
        <v>47</v>
      </c>
      <c r="H723" t="s">
        <v>48</v>
      </c>
      <c r="I723" s="8" t="str">
        <f>IF(Tabla2[[#This Row],[precio_unitario]]&lt;=30,"Económico",IF(Tabla2[[#This Row],[precio_unitario]]&lt;=58.49,"Accesible","Caro"))</f>
        <v>Caro</v>
      </c>
      <c r="J723" t="s">
        <v>44</v>
      </c>
      <c r="K723">
        <v>6</v>
      </c>
      <c r="L723" s="19">
        <v>60.69</v>
      </c>
      <c r="M723" s="19">
        <v>31.69</v>
      </c>
      <c r="N723" s="11">
        <v>7.0000000000000007E-2</v>
      </c>
      <c r="O723" s="17">
        <f t="shared" si="47"/>
        <v>338.65019999999998</v>
      </c>
      <c r="P723" s="17">
        <f t="shared" si="44"/>
        <v>190.14000000000001</v>
      </c>
      <c r="Q723" s="17">
        <f t="shared" si="45"/>
        <v>148.51019999999997</v>
      </c>
      <c r="R723" s="24">
        <f t="shared" si="46"/>
        <v>0.438535692581903</v>
      </c>
      <c r="S723" t="s">
        <v>540</v>
      </c>
      <c r="T723" t="s">
        <v>64</v>
      </c>
    </row>
    <row r="724" spans="1:20" hidden="1">
      <c r="A724" t="s">
        <v>796</v>
      </c>
      <c r="B724" s="5">
        <v>45723</v>
      </c>
      <c r="C724" s="8">
        <f>YEAR(Tabla2[[#This Row],[fecha]])</f>
        <v>2025</v>
      </c>
      <c r="D724" s="8">
        <f>MONTH(Tabla2[[#This Row],[fecha]])</f>
        <v>3</v>
      </c>
      <c r="E724" s="8" t="str">
        <f>TEXT(Tabla2[[#This Row],[fecha]], "mmmm")</f>
        <v>marzo</v>
      </c>
      <c r="F724" s="8" t="str">
        <f>"T"&amp;ROUNDUP(Tabla2[[#This Row],[mes]]/3,0)</f>
        <v>T1</v>
      </c>
      <c r="G724" t="s">
        <v>24</v>
      </c>
      <c r="H724" t="s">
        <v>25</v>
      </c>
      <c r="I724" s="8" t="str">
        <f>IF(Tabla2[[#This Row],[precio_unitario]]&lt;=30,"Económico",IF(Tabla2[[#This Row],[precio_unitario]]&lt;=58.49,"Accesible","Caro"))</f>
        <v>Económico</v>
      </c>
      <c r="J724" t="s">
        <v>26</v>
      </c>
      <c r="K724" s="10">
        <v>1</v>
      </c>
      <c r="L724" s="19">
        <v>7.62</v>
      </c>
      <c r="M724" s="19">
        <v>4.28</v>
      </c>
      <c r="N724" s="11">
        <v>0</v>
      </c>
      <c r="O724" s="17">
        <f t="shared" si="47"/>
        <v>7.62</v>
      </c>
      <c r="P724" s="17">
        <f t="shared" si="44"/>
        <v>4.28</v>
      </c>
      <c r="Q724" s="17">
        <f t="shared" si="45"/>
        <v>3.34</v>
      </c>
      <c r="R724" s="24">
        <f t="shared" si="46"/>
        <v>0.43832020997375326</v>
      </c>
      <c r="S724" t="s">
        <v>63</v>
      </c>
      <c r="T724" t="s">
        <v>64</v>
      </c>
    </row>
    <row r="725" spans="1:20" hidden="1">
      <c r="A725" t="s">
        <v>797</v>
      </c>
      <c r="B725" s="5">
        <v>45647</v>
      </c>
      <c r="C725" s="8">
        <f>YEAR(Tabla2[[#This Row],[fecha]])</f>
        <v>2024</v>
      </c>
      <c r="D725" s="8">
        <f>MONTH(Tabla2[[#This Row],[fecha]])</f>
        <v>12</v>
      </c>
      <c r="E725" s="8" t="str">
        <f>TEXT(Tabla2[[#This Row],[fecha]], "mmmm")</f>
        <v>diciembre</v>
      </c>
      <c r="F725" s="8" t="str">
        <f>"T"&amp;ROUNDUP(Tabla2[[#This Row],[mes]]/3,0)</f>
        <v>T4</v>
      </c>
      <c r="G725" t="s">
        <v>6</v>
      </c>
      <c r="H725" t="s">
        <v>7</v>
      </c>
      <c r="I725" s="8" t="str">
        <f>IF(Tabla2[[#This Row],[precio_unitario]]&lt;=30,"Económico",IF(Tabla2[[#This Row],[precio_unitario]]&lt;=58.49,"Accesible","Caro"))</f>
        <v>Caro</v>
      </c>
      <c r="J725" t="s">
        <v>8</v>
      </c>
      <c r="K725">
        <v>1</v>
      </c>
      <c r="L725" s="19">
        <v>118.5</v>
      </c>
      <c r="M725" s="19">
        <v>85.63</v>
      </c>
      <c r="N725" s="11">
        <v>0</v>
      </c>
      <c r="O725" s="17">
        <f t="shared" si="47"/>
        <v>118.5</v>
      </c>
      <c r="P725" s="17">
        <f t="shared" si="44"/>
        <v>85.63</v>
      </c>
      <c r="Q725" s="17">
        <f t="shared" si="45"/>
        <v>32.870000000000005</v>
      </c>
      <c r="R725" s="24">
        <f t="shared" si="46"/>
        <v>0.27738396624472578</v>
      </c>
      <c r="S725" t="s">
        <v>96</v>
      </c>
      <c r="T725" t="s">
        <v>64</v>
      </c>
    </row>
    <row r="726" spans="1:20" hidden="1">
      <c r="A726" t="s">
        <v>798</v>
      </c>
      <c r="B726" s="5">
        <v>45523</v>
      </c>
      <c r="C726" s="8">
        <f>YEAR(Tabla2[[#This Row],[fecha]])</f>
        <v>2024</v>
      </c>
      <c r="D726" s="8">
        <f>MONTH(Tabla2[[#This Row],[fecha]])</f>
        <v>8</v>
      </c>
      <c r="E726" s="8" t="str">
        <f>TEXT(Tabla2[[#This Row],[fecha]], "mmmm")</f>
        <v>agosto</v>
      </c>
      <c r="F726" s="8" t="str">
        <f>"T"&amp;ROUNDUP(Tabla2[[#This Row],[mes]]/3,0)</f>
        <v>T3</v>
      </c>
      <c r="G726" t="s">
        <v>38</v>
      </c>
      <c r="H726" t="s">
        <v>39</v>
      </c>
      <c r="I726" s="8" t="str">
        <f>IF(Tabla2[[#This Row],[precio_unitario]]&lt;=30,"Económico",IF(Tabla2[[#This Row],[precio_unitario]]&lt;=58.49,"Accesible","Caro"))</f>
        <v>Caro</v>
      </c>
      <c r="J726" t="s">
        <v>35</v>
      </c>
      <c r="K726">
        <v>1</v>
      </c>
      <c r="L726" s="19">
        <v>77.5</v>
      </c>
      <c r="M726" s="19">
        <v>43.56</v>
      </c>
      <c r="N726" s="11">
        <v>0.3</v>
      </c>
      <c r="O726" s="17">
        <f t="shared" si="47"/>
        <v>54.25</v>
      </c>
      <c r="P726" s="17">
        <f t="shared" si="44"/>
        <v>43.56</v>
      </c>
      <c r="Q726" s="17">
        <f t="shared" si="45"/>
        <v>10.689999999999998</v>
      </c>
      <c r="R726" s="24">
        <f t="shared" si="46"/>
        <v>0.1970506912442396</v>
      </c>
      <c r="S726" t="s">
        <v>83</v>
      </c>
      <c r="T726" t="s">
        <v>60</v>
      </c>
    </row>
    <row r="727" spans="1:20" hidden="1">
      <c r="A727" t="s">
        <v>799</v>
      </c>
      <c r="B727" s="5">
        <v>45549</v>
      </c>
      <c r="C727" s="8">
        <f>YEAR(Tabla2[[#This Row],[fecha]])</f>
        <v>2024</v>
      </c>
      <c r="D727" s="8">
        <f>MONTH(Tabla2[[#This Row],[fecha]])</f>
        <v>9</v>
      </c>
      <c r="E727" s="8" t="str">
        <f>TEXT(Tabla2[[#This Row],[fecha]], "mmmm")</f>
        <v>septiembre</v>
      </c>
      <c r="F727" s="8" t="str">
        <f>"T"&amp;ROUNDUP(Tabla2[[#This Row],[mes]]/3,0)</f>
        <v>T3</v>
      </c>
      <c r="G727" t="s">
        <v>9</v>
      </c>
      <c r="H727" t="s">
        <v>10</v>
      </c>
      <c r="I727" s="8" t="str">
        <f>IF(Tabla2[[#This Row],[precio_unitario]]&lt;=30,"Económico",IF(Tabla2[[#This Row],[precio_unitario]]&lt;=58.49,"Accesible","Caro"))</f>
        <v>Caro</v>
      </c>
      <c r="J727" t="s">
        <v>8</v>
      </c>
      <c r="K727">
        <v>6</v>
      </c>
      <c r="L727" s="19">
        <v>79.209999999999994</v>
      </c>
      <c r="M727" s="19">
        <v>47.52</v>
      </c>
      <c r="N727" s="11">
        <v>0</v>
      </c>
      <c r="O727" s="17">
        <f t="shared" si="47"/>
        <v>475.26</v>
      </c>
      <c r="P727" s="17">
        <f t="shared" si="44"/>
        <v>285.12</v>
      </c>
      <c r="Q727" s="17">
        <f t="shared" si="45"/>
        <v>190.14</v>
      </c>
      <c r="R727" s="24">
        <f t="shared" si="46"/>
        <v>0.40007574801161466</v>
      </c>
      <c r="S727" t="s">
        <v>67</v>
      </c>
      <c r="T727" t="s">
        <v>64</v>
      </c>
    </row>
    <row r="728" spans="1:20" hidden="1">
      <c r="A728" t="s">
        <v>800</v>
      </c>
      <c r="B728" s="5">
        <v>45471</v>
      </c>
      <c r="C728" s="8">
        <f>YEAR(Tabla2[[#This Row],[fecha]])</f>
        <v>2024</v>
      </c>
      <c r="D728" s="8">
        <f>MONTH(Tabla2[[#This Row],[fecha]])</f>
        <v>6</v>
      </c>
      <c r="E728" s="8" t="str">
        <f>TEXT(Tabla2[[#This Row],[fecha]], "mmmm")</f>
        <v>junio</v>
      </c>
      <c r="F728" s="8" t="str">
        <f>"T"&amp;ROUNDUP(Tabla2[[#This Row],[mes]]/3,0)</f>
        <v>T2</v>
      </c>
      <c r="G728" t="s">
        <v>42</v>
      </c>
      <c r="H728" t="s">
        <v>43</v>
      </c>
      <c r="I728" s="8" t="str">
        <f>IF(Tabla2[[#This Row],[precio_unitario]]&lt;=30,"Económico",IF(Tabla2[[#This Row],[precio_unitario]]&lt;=58.49,"Accesible","Caro"))</f>
        <v>Accesible</v>
      </c>
      <c r="J728" t="s">
        <v>44</v>
      </c>
      <c r="K728">
        <v>2</v>
      </c>
      <c r="L728" s="19">
        <v>47.83</v>
      </c>
      <c r="M728" s="19">
        <v>21.65</v>
      </c>
      <c r="N728" s="11">
        <v>0</v>
      </c>
      <c r="O728" s="17">
        <f t="shared" si="47"/>
        <v>95.66</v>
      </c>
      <c r="P728" s="17">
        <f t="shared" si="44"/>
        <v>43.3</v>
      </c>
      <c r="Q728" s="17">
        <f t="shared" si="45"/>
        <v>52.36</v>
      </c>
      <c r="R728" s="24">
        <f t="shared" si="46"/>
        <v>0.54735521639138618</v>
      </c>
      <c r="S728" t="s">
        <v>67</v>
      </c>
      <c r="T728" t="s">
        <v>64</v>
      </c>
    </row>
    <row r="729" spans="1:20" hidden="1">
      <c r="A729" t="s">
        <v>801</v>
      </c>
      <c r="B729" s="5">
        <v>45614</v>
      </c>
      <c r="C729" s="8">
        <f>YEAR(Tabla2[[#This Row],[fecha]])</f>
        <v>2024</v>
      </c>
      <c r="D729" s="8">
        <f>MONTH(Tabla2[[#This Row],[fecha]])</f>
        <v>11</v>
      </c>
      <c r="E729" s="8" t="str">
        <f>TEXT(Tabla2[[#This Row],[fecha]], "mmmm")</f>
        <v>noviembre</v>
      </c>
      <c r="F729" s="8" t="str">
        <f>"T"&amp;ROUNDUP(Tabla2[[#This Row],[mes]]/3,0)</f>
        <v>T4</v>
      </c>
      <c r="G729" t="s">
        <v>47</v>
      </c>
      <c r="H729" t="s">
        <v>48</v>
      </c>
      <c r="I729" s="8" t="str">
        <f>IF(Tabla2[[#This Row],[precio_unitario]]&lt;=30,"Económico",IF(Tabla2[[#This Row],[precio_unitario]]&lt;=58.49,"Accesible","Caro"))</f>
        <v>Caro</v>
      </c>
      <c r="J729" t="s">
        <v>44</v>
      </c>
      <c r="K729">
        <v>1</v>
      </c>
      <c r="L729" s="19">
        <v>61.75</v>
      </c>
      <c r="M729" s="19">
        <v>32.81</v>
      </c>
      <c r="N729" s="11">
        <v>0</v>
      </c>
      <c r="O729" s="17">
        <f t="shared" si="47"/>
        <v>61.75</v>
      </c>
      <c r="P729" s="17">
        <f t="shared" si="44"/>
        <v>32.81</v>
      </c>
      <c r="Q729" s="17">
        <f t="shared" si="45"/>
        <v>28.939999999999998</v>
      </c>
      <c r="R729" s="24">
        <f t="shared" si="46"/>
        <v>0.468663967611336</v>
      </c>
      <c r="S729" t="s">
        <v>67</v>
      </c>
      <c r="T729" t="s">
        <v>64</v>
      </c>
    </row>
    <row r="730" spans="1:20" hidden="1">
      <c r="A730" t="s">
        <v>802</v>
      </c>
      <c r="B730" s="5">
        <v>45394</v>
      </c>
      <c r="C730" s="8">
        <f>YEAR(Tabla2[[#This Row],[fecha]])</f>
        <v>2024</v>
      </c>
      <c r="D730" s="8">
        <f>MONTH(Tabla2[[#This Row],[fecha]])</f>
        <v>4</v>
      </c>
      <c r="E730" s="8" t="str">
        <f>TEXT(Tabla2[[#This Row],[fecha]], "mmmm")</f>
        <v>abril</v>
      </c>
      <c r="F730" s="8" t="str">
        <f>"T"&amp;ROUNDUP(Tabla2[[#This Row],[mes]]/3,0)</f>
        <v>T2</v>
      </c>
      <c r="G730" t="s">
        <v>29</v>
      </c>
      <c r="H730" t="s">
        <v>30</v>
      </c>
      <c r="I730" s="8" t="str">
        <f>IF(Tabla2[[#This Row],[precio_unitario]]&lt;=30,"Económico",IF(Tabla2[[#This Row],[precio_unitario]]&lt;=58.49,"Accesible","Caro"))</f>
        <v>Económico</v>
      </c>
      <c r="J730" t="s">
        <v>26</v>
      </c>
      <c r="K730">
        <v>4</v>
      </c>
      <c r="L730" s="19">
        <v>21.91</v>
      </c>
      <c r="M730" s="19">
        <v>11.25</v>
      </c>
      <c r="N730" s="11">
        <v>0</v>
      </c>
      <c r="O730" s="17">
        <f t="shared" si="47"/>
        <v>87.64</v>
      </c>
      <c r="P730" s="17">
        <f t="shared" si="44"/>
        <v>45</v>
      </c>
      <c r="Q730" s="17">
        <f t="shared" si="45"/>
        <v>42.64</v>
      </c>
      <c r="R730" s="24">
        <f t="shared" si="46"/>
        <v>0.48653582838886356</v>
      </c>
      <c r="S730" t="s">
        <v>540</v>
      </c>
      <c r="T730" t="s">
        <v>64</v>
      </c>
    </row>
    <row r="731" spans="1:20" hidden="1">
      <c r="A731" t="s">
        <v>803</v>
      </c>
      <c r="B731" s="5">
        <v>45351</v>
      </c>
      <c r="C731" s="8">
        <f>YEAR(Tabla2[[#This Row],[fecha]])</f>
        <v>2024</v>
      </c>
      <c r="D731" s="8">
        <f>MONTH(Tabla2[[#This Row],[fecha]])</f>
        <v>2</v>
      </c>
      <c r="E731" s="8" t="str">
        <f>TEXT(Tabla2[[#This Row],[fecha]], "mmmm")</f>
        <v>febrero</v>
      </c>
      <c r="F731" s="8" t="str">
        <f>"T"&amp;ROUNDUP(Tabla2[[#This Row],[mes]]/3,0)</f>
        <v>T1</v>
      </c>
      <c r="G731" t="s">
        <v>38</v>
      </c>
      <c r="H731" t="s">
        <v>39</v>
      </c>
      <c r="I731" s="8" t="str">
        <f>IF(Tabla2[[#This Row],[precio_unitario]]&lt;=30,"Económico",IF(Tabla2[[#This Row],[precio_unitario]]&lt;=58.49,"Accesible","Caro"))</f>
        <v>Caro</v>
      </c>
      <c r="J731" t="s">
        <v>35</v>
      </c>
      <c r="K731">
        <v>3</v>
      </c>
      <c r="L731" s="19">
        <v>74.599999999999994</v>
      </c>
      <c r="M731" s="19">
        <v>41.52</v>
      </c>
      <c r="N731" s="11">
        <v>0</v>
      </c>
      <c r="O731" s="17">
        <f t="shared" si="47"/>
        <v>223.79999999999998</v>
      </c>
      <c r="P731" s="17">
        <f t="shared" si="44"/>
        <v>124.56</v>
      </c>
      <c r="Q731" s="17">
        <f t="shared" si="45"/>
        <v>99.239999999999981</v>
      </c>
      <c r="R731" s="24">
        <f t="shared" si="46"/>
        <v>0.44343163538873992</v>
      </c>
      <c r="S731" t="s">
        <v>83</v>
      </c>
      <c r="T731" t="s">
        <v>64</v>
      </c>
    </row>
    <row r="732" spans="1:20" hidden="1">
      <c r="A732" t="s">
        <v>804</v>
      </c>
      <c r="B732" s="5">
        <v>45682</v>
      </c>
      <c r="C732" s="8">
        <f>YEAR(Tabla2[[#This Row],[fecha]])</f>
        <v>2025</v>
      </c>
      <c r="D732" s="8">
        <f>MONTH(Tabla2[[#This Row],[fecha]])</f>
        <v>1</v>
      </c>
      <c r="E732" s="8" t="str">
        <f>TEXT(Tabla2[[#This Row],[fecha]], "mmmm")</f>
        <v>enero</v>
      </c>
      <c r="F732" s="8" t="str">
        <f>"T"&amp;ROUNDUP(Tabla2[[#This Row],[mes]]/3,0)</f>
        <v>T1</v>
      </c>
      <c r="G732" t="s">
        <v>47</v>
      </c>
      <c r="H732" t="s">
        <v>48</v>
      </c>
      <c r="I732" s="8" t="str">
        <f>IF(Tabla2[[#This Row],[precio_unitario]]&lt;=30,"Económico",IF(Tabla2[[#This Row],[precio_unitario]]&lt;=58.49,"Accesible","Caro"))</f>
        <v>Accesible</v>
      </c>
      <c r="J732" t="s">
        <v>44</v>
      </c>
      <c r="K732">
        <v>1</v>
      </c>
      <c r="L732" s="19">
        <v>54.9</v>
      </c>
      <c r="M732" s="19">
        <v>33.94</v>
      </c>
      <c r="N732" s="11">
        <v>0</v>
      </c>
      <c r="O732" s="17">
        <f t="shared" si="47"/>
        <v>54.9</v>
      </c>
      <c r="P732" s="17">
        <f t="shared" si="44"/>
        <v>33.94</v>
      </c>
      <c r="Q732" s="17">
        <f t="shared" si="45"/>
        <v>20.96</v>
      </c>
      <c r="R732" s="24">
        <f t="shared" si="46"/>
        <v>0.38178506375227689</v>
      </c>
      <c r="S732" t="s">
        <v>63</v>
      </c>
      <c r="T732" t="s">
        <v>64</v>
      </c>
    </row>
    <row r="733" spans="1:20" hidden="1">
      <c r="A733" t="s">
        <v>805</v>
      </c>
      <c r="B733" s="5">
        <v>45658</v>
      </c>
      <c r="C733" s="8">
        <f>YEAR(Tabla2[[#This Row],[fecha]])</f>
        <v>2025</v>
      </c>
      <c r="D733" s="8">
        <f>MONTH(Tabla2[[#This Row],[fecha]])</f>
        <v>1</v>
      </c>
      <c r="E733" s="8" t="str">
        <f>TEXT(Tabla2[[#This Row],[fecha]], "mmmm")</f>
        <v>enero</v>
      </c>
      <c r="F733" s="8" t="str">
        <f>"T"&amp;ROUNDUP(Tabla2[[#This Row],[mes]]/3,0)</f>
        <v>T1</v>
      </c>
      <c r="G733" t="s">
        <v>29</v>
      </c>
      <c r="H733" t="s">
        <v>30</v>
      </c>
      <c r="I733" s="8" t="str">
        <f>IF(Tabla2[[#This Row],[precio_unitario]]&lt;=30,"Económico",IF(Tabla2[[#This Row],[precio_unitario]]&lt;=58.49,"Accesible","Caro"))</f>
        <v>Económico</v>
      </c>
      <c r="J733" t="s">
        <v>26</v>
      </c>
      <c r="K733">
        <v>2</v>
      </c>
      <c r="L733" s="19">
        <v>20.16</v>
      </c>
      <c r="M733" s="19">
        <v>11.45</v>
      </c>
      <c r="N733" s="11">
        <v>0.05</v>
      </c>
      <c r="O733" s="17">
        <f t="shared" si="47"/>
        <v>38.303999999999995</v>
      </c>
      <c r="P733" s="17">
        <f t="shared" si="44"/>
        <v>22.9</v>
      </c>
      <c r="Q733" s="17">
        <f t="shared" si="45"/>
        <v>15.403999999999996</v>
      </c>
      <c r="R733" s="24">
        <f t="shared" si="46"/>
        <v>0.40215121136173765</v>
      </c>
      <c r="S733" t="s">
        <v>63</v>
      </c>
      <c r="T733" t="s">
        <v>145</v>
      </c>
    </row>
    <row r="734" spans="1:20" hidden="1">
      <c r="A734" t="s">
        <v>806</v>
      </c>
      <c r="B734" s="5">
        <v>45947</v>
      </c>
      <c r="C734" s="8">
        <f>YEAR(Tabla2[[#This Row],[fecha]])</f>
        <v>2025</v>
      </c>
      <c r="D734" s="8">
        <f>MONTH(Tabla2[[#This Row],[fecha]])</f>
        <v>10</v>
      </c>
      <c r="E734" s="8" t="str">
        <f>TEXT(Tabla2[[#This Row],[fecha]], "mmmm")</f>
        <v>octubre</v>
      </c>
      <c r="F734" s="8" t="str">
        <f>"T"&amp;ROUNDUP(Tabla2[[#This Row],[mes]]/3,0)</f>
        <v>T4</v>
      </c>
      <c r="G734" t="s">
        <v>20</v>
      </c>
      <c r="H734" t="s">
        <v>21</v>
      </c>
      <c r="I734" s="8" t="str">
        <f>IF(Tabla2[[#This Row],[precio_unitario]]&lt;=30,"Económico",IF(Tabla2[[#This Row],[precio_unitario]]&lt;=58.49,"Accesible","Caro"))</f>
        <v>Económico</v>
      </c>
      <c r="J734" t="s">
        <v>17</v>
      </c>
      <c r="K734">
        <v>2</v>
      </c>
      <c r="L734" s="19">
        <v>20.47</v>
      </c>
      <c r="M734" s="19">
        <v>13.52</v>
      </c>
      <c r="N734" s="11">
        <v>0</v>
      </c>
      <c r="O734" s="17">
        <f t="shared" si="47"/>
        <v>40.94</v>
      </c>
      <c r="P734" s="17">
        <f t="shared" si="44"/>
        <v>27.04</v>
      </c>
      <c r="Q734" s="17">
        <f t="shared" si="45"/>
        <v>13.899999999999999</v>
      </c>
      <c r="R734" s="24">
        <f t="shared" si="46"/>
        <v>0.33952125061064969</v>
      </c>
      <c r="S734" t="s">
        <v>96</v>
      </c>
      <c r="T734" t="s">
        <v>64</v>
      </c>
    </row>
    <row r="735" spans="1:20" hidden="1">
      <c r="A735" t="s">
        <v>807</v>
      </c>
      <c r="B735" s="5">
        <v>45359</v>
      </c>
      <c r="C735" s="8">
        <f>YEAR(Tabla2[[#This Row],[fecha]])</f>
        <v>2024</v>
      </c>
      <c r="D735" s="8">
        <f>MONTH(Tabla2[[#This Row],[fecha]])</f>
        <v>3</v>
      </c>
      <c r="E735" s="8" t="str">
        <f>TEXT(Tabla2[[#This Row],[fecha]], "mmmm")</f>
        <v>marzo</v>
      </c>
      <c r="F735" s="8" t="str">
        <f>"T"&amp;ROUNDUP(Tabla2[[#This Row],[mes]]/3,0)</f>
        <v>T1</v>
      </c>
      <c r="G735" t="s">
        <v>9</v>
      </c>
      <c r="H735" t="s">
        <v>10</v>
      </c>
      <c r="I735" s="8" t="str">
        <f>IF(Tabla2[[#This Row],[precio_unitario]]&lt;=30,"Económico",IF(Tabla2[[#This Row],[precio_unitario]]&lt;=58.49,"Accesible","Caro"))</f>
        <v>Caro</v>
      </c>
      <c r="J735" t="s">
        <v>8</v>
      </c>
      <c r="K735">
        <v>4</v>
      </c>
      <c r="L735" s="19">
        <v>75.33</v>
      </c>
      <c r="M735" s="19">
        <v>45.21</v>
      </c>
      <c r="N735" s="13">
        <v>0</v>
      </c>
      <c r="O735" s="17">
        <f t="shared" si="47"/>
        <v>301.32</v>
      </c>
      <c r="P735" s="17">
        <f t="shared" si="44"/>
        <v>180.84</v>
      </c>
      <c r="Q735" s="17">
        <f t="shared" si="45"/>
        <v>120.47999999999999</v>
      </c>
      <c r="R735" s="24">
        <f t="shared" si="46"/>
        <v>0.39984070091596968</v>
      </c>
      <c r="S735" t="s">
        <v>67</v>
      </c>
      <c r="T735" t="s">
        <v>60</v>
      </c>
    </row>
    <row r="736" spans="1:20" hidden="1">
      <c r="A736" t="s">
        <v>808</v>
      </c>
      <c r="B736" s="5">
        <v>45828</v>
      </c>
      <c r="C736" s="8">
        <f>YEAR(Tabla2[[#This Row],[fecha]])</f>
        <v>2025</v>
      </c>
      <c r="D736" s="8">
        <f>MONTH(Tabla2[[#This Row],[fecha]])</f>
        <v>6</v>
      </c>
      <c r="E736" s="8" t="str">
        <f>TEXT(Tabla2[[#This Row],[fecha]], "mmmm")</f>
        <v>junio</v>
      </c>
      <c r="F736" s="8" t="str">
        <f>"T"&amp;ROUNDUP(Tabla2[[#This Row],[mes]]/3,0)</f>
        <v>T2</v>
      </c>
      <c r="G736" t="s">
        <v>18</v>
      </c>
      <c r="H736" t="s">
        <v>19</v>
      </c>
      <c r="I736" s="8" t="str">
        <f>IF(Tabla2[[#This Row],[precio_unitario]]&lt;=30,"Económico",IF(Tabla2[[#This Row],[precio_unitario]]&lt;=58.49,"Accesible","Caro"))</f>
        <v>Accesible</v>
      </c>
      <c r="J736" t="s">
        <v>17</v>
      </c>
      <c r="K736">
        <v>2</v>
      </c>
      <c r="L736" s="19">
        <v>46.5</v>
      </c>
      <c r="M736" s="21">
        <f>INDEX(Tabla3[coste_objetivo], MATCH(Tabla2[[#This Row],[id_producto]], Tabla3[id_producto],0))</f>
        <v>26.63</v>
      </c>
      <c r="N736" s="11">
        <v>0.23</v>
      </c>
      <c r="O736" s="17">
        <f t="shared" si="47"/>
        <v>71.61</v>
      </c>
      <c r="P736" s="17">
        <f t="shared" si="44"/>
        <v>53.26</v>
      </c>
      <c r="Q736" s="17">
        <f t="shared" si="45"/>
        <v>18.350000000000001</v>
      </c>
      <c r="R736" s="24">
        <f t="shared" si="46"/>
        <v>0.25624912721686915</v>
      </c>
      <c r="S736" t="s">
        <v>63</v>
      </c>
      <c r="T736" t="s">
        <v>64</v>
      </c>
    </row>
    <row r="737" spans="1:20" hidden="1">
      <c r="A737" t="s">
        <v>809</v>
      </c>
      <c r="B737" s="5">
        <v>45538</v>
      </c>
      <c r="C737" s="8">
        <f>YEAR(Tabla2[[#This Row],[fecha]])</f>
        <v>2024</v>
      </c>
      <c r="D737" s="8">
        <f>MONTH(Tabla2[[#This Row],[fecha]])</f>
        <v>9</v>
      </c>
      <c r="E737" s="8" t="str">
        <f>TEXT(Tabla2[[#This Row],[fecha]], "mmmm")</f>
        <v>septiembre</v>
      </c>
      <c r="F737" s="8" t="str">
        <f>"T"&amp;ROUNDUP(Tabla2[[#This Row],[mes]]/3,0)</f>
        <v>T3</v>
      </c>
      <c r="G737" t="s">
        <v>29</v>
      </c>
      <c r="H737" t="s">
        <v>30</v>
      </c>
      <c r="I737" s="8" t="str">
        <f>IF(Tabla2[[#This Row],[precio_unitario]]&lt;=30,"Económico",IF(Tabla2[[#This Row],[precio_unitario]]&lt;=58.49,"Accesible","Caro"))</f>
        <v>Económico</v>
      </c>
      <c r="J737" t="s">
        <v>26</v>
      </c>
      <c r="K737">
        <v>3</v>
      </c>
      <c r="L737" s="19">
        <v>21.55</v>
      </c>
      <c r="M737" s="19">
        <v>11.12</v>
      </c>
      <c r="N737" s="11">
        <v>0</v>
      </c>
      <c r="O737" s="17">
        <f t="shared" si="47"/>
        <v>64.650000000000006</v>
      </c>
      <c r="P737" s="17">
        <f t="shared" si="44"/>
        <v>33.36</v>
      </c>
      <c r="Q737" s="17">
        <f t="shared" si="45"/>
        <v>31.290000000000006</v>
      </c>
      <c r="R737" s="24">
        <f t="shared" si="46"/>
        <v>0.48399071925754067</v>
      </c>
      <c r="S737" t="s">
        <v>83</v>
      </c>
      <c r="T737" t="s">
        <v>60</v>
      </c>
    </row>
    <row r="738" spans="1:20" hidden="1">
      <c r="A738" t="s">
        <v>810</v>
      </c>
      <c r="B738" s="5">
        <v>45955</v>
      </c>
      <c r="C738" s="8">
        <f>YEAR(Tabla2[[#This Row],[fecha]])</f>
        <v>2025</v>
      </c>
      <c r="D738" s="8">
        <f>MONTH(Tabla2[[#This Row],[fecha]])</f>
        <v>10</v>
      </c>
      <c r="E738" s="8" t="str">
        <f>TEXT(Tabla2[[#This Row],[fecha]], "mmmm")</f>
        <v>octubre</v>
      </c>
      <c r="F738" s="8" t="str">
        <f>"T"&amp;ROUNDUP(Tabla2[[#This Row],[mes]]/3,0)</f>
        <v>T4</v>
      </c>
      <c r="G738" t="s">
        <v>18</v>
      </c>
      <c r="H738" t="s">
        <v>19</v>
      </c>
      <c r="I738" s="8" t="str">
        <f>IF(Tabla2[[#This Row],[precio_unitario]]&lt;=30,"Económico",IF(Tabla2[[#This Row],[precio_unitario]]&lt;=58.49,"Accesible","Caro"))</f>
        <v>Accesible</v>
      </c>
      <c r="J738" t="s">
        <v>17</v>
      </c>
      <c r="K738">
        <v>5</v>
      </c>
      <c r="L738" s="19">
        <v>45.53</v>
      </c>
      <c r="M738" s="19">
        <v>27.27</v>
      </c>
      <c r="N738" s="13">
        <v>0</v>
      </c>
      <c r="O738" s="17">
        <f t="shared" si="47"/>
        <v>227.65</v>
      </c>
      <c r="P738" s="17">
        <f t="shared" si="44"/>
        <v>136.35</v>
      </c>
      <c r="Q738" s="17">
        <f t="shared" si="45"/>
        <v>91.300000000000011</v>
      </c>
      <c r="R738" s="24">
        <f t="shared" si="46"/>
        <v>0.4010542499450912</v>
      </c>
      <c r="S738" t="s">
        <v>101</v>
      </c>
      <c r="T738" t="s">
        <v>64</v>
      </c>
    </row>
    <row r="739" spans="1:20" hidden="1">
      <c r="A739" t="s">
        <v>811</v>
      </c>
      <c r="B739" s="5">
        <v>45768</v>
      </c>
      <c r="C739" s="8">
        <f>YEAR(Tabla2[[#This Row],[fecha]])</f>
        <v>2025</v>
      </c>
      <c r="D739" s="8">
        <f>MONTH(Tabla2[[#This Row],[fecha]])</f>
        <v>4</v>
      </c>
      <c r="E739" s="8" t="str">
        <f>TEXT(Tabla2[[#This Row],[fecha]], "mmmm")</f>
        <v>abril</v>
      </c>
      <c r="F739" s="8" t="str">
        <f>"T"&amp;ROUNDUP(Tabla2[[#This Row],[mes]]/3,0)</f>
        <v>T2</v>
      </c>
      <c r="G739" t="s">
        <v>13</v>
      </c>
      <c r="H739" t="s">
        <v>14</v>
      </c>
      <c r="I739" s="8" t="str">
        <f>IF(Tabla2[[#This Row],[precio_unitario]]&lt;=30,"Económico",IF(Tabla2[[#This Row],[precio_unitario]]&lt;=58.49,"Accesible","Caro"))</f>
        <v>Caro</v>
      </c>
      <c r="J739" t="s">
        <v>8</v>
      </c>
      <c r="K739">
        <v>5</v>
      </c>
      <c r="L739" s="19">
        <v>159.34</v>
      </c>
      <c r="M739" s="19">
        <v>113.41</v>
      </c>
      <c r="N739" s="11">
        <v>0.08</v>
      </c>
      <c r="O739" s="17">
        <f t="shared" si="47"/>
        <v>732.96400000000006</v>
      </c>
      <c r="P739" s="17">
        <f t="shared" si="44"/>
        <v>567.04999999999995</v>
      </c>
      <c r="Q739" s="17">
        <f t="shared" si="45"/>
        <v>165.9140000000001</v>
      </c>
      <c r="R739" s="24">
        <f t="shared" si="46"/>
        <v>0.22636036694844505</v>
      </c>
      <c r="S739" t="s">
        <v>63</v>
      </c>
      <c r="T739" t="s">
        <v>60</v>
      </c>
    </row>
    <row r="740" spans="1:20" hidden="1">
      <c r="A740" t="s">
        <v>812</v>
      </c>
      <c r="B740" s="5">
        <v>45425</v>
      </c>
      <c r="C740" s="8">
        <f>YEAR(Tabla2[[#This Row],[fecha]])</f>
        <v>2024</v>
      </c>
      <c r="D740" s="8">
        <f>MONTH(Tabla2[[#This Row],[fecha]])</f>
        <v>5</v>
      </c>
      <c r="E740" s="8" t="str">
        <f>TEXT(Tabla2[[#This Row],[fecha]], "mmmm")</f>
        <v>mayo</v>
      </c>
      <c r="F740" s="8" t="str">
        <f>"T"&amp;ROUNDUP(Tabla2[[#This Row],[mes]]/3,0)</f>
        <v>T2</v>
      </c>
      <c r="G740" t="s">
        <v>33</v>
      </c>
      <c r="H740" t="s">
        <v>34</v>
      </c>
      <c r="I740" s="8" t="str">
        <f>IF(Tabla2[[#This Row],[precio_unitario]]&lt;=30,"Económico",IF(Tabla2[[#This Row],[precio_unitario]]&lt;=58.49,"Accesible","Caro"))</f>
        <v>Caro</v>
      </c>
      <c r="J740" t="s">
        <v>35</v>
      </c>
      <c r="K740">
        <v>1</v>
      </c>
      <c r="L740" s="19">
        <v>79.599999999999994</v>
      </c>
      <c r="M740" s="19">
        <v>46.14</v>
      </c>
      <c r="N740" s="11">
        <v>0.25</v>
      </c>
      <c r="O740" s="17">
        <f t="shared" si="47"/>
        <v>59.699999999999996</v>
      </c>
      <c r="P740" s="17">
        <f t="shared" si="44"/>
        <v>46.14</v>
      </c>
      <c r="Q740" s="17">
        <f t="shared" si="45"/>
        <v>13.559999999999995</v>
      </c>
      <c r="R740" s="24">
        <f t="shared" si="46"/>
        <v>0.22713567839195972</v>
      </c>
      <c r="S740" t="s">
        <v>540</v>
      </c>
      <c r="T740" t="s">
        <v>496</v>
      </c>
    </row>
    <row r="741" spans="1:20" hidden="1">
      <c r="A741" t="s">
        <v>813</v>
      </c>
      <c r="B741" s="5">
        <v>45798</v>
      </c>
      <c r="C741" s="8">
        <f>YEAR(Tabla2[[#This Row],[fecha]])</f>
        <v>2025</v>
      </c>
      <c r="D741" s="8">
        <f>MONTH(Tabla2[[#This Row],[fecha]])</f>
        <v>5</v>
      </c>
      <c r="E741" s="8" t="str">
        <f>TEXT(Tabla2[[#This Row],[fecha]], "mmmm")</f>
        <v>mayo</v>
      </c>
      <c r="F741" s="8" t="str">
        <f>"T"&amp;ROUNDUP(Tabla2[[#This Row],[mes]]/3,0)</f>
        <v>T2</v>
      </c>
      <c r="G741" t="s">
        <v>11</v>
      </c>
      <c r="H741" t="s">
        <v>12</v>
      </c>
      <c r="I741" s="8" t="str">
        <f>IF(Tabla2[[#This Row],[precio_unitario]]&lt;=30,"Económico",IF(Tabla2[[#This Row],[precio_unitario]]&lt;=58.49,"Accesible","Caro"))</f>
        <v>Caro</v>
      </c>
      <c r="J741" t="s">
        <v>8</v>
      </c>
      <c r="K741">
        <v>1</v>
      </c>
      <c r="L741" s="20">
        <f>INDEX(Tabla3[precio_venta_recomendado], MATCH(Tabla2[[#This Row],[id_producto]], Tabla3[id_producto], 0))</f>
        <v>177.72</v>
      </c>
      <c r="M741" s="19">
        <v>92.79</v>
      </c>
      <c r="N741" s="11">
        <v>0.24</v>
      </c>
      <c r="O741" s="17">
        <f t="shared" si="47"/>
        <v>135.06720000000001</v>
      </c>
      <c r="P741" s="17">
        <f t="shared" si="44"/>
        <v>92.79</v>
      </c>
      <c r="Q741" s="17">
        <f t="shared" si="45"/>
        <v>42.277200000000008</v>
      </c>
      <c r="R741" s="24">
        <f t="shared" si="46"/>
        <v>0.3130086357013398</v>
      </c>
      <c r="S741" t="s">
        <v>101</v>
      </c>
      <c r="T741" t="s">
        <v>64</v>
      </c>
    </row>
    <row r="742" spans="1:20" hidden="1">
      <c r="A742" t="s">
        <v>814</v>
      </c>
      <c r="B742" s="14">
        <v>45372</v>
      </c>
      <c r="C742" s="8">
        <f>YEAR(Tabla2[[#This Row],[fecha]])</f>
        <v>2024</v>
      </c>
      <c r="D742" s="8">
        <f>MONTH(Tabla2[[#This Row],[fecha]])</f>
        <v>3</v>
      </c>
      <c r="E742" s="8" t="str">
        <f>TEXT(Tabla2[[#This Row],[fecha]], "mmmm")</f>
        <v>marzo</v>
      </c>
      <c r="F742" s="8" t="str">
        <f>"T"&amp;ROUNDUP(Tabla2[[#This Row],[mes]]/3,0)</f>
        <v>T1</v>
      </c>
      <c r="G742" t="s">
        <v>27</v>
      </c>
      <c r="H742" t="s">
        <v>28</v>
      </c>
      <c r="I742" s="8" t="str">
        <f>IF(Tabla2[[#This Row],[precio_unitario]]&lt;=30,"Económico",IF(Tabla2[[#This Row],[precio_unitario]]&lt;=58.49,"Accesible","Caro"))</f>
        <v>Económico</v>
      </c>
      <c r="J742" t="s">
        <v>26</v>
      </c>
      <c r="K742">
        <v>3</v>
      </c>
      <c r="L742" s="19">
        <v>15.82</v>
      </c>
      <c r="M742" s="21">
        <f>INDEX(Tabla3[coste_objetivo], MATCH(Tabla2[[#This Row],[id_producto]], Tabla3[id_producto],0))</f>
        <v>11.44</v>
      </c>
      <c r="N742" s="11">
        <v>0</v>
      </c>
      <c r="O742" s="17">
        <f t="shared" si="47"/>
        <v>47.46</v>
      </c>
      <c r="P742" s="17">
        <f t="shared" si="44"/>
        <v>34.32</v>
      </c>
      <c r="Q742" s="17">
        <f t="shared" si="45"/>
        <v>13.14</v>
      </c>
      <c r="R742" s="24">
        <f t="shared" si="46"/>
        <v>0.27686472819216185</v>
      </c>
      <c r="S742" t="s">
        <v>67</v>
      </c>
      <c r="T742" t="s">
        <v>64</v>
      </c>
    </row>
    <row r="743" spans="1:20" hidden="1">
      <c r="A743" t="s">
        <v>815</v>
      </c>
      <c r="B743" s="5">
        <v>45373</v>
      </c>
      <c r="C743" s="8">
        <f>YEAR(Tabla2[[#This Row],[fecha]])</f>
        <v>2024</v>
      </c>
      <c r="D743" s="8">
        <f>MONTH(Tabla2[[#This Row],[fecha]])</f>
        <v>3</v>
      </c>
      <c r="E743" s="8" t="str">
        <f>TEXT(Tabla2[[#This Row],[fecha]], "mmmm")</f>
        <v>marzo</v>
      </c>
      <c r="F743" s="8" t="str">
        <f>"T"&amp;ROUNDUP(Tabla2[[#This Row],[mes]]/3,0)</f>
        <v>T1</v>
      </c>
      <c r="G743" t="s">
        <v>33</v>
      </c>
      <c r="H743" t="s">
        <v>34</v>
      </c>
      <c r="I743" s="8" t="str">
        <f>IF(Tabla2[[#This Row],[precio_unitario]]&lt;=30,"Económico",IF(Tabla2[[#This Row],[precio_unitario]]&lt;=58.49,"Accesible","Caro"))</f>
        <v>Caro</v>
      </c>
      <c r="J743" t="s">
        <v>35</v>
      </c>
      <c r="K743">
        <v>4</v>
      </c>
      <c r="L743" s="19">
        <v>79.22</v>
      </c>
      <c r="M743" s="19">
        <v>47.4</v>
      </c>
      <c r="N743" s="13">
        <v>0</v>
      </c>
      <c r="O743" s="17">
        <f t="shared" si="47"/>
        <v>316.88</v>
      </c>
      <c r="P743" s="17">
        <f t="shared" si="44"/>
        <v>189.6</v>
      </c>
      <c r="Q743" s="17">
        <f t="shared" si="45"/>
        <v>127.28</v>
      </c>
      <c r="R743" s="24">
        <f t="shared" si="46"/>
        <v>0.40166624589750066</v>
      </c>
      <c r="S743" t="s">
        <v>83</v>
      </c>
      <c r="T743" t="s">
        <v>60</v>
      </c>
    </row>
    <row r="744" spans="1:20" hidden="1">
      <c r="A744" t="s">
        <v>816</v>
      </c>
      <c r="B744" s="5">
        <v>45449</v>
      </c>
      <c r="C744" s="8">
        <f>YEAR(Tabla2[[#This Row],[fecha]])</f>
        <v>2024</v>
      </c>
      <c r="D744" s="8">
        <f>MONTH(Tabla2[[#This Row],[fecha]])</f>
        <v>6</v>
      </c>
      <c r="E744" s="8" t="str">
        <f>TEXT(Tabla2[[#This Row],[fecha]], "mmmm")</f>
        <v>junio</v>
      </c>
      <c r="F744" s="8" t="str">
        <f>"T"&amp;ROUNDUP(Tabla2[[#This Row],[mes]]/3,0)</f>
        <v>T2</v>
      </c>
      <c r="G744" t="s">
        <v>24</v>
      </c>
      <c r="H744" t="s">
        <v>25</v>
      </c>
      <c r="I744" s="8" t="str">
        <f>IF(Tabla2[[#This Row],[precio_unitario]]&lt;=30,"Económico",IF(Tabla2[[#This Row],[precio_unitario]]&lt;=58.49,"Accesible","Caro"))</f>
        <v>Económico</v>
      </c>
      <c r="J744" t="s">
        <v>26</v>
      </c>
      <c r="K744">
        <v>5</v>
      </c>
      <c r="L744" s="19">
        <v>8.08</v>
      </c>
      <c r="M744" s="19">
        <v>4.4800000000000004</v>
      </c>
      <c r="N744" s="11">
        <v>0.28999999999999998</v>
      </c>
      <c r="O744" s="17">
        <f t="shared" si="47"/>
        <v>28.683999999999997</v>
      </c>
      <c r="P744" s="17">
        <f t="shared" si="44"/>
        <v>22.400000000000002</v>
      </c>
      <c r="Q744" s="17">
        <f t="shared" si="45"/>
        <v>6.2839999999999954</v>
      </c>
      <c r="R744" s="24">
        <f t="shared" si="46"/>
        <v>0.21907683726119076</v>
      </c>
      <c r="S744" t="s">
        <v>67</v>
      </c>
      <c r="T744" t="s">
        <v>64</v>
      </c>
    </row>
    <row r="745" spans="1:20" hidden="1">
      <c r="A745" t="s">
        <v>817</v>
      </c>
      <c r="B745" s="5">
        <v>45298</v>
      </c>
      <c r="C745" s="8">
        <f>YEAR(Tabla2[[#This Row],[fecha]])</f>
        <v>2024</v>
      </c>
      <c r="D745" s="8">
        <f>MONTH(Tabla2[[#This Row],[fecha]])</f>
        <v>1</v>
      </c>
      <c r="E745" s="8" t="str">
        <f>TEXT(Tabla2[[#This Row],[fecha]], "mmmm")</f>
        <v>enero</v>
      </c>
      <c r="F745" s="8" t="str">
        <f>"T"&amp;ROUNDUP(Tabla2[[#This Row],[mes]]/3,0)</f>
        <v>T1</v>
      </c>
      <c r="G745" t="s">
        <v>27</v>
      </c>
      <c r="H745" t="s">
        <v>28</v>
      </c>
      <c r="I745" s="8" t="str">
        <f>IF(Tabla2[[#This Row],[precio_unitario]]&lt;=30,"Económico",IF(Tabla2[[#This Row],[precio_unitario]]&lt;=58.49,"Accesible","Caro"))</f>
        <v>Económico</v>
      </c>
      <c r="J745" t="s">
        <v>26</v>
      </c>
      <c r="K745">
        <v>7</v>
      </c>
      <c r="L745" s="19">
        <v>15.75</v>
      </c>
      <c r="M745" s="19">
        <v>11.5</v>
      </c>
      <c r="N745" s="11">
        <v>0</v>
      </c>
      <c r="O745" s="17">
        <f t="shared" si="47"/>
        <v>110.25</v>
      </c>
      <c r="P745" s="17">
        <f t="shared" si="44"/>
        <v>80.5</v>
      </c>
      <c r="Q745" s="17">
        <f t="shared" si="45"/>
        <v>29.75</v>
      </c>
      <c r="R745" s="24">
        <f t="shared" si="46"/>
        <v>0.26984126984126983</v>
      </c>
      <c r="S745" t="s">
        <v>67</v>
      </c>
      <c r="T745" t="s">
        <v>60</v>
      </c>
    </row>
    <row r="746" spans="1:20" hidden="1">
      <c r="A746" t="s">
        <v>818</v>
      </c>
      <c r="B746" s="5">
        <v>45589</v>
      </c>
      <c r="C746" s="8">
        <f>YEAR(Tabla2[[#This Row],[fecha]])</f>
        <v>2024</v>
      </c>
      <c r="D746" s="8">
        <f>MONTH(Tabla2[[#This Row],[fecha]])</f>
        <v>10</v>
      </c>
      <c r="E746" s="8" t="str">
        <f>TEXT(Tabla2[[#This Row],[fecha]], "mmmm")</f>
        <v>octubre</v>
      </c>
      <c r="F746" s="8" t="str">
        <f>"T"&amp;ROUNDUP(Tabla2[[#This Row],[mes]]/3,0)</f>
        <v>T4</v>
      </c>
      <c r="G746" t="s">
        <v>6</v>
      </c>
      <c r="H746" t="s">
        <v>7</v>
      </c>
      <c r="I746" s="8" t="str">
        <f>IF(Tabla2[[#This Row],[precio_unitario]]&lt;=30,"Económico",IF(Tabla2[[#This Row],[precio_unitario]]&lt;=58.49,"Accesible","Caro"))</f>
        <v>Caro</v>
      </c>
      <c r="J746" t="s">
        <v>8</v>
      </c>
      <c r="K746">
        <v>2</v>
      </c>
      <c r="L746" s="19">
        <v>123.81</v>
      </c>
      <c r="M746" s="19">
        <v>85.55</v>
      </c>
      <c r="N746" s="11">
        <v>0.17</v>
      </c>
      <c r="O746" s="17">
        <f t="shared" si="47"/>
        <v>205.52459999999999</v>
      </c>
      <c r="P746" s="17">
        <f t="shared" si="44"/>
        <v>171.1</v>
      </c>
      <c r="Q746" s="17">
        <f t="shared" si="45"/>
        <v>34.424599999999998</v>
      </c>
      <c r="R746" s="24">
        <f t="shared" si="46"/>
        <v>0.16749625105705107</v>
      </c>
      <c r="S746" t="s">
        <v>101</v>
      </c>
      <c r="T746" t="s">
        <v>60</v>
      </c>
    </row>
    <row r="747" spans="1:20" hidden="1">
      <c r="A747" t="s">
        <v>819</v>
      </c>
      <c r="B747" s="5">
        <v>45558</v>
      </c>
      <c r="C747" s="8">
        <f>YEAR(Tabla2[[#This Row],[fecha]])</f>
        <v>2024</v>
      </c>
      <c r="D747" s="8">
        <f>MONTH(Tabla2[[#This Row],[fecha]])</f>
        <v>9</v>
      </c>
      <c r="E747" s="8" t="str">
        <f>TEXT(Tabla2[[#This Row],[fecha]], "mmmm")</f>
        <v>septiembre</v>
      </c>
      <c r="F747" s="8" t="str">
        <f>"T"&amp;ROUNDUP(Tabla2[[#This Row],[mes]]/3,0)</f>
        <v>T3</v>
      </c>
      <c r="G747" t="s">
        <v>29</v>
      </c>
      <c r="H747" t="s">
        <v>30</v>
      </c>
      <c r="I747" s="8" t="str">
        <f>IF(Tabla2[[#This Row],[precio_unitario]]&lt;=30,"Económico",IF(Tabla2[[#This Row],[precio_unitario]]&lt;=58.49,"Accesible","Caro"))</f>
        <v>Económico</v>
      </c>
      <c r="J747" t="s">
        <v>26</v>
      </c>
      <c r="K747">
        <v>9</v>
      </c>
      <c r="L747" s="19">
        <v>20.47</v>
      </c>
      <c r="M747" s="19">
        <v>11.49</v>
      </c>
      <c r="N747" s="13">
        <v>0</v>
      </c>
      <c r="O747" s="17">
        <f t="shared" si="47"/>
        <v>184.23</v>
      </c>
      <c r="P747" s="17">
        <f t="shared" si="44"/>
        <v>103.41</v>
      </c>
      <c r="Q747" s="17">
        <f t="shared" si="45"/>
        <v>80.819999999999993</v>
      </c>
      <c r="R747" s="24">
        <f t="shared" si="46"/>
        <v>0.43869076697606252</v>
      </c>
      <c r="S747" t="s">
        <v>67</v>
      </c>
      <c r="T747" t="s">
        <v>64</v>
      </c>
    </row>
    <row r="748" spans="1:20" hidden="1">
      <c r="A748" t="s">
        <v>820</v>
      </c>
      <c r="B748" s="5">
        <v>45322</v>
      </c>
      <c r="C748" s="8">
        <f>YEAR(Tabla2[[#This Row],[fecha]])</f>
        <v>2024</v>
      </c>
      <c r="D748" s="8">
        <f>MONTH(Tabla2[[#This Row],[fecha]])</f>
        <v>1</v>
      </c>
      <c r="E748" s="8" t="str">
        <f>TEXT(Tabla2[[#This Row],[fecha]], "mmmm")</f>
        <v>enero</v>
      </c>
      <c r="F748" s="8" t="str">
        <f>"T"&amp;ROUNDUP(Tabla2[[#This Row],[mes]]/3,0)</f>
        <v>T1</v>
      </c>
      <c r="G748" t="s">
        <v>31</v>
      </c>
      <c r="H748" t="s">
        <v>32</v>
      </c>
      <c r="I748" s="8" t="str">
        <f>IF(Tabla2[[#This Row],[precio_unitario]]&lt;=30,"Económico",IF(Tabla2[[#This Row],[precio_unitario]]&lt;=58.49,"Accesible","Caro"))</f>
        <v>Económico</v>
      </c>
      <c r="J748" t="s">
        <v>26</v>
      </c>
      <c r="K748">
        <v>5</v>
      </c>
      <c r="L748" s="19">
        <v>8.14</v>
      </c>
      <c r="M748" s="21">
        <f>INDEX(Tabla3[coste_objetivo], MATCH(Tabla2[[#This Row],[id_producto]], Tabla3[id_producto],0))</f>
        <v>5.77</v>
      </c>
      <c r="N748" s="11">
        <v>0</v>
      </c>
      <c r="O748" s="17">
        <f t="shared" si="47"/>
        <v>40.700000000000003</v>
      </c>
      <c r="P748" s="17">
        <f t="shared" si="44"/>
        <v>28.849999999999998</v>
      </c>
      <c r="Q748" s="17">
        <f t="shared" si="45"/>
        <v>11.850000000000005</v>
      </c>
      <c r="R748" s="24">
        <f t="shared" si="46"/>
        <v>0.29115479115479126</v>
      </c>
      <c r="S748" t="s">
        <v>540</v>
      </c>
      <c r="T748" t="s">
        <v>64</v>
      </c>
    </row>
    <row r="749" spans="1:20">
      <c r="A749" t="s">
        <v>821</v>
      </c>
      <c r="B749" s="5">
        <v>45890</v>
      </c>
      <c r="C749" s="8">
        <f>YEAR(Tabla2[[#This Row],[fecha]])</f>
        <v>2025</v>
      </c>
      <c r="D749" s="8">
        <f>MONTH(Tabla2[[#This Row],[fecha]])</f>
        <v>8</v>
      </c>
      <c r="E749" s="8" t="str">
        <f>TEXT(Tabla2[[#This Row],[fecha]], "mmmm")</f>
        <v>agosto</v>
      </c>
      <c r="F749" s="8" t="str">
        <f>"T"&amp;ROUNDUP(Tabla2[[#This Row],[mes]]/3,0)</f>
        <v>T3</v>
      </c>
      <c r="G749" t="s">
        <v>33</v>
      </c>
      <c r="H749" t="s">
        <v>34</v>
      </c>
      <c r="I749" s="8" t="str">
        <f>IF(Tabla2[[#This Row],[precio_unitario]]&lt;=30,"Económico",IF(Tabla2[[#This Row],[precio_unitario]]&lt;=58.49,"Accesible","Caro"))</f>
        <v>Caro</v>
      </c>
      <c r="J749" t="s">
        <v>35</v>
      </c>
      <c r="K749">
        <v>1</v>
      </c>
      <c r="L749" s="19">
        <v>70.95</v>
      </c>
      <c r="M749" s="19">
        <v>46.01</v>
      </c>
      <c r="N749" s="11">
        <v>0</v>
      </c>
      <c r="O749" s="17">
        <f t="shared" si="47"/>
        <v>70.95</v>
      </c>
      <c r="P749" s="17">
        <f t="shared" si="44"/>
        <v>46.01</v>
      </c>
      <c r="Q749" s="17">
        <f t="shared" si="45"/>
        <v>24.940000000000005</v>
      </c>
      <c r="R749" s="24">
        <f t="shared" si="46"/>
        <v>0.35151515151515156</v>
      </c>
      <c r="S749" t="s">
        <v>67</v>
      </c>
      <c r="T749" t="s">
        <v>64</v>
      </c>
    </row>
    <row r="750" spans="1:20">
      <c r="A750" t="s">
        <v>822</v>
      </c>
      <c r="B750" s="5">
        <v>45697</v>
      </c>
      <c r="C750" s="8">
        <f>YEAR(Tabla2[[#This Row],[fecha]])</f>
        <v>2025</v>
      </c>
      <c r="D750" s="8">
        <f>MONTH(Tabla2[[#This Row],[fecha]])</f>
        <v>2</v>
      </c>
      <c r="E750" s="8" t="str">
        <f>TEXT(Tabla2[[#This Row],[fecha]], "mmmm")</f>
        <v>febrero</v>
      </c>
      <c r="F750" s="8" t="str">
        <f>"T"&amp;ROUNDUP(Tabla2[[#This Row],[mes]]/3,0)</f>
        <v>T1</v>
      </c>
      <c r="G750" t="s">
        <v>33</v>
      </c>
      <c r="H750" t="s">
        <v>34</v>
      </c>
      <c r="I750" s="8" t="str">
        <f>IF(Tabla2[[#This Row],[precio_unitario]]&lt;=30,"Económico",IF(Tabla2[[#This Row],[precio_unitario]]&lt;=58.49,"Accesible","Caro"))</f>
        <v>Caro</v>
      </c>
      <c r="J750" t="s">
        <v>35</v>
      </c>
      <c r="K750">
        <v>2</v>
      </c>
      <c r="L750" s="19">
        <v>77.19</v>
      </c>
      <c r="M750" s="21">
        <f>INDEX(Tabla3[coste_objetivo], MATCH(Tabla2[[#This Row],[id_producto]], Tabla3[id_producto],0))</f>
        <v>47.62</v>
      </c>
      <c r="N750" s="11">
        <v>0</v>
      </c>
      <c r="O750" s="17">
        <f t="shared" si="47"/>
        <v>154.38</v>
      </c>
      <c r="P750" s="17">
        <f t="shared" si="44"/>
        <v>95.24</v>
      </c>
      <c r="Q750" s="17">
        <f t="shared" si="45"/>
        <v>59.14</v>
      </c>
      <c r="R750" s="24">
        <f t="shared" si="46"/>
        <v>0.38308070993652027</v>
      </c>
      <c r="S750" t="s">
        <v>67</v>
      </c>
      <c r="T750" t="s">
        <v>64</v>
      </c>
    </row>
    <row r="751" spans="1:20" hidden="1">
      <c r="A751" t="s">
        <v>823</v>
      </c>
      <c r="B751" s="5">
        <v>45486</v>
      </c>
      <c r="C751" s="8">
        <f>YEAR(Tabla2[[#This Row],[fecha]])</f>
        <v>2024</v>
      </c>
      <c r="D751" s="8">
        <f>MONTH(Tabla2[[#This Row],[fecha]])</f>
        <v>7</v>
      </c>
      <c r="E751" s="8" t="str">
        <f>TEXT(Tabla2[[#This Row],[fecha]], "mmmm")</f>
        <v>julio</v>
      </c>
      <c r="F751" s="8" t="str">
        <f>"T"&amp;ROUNDUP(Tabla2[[#This Row],[mes]]/3,0)</f>
        <v>T3</v>
      </c>
      <c r="G751" t="s">
        <v>9</v>
      </c>
      <c r="H751" t="s">
        <v>10</v>
      </c>
      <c r="I751" s="8" t="str">
        <f>IF(Tabla2[[#This Row],[precio_unitario]]&lt;=30,"Económico",IF(Tabla2[[#This Row],[precio_unitario]]&lt;=58.49,"Accesible","Caro"))</f>
        <v>Caro</v>
      </c>
      <c r="J751" t="s">
        <v>8</v>
      </c>
      <c r="K751">
        <v>1</v>
      </c>
      <c r="L751" s="19">
        <v>73.34</v>
      </c>
      <c r="M751" s="19">
        <v>46.86</v>
      </c>
      <c r="N751" s="11">
        <v>0</v>
      </c>
      <c r="O751" s="17">
        <f t="shared" si="47"/>
        <v>73.34</v>
      </c>
      <c r="P751" s="17">
        <f t="shared" si="44"/>
        <v>46.86</v>
      </c>
      <c r="Q751" s="17">
        <f t="shared" si="45"/>
        <v>26.480000000000004</v>
      </c>
      <c r="R751" s="24">
        <f t="shared" si="46"/>
        <v>0.36105808562857927</v>
      </c>
      <c r="S751" t="s">
        <v>67</v>
      </c>
      <c r="T751" t="s">
        <v>60</v>
      </c>
    </row>
    <row r="752" spans="1:20" hidden="1">
      <c r="A752" t="s">
        <v>824</v>
      </c>
      <c r="B752" s="5">
        <v>45661</v>
      </c>
      <c r="C752" s="8">
        <f>YEAR(Tabla2[[#This Row],[fecha]])</f>
        <v>2025</v>
      </c>
      <c r="D752" s="8">
        <f>MONTH(Tabla2[[#This Row],[fecha]])</f>
        <v>1</v>
      </c>
      <c r="E752" s="8" t="str">
        <f>TEXT(Tabla2[[#This Row],[fecha]], "mmmm")</f>
        <v>enero</v>
      </c>
      <c r="F752" s="8" t="str">
        <f>"T"&amp;ROUNDUP(Tabla2[[#This Row],[mes]]/3,0)</f>
        <v>T1</v>
      </c>
      <c r="G752" t="s">
        <v>27</v>
      </c>
      <c r="H752" t="s">
        <v>28</v>
      </c>
      <c r="I752" s="8" t="str">
        <f>IF(Tabla2[[#This Row],[precio_unitario]]&lt;=30,"Económico",IF(Tabla2[[#This Row],[precio_unitario]]&lt;=58.49,"Accesible","Caro"))</f>
        <v>Económico</v>
      </c>
      <c r="J752" t="s">
        <v>26</v>
      </c>
      <c r="K752">
        <v>3</v>
      </c>
      <c r="L752" s="19">
        <v>16.079999999999998</v>
      </c>
      <c r="M752" s="19">
        <v>11</v>
      </c>
      <c r="N752" s="13">
        <v>0</v>
      </c>
      <c r="O752" s="17">
        <f t="shared" si="47"/>
        <v>48.239999999999995</v>
      </c>
      <c r="P752" s="17">
        <f t="shared" si="44"/>
        <v>33</v>
      </c>
      <c r="Q752" s="17">
        <f t="shared" si="45"/>
        <v>15.239999999999995</v>
      </c>
      <c r="R752" s="24">
        <f t="shared" si="46"/>
        <v>0.3159203980099502</v>
      </c>
      <c r="S752" t="s">
        <v>101</v>
      </c>
      <c r="T752" t="s">
        <v>64</v>
      </c>
    </row>
    <row r="753" spans="1:20" hidden="1">
      <c r="A753" t="s">
        <v>825</v>
      </c>
      <c r="B753" s="5">
        <v>45358</v>
      </c>
      <c r="C753" s="8">
        <f>YEAR(Tabla2[[#This Row],[fecha]])</f>
        <v>2024</v>
      </c>
      <c r="D753" s="8">
        <f>MONTH(Tabla2[[#This Row],[fecha]])</f>
        <v>3</v>
      </c>
      <c r="E753" s="8" t="str">
        <f>TEXT(Tabla2[[#This Row],[fecha]], "mmmm")</f>
        <v>marzo</v>
      </c>
      <c r="F753" s="8" t="str">
        <f>"T"&amp;ROUNDUP(Tabla2[[#This Row],[mes]]/3,0)</f>
        <v>T1</v>
      </c>
      <c r="G753" t="s">
        <v>27</v>
      </c>
      <c r="H753" t="s">
        <v>28</v>
      </c>
      <c r="I753" s="8" t="str">
        <f>IF(Tabla2[[#This Row],[precio_unitario]]&lt;=30,"Económico",IF(Tabla2[[#This Row],[precio_unitario]]&lt;=58.49,"Accesible","Caro"))</f>
        <v>Económico</v>
      </c>
      <c r="J753" t="s">
        <v>26</v>
      </c>
      <c r="K753">
        <v>1</v>
      </c>
      <c r="L753" s="19">
        <v>15.25</v>
      </c>
      <c r="M753" s="19">
        <v>11.6</v>
      </c>
      <c r="N753" s="11">
        <v>0</v>
      </c>
      <c r="O753" s="17">
        <f t="shared" si="47"/>
        <v>15.25</v>
      </c>
      <c r="P753" s="17">
        <f t="shared" si="44"/>
        <v>11.6</v>
      </c>
      <c r="Q753" s="17">
        <f t="shared" si="45"/>
        <v>3.6500000000000004</v>
      </c>
      <c r="R753" s="24">
        <f t="shared" si="46"/>
        <v>0.23934426229508199</v>
      </c>
      <c r="S753" t="s">
        <v>540</v>
      </c>
      <c r="T753" t="s">
        <v>64</v>
      </c>
    </row>
    <row r="754" spans="1:20">
      <c r="A754" t="s">
        <v>826</v>
      </c>
      <c r="B754" s="5">
        <v>45841</v>
      </c>
      <c r="C754" s="8">
        <f>YEAR(Tabla2[[#This Row],[fecha]])</f>
        <v>2025</v>
      </c>
      <c r="D754" s="8">
        <f>MONTH(Tabla2[[#This Row],[fecha]])</f>
        <v>7</v>
      </c>
      <c r="E754" s="8" t="str">
        <f>TEXT(Tabla2[[#This Row],[fecha]], "mmmm")</f>
        <v>julio</v>
      </c>
      <c r="F754" s="8" t="str">
        <f>"T"&amp;ROUNDUP(Tabla2[[#This Row],[mes]]/3,0)</f>
        <v>T3</v>
      </c>
      <c r="G754" t="s">
        <v>27</v>
      </c>
      <c r="H754" t="s">
        <v>28</v>
      </c>
      <c r="I754" s="8" t="str">
        <f>IF(Tabla2[[#This Row],[precio_unitario]]&lt;=30,"Económico",IF(Tabla2[[#This Row],[precio_unitario]]&lt;=58.49,"Accesible","Caro"))</f>
        <v>Económico</v>
      </c>
      <c r="J754" t="s">
        <v>26</v>
      </c>
      <c r="K754">
        <v>1</v>
      </c>
      <c r="L754" s="19">
        <v>16.07</v>
      </c>
      <c r="M754" s="19">
        <v>11.88</v>
      </c>
      <c r="N754" s="13">
        <v>0</v>
      </c>
      <c r="O754" s="17">
        <f t="shared" si="47"/>
        <v>16.07</v>
      </c>
      <c r="P754" s="17">
        <f t="shared" si="44"/>
        <v>11.88</v>
      </c>
      <c r="Q754" s="17">
        <f t="shared" si="45"/>
        <v>4.1899999999999995</v>
      </c>
      <c r="R754" s="24">
        <f t="shared" si="46"/>
        <v>0.26073428749222149</v>
      </c>
      <c r="S754" t="s">
        <v>67</v>
      </c>
      <c r="T754" t="s">
        <v>64</v>
      </c>
    </row>
    <row r="755" spans="1:20" hidden="1">
      <c r="A755" t="s">
        <v>827</v>
      </c>
      <c r="B755" s="5">
        <v>45882</v>
      </c>
      <c r="C755" s="8">
        <f>YEAR(Tabla2[[#This Row],[fecha]])</f>
        <v>2025</v>
      </c>
      <c r="D755" s="8">
        <f>MONTH(Tabla2[[#This Row],[fecha]])</f>
        <v>8</v>
      </c>
      <c r="E755" s="8" t="str">
        <f>TEXT(Tabla2[[#This Row],[fecha]], "mmmm")</f>
        <v>agosto</v>
      </c>
      <c r="F755" s="8" t="str">
        <f>"T"&amp;ROUNDUP(Tabla2[[#This Row],[mes]]/3,0)</f>
        <v>T3</v>
      </c>
      <c r="G755" t="s">
        <v>47</v>
      </c>
      <c r="H755" t="s">
        <v>48</v>
      </c>
      <c r="I755" s="8" t="str">
        <f>IF(Tabla2[[#This Row],[precio_unitario]]&lt;=30,"Económico",IF(Tabla2[[#This Row],[precio_unitario]]&lt;=58.49,"Accesible","Caro"))</f>
        <v>Caro</v>
      </c>
      <c r="J755" t="s">
        <v>44</v>
      </c>
      <c r="K755">
        <v>1</v>
      </c>
      <c r="L755" s="19">
        <v>58.69</v>
      </c>
      <c r="M755" s="19">
        <v>32.57</v>
      </c>
      <c r="N755" s="11">
        <v>0</v>
      </c>
      <c r="O755" s="17">
        <f t="shared" si="47"/>
        <v>58.69</v>
      </c>
      <c r="P755" s="17">
        <f t="shared" si="44"/>
        <v>32.57</v>
      </c>
      <c r="Q755" s="17">
        <f t="shared" si="45"/>
        <v>26.119999999999997</v>
      </c>
      <c r="R755" s="24">
        <f t="shared" si="46"/>
        <v>0.44505026409950588</v>
      </c>
      <c r="S755" t="s">
        <v>540</v>
      </c>
      <c r="T755" t="s">
        <v>64</v>
      </c>
    </row>
    <row r="756" spans="1:20">
      <c r="A756" t="s">
        <v>828</v>
      </c>
      <c r="B756" s="5">
        <v>45857</v>
      </c>
      <c r="C756" s="8">
        <f>YEAR(Tabla2[[#This Row],[fecha]])</f>
        <v>2025</v>
      </c>
      <c r="D756" s="8">
        <f>MONTH(Tabla2[[#This Row],[fecha]])</f>
        <v>7</v>
      </c>
      <c r="E756" s="8" t="str">
        <f>TEXT(Tabla2[[#This Row],[fecha]], "mmmm")</f>
        <v>julio</v>
      </c>
      <c r="F756" s="8" t="str">
        <f>"T"&amp;ROUNDUP(Tabla2[[#This Row],[mes]]/3,0)</f>
        <v>T3</v>
      </c>
      <c r="G756" t="s">
        <v>29</v>
      </c>
      <c r="H756" t="s">
        <v>30</v>
      </c>
      <c r="I756" s="8" t="str">
        <f>IF(Tabla2[[#This Row],[precio_unitario]]&lt;=30,"Económico",IF(Tabla2[[#This Row],[precio_unitario]]&lt;=58.49,"Accesible","Caro"))</f>
        <v>Económico</v>
      </c>
      <c r="J756" t="s">
        <v>26</v>
      </c>
      <c r="K756">
        <v>1</v>
      </c>
      <c r="L756" s="19">
        <v>22.75</v>
      </c>
      <c r="M756" s="19">
        <v>11.34</v>
      </c>
      <c r="N756" s="11">
        <v>0</v>
      </c>
      <c r="O756" s="17">
        <f t="shared" si="47"/>
        <v>22.75</v>
      </c>
      <c r="P756" s="17">
        <f t="shared" si="44"/>
        <v>11.34</v>
      </c>
      <c r="Q756" s="17">
        <f t="shared" si="45"/>
        <v>11.41</v>
      </c>
      <c r="R756" s="24">
        <f t="shared" si="46"/>
        <v>0.5015384615384616</v>
      </c>
      <c r="S756" t="s">
        <v>67</v>
      </c>
      <c r="T756" t="s">
        <v>64</v>
      </c>
    </row>
    <row r="757" spans="1:20" hidden="1">
      <c r="A757" t="s">
        <v>829</v>
      </c>
      <c r="B757" s="5">
        <v>45405</v>
      </c>
      <c r="C757" s="8">
        <f>YEAR(Tabla2[[#This Row],[fecha]])</f>
        <v>2024</v>
      </c>
      <c r="D757" s="8">
        <f>MONTH(Tabla2[[#This Row],[fecha]])</f>
        <v>4</v>
      </c>
      <c r="E757" s="8" t="str">
        <f>TEXT(Tabla2[[#This Row],[fecha]], "mmmm")</f>
        <v>abril</v>
      </c>
      <c r="F757" s="8" t="str">
        <f>"T"&amp;ROUNDUP(Tabla2[[#This Row],[mes]]/3,0)</f>
        <v>T2</v>
      </c>
      <c r="G757" t="s">
        <v>9</v>
      </c>
      <c r="H757" t="s">
        <v>10</v>
      </c>
      <c r="I757" s="8" t="str">
        <f>IF(Tabla2[[#This Row],[precio_unitario]]&lt;=30,"Económico",IF(Tabla2[[#This Row],[precio_unitario]]&lt;=58.49,"Accesible","Caro"))</f>
        <v>Caro</v>
      </c>
      <c r="J757" t="s">
        <v>8</v>
      </c>
      <c r="K757">
        <v>1</v>
      </c>
      <c r="L757" s="19">
        <v>77.239999999999995</v>
      </c>
      <c r="M757" s="19">
        <v>46.66</v>
      </c>
      <c r="N757" s="11">
        <v>0</v>
      </c>
      <c r="O757" s="17">
        <f t="shared" si="47"/>
        <v>77.239999999999995</v>
      </c>
      <c r="P757" s="17">
        <f t="shared" si="44"/>
        <v>46.66</v>
      </c>
      <c r="Q757" s="17">
        <f t="shared" si="45"/>
        <v>30.58</v>
      </c>
      <c r="R757" s="24">
        <f t="shared" si="46"/>
        <v>0.39590885551527705</v>
      </c>
      <c r="S757" t="s">
        <v>67</v>
      </c>
      <c r="T757" t="s">
        <v>60</v>
      </c>
    </row>
    <row r="758" spans="1:20" hidden="1">
      <c r="A758" t="s">
        <v>830</v>
      </c>
      <c r="B758" s="5">
        <v>45958</v>
      </c>
      <c r="C758" s="8">
        <f>YEAR(Tabla2[[#This Row],[fecha]])</f>
        <v>2025</v>
      </c>
      <c r="D758" s="8">
        <f>MONTH(Tabla2[[#This Row],[fecha]])</f>
        <v>10</v>
      </c>
      <c r="E758" s="8" t="str">
        <f>TEXT(Tabla2[[#This Row],[fecha]], "mmmm")</f>
        <v>octubre</v>
      </c>
      <c r="F758" s="8" t="str">
        <f>"T"&amp;ROUNDUP(Tabla2[[#This Row],[mes]]/3,0)</f>
        <v>T4</v>
      </c>
      <c r="G758" t="s">
        <v>42</v>
      </c>
      <c r="H758" t="s">
        <v>43</v>
      </c>
      <c r="I758" s="8" t="str">
        <f>IF(Tabla2[[#This Row],[precio_unitario]]&lt;=30,"Económico",IF(Tabla2[[#This Row],[precio_unitario]]&lt;=58.49,"Accesible","Caro"))</f>
        <v>Accesible</v>
      </c>
      <c r="J758" t="s">
        <v>44</v>
      </c>
      <c r="K758">
        <v>3</v>
      </c>
      <c r="L758" s="19">
        <v>51.34</v>
      </c>
      <c r="M758" s="19">
        <v>23.72</v>
      </c>
      <c r="N758" s="13">
        <v>0</v>
      </c>
      <c r="O758" s="17">
        <f t="shared" si="47"/>
        <v>154.02000000000001</v>
      </c>
      <c r="P758" s="17">
        <f t="shared" si="44"/>
        <v>71.16</v>
      </c>
      <c r="Q758" s="17">
        <f t="shared" si="45"/>
        <v>82.860000000000014</v>
      </c>
      <c r="R758" s="24">
        <f t="shared" si="46"/>
        <v>0.53798208024931837</v>
      </c>
      <c r="S758" t="s">
        <v>63</v>
      </c>
      <c r="T758" t="s">
        <v>60</v>
      </c>
    </row>
    <row r="759" spans="1:20" hidden="1">
      <c r="A759" t="s">
        <v>831</v>
      </c>
      <c r="B759" s="5">
        <v>45879</v>
      </c>
      <c r="C759" s="8">
        <f>YEAR(Tabla2[[#This Row],[fecha]])</f>
        <v>2025</v>
      </c>
      <c r="D759" s="8">
        <f>MONTH(Tabla2[[#This Row],[fecha]])</f>
        <v>8</v>
      </c>
      <c r="E759" s="8" t="str">
        <f>TEXT(Tabla2[[#This Row],[fecha]], "mmmm")</f>
        <v>agosto</v>
      </c>
      <c r="F759" s="8" t="str">
        <f>"T"&amp;ROUNDUP(Tabla2[[#This Row],[mes]]/3,0)</f>
        <v>T3</v>
      </c>
      <c r="G759" t="s">
        <v>11</v>
      </c>
      <c r="H759" t="s">
        <v>12</v>
      </c>
      <c r="I759" s="8" t="str">
        <f>IF(Tabla2[[#This Row],[precio_unitario]]&lt;=30,"Económico",IF(Tabla2[[#This Row],[precio_unitario]]&lt;=58.49,"Accesible","Caro"))</f>
        <v>Caro</v>
      </c>
      <c r="J759" t="s">
        <v>8</v>
      </c>
      <c r="K759">
        <v>6</v>
      </c>
      <c r="L759" s="19">
        <v>172.61</v>
      </c>
      <c r="M759" s="19">
        <v>91.34</v>
      </c>
      <c r="N759" s="11">
        <v>0</v>
      </c>
      <c r="O759" s="17">
        <f t="shared" si="47"/>
        <v>1035.6600000000001</v>
      </c>
      <c r="P759" s="17">
        <f t="shared" si="44"/>
        <v>548.04</v>
      </c>
      <c r="Q759" s="17">
        <f t="shared" si="45"/>
        <v>487.62000000000012</v>
      </c>
      <c r="R759" s="24">
        <f t="shared" si="46"/>
        <v>0.47083019523781944</v>
      </c>
      <c r="S759" t="s">
        <v>96</v>
      </c>
      <c r="T759" t="s">
        <v>64</v>
      </c>
    </row>
    <row r="760" spans="1:20" hidden="1">
      <c r="A760" t="s">
        <v>832</v>
      </c>
      <c r="B760" s="5">
        <v>45789</v>
      </c>
      <c r="C760" s="8">
        <f>YEAR(Tabla2[[#This Row],[fecha]])</f>
        <v>2025</v>
      </c>
      <c r="D760" s="8">
        <f>MONTH(Tabla2[[#This Row],[fecha]])</f>
        <v>5</v>
      </c>
      <c r="E760" s="8" t="str">
        <f>TEXT(Tabla2[[#This Row],[fecha]], "mmmm")</f>
        <v>mayo</v>
      </c>
      <c r="F760" s="8" t="str">
        <f>"T"&amp;ROUNDUP(Tabla2[[#This Row],[mes]]/3,0)</f>
        <v>T2</v>
      </c>
      <c r="G760" t="s">
        <v>24</v>
      </c>
      <c r="H760" t="s">
        <v>25</v>
      </c>
      <c r="I760" s="8" t="str">
        <f>IF(Tabla2[[#This Row],[precio_unitario]]&lt;=30,"Económico",IF(Tabla2[[#This Row],[precio_unitario]]&lt;=58.49,"Accesible","Caro"))</f>
        <v>Económico</v>
      </c>
      <c r="J760" t="s">
        <v>26</v>
      </c>
      <c r="K760">
        <v>2</v>
      </c>
      <c r="L760" s="19">
        <v>8.34</v>
      </c>
      <c r="M760" s="19">
        <v>4.54</v>
      </c>
      <c r="N760" s="11">
        <v>0</v>
      </c>
      <c r="O760" s="17">
        <f t="shared" si="47"/>
        <v>16.68</v>
      </c>
      <c r="P760" s="17">
        <f t="shared" si="44"/>
        <v>9.08</v>
      </c>
      <c r="Q760" s="17">
        <f t="shared" si="45"/>
        <v>7.6</v>
      </c>
      <c r="R760" s="24">
        <f t="shared" si="46"/>
        <v>0.45563549160671463</v>
      </c>
      <c r="S760" t="s">
        <v>540</v>
      </c>
      <c r="T760" t="s">
        <v>60</v>
      </c>
    </row>
    <row r="761" spans="1:20" hidden="1">
      <c r="A761" t="s">
        <v>833</v>
      </c>
      <c r="B761" s="5">
        <v>45898</v>
      </c>
      <c r="C761" s="8">
        <f>YEAR(Tabla2[[#This Row],[fecha]])</f>
        <v>2025</v>
      </c>
      <c r="D761" s="8">
        <f>MONTH(Tabla2[[#This Row],[fecha]])</f>
        <v>8</v>
      </c>
      <c r="E761" s="8" t="str">
        <f>TEXT(Tabla2[[#This Row],[fecha]], "mmmm")</f>
        <v>agosto</v>
      </c>
      <c r="F761" s="8" t="str">
        <f>"T"&amp;ROUNDUP(Tabla2[[#This Row],[mes]]/3,0)</f>
        <v>T3</v>
      </c>
      <c r="G761" t="s">
        <v>38</v>
      </c>
      <c r="H761" t="s">
        <v>39</v>
      </c>
      <c r="I761" s="8" t="str">
        <f>IF(Tabla2[[#This Row],[precio_unitario]]&lt;=30,"Económico",IF(Tabla2[[#This Row],[precio_unitario]]&lt;=58.49,"Accesible","Caro"))</f>
        <v>Caro</v>
      </c>
      <c r="J761" t="s">
        <v>35</v>
      </c>
      <c r="K761">
        <v>5</v>
      </c>
      <c r="L761" s="19">
        <v>74.44</v>
      </c>
      <c r="M761" s="19">
        <v>41.12</v>
      </c>
      <c r="N761" s="11">
        <v>0</v>
      </c>
      <c r="O761" s="17">
        <f t="shared" si="47"/>
        <v>372.2</v>
      </c>
      <c r="P761" s="17">
        <f t="shared" si="44"/>
        <v>205.6</v>
      </c>
      <c r="Q761" s="17">
        <f t="shared" si="45"/>
        <v>166.6</v>
      </c>
      <c r="R761" s="24">
        <f t="shared" si="46"/>
        <v>0.44760881246641593</v>
      </c>
      <c r="S761" t="s">
        <v>83</v>
      </c>
      <c r="T761" t="s">
        <v>60</v>
      </c>
    </row>
    <row r="762" spans="1:20" hidden="1">
      <c r="A762" t="s">
        <v>834</v>
      </c>
      <c r="B762" s="5">
        <v>45575</v>
      </c>
      <c r="C762" s="8">
        <f>YEAR(Tabla2[[#This Row],[fecha]])</f>
        <v>2024</v>
      </c>
      <c r="D762" s="8">
        <f>MONTH(Tabla2[[#This Row],[fecha]])</f>
        <v>10</v>
      </c>
      <c r="E762" s="8" t="str">
        <f>TEXT(Tabla2[[#This Row],[fecha]], "mmmm")</f>
        <v>octubre</v>
      </c>
      <c r="F762" s="8" t="str">
        <f>"T"&amp;ROUNDUP(Tabla2[[#This Row],[mes]]/3,0)</f>
        <v>T4</v>
      </c>
      <c r="G762" t="s">
        <v>20</v>
      </c>
      <c r="H762" t="s">
        <v>21</v>
      </c>
      <c r="I762" s="8" t="str">
        <f>IF(Tabla2[[#This Row],[precio_unitario]]&lt;=30,"Económico",IF(Tabla2[[#This Row],[precio_unitario]]&lt;=58.49,"Accesible","Caro"))</f>
        <v>Económico</v>
      </c>
      <c r="J762" t="s">
        <v>17</v>
      </c>
      <c r="K762">
        <v>4</v>
      </c>
      <c r="L762" s="19">
        <v>20.9</v>
      </c>
      <c r="M762" s="19">
        <v>12.27</v>
      </c>
      <c r="N762" s="11">
        <v>0.1</v>
      </c>
      <c r="O762" s="17">
        <f t="shared" si="47"/>
        <v>75.239999999999995</v>
      </c>
      <c r="P762" s="17">
        <f t="shared" si="44"/>
        <v>49.08</v>
      </c>
      <c r="Q762" s="17">
        <f t="shared" si="45"/>
        <v>26.159999999999997</v>
      </c>
      <c r="R762" s="24">
        <f t="shared" si="46"/>
        <v>0.34768740031897927</v>
      </c>
      <c r="S762" t="s">
        <v>101</v>
      </c>
      <c r="T762" t="s">
        <v>64</v>
      </c>
    </row>
    <row r="763" spans="1:20" hidden="1">
      <c r="A763" t="s">
        <v>835</v>
      </c>
      <c r="B763" s="5">
        <v>45749</v>
      </c>
      <c r="C763" s="8">
        <f>YEAR(Tabla2[[#This Row],[fecha]])</f>
        <v>2025</v>
      </c>
      <c r="D763" s="8">
        <f>MONTH(Tabla2[[#This Row],[fecha]])</f>
        <v>4</v>
      </c>
      <c r="E763" s="8" t="str">
        <f>TEXT(Tabla2[[#This Row],[fecha]], "mmmm")</f>
        <v>abril</v>
      </c>
      <c r="F763" s="8" t="str">
        <f>"T"&amp;ROUNDUP(Tabla2[[#This Row],[mes]]/3,0)</f>
        <v>T2</v>
      </c>
      <c r="G763" t="s">
        <v>47</v>
      </c>
      <c r="H763" t="s">
        <v>48</v>
      </c>
      <c r="I763" s="8" t="str">
        <f>IF(Tabla2[[#This Row],[precio_unitario]]&lt;=30,"Económico",IF(Tabla2[[#This Row],[precio_unitario]]&lt;=58.49,"Accesible","Caro"))</f>
        <v>Caro</v>
      </c>
      <c r="J763" t="s">
        <v>44</v>
      </c>
      <c r="K763">
        <v>1</v>
      </c>
      <c r="L763" s="19">
        <v>60.01</v>
      </c>
      <c r="M763" s="19">
        <v>33.99</v>
      </c>
      <c r="N763" s="13">
        <v>0</v>
      </c>
      <c r="O763" s="17">
        <f t="shared" si="47"/>
        <v>60.01</v>
      </c>
      <c r="P763" s="17">
        <f t="shared" si="44"/>
        <v>33.99</v>
      </c>
      <c r="Q763" s="17">
        <f t="shared" si="45"/>
        <v>26.019999999999996</v>
      </c>
      <c r="R763" s="24">
        <f t="shared" si="46"/>
        <v>0.43359440093317775</v>
      </c>
      <c r="S763" t="s">
        <v>540</v>
      </c>
      <c r="T763" t="s">
        <v>64</v>
      </c>
    </row>
    <row r="764" spans="1:20" hidden="1">
      <c r="A764" t="s">
        <v>836</v>
      </c>
      <c r="B764" s="5">
        <v>45627</v>
      </c>
      <c r="C764" s="8">
        <f>YEAR(Tabla2[[#This Row],[fecha]])</f>
        <v>2024</v>
      </c>
      <c r="D764" s="8">
        <f>MONTH(Tabla2[[#This Row],[fecha]])</f>
        <v>12</v>
      </c>
      <c r="E764" s="8" t="str">
        <f>TEXT(Tabla2[[#This Row],[fecha]], "mmmm")</f>
        <v>diciembre</v>
      </c>
      <c r="F764" s="8" t="str">
        <f>"T"&amp;ROUNDUP(Tabla2[[#This Row],[mes]]/3,0)</f>
        <v>T4</v>
      </c>
      <c r="G764" t="s">
        <v>11</v>
      </c>
      <c r="H764" t="s">
        <v>12</v>
      </c>
      <c r="I764" s="8" t="str">
        <f>IF(Tabla2[[#This Row],[precio_unitario]]&lt;=30,"Económico",IF(Tabla2[[#This Row],[precio_unitario]]&lt;=58.49,"Accesible","Caro"))</f>
        <v>Caro</v>
      </c>
      <c r="J764" t="s">
        <v>8</v>
      </c>
      <c r="K764">
        <v>2</v>
      </c>
      <c r="L764" s="19">
        <v>166.65</v>
      </c>
      <c r="M764" s="19">
        <v>95.26</v>
      </c>
      <c r="N764" s="11">
        <v>0</v>
      </c>
      <c r="O764" s="17">
        <f t="shared" si="47"/>
        <v>333.3</v>
      </c>
      <c r="P764" s="17">
        <f t="shared" si="44"/>
        <v>190.52</v>
      </c>
      <c r="Q764" s="17">
        <f t="shared" si="45"/>
        <v>142.78</v>
      </c>
      <c r="R764" s="24">
        <f t="shared" si="46"/>
        <v>0.42838283828382839</v>
      </c>
      <c r="S764" t="s">
        <v>67</v>
      </c>
      <c r="T764" t="s">
        <v>60</v>
      </c>
    </row>
    <row r="765" spans="1:20" hidden="1">
      <c r="A765" t="s">
        <v>837</v>
      </c>
      <c r="B765" s="5">
        <v>45987</v>
      </c>
      <c r="C765" s="8">
        <f>YEAR(Tabla2[[#This Row],[fecha]])</f>
        <v>2025</v>
      </c>
      <c r="D765" s="8">
        <f>MONTH(Tabla2[[#This Row],[fecha]])</f>
        <v>11</v>
      </c>
      <c r="E765" s="8" t="str">
        <f>TEXT(Tabla2[[#This Row],[fecha]], "mmmm")</f>
        <v>noviembre</v>
      </c>
      <c r="F765" s="8" t="str">
        <f>"T"&amp;ROUNDUP(Tabla2[[#This Row],[mes]]/3,0)</f>
        <v>T4</v>
      </c>
      <c r="G765" t="s">
        <v>36</v>
      </c>
      <c r="H765" t="s">
        <v>37</v>
      </c>
      <c r="I765" s="8" t="str">
        <f>IF(Tabla2[[#This Row],[precio_unitario]]&lt;=30,"Económico",IF(Tabla2[[#This Row],[precio_unitario]]&lt;=58.49,"Accesible","Caro"))</f>
        <v>Económico</v>
      </c>
      <c r="J765" t="s">
        <v>35</v>
      </c>
      <c r="K765">
        <v>1</v>
      </c>
      <c r="L765" s="19">
        <v>13.37</v>
      </c>
      <c r="M765" s="19">
        <v>9.15</v>
      </c>
      <c r="N765" s="11">
        <v>0</v>
      </c>
      <c r="O765" s="17">
        <f t="shared" si="47"/>
        <v>13.37</v>
      </c>
      <c r="P765" s="17">
        <f t="shared" si="44"/>
        <v>9.15</v>
      </c>
      <c r="Q765" s="17">
        <f t="shared" si="45"/>
        <v>4.2199999999999989</v>
      </c>
      <c r="R765" s="24">
        <f t="shared" si="46"/>
        <v>0.31563201196709045</v>
      </c>
      <c r="S765" t="s">
        <v>96</v>
      </c>
      <c r="T765" t="s">
        <v>64</v>
      </c>
    </row>
    <row r="766" spans="1:20" hidden="1">
      <c r="A766" t="s">
        <v>838</v>
      </c>
      <c r="B766" s="5">
        <v>45405</v>
      </c>
      <c r="C766" s="8">
        <f>YEAR(Tabla2[[#This Row],[fecha]])</f>
        <v>2024</v>
      </c>
      <c r="D766" s="8">
        <f>MONTH(Tabla2[[#This Row],[fecha]])</f>
        <v>4</v>
      </c>
      <c r="E766" s="8" t="str">
        <f>TEXT(Tabla2[[#This Row],[fecha]], "mmmm")</f>
        <v>abril</v>
      </c>
      <c r="F766" s="8" t="str">
        <f>"T"&amp;ROUNDUP(Tabla2[[#This Row],[mes]]/3,0)</f>
        <v>T2</v>
      </c>
      <c r="G766" t="s">
        <v>29</v>
      </c>
      <c r="H766" t="s">
        <v>30</v>
      </c>
      <c r="I766" s="8" t="str">
        <f>IF(Tabla2[[#This Row],[precio_unitario]]&lt;=30,"Económico",IF(Tabla2[[#This Row],[precio_unitario]]&lt;=58.49,"Accesible","Caro"))</f>
        <v>Económico</v>
      </c>
      <c r="J766" t="s">
        <v>26</v>
      </c>
      <c r="K766">
        <v>11</v>
      </c>
      <c r="L766" s="19">
        <v>20.92</v>
      </c>
      <c r="M766" s="19">
        <v>10.94</v>
      </c>
      <c r="N766" s="11">
        <v>0</v>
      </c>
      <c r="O766" s="17">
        <f t="shared" si="47"/>
        <v>230.12</v>
      </c>
      <c r="P766" s="17">
        <f t="shared" si="44"/>
        <v>120.33999999999999</v>
      </c>
      <c r="Q766" s="17">
        <f t="shared" si="45"/>
        <v>109.78000000000002</v>
      </c>
      <c r="R766" s="24">
        <f t="shared" si="46"/>
        <v>0.47705544933078398</v>
      </c>
      <c r="S766" t="s">
        <v>67</v>
      </c>
      <c r="T766" t="s">
        <v>64</v>
      </c>
    </row>
    <row r="767" spans="1:20" hidden="1">
      <c r="A767" t="s">
        <v>839</v>
      </c>
      <c r="B767" s="5">
        <v>45917</v>
      </c>
      <c r="C767" s="8">
        <f>YEAR(Tabla2[[#This Row],[fecha]])</f>
        <v>2025</v>
      </c>
      <c r="D767" s="8">
        <f>MONTH(Tabla2[[#This Row],[fecha]])</f>
        <v>9</v>
      </c>
      <c r="E767" s="8" t="str">
        <f>TEXT(Tabla2[[#This Row],[fecha]], "mmmm")</f>
        <v>septiembre</v>
      </c>
      <c r="F767" s="8" t="str">
        <f>"T"&amp;ROUNDUP(Tabla2[[#This Row],[mes]]/3,0)</f>
        <v>T3</v>
      </c>
      <c r="G767" t="s">
        <v>29</v>
      </c>
      <c r="H767" t="s">
        <v>30</v>
      </c>
      <c r="I767" s="8" t="str">
        <f>IF(Tabla2[[#This Row],[precio_unitario]]&lt;=30,"Económico",IF(Tabla2[[#This Row],[precio_unitario]]&lt;=58.49,"Accesible","Caro"))</f>
        <v>Económico</v>
      </c>
      <c r="J767" t="s">
        <v>26</v>
      </c>
      <c r="K767">
        <v>5</v>
      </c>
      <c r="L767" s="19">
        <v>22.12</v>
      </c>
      <c r="M767" s="19">
        <v>11.73</v>
      </c>
      <c r="N767" s="11">
        <v>0.05</v>
      </c>
      <c r="O767" s="17">
        <f t="shared" si="47"/>
        <v>105.07000000000001</v>
      </c>
      <c r="P767" s="17">
        <f t="shared" si="44"/>
        <v>58.650000000000006</v>
      </c>
      <c r="Q767" s="17">
        <f t="shared" si="45"/>
        <v>46.42</v>
      </c>
      <c r="R767" s="24">
        <f t="shared" si="46"/>
        <v>0.4418007042923765</v>
      </c>
      <c r="S767" t="s">
        <v>101</v>
      </c>
      <c r="T767" t="s">
        <v>64</v>
      </c>
    </row>
    <row r="768" spans="1:20">
      <c r="A768" t="s">
        <v>840</v>
      </c>
      <c r="B768" s="5">
        <v>45732</v>
      </c>
      <c r="C768" s="8">
        <f>YEAR(Tabla2[[#This Row],[fecha]])</f>
        <v>2025</v>
      </c>
      <c r="D768" s="8">
        <f>MONTH(Tabla2[[#This Row],[fecha]])</f>
        <v>3</v>
      </c>
      <c r="E768" s="8" t="str">
        <f>TEXT(Tabla2[[#This Row],[fecha]], "mmmm")</f>
        <v>marzo</v>
      </c>
      <c r="F768" s="8" t="str">
        <f>"T"&amp;ROUNDUP(Tabla2[[#This Row],[mes]]/3,0)</f>
        <v>T1</v>
      </c>
      <c r="G768" t="s">
        <v>24</v>
      </c>
      <c r="H768" t="s">
        <v>25</v>
      </c>
      <c r="I768" s="8" t="str">
        <f>IF(Tabla2[[#This Row],[precio_unitario]]&lt;=30,"Económico",IF(Tabla2[[#This Row],[precio_unitario]]&lt;=58.49,"Accesible","Caro"))</f>
        <v>Económico</v>
      </c>
      <c r="J768" t="s">
        <v>26</v>
      </c>
      <c r="K768">
        <v>1</v>
      </c>
      <c r="L768" s="19">
        <v>7.75</v>
      </c>
      <c r="M768" s="19">
        <v>4.25</v>
      </c>
      <c r="N768" s="13">
        <v>0</v>
      </c>
      <c r="O768" s="17">
        <f t="shared" si="47"/>
        <v>7.75</v>
      </c>
      <c r="P768" s="17">
        <f t="shared" si="44"/>
        <v>4.25</v>
      </c>
      <c r="Q768" s="17">
        <f t="shared" si="45"/>
        <v>3.5</v>
      </c>
      <c r="R768" s="24">
        <f t="shared" si="46"/>
        <v>0.45161290322580644</v>
      </c>
      <c r="S768" t="s">
        <v>67</v>
      </c>
      <c r="T768" t="s">
        <v>64</v>
      </c>
    </row>
    <row r="769" spans="1:20" hidden="1">
      <c r="A769" t="s">
        <v>841</v>
      </c>
      <c r="B769" s="5">
        <v>45462</v>
      </c>
      <c r="C769" s="8">
        <f>YEAR(Tabla2[[#This Row],[fecha]])</f>
        <v>2024</v>
      </c>
      <c r="D769" s="8">
        <f>MONTH(Tabla2[[#This Row],[fecha]])</f>
        <v>6</v>
      </c>
      <c r="E769" s="8" t="str">
        <f>TEXT(Tabla2[[#This Row],[fecha]], "mmmm")</f>
        <v>junio</v>
      </c>
      <c r="F769" s="8" t="str">
        <f>"T"&amp;ROUNDUP(Tabla2[[#This Row],[mes]]/3,0)</f>
        <v>T2</v>
      </c>
      <c r="G769" t="s">
        <v>38</v>
      </c>
      <c r="H769" t="s">
        <v>39</v>
      </c>
      <c r="I769" s="8" t="str">
        <f>IF(Tabla2[[#This Row],[precio_unitario]]&lt;=30,"Económico",IF(Tabla2[[#This Row],[precio_unitario]]&lt;=58.49,"Accesible","Caro"))</f>
        <v>Caro</v>
      </c>
      <c r="J769" t="s">
        <v>35</v>
      </c>
      <c r="K769">
        <v>1</v>
      </c>
      <c r="L769" s="19">
        <v>78.88</v>
      </c>
      <c r="M769" s="19">
        <v>40.75</v>
      </c>
      <c r="N769" s="11">
        <v>0</v>
      </c>
      <c r="O769" s="17">
        <f t="shared" si="47"/>
        <v>78.88</v>
      </c>
      <c r="P769" s="17">
        <f t="shared" si="44"/>
        <v>40.75</v>
      </c>
      <c r="Q769" s="17">
        <f t="shared" si="45"/>
        <v>38.129999999999995</v>
      </c>
      <c r="R769" s="24">
        <f t="shared" si="46"/>
        <v>0.48339249492900604</v>
      </c>
      <c r="S769" t="s">
        <v>83</v>
      </c>
      <c r="T769" t="s">
        <v>60</v>
      </c>
    </row>
    <row r="770" spans="1:20" hidden="1">
      <c r="A770" t="s">
        <v>842</v>
      </c>
      <c r="B770" s="5">
        <v>45294</v>
      </c>
      <c r="C770" s="8">
        <f>YEAR(Tabla2[[#This Row],[fecha]])</f>
        <v>2024</v>
      </c>
      <c r="D770" s="8">
        <f>MONTH(Tabla2[[#This Row],[fecha]])</f>
        <v>1</v>
      </c>
      <c r="E770" s="8" t="str">
        <f>TEXT(Tabla2[[#This Row],[fecha]], "mmmm")</f>
        <v>enero</v>
      </c>
      <c r="F770" s="8" t="str">
        <f>"T"&amp;ROUNDUP(Tabla2[[#This Row],[mes]]/3,0)</f>
        <v>T1</v>
      </c>
      <c r="G770" t="s">
        <v>40</v>
      </c>
      <c r="H770" t="s">
        <v>41</v>
      </c>
      <c r="I770" s="8" t="str">
        <f>IF(Tabla2[[#This Row],[precio_unitario]]&lt;=30,"Económico",IF(Tabla2[[#This Row],[precio_unitario]]&lt;=58.49,"Accesible","Caro"))</f>
        <v>Caro</v>
      </c>
      <c r="J770" t="s">
        <v>35</v>
      </c>
      <c r="K770">
        <v>3</v>
      </c>
      <c r="L770" s="19">
        <v>83.92</v>
      </c>
      <c r="M770" s="19">
        <v>42.16</v>
      </c>
      <c r="N770" s="11">
        <v>0</v>
      </c>
      <c r="O770" s="17">
        <f t="shared" si="47"/>
        <v>251.76</v>
      </c>
      <c r="P770" s="17">
        <f t="shared" ref="P770:P833" si="48">M770*K770</f>
        <v>126.47999999999999</v>
      </c>
      <c r="Q770" s="17">
        <f t="shared" ref="Q770:Q833" si="49">O770-P770</f>
        <v>125.28</v>
      </c>
      <c r="R770" s="24">
        <f t="shared" ref="R770:R833" si="50">IFERROR(Q770/O770,0)</f>
        <v>0.49761677788369879</v>
      </c>
      <c r="S770" t="s">
        <v>67</v>
      </c>
      <c r="T770" t="s">
        <v>60</v>
      </c>
    </row>
    <row r="771" spans="1:20" hidden="1">
      <c r="A771" t="s">
        <v>843</v>
      </c>
      <c r="B771" s="5">
        <v>45428</v>
      </c>
      <c r="C771" s="8">
        <f>YEAR(Tabla2[[#This Row],[fecha]])</f>
        <v>2024</v>
      </c>
      <c r="D771" s="8">
        <f>MONTH(Tabla2[[#This Row],[fecha]])</f>
        <v>5</v>
      </c>
      <c r="E771" s="8" t="str">
        <f>TEXT(Tabla2[[#This Row],[fecha]], "mmmm")</f>
        <v>mayo</v>
      </c>
      <c r="F771" s="8" t="str">
        <f>"T"&amp;ROUNDUP(Tabla2[[#This Row],[mes]]/3,0)</f>
        <v>T2</v>
      </c>
      <c r="G771" t="s">
        <v>38</v>
      </c>
      <c r="H771" t="s">
        <v>39</v>
      </c>
      <c r="I771" s="8" t="str">
        <f>IF(Tabla2[[#This Row],[precio_unitario]]&lt;=30,"Económico",IF(Tabla2[[#This Row],[precio_unitario]]&lt;=58.49,"Accesible","Caro"))</f>
        <v>Caro</v>
      </c>
      <c r="J771" t="s">
        <v>35</v>
      </c>
      <c r="K771">
        <v>3</v>
      </c>
      <c r="L771" s="19">
        <v>83.38</v>
      </c>
      <c r="M771" s="19">
        <v>42.83</v>
      </c>
      <c r="N771" s="13">
        <v>0</v>
      </c>
      <c r="O771" s="17">
        <f t="shared" ref="O771:O834" si="51">K771*L771*(1-N771)</f>
        <v>250.14</v>
      </c>
      <c r="P771" s="17">
        <f t="shared" si="48"/>
        <v>128.49</v>
      </c>
      <c r="Q771" s="17">
        <f t="shared" si="49"/>
        <v>121.64999999999998</v>
      </c>
      <c r="R771" s="24">
        <f t="shared" si="50"/>
        <v>0.48632765651235299</v>
      </c>
      <c r="S771" t="s">
        <v>67</v>
      </c>
      <c r="T771" t="s">
        <v>60</v>
      </c>
    </row>
    <row r="772" spans="1:20" hidden="1">
      <c r="A772" t="s">
        <v>844</v>
      </c>
      <c r="B772" s="5">
        <v>45392</v>
      </c>
      <c r="C772" s="8">
        <f>YEAR(Tabla2[[#This Row],[fecha]])</f>
        <v>2024</v>
      </c>
      <c r="D772" s="8">
        <f>MONTH(Tabla2[[#This Row],[fecha]])</f>
        <v>4</v>
      </c>
      <c r="E772" s="8" t="str">
        <f>TEXT(Tabla2[[#This Row],[fecha]], "mmmm")</f>
        <v>abril</v>
      </c>
      <c r="F772" s="8" t="str">
        <f>"T"&amp;ROUNDUP(Tabla2[[#This Row],[mes]]/3,0)</f>
        <v>T2</v>
      </c>
      <c r="G772" t="s">
        <v>47</v>
      </c>
      <c r="H772" t="s">
        <v>48</v>
      </c>
      <c r="I772" s="8" t="str">
        <f>IF(Tabla2[[#This Row],[precio_unitario]]&lt;=30,"Económico",IF(Tabla2[[#This Row],[precio_unitario]]&lt;=58.49,"Accesible","Caro"))</f>
        <v>Accesible</v>
      </c>
      <c r="J772" t="s">
        <v>44</v>
      </c>
      <c r="K772">
        <v>6</v>
      </c>
      <c r="L772" s="19">
        <v>55.46</v>
      </c>
      <c r="M772" s="19">
        <v>33</v>
      </c>
      <c r="N772" s="11">
        <v>0</v>
      </c>
      <c r="O772" s="17">
        <f t="shared" si="51"/>
        <v>332.76</v>
      </c>
      <c r="P772" s="17">
        <f t="shared" si="48"/>
        <v>198</v>
      </c>
      <c r="Q772" s="17">
        <f t="shared" si="49"/>
        <v>134.76</v>
      </c>
      <c r="R772" s="24">
        <f t="shared" si="50"/>
        <v>0.40497655968265417</v>
      </c>
      <c r="S772" t="s">
        <v>540</v>
      </c>
      <c r="T772" t="s">
        <v>60</v>
      </c>
    </row>
    <row r="773" spans="1:20" hidden="1">
      <c r="A773" t="s">
        <v>845</v>
      </c>
      <c r="B773" s="5">
        <v>45424</v>
      </c>
      <c r="C773" s="8">
        <f>YEAR(Tabla2[[#This Row],[fecha]])</f>
        <v>2024</v>
      </c>
      <c r="D773" s="8">
        <f>MONTH(Tabla2[[#This Row],[fecha]])</f>
        <v>5</v>
      </c>
      <c r="E773" s="8" t="str">
        <f>TEXT(Tabla2[[#This Row],[fecha]], "mmmm")</f>
        <v>mayo</v>
      </c>
      <c r="F773" s="8" t="str">
        <f>"T"&amp;ROUNDUP(Tabla2[[#This Row],[mes]]/3,0)</f>
        <v>T2</v>
      </c>
      <c r="G773" t="s">
        <v>27</v>
      </c>
      <c r="H773" t="s">
        <v>28</v>
      </c>
      <c r="I773" s="8" t="str">
        <f>IF(Tabla2[[#This Row],[precio_unitario]]&lt;=30,"Económico",IF(Tabla2[[#This Row],[precio_unitario]]&lt;=58.49,"Accesible","Caro"))</f>
        <v>Económico</v>
      </c>
      <c r="J773" t="s">
        <v>26</v>
      </c>
      <c r="K773">
        <v>1</v>
      </c>
      <c r="L773" s="19">
        <v>15.69</v>
      </c>
      <c r="M773" s="19">
        <v>11.49</v>
      </c>
      <c r="N773" s="11">
        <v>0</v>
      </c>
      <c r="O773" s="17">
        <f t="shared" si="51"/>
        <v>15.69</v>
      </c>
      <c r="P773" s="17">
        <f t="shared" si="48"/>
        <v>11.49</v>
      </c>
      <c r="Q773" s="17">
        <f t="shared" si="49"/>
        <v>4.1999999999999993</v>
      </c>
      <c r="R773" s="24">
        <f t="shared" si="50"/>
        <v>0.26768642447418733</v>
      </c>
      <c r="S773" t="s">
        <v>83</v>
      </c>
      <c r="T773" t="s">
        <v>64</v>
      </c>
    </row>
    <row r="774" spans="1:20" hidden="1">
      <c r="A774" t="s">
        <v>846</v>
      </c>
      <c r="B774" s="5">
        <v>45882</v>
      </c>
      <c r="C774" s="8">
        <f>YEAR(Tabla2[[#This Row],[fecha]])</f>
        <v>2025</v>
      </c>
      <c r="D774" s="8">
        <f>MONTH(Tabla2[[#This Row],[fecha]])</f>
        <v>8</v>
      </c>
      <c r="E774" s="8" t="str">
        <f>TEXT(Tabla2[[#This Row],[fecha]], "mmmm")</f>
        <v>agosto</v>
      </c>
      <c r="F774" s="8" t="str">
        <f>"T"&amp;ROUNDUP(Tabla2[[#This Row],[mes]]/3,0)</f>
        <v>T3</v>
      </c>
      <c r="G774" t="s">
        <v>24</v>
      </c>
      <c r="H774" t="s">
        <v>25</v>
      </c>
      <c r="I774" s="8" t="str">
        <f>IF(Tabla2[[#This Row],[precio_unitario]]&lt;=30,"Económico",IF(Tabla2[[#This Row],[precio_unitario]]&lt;=58.49,"Accesible","Caro"))</f>
        <v>Económico</v>
      </c>
      <c r="J774" t="s">
        <v>26</v>
      </c>
      <c r="K774">
        <v>4</v>
      </c>
      <c r="L774" s="19">
        <v>8.06</v>
      </c>
      <c r="M774" s="19">
        <v>4.46</v>
      </c>
      <c r="N774" s="11">
        <v>0</v>
      </c>
      <c r="O774" s="17">
        <f t="shared" si="51"/>
        <v>32.24</v>
      </c>
      <c r="P774" s="17">
        <f t="shared" si="48"/>
        <v>17.84</v>
      </c>
      <c r="Q774" s="17">
        <f t="shared" si="49"/>
        <v>14.400000000000002</v>
      </c>
      <c r="R774" s="24">
        <f t="shared" si="50"/>
        <v>0.44665012406947896</v>
      </c>
      <c r="S774" t="s">
        <v>83</v>
      </c>
      <c r="T774" t="s">
        <v>64</v>
      </c>
    </row>
    <row r="775" spans="1:20" hidden="1">
      <c r="A775" t="s">
        <v>847</v>
      </c>
      <c r="B775" s="5">
        <v>45679</v>
      </c>
      <c r="C775" s="8">
        <f>YEAR(Tabla2[[#This Row],[fecha]])</f>
        <v>2025</v>
      </c>
      <c r="D775" s="8">
        <f>MONTH(Tabla2[[#This Row],[fecha]])</f>
        <v>1</v>
      </c>
      <c r="E775" s="8" t="str">
        <f>TEXT(Tabla2[[#This Row],[fecha]], "mmmm")</f>
        <v>enero</v>
      </c>
      <c r="F775" s="8" t="str">
        <f>"T"&amp;ROUNDUP(Tabla2[[#This Row],[mes]]/3,0)</f>
        <v>T1</v>
      </c>
      <c r="G775" t="s">
        <v>22</v>
      </c>
      <c r="H775" t="s">
        <v>23</v>
      </c>
      <c r="I775" s="8" t="str">
        <f>IF(Tabla2[[#This Row],[precio_unitario]]&lt;=30,"Económico",IF(Tabla2[[#This Row],[precio_unitario]]&lt;=58.49,"Accesible","Caro"))</f>
        <v>Caro</v>
      </c>
      <c r="J775" t="s">
        <v>17</v>
      </c>
      <c r="K775">
        <v>1</v>
      </c>
      <c r="L775" s="19">
        <v>108.79</v>
      </c>
      <c r="M775" s="19">
        <v>57.98</v>
      </c>
      <c r="N775" s="11">
        <v>0</v>
      </c>
      <c r="O775" s="17">
        <f t="shared" si="51"/>
        <v>108.79</v>
      </c>
      <c r="P775" s="17">
        <f t="shared" si="48"/>
        <v>57.98</v>
      </c>
      <c r="Q775" s="17">
        <f t="shared" si="49"/>
        <v>50.810000000000009</v>
      </c>
      <c r="R775" s="24">
        <f t="shared" si="50"/>
        <v>0.46704660354812028</v>
      </c>
      <c r="S775" t="s">
        <v>101</v>
      </c>
      <c r="T775" t="s">
        <v>64</v>
      </c>
    </row>
    <row r="776" spans="1:20" hidden="1">
      <c r="A776" t="s">
        <v>848</v>
      </c>
      <c r="B776" s="5">
        <v>45337</v>
      </c>
      <c r="C776" s="8">
        <f>YEAR(Tabla2[[#This Row],[fecha]])</f>
        <v>2024</v>
      </c>
      <c r="D776" s="8">
        <f>MONTH(Tabla2[[#This Row],[fecha]])</f>
        <v>2</v>
      </c>
      <c r="E776" s="8" t="str">
        <f>TEXT(Tabla2[[#This Row],[fecha]], "mmmm")</f>
        <v>febrero</v>
      </c>
      <c r="F776" s="8" t="str">
        <f>"T"&amp;ROUNDUP(Tabla2[[#This Row],[mes]]/3,0)</f>
        <v>T1</v>
      </c>
      <c r="G776" t="s">
        <v>24</v>
      </c>
      <c r="H776" t="s">
        <v>25</v>
      </c>
      <c r="I776" s="8" t="str">
        <f>IF(Tabla2[[#This Row],[precio_unitario]]&lt;=30,"Económico",IF(Tabla2[[#This Row],[precio_unitario]]&lt;=58.49,"Accesible","Caro"))</f>
        <v>Económico</v>
      </c>
      <c r="J776" t="s">
        <v>26</v>
      </c>
      <c r="K776">
        <v>4</v>
      </c>
      <c r="L776" s="19">
        <v>8.15</v>
      </c>
      <c r="M776" s="19">
        <v>4.34</v>
      </c>
      <c r="N776" s="11">
        <v>0</v>
      </c>
      <c r="O776" s="17">
        <f t="shared" si="51"/>
        <v>32.6</v>
      </c>
      <c r="P776" s="17">
        <f t="shared" si="48"/>
        <v>17.36</v>
      </c>
      <c r="Q776" s="17">
        <f t="shared" si="49"/>
        <v>15.240000000000002</v>
      </c>
      <c r="R776" s="24">
        <f t="shared" si="50"/>
        <v>0.46748466257668714</v>
      </c>
      <c r="S776" t="s">
        <v>67</v>
      </c>
      <c r="T776" t="s">
        <v>64</v>
      </c>
    </row>
    <row r="777" spans="1:20" hidden="1">
      <c r="A777" t="s">
        <v>849</v>
      </c>
      <c r="B777" s="5">
        <v>45704</v>
      </c>
      <c r="C777" s="8">
        <f>YEAR(Tabla2[[#This Row],[fecha]])</f>
        <v>2025</v>
      </c>
      <c r="D777" s="8">
        <f>MONTH(Tabla2[[#This Row],[fecha]])</f>
        <v>2</v>
      </c>
      <c r="E777" s="8" t="str">
        <f>TEXT(Tabla2[[#This Row],[fecha]], "mmmm")</f>
        <v>febrero</v>
      </c>
      <c r="F777" s="8" t="str">
        <f>"T"&amp;ROUNDUP(Tabla2[[#This Row],[mes]]/3,0)</f>
        <v>T1</v>
      </c>
      <c r="G777" t="s">
        <v>42</v>
      </c>
      <c r="H777" t="s">
        <v>43</v>
      </c>
      <c r="I777" s="8" t="str">
        <f>IF(Tabla2[[#This Row],[precio_unitario]]&lt;=30,"Económico",IF(Tabla2[[#This Row],[precio_unitario]]&lt;=58.49,"Accesible","Caro"))</f>
        <v>Accesible</v>
      </c>
      <c r="J777" t="s">
        <v>44</v>
      </c>
      <c r="K777">
        <v>1</v>
      </c>
      <c r="L777" s="19">
        <v>47.75</v>
      </c>
      <c r="M777" s="19">
        <v>21.66</v>
      </c>
      <c r="N777" s="13">
        <v>0</v>
      </c>
      <c r="O777" s="17">
        <f t="shared" si="51"/>
        <v>47.75</v>
      </c>
      <c r="P777" s="17">
        <f t="shared" si="48"/>
        <v>21.66</v>
      </c>
      <c r="Q777" s="17">
        <f t="shared" si="49"/>
        <v>26.09</v>
      </c>
      <c r="R777" s="24">
        <f t="shared" si="50"/>
        <v>0.54638743455497385</v>
      </c>
      <c r="S777" t="s">
        <v>101</v>
      </c>
      <c r="T777" t="s">
        <v>64</v>
      </c>
    </row>
    <row r="778" spans="1:20" hidden="1">
      <c r="A778" t="s">
        <v>850</v>
      </c>
      <c r="B778" s="5">
        <v>45360</v>
      </c>
      <c r="C778" s="8">
        <f>YEAR(Tabla2[[#This Row],[fecha]])</f>
        <v>2024</v>
      </c>
      <c r="D778" s="8">
        <f>MONTH(Tabla2[[#This Row],[fecha]])</f>
        <v>3</v>
      </c>
      <c r="E778" s="8" t="str">
        <f>TEXT(Tabla2[[#This Row],[fecha]], "mmmm")</f>
        <v>marzo</v>
      </c>
      <c r="F778" s="8" t="str">
        <f>"T"&amp;ROUNDUP(Tabla2[[#This Row],[mes]]/3,0)</f>
        <v>T1</v>
      </c>
      <c r="G778" t="s">
        <v>24</v>
      </c>
      <c r="H778" t="s">
        <v>25</v>
      </c>
      <c r="I778" s="8" t="str">
        <f>IF(Tabla2[[#This Row],[precio_unitario]]&lt;=30,"Económico",IF(Tabla2[[#This Row],[precio_unitario]]&lt;=58.49,"Accesible","Caro"))</f>
        <v>Económico</v>
      </c>
      <c r="J778" t="s">
        <v>26</v>
      </c>
      <c r="K778">
        <v>1</v>
      </c>
      <c r="L778" s="19">
        <v>8.31</v>
      </c>
      <c r="M778" s="19">
        <v>4.51</v>
      </c>
      <c r="N778" s="11">
        <v>0</v>
      </c>
      <c r="O778" s="17">
        <f t="shared" si="51"/>
        <v>8.31</v>
      </c>
      <c r="P778" s="17">
        <f t="shared" si="48"/>
        <v>4.51</v>
      </c>
      <c r="Q778" s="17">
        <f t="shared" si="49"/>
        <v>3.8000000000000007</v>
      </c>
      <c r="R778" s="24">
        <f t="shared" si="50"/>
        <v>0.45728038507821905</v>
      </c>
      <c r="S778" t="s">
        <v>83</v>
      </c>
      <c r="T778" t="s">
        <v>60</v>
      </c>
    </row>
    <row r="779" spans="1:20">
      <c r="A779" t="s">
        <v>851</v>
      </c>
      <c r="B779" s="5">
        <v>45851</v>
      </c>
      <c r="C779" s="8">
        <f>YEAR(Tabla2[[#This Row],[fecha]])</f>
        <v>2025</v>
      </c>
      <c r="D779" s="8">
        <f>MONTH(Tabla2[[#This Row],[fecha]])</f>
        <v>7</v>
      </c>
      <c r="E779" s="8" t="str">
        <f>TEXT(Tabla2[[#This Row],[fecha]], "mmmm")</f>
        <v>julio</v>
      </c>
      <c r="F779" s="8" t="str">
        <f>"T"&amp;ROUNDUP(Tabla2[[#This Row],[mes]]/3,0)</f>
        <v>T3</v>
      </c>
      <c r="G779" t="s">
        <v>45</v>
      </c>
      <c r="H779" t="s">
        <v>46</v>
      </c>
      <c r="I779" s="8" t="str">
        <f>IF(Tabla2[[#This Row],[precio_unitario]]&lt;=30,"Económico",IF(Tabla2[[#This Row],[precio_unitario]]&lt;=58.49,"Accesible","Caro"))</f>
        <v>Accesible</v>
      </c>
      <c r="J779" t="s">
        <v>44</v>
      </c>
      <c r="K779">
        <v>1</v>
      </c>
      <c r="L779" s="19">
        <v>30.84</v>
      </c>
      <c r="M779" s="19">
        <v>16.809999999999999</v>
      </c>
      <c r="N779" s="13">
        <v>0</v>
      </c>
      <c r="O779" s="17">
        <f t="shared" si="51"/>
        <v>30.84</v>
      </c>
      <c r="P779" s="17">
        <f t="shared" si="48"/>
        <v>16.809999999999999</v>
      </c>
      <c r="Q779" s="17">
        <f t="shared" si="49"/>
        <v>14.030000000000001</v>
      </c>
      <c r="R779" s="24">
        <f t="shared" si="50"/>
        <v>0.45492866407263299</v>
      </c>
      <c r="S779" t="s">
        <v>67</v>
      </c>
      <c r="T779" t="s">
        <v>64</v>
      </c>
    </row>
    <row r="780" spans="1:20" hidden="1">
      <c r="A780" t="s">
        <v>852</v>
      </c>
      <c r="B780" s="5">
        <v>45685</v>
      </c>
      <c r="C780" s="8">
        <f>YEAR(Tabla2[[#This Row],[fecha]])</f>
        <v>2025</v>
      </c>
      <c r="D780" s="8">
        <f>MONTH(Tabla2[[#This Row],[fecha]])</f>
        <v>1</v>
      </c>
      <c r="E780" s="8" t="str">
        <f>TEXT(Tabla2[[#This Row],[fecha]], "mmmm")</f>
        <v>enero</v>
      </c>
      <c r="F780" s="8" t="str">
        <f>"T"&amp;ROUNDUP(Tabla2[[#This Row],[mes]]/3,0)</f>
        <v>T1</v>
      </c>
      <c r="G780" t="s">
        <v>42</v>
      </c>
      <c r="H780" t="s">
        <v>43</v>
      </c>
      <c r="I780" s="8" t="str">
        <f>IF(Tabla2[[#This Row],[precio_unitario]]&lt;=30,"Económico",IF(Tabla2[[#This Row],[precio_unitario]]&lt;=58.49,"Accesible","Caro"))</f>
        <v>Accesible</v>
      </c>
      <c r="J780" t="s">
        <v>44</v>
      </c>
      <c r="K780">
        <v>4</v>
      </c>
      <c r="L780" s="19">
        <v>48.72</v>
      </c>
      <c r="M780" s="19">
        <v>21.68</v>
      </c>
      <c r="N780" s="11">
        <v>0</v>
      </c>
      <c r="O780" s="17">
        <f t="shared" si="51"/>
        <v>194.88</v>
      </c>
      <c r="P780" s="17">
        <f t="shared" si="48"/>
        <v>86.72</v>
      </c>
      <c r="Q780" s="17">
        <f t="shared" si="49"/>
        <v>108.16</v>
      </c>
      <c r="R780" s="24">
        <f t="shared" si="50"/>
        <v>0.55500821018062396</v>
      </c>
      <c r="S780" t="s">
        <v>83</v>
      </c>
      <c r="T780" t="s">
        <v>60</v>
      </c>
    </row>
    <row r="781" spans="1:20" hidden="1">
      <c r="A781" t="s">
        <v>853</v>
      </c>
      <c r="B781" s="5">
        <v>45592</v>
      </c>
      <c r="C781" s="8">
        <f>YEAR(Tabla2[[#This Row],[fecha]])</f>
        <v>2024</v>
      </c>
      <c r="D781" s="8">
        <f>MONTH(Tabla2[[#This Row],[fecha]])</f>
        <v>10</v>
      </c>
      <c r="E781" s="8" t="str">
        <f>TEXT(Tabla2[[#This Row],[fecha]], "mmmm")</f>
        <v>octubre</v>
      </c>
      <c r="F781" s="8" t="str">
        <f>"T"&amp;ROUNDUP(Tabla2[[#This Row],[mes]]/3,0)</f>
        <v>T4</v>
      </c>
      <c r="G781" t="s">
        <v>18</v>
      </c>
      <c r="H781" t="s">
        <v>19</v>
      </c>
      <c r="I781" s="8" t="str">
        <f>IF(Tabla2[[#This Row],[precio_unitario]]&lt;=30,"Económico",IF(Tabla2[[#This Row],[precio_unitario]]&lt;=58.49,"Accesible","Caro"))</f>
        <v>Accesible</v>
      </c>
      <c r="J781" t="s">
        <v>17</v>
      </c>
      <c r="K781">
        <v>2</v>
      </c>
      <c r="L781" s="19">
        <v>47.44</v>
      </c>
      <c r="M781" s="19">
        <v>26.25</v>
      </c>
      <c r="N781" s="11">
        <v>0.23</v>
      </c>
      <c r="O781" s="17">
        <f t="shared" si="51"/>
        <v>73.057599999999994</v>
      </c>
      <c r="P781" s="17">
        <f t="shared" si="48"/>
        <v>52.5</v>
      </c>
      <c r="Q781" s="17">
        <f t="shared" si="49"/>
        <v>20.557599999999994</v>
      </c>
      <c r="R781" s="24">
        <f t="shared" si="50"/>
        <v>0.28138893147324845</v>
      </c>
      <c r="S781" t="s">
        <v>67</v>
      </c>
      <c r="T781" t="s">
        <v>60</v>
      </c>
    </row>
    <row r="782" spans="1:20" hidden="1">
      <c r="A782" t="s">
        <v>854</v>
      </c>
      <c r="B782" s="5">
        <v>45650</v>
      </c>
      <c r="C782" s="8">
        <f>YEAR(Tabla2[[#This Row],[fecha]])</f>
        <v>2024</v>
      </c>
      <c r="D782" s="8">
        <f>MONTH(Tabla2[[#This Row],[fecha]])</f>
        <v>12</v>
      </c>
      <c r="E782" s="8" t="str">
        <f>TEXT(Tabla2[[#This Row],[fecha]], "mmmm")</f>
        <v>diciembre</v>
      </c>
      <c r="F782" s="8" t="str">
        <f>"T"&amp;ROUNDUP(Tabla2[[#This Row],[mes]]/3,0)</f>
        <v>T4</v>
      </c>
      <c r="G782" t="s">
        <v>13</v>
      </c>
      <c r="H782" t="s">
        <v>14</v>
      </c>
      <c r="I782" s="8" t="str">
        <f>IF(Tabla2[[#This Row],[precio_unitario]]&lt;=30,"Económico",IF(Tabla2[[#This Row],[precio_unitario]]&lt;=58.49,"Accesible","Caro"))</f>
        <v>Caro</v>
      </c>
      <c r="J782" t="s">
        <v>8</v>
      </c>
      <c r="K782">
        <v>6</v>
      </c>
      <c r="L782" s="19">
        <v>169.76</v>
      </c>
      <c r="M782" s="19">
        <v>113.83</v>
      </c>
      <c r="N782" s="13">
        <v>0</v>
      </c>
      <c r="O782" s="17">
        <f t="shared" si="51"/>
        <v>1018.56</v>
      </c>
      <c r="P782" s="17">
        <f t="shared" si="48"/>
        <v>682.98</v>
      </c>
      <c r="Q782" s="17">
        <f t="shared" si="49"/>
        <v>335.57999999999993</v>
      </c>
      <c r="R782" s="24">
        <f t="shared" si="50"/>
        <v>0.32946512723845423</v>
      </c>
      <c r="S782" t="s">
        <v>96</v>
      </c>
      <c r="T782" t="s">
        <v>60</v>
      </c>
    </row>
    <row r="783" spans="1:20" hidden="1">
      <c r="A783" t="s">
        <v>855</v>
      </c>
      <c r="B783" s="5">
        <v>45887</v>
      </c>
      <c r="C783" s="8">
        <f>YEAR(Tabla2[[#This Row],[fecha]])</f>
        <v>2025</v>
      </c>
      <c r="D783" s="8">
        <f>MONTH(Tabla2[[#This Row],[fecha]])</f>
        <v>8</v>
      </c>
      <c r="E783" s="8" t="str">
        <f>TEXT(Tabla2[[#This Row],[fecha]], "mmmm")</f>
        <v>agosto</v>
      </c>
      <c r="F783" s="8" t="str">
        <f>"T"&amp;ROUNDUP(Tabla2[[#This Row],[mes]]/3,0)</f>
        <v>T3</v>
      </c>
      <c r="G783" t="s">
        <v>24</v>
      </c>
      <c r="H783" t="s">
        <v>25</v>
      </c>
      <c r="I783" s="8" t="str">
        <f>IF(Tabla2[[#This Row],[precio_unitario]]&lt;=30,"Económico",IF(Tabla2[[#This Row],[precio_unitario]]&lt;=58.49,"Accesible","Caro"))</f>
        <v>Económico</v>
      </c>
      <c r="J783" t="s">
        <v>26</v>
      </c>
      <c r="K783">
        <v>3</v>
      </c>
      <c r="L783" s="19">
        <v>7.5</v>
      </c>
      <c r="M783" s="21">
        <f>INDEX(Tabla3[coste_objetivo], MATCH(Tabla2[[#This Row],[id_producto]], Tabla3[id_producto],0))</f>
        <v>4.32</v>
      </c>
      <c r="N783" s="11">
        <v>0</v>
      </c>
      <c r="O783" s="17">
        <f t="shared" si="51"/>
        <v>22.5</v>
      </c>
      <c r="P783" s="17">
        <f t="shared" si="48"/>
        <v>12.96</v>
      </c>
      <c r="Q783" s="17">
        <f t="shared" si="49"/>
        <v>9.5399999999999991</v>
      </c>
      <c r="R783" s="24">
        <f t="shared" si="50"/>
        <v>0.42399999999999999</v>
      </c>
      <c r="S783" t="s">
        <v>540</v>
      </c>
      <c r="T783" t="s">
        <v>64</v>
      </c>
    </row>
    <row r="784" spans="1:20" hidden="1">
      <c r="A784" t="s">
        <v>856</v>
      </c>
      <c r="B784" s="5">
        <v>45370</v>
      </c>
      <c r="C784" s="8">
        <f>YEAR(Tabla2[[#This Row],[fecha]])</f>
        <v>2024</v>
      </c>
      <c r="D784" s="8">
        <f>MONTH(Tabla2[[#This Row],[fecha]])</f>
        <v>3</v>
      </c>
      <c r="E784" s="8" t="str">
        <f>TEXT(Tabla2[[#This Row],[fecha]], "mmmm")</f>
        <v>marzo</v>
      </c>
      <c r="F784" s="8" t="str">
        <f>"T"&amp;ROUNDUP(Tabla2[[#This Row],[mes]]/3,0)</f>
        <v>T1</v>
      </c>
      <c r="G784" t="s">
        <v>31</v>
      </c>
      <c r="H784" t="s">
        <v>32</v>
      </c>
      <c r="I784" s="8" t="str">
        <f>IF(Tabla2[[#This Row],[precio_unitario]]&lt;=30,"Económico",IF(Tabla2[[#This Row],[precio_unitario]]&lt;=58.49,"Accesible","Caro"))</f>
        <v>Económico</v>
      </c>
      <c r="J784" t="s">
        <v>26</v>
      </c>
      <c r="K784">
        <v>13</v>
      </c>
      <c r="L784" s="19">
        <v>9.2899999999999991</v>
      </c>
      <c r="M784" s="21">
        <f>INDEX(Tabla3[coste_objetivo], MATCH(Tabla2[[#This Row],[id_producto]], Tabla3[id_producto],0))</f>
        <v>5.77</v>
      </c>
      <c r="N784" s="11">
        <v>0.18</v>
      </c>
      <c r="O784" s="17">
        <f t="shared" si="51"/>
        <v>99.031399999999991</v>
      </c>
      <c r="P784" s="17">
        <f t="shared" si="48"/>
        <v>75.009999999999991</v>
      </c>
      <c r="Q784" s="17">
        <f t="shared" si="49"/>
        <v>24.0214</v>
      </c>
      <c r="R784" s="24">
        <f t="shared" si="50"/>
        <v>0.24256346976817456</v>
      </c>
      <c r="S784" t="s">
        <v>83</v>
      </c>
      <c r="T784" t="s">
        <v>60</v>
      </c>
    </row>
    <row r="785" spans="1:20" hidden="1">
      <c r="A785" t="s">
        <v>857</v>
      </c>
      <c r="B785" s="5">
        <v>45827</v>
      </c>
      <c r="C785" s="8">
        <f>YEAR(Tabla2[[#This Row],[fecha]])</f>
        <v>2025</v>
      </c>
      <c r="D785" s="8">
        <f>MONTH(Tabla2[[#This Row],[fecha]])</f>
        <v>6</v>
      </c>
      <c r="E785" s="8" t="str">
        <f>TEXT(Tabla2[[#This Row],[fecha]], "mmmm")</f>
        <v>junio</v>
      </c>
      <c r="F785" s="8" t="str">
        <f>"T"&amp;ROUNDUP(Tabla2[[#This Row],[mes]]/3,0)</f>
        <v>T2</v>
      </c>
      <c r="G785" t="s">
        <v>42</v>
      </c>
      <c r="H785" t="s">
        <v>43</v>
      </c>
      <c r="I785" s="8" t="str">
        <f>IF(Tabla2[[#This Row],[precio_unitario]]&lt;=30,"Económico",IF(Tabla2[[#This Row],[precio_unitario]]&lt;=58.49,"Accesible","Caro"))</f>
        <v>Accesible</v>
      </c>
      <c r="J785" t="s">
        <v>44</v>
      </c>
      <c r="K785">
        <v>2</v>
      </c>
      <c r="L785" s="19">
        <v>49.19</v>
      </c>
      <c r="M785" s="19">
        <v>23.06</v>
      </c>
      <c r="N785" s="13">
        <v>0</v>
      </c>
      <c r="O785" s="17">
        <f t="shared" si="51"/>
        <v>98.38</v>
      </c>
      <c r="P785" s="17">
        <f t="shared" si="48"/>
        <v>46.12</v>
      </c>
      <c r="Q785" s="17">
        <f t="shared" si="49"/>
        <v>52.26</v>
      </c>
      <c r="R785" s="24">
        <f t="shared" si="50"/>
        <v>0.53120552957918277</v>
      </c>
      <c r="S785" t="s">
        <v>83</v>
      </c>
      <c r="T785" t="s">
        <v>64</v>
      </c>
    </row>
    <row r="786" spans="1:20" hidden="1">
      <c r="A786" t="s">
        <v>858</v>
      </c>
      <c r="B786" s="5">
        <v>45568</v>
      </c>
      <c r="C786" s="8">
        <f>YEAR(Tabla2[[#This Row],[fecha]])</f>
        <v>2024</v>
      </c>
      <c r="D786" s="8">
        <f>MONTH(Tabla2[[#This Row],[fecha]])</f>
        <v>10</v>
      </c>
      <c r="E786" s="8" t="str">
        <f>TEXT(Tabla2[[#This Row],[fecha]], "mmmm")</f>
        <v>octubre</v>
      </c>
      <c r="F786" s="8" t="str">
        <f>"T"&amp;ROUNDUP(Tabla2[[#This Row],[mes]]/3,0)</f>
        <v>T4</v>
      </c>
      <c r="G786" t="s">
        <v>47</v>
      </c>
      <c r="H786" t="s">
        <v>48</v>
      </c>
      <c r="I786" s="8" t="str">
        <f>IF(Tabla2[[#This Row],[precio_unitario]]&lt;=30,"Económico",IF(Tabla2[[#This Row],[precio_unitario]]&lt;=58.49,"Accesible","Caro"))</f>
        <v>Accesible</v>
      </c>
      <c r="J786" t="s">
        <v>44</v>
      </c>
      <c r="K786">
        <v>2</v>
      </c>
      <c r="L786" s="19">
        <v>56.1</v>
      </c>
      <c r="M786" s="19">
        <v>33.42</v>
      </c>
      <c r="N786" s="11">
        <v>0</v>
      </c>
      <c r="O786" s="17">
        <f t="shared" si="51"/>
        <v>112.2</v>
      </c>
      <c r="P786" s="17">
        <f t="shared" si="48"/>
        <v>66.84</v>
      </c>
      <c r="Q786" s="17">
        <f t="shared" si="49"/>
        <v>45.36</v>
      </c>
      <c r="R786" s="24">
        <f t="shared" si="50"/>
        <v>0.40427807486631012</v>
      </c>
      <c r="S786" t="s">
        <v>63</v>
      </c>
      <c r="T786" t="s">
        <v>64</v>
      </c>
    </row>
    <row r="787" spans="1:20" hidden="1">
      <c r="A787" t="s">
        <v>859</v>
      </c>
      <c r="B787" s="5">
        <v>45513</v>
      </c>
      <c r="C787" s="8">
        <f>YEAR(Tabla2[[#This Row],[fecha]])</f>
        <v>2024</v>
      </c>
      <c r="D787" s="8">
        <f>MONTH(Tabla2[[#This Row],[fecha]])</f>
        <v>8</v>
      </c>
      <c r="E787" s="8" t="str">
        <f>TEXT(Tabla2[[#This Row],[fecha]], "mmmm")</f>
        <v>agosto</v>
      </c>
      <c r="F787" s="8" t="str">
        <f>"T"&amp;ROUNDUP(Tabla2[[#This Row],[mes]]/3,0)</f>
        <v>T3</v>
      </c>
      <c r="G787" t="s">
        <v>38</v>
      </c>
      <c r="H787" t="s">
        <v>39</v>
      </c>
      <c r="I787" s="8" t="str">
        <f>IF(Tabla2[[#This Row],[precio_unitario]]&lt;=30,"Económico",IF(Tabla2[[#This Row],[precio_unitario]]&lt;=58.49,"Accesible","Caro"))</f>
        <v>Caro</v>
      </c>
      <c r="J787" t="s">
        <v>35</v>
      </c>
      <c r="K787">
        <v>4</v>
      </c>
      <c r="L787" s="19">
        <v>79.98</v>
      </c>
      <c r="M787" s="19">
        <v>40.770000000000003</v>
      </c>
      <c r="N787" s="13">
        <v>0</v>
      </c>
      <c r="O787" s="17">
        <f t="shared" si="51"/>
        <v>319.92</v>
      </c>
      <c r="P787" s="17">
        <f t="shared" si="48"/>
        <v>163.08000000000001</v>
      </c>
      <c r="Q787" s="17">
        <f t="shared" si="49"/>
        <v>156.84</v>
      </c>
      <c r="R787" s="24">
        <f t="shared" si="50"/>
        <v>0.49024756189047258</v>
      </c>
      <c r="S787" t="s">
        <v>83</v>
      </c>
      <c r="T787" t="s">
        <v>60</v>
      </c>
    </row>
    <row r="788" spans="1:20" hidden="1">
      <c r="A788" t="s">
        <v>860</v>
      </c>
      <c r="B788" s="5">
        <v>45640</v>
      </c>
      <c r="C788" s="8">
        <f>YEAR(Tabla2[[#This Row],[fecha]])</f>
        <v>2024</v>
      </c>
      <c r="D788" s="8">
        <f>MONTH(Tabla2[[#This Row],[fecha]])</f>
        <v>12</v>
      </c>
      <c r="E788" s="8" t="str">
        <f>TEXT(Tabla2[[#This Row],[fecha]], "mmmm")</f>
        <v>diciembre</v>
      </c>
      <c r="F788" s="8" t="str">
        <f>"T"&amp;ROUNDUP(Tabla2[[#This Row],[mes]]/3,0)</f>
        <v>T4</v>
      </c>
      <c r="G788" t="s">
        <v>45</v>
      </c>
      <c r="H788" t="s">
        <v>46</v>
      </c>
      <c r="I788" s="8" t="str">
        <f>IF(Tabla2[[#This Row],[precio_unitario]]&lt;=30,"Económico",IF(Tabla2[[#This Row],[precio_unitario]]&lt;=58.49,"Accesible","Caro"))</f>
        <v>Accesible</v>
      </c>
      <c r="J788" t="s">
        <v>44</v>
      </c>
      <c r="K788">
        <v>3</v>
      </c>
      <c r="L788" s="19">
        <v>33.04</v>
      </c>
      <c r="M788" s="19">
        <v>17.670000000000002</v>
      </c>
      <c r="N788" s="13">
        <v>0</v>
      </c>
      <c r="O788" s="17">
        <f t="shared" si="51"/>
        <v>99.12</v>
      </c>
      <c r="P788" s="17">
        <f t="shared" si="48"/>
        <v>53.010000000000005</v>
      </c>
      <c r="Q788" s="17">
        <f t="shared" si="49"/>
        <v>46.11</v>
      </c>
      <c r="R788" s="24">
        <f t="shared" si="50"/>
        <v>0.46519370460048426</v>
      </c>
      <c r="S788" t="s">
        <v>540</v>
      </c>
      <c r="T788" t="s">
        <v>64</v>
      </c>
    </row>
    <row r="789" spans="1:20" hidden="1">
      <c r="A789" t="s">
        <v>572</v>
      </c>
      <c r="B789" s="5">
        <v>45992</v>
      </c>
      <c r="C789" s="8">
        <f>YEAR(Tabla2[[#This Row],[fecha]])</f>
        <v>2025</v>
      </c>
      <c r="D789" s="8">
        <f>MONTH(Tabla2[[#This Row],[fecha]])</f>
        <v>12</v>
      </c>
      <c r="E789" s="8" t="str">
        <f>TEXT(Tabla2[[#This Row],[fecha]], "mmmm")</f>
        <v>diciembre</v>
      </c>
      <c r="F789" s="8" t="str">
        <f>"T"&amp;ROUNDUP(Tabla2[[#This Row],[mes]]/3,0)</f>
        <v>T4</v>
      </c>
      <c r="G789" t="s">
        <v>6</v>
      </c>
      <c r="H789" t="s">
        <v>7</v>
      </c>
      <c r="I789" s="8" t="str">
        <f>IF(Tabla2[[#This Row],[precio_unitario]]&lt;=30,"Económico",IF(Tabla2[[#This Row],[precio_unitario]]&lt;=58.49,"Accesible","Caro"))</f>
        <v>Caro</v>
      </c>
      <c r="J789" t="s">
        <v>8</v>
      </c>
      <c r="K789">
        <v>3</v>
      </c>
      <c r="L789" s="19">
        <v>121.03</v>
      </c>
      <c r="M789" s="19">
        <v>80.63</v>
      </c>
      <c r="N789" s="11">
        <v>0</v>
      </c>
      <c r="O789" s="17">
        <f t="shared" si="51"/>
        <v>363.09000000000003</v>
      </c>
      <c r="P789" s="17">
        <f t="shared" si="48"/>
        <v>241.89</v>
      </c>
      <c r="Q789" s="17">
        <f t="shared" si="49"/>
        <v>121.20000000000005</v>
      </c>
      <c r="R789" s="24">
        <f t="shared" si="50"/>
        <v>0.33380153680905572</v>
      </c>
      <c r="S789" t="s">
        <v>96</v>
      </c>
      <c r="T789" t="s">
        <v>64</v>
      </c>
    </row>
    <row r="790" spans="1:20" hidden="1">
      <c r="A790" t="s">
        <v>861</v>
      </c>
      <c r="B790" s="5">
        <v>45594</v>
      </c>
      <c r="C790" s="8">
        <f>YEAR(Tabla2[[#This Row],[fecha]])</f>
        <v>2024</v>
      </c>
      <c r="D790" s="8">
        <f>MONTH(Tabla2[[#This Row],[fecha]])</f>
        <v>10</v>
      </c>
      <c r="E790" s="8" t="str">
        <f>TEXT(Tabla2[[#This Row],[fecha]], "mmmm")</f>
        <v>octubre</v>
      </c>
      <c r="F790" s="8" t="str">
        <f>"T"&amp;ROUNDUP(Tabla2[[#This Row],[mes]]/3,0)</f>
        <v>T4</v>
      </c>
      <c r="G790" t="s">
        <v>40</v>
      </c>
      <c r="H790" t="s">
        <v>41</v>
      </c>
      <c r="I790" s="8" t="str">
        <f>IF(Tabla2[[#This Row],[precio_unitario]]&lt;=30,"Económico",IF(Tabla2[[#This Row],[precio_unitario]]&lt;=58.49,"Accesible","Caro"))</f>
        <v>Caro</v>
      </c>
      <c r="J790" t="s">
        <v>35</v>
      </c>
      <c r="K790">
        <v>1</v>
      </c>
      <c r="L790" s="19">
        <v>74.34</v>
      </c>
      <c r="M790" s="19">
        <v>42.92</v>
      </c>
      <c r="N790" s="11">
        <v>0</v>
      </c>
      <c r="O790" s="17">
        <f t="shared" si="51"/>
        <v>74.34</v>
      </c>
      <c r="P790" s="17">
        <f t="shared" si="48"/>
        <v>42.92</v>
      </c>
      <c r="Q790" s="17">
        <f t="shared" si="49"/>
        <v>31.42</v>
      </c>
      <c r="R790" s="24">
        <f t="shared" si="50"/>
        <v>0.42265267688996505</v>
      </c>
      <c r="S790" t="s">
        <v>63</v>
      </c>
      <c r="T790" t="s">
        <v>60</v>
      </c>
    </row>
    <row r="791" spans="1:20" hidden="1">
      <c r="A791" t="s">
        <v>862</v>
      </c>
      <c r="B791" s="5">
        <v>45377</v>
      </c>
      <c r="C791" s="8">
        <f>YEAR(Tabla2[[#This Row],[fecha]])</f>
        <v>2024</v>
      </c>
      <c r="D791" s="8">
        <f>MONTH(Tabla2[[#This Row],[fecha]])</f>
        <v>3</v>
      </c>
      <c r="E791" s="8" t="str">
        <f>TEXT(Tabla2[[#This Row],[fecha]], "mmmm")</f>
        <v>marzo</v>
      </c>
      <c r="F791" s="8" t="str">
        <f>"T"&amp;ROUNDUP(Tabla2[[#This Row],[mes]]/3,0)</f>
        <v>T1</v>
      </c>
      <c r="G791" t="s">
        <v>29</v>
      </c>
      <c r="H791" t="s">
        <v>30</v>
      </c>
      <c r="I791" s="8" t="str">
        <f>IF(Tabla2[[#This Row],[precio_unitario]]&lt;=30,"Económico",IF(Tabla2[[#This Row],[precio_unitario]]&lt;=58.49,"Accesible","Caro"))</f>
        <v>Económico</v>
      </c>
      <c r="J791" t="s">
        <v>26</v>
      </c>
      <c r="K791">
        <v>1</v>
      </c>
      <c r="L791" s="19">
        <v>22.88</v>
      </c>
      <c r="M791" s="19">
        <v>11.17</v>
      </c>
      <c r="N791" s="11">
        <v>0</v>
      </c>
      <c r="O791" s="17">
        <f t="shared" si="51"/>
        <v>22.88</v>
      </c>
      <c r="P791" s="17">
        <f t="shared" si="48"/>
        <v>11.17</v>
      </c>
      <c r="Q791" s="17">
        <f t="shared" si="49"/>
        <v>11.709999999999999</v>
      </c>
      <c r="R791" s="24">
        <f t="shared" si="50"/>
        <v>0.51180069930069927</v>
      </c>
      <c r="S791" s="10" t="s">
        <v>2377</v>
      </c>
      <c r="T791" t="s">
        <v>64</v>
      </c>
    </row>
    <row r="792" spans="1:20" hidden="1">
      <c r="A792" t="s">
        <v>863</v>
      </c>
      <c r="B792" s="5">
        <v>45845</v>
      </c>
      <c r="C792" s="8">
        <f>YEAR(Tabla2[[#This Row],[fecha]])</f>
        <v>2025</v>
      </c>
      <c r="D792" s="8">
        <f>MONTH(Tabla2[[#This Row],[fecha]])</f>
        <v>7</v>
      </c>
      <c r="E792" s="8" t="str">
        <f>TEXT(Tabla2[[#This Row],[fecha]], "mmmm")</f>
        <v>julio</v>
      </c>
      <c r="F792" s="8" t="str">
        <f>"T"&amp;ROUNDUP(Tabla2[[#This Row],[mes]]/3,0)</f>
        <v>T3</v>
      </c>
      <c r="G792" t="s">
        <v>15</v>
      </c>
      <c r="H792" t="s">
        <v>16</v>
      </c>
      <c r="I792" s="8" t="str">
        <f>IF(Tabla2[[#This Row],[precio_unitario]]&lt;=30,"Económico",IF(Tabla2[[#This Row],[precio_unitario]]&lt;=58.49,"Accesible","Caro"))</f>
        <v>Caro</v>
      </c>
      <c r="J792" t="s">
        <v>17</v>
      </c>
      <c r="K792">
        <v>4</v>
      </c>
      <c r="L792" s="19">
        <v>61.73</v>
      </c>
      <c r="M792" s="19">
        <v>39.54</v>
      </c>
      <c r="N792" s="11">
        <v>0.19</v>
      </c>
      <c r="O792" s="17">
        <f t="shared" si="51"/>
        <v>200.0052</v>
      </c>
      <c r="P792" s="17">
        <f t="shared" si="48"/>
        <v>158.16</v>
      </c>
      <c r="Q792" s="17">
        <f t="shared" si="49"/>
        <v>41.845200000000006</v>
      </c>
      <c r="R792" s="24">
        <f t="shared" si="50"/>
        <v>0.20922056026543312</v>
      </c>
      <c r="S792" t="s">
        <v>63</v>
      </c>
      <c r="T792" t="s">
        <v>60</v>
      </c>
    </row>
    <row r="793" spans="1:20" hidden="1">
      <c r="A793" t="s">
        <v>864</v>
      </c>
      <c r="B793" s="5">
        <v>45429</v>
      </c>
      <c r="C793" s="8">
        <f>YEAR(Tabla2[[#This Row],[fecha]])</f>
        <v>2024</v>
      </c>
      <c r="D793" s="8">
        <f>MONTH(Tabla2[[#This Row],[fecha]])</f>
        <v>5</v>
      </c>
      <c r="E793" s="8" t="str">
        <f>TEXT(Tabla2[[#This Row],[fecha]], "mmmm")</f>
        <v>mayo</v>
      </c>
      <c r="F793" s="8" t="str">
        <f>"T"&amp;ROUNDUP(Tabla2[[#This Row],[mes]]/3,0)</f>
        <v>T2</v>
      </c>
      <c r="G793" t="s">
        <v>29</v>
      </c>
      <c r="H793" t="s">
        <v>30</v>
      </c>
      <c r="I793" s="8" t="str">
        <f>IF(Tabla2[[#This Row],[precio_unitario]]&lt;=30,"Económico",IF(Tabla2[[#This Row],[precio_unitario]]&lt;=58.49,"Accesible","Caro"))</f>
        <v>Económico</v>
      </c>
      <c r="J793" t="s">
        <v>26</v>
      </c>
      <c r="K793">
        <v>1</v>
      </c>
      <c r="L793" s="19">
        <v>19.920000000000002</v>
      </c>
      <c r="M793" s="19">
        <v>11.61</v>
      </c>
      <c r="N793" s="13">
        <v>0</v>
      </c>
      <c r="O793" s="17">
        <f t="shared" si="51"/>
        <v>19.920000000000002</v>
      </c>
      <c r="P793" s="17">
        <f t="shared" si="48"/>
        <v>11.61</v>
      </c>
      <c r="Q793" s="17">
        <f t="shared" si="49"/>
        <v>8.3100000000000023</v>
      </c>
      <c r="R793" s="24">
        <f t="shared" si="50"/>
        <v>0.41716867469879526</v>
      </c>
      <c r="S793" t="s">
        <v>540</v>
      </c>
      <c r="T793" t="s">
        <v>64</v>
      </c>
    </row>
    <row r="794" spans="1:20" hidden="1">
      <c r="A794" t="s">
        <v>865</v>
      </c>
      <c r="B794" s="5">
        <v>45577</v>
      </c>
      <c r="C794" s="8">
        <f>YEAR(Tabla2[[#This Row],[fecha]])</f>
        <v>2024</v>
      </c>
      <c r="D794" s="8">
        <f>MONTH(Tabla2[[#This Row],[fecha]])</f>
        <v>10</v>
      </c>
      <c r="E794" s="8" t="str">
        <f>TEXT(Tabla2[[#This Row],[fecha]], "mmmm")</f>
        <v>octubre</v>
      </c>
      <c r="F794" s="8" t="str">
        <f>"T"&amp;ROUNDUP(Tabla2[[#This Row],[mes]]/3,0)</f>
        <v>T4</v>
      </c>
      <c r="G794" t="s">
        <v>38</v>
      </c>
      <c r="H794" t="s">
        <v>39</v>
      </c>
      <c r="I794" s="8" t="str">
        <f>IF(Tabla2[[#This Row],[precio_unitario]]&lt;=30,"Económico",IF(Tabla2[[#This Row],[precio_unitario]]&lt;=58.49,"Accesible","Caro"))</f>
        <v>Caro</v>
      </c>
      <c r="J794" t="s">
        <v>35</v>
      </c>
      <c r="K794">
        <v>2</v>
      </c>
      <c r="L794" s="19">
        <v>83.12</v>
      </c>
      <c r="M794" s="19">
        <v>44.7</v>
      </c>
      <c r="N794" s="13">
        <v>0</v>
      </c>
      <c r="O794" s="17">
        <f t="shared" si="51"/>
        <v>166.24</v>
      </c>
      <c r="P794" s="17">
        <f t="shared" si="48"/>
        <v>89.4</v>
      </c>
      <c r="Q794" s="17">
        <f t="shared" si="49"/>
        <v>76.84</v>
      </c>
      <c r="R794" s="24">
        <f t="shared" si="50"/>
        <v>0.462223291626564</v>
      </c>
      <c r="S794" t="s">
        <v>67</v>
      </c>
      <c r="T794" t="s">
        <v>64</v>
      </c>
    </row>
    <row r="795" spans="1:20" hidden="1">
      <c r="A795" t="s">
        <v>866</v>
      </c>
      <c r="B795" s="5">
        <v>45354</v>
      </c>
      <c r="C795" s="8">
        <f>YEAR(Tabla2[[#This Row],[fecha]])</f>
        <v>2024</v>
      </c>
      <c r="D795" s="8">
        <f>MONTH(Tabla2[[#This Row],[fecha]])</f>
        <v>3</v>
      </c>
      <c r="E795" s="8" t="str">
        <f>TEXT(Tabla2[[#This Row],[fecha]], "mmmm")</f>
        <v>marzo</v>
      </c>
      <c r="F795" s="8" t="str">
        <f>"T"&amp;ROUNDUP(Tabla2[[#This Row],[mes]]/3,0)</f>
        <v>T1</v>
      </c>
      <c r="G795" t="s">
        <v>15</v>
      </c>
      <c r="H795" t="s">
        <v>16</v>
      </c>
      <c r="I795" s="8" t="str">
        <f>IF(Tabla2[[#This Row],[precio_unitario]]&lt;=30,"Económico",IF(Tabla2[[#This Row],[precio_unitario]]&lt;=58.49,"Accesible","Caro"))</f>
        <v>Accesible</v>
      </c>
      <c r="J795" t="s">
        <v>17</v>
      </c>
      <c r="K795">
        <v>3</v>
      </c>
      <c r="L795" s="19">
        <v>58.02</v>
      </c>
      <c r="M795" s="19">
        <v>42.81</v>
      </c>
      <c r="N795" s="13">
        <v>0</v>
      </c>
      <c r="O795" s="17">
        <f t="shared" si="51"/>
        <v>174.06</v>
      </c>
      <c r="P795" s="17">
        <f t="shared" si="48"/>
        <v>128.43</v>
      </c>
      <c r="Q795" s="17">
        <f t="shared" si="49"/>
        <v>45.629999999999995</v>
      </c>
      <c r="R795" s="24">
        <f t="shared" si="50"/>
        <v>0.26215098241985518</v>
      </c>
      <c r="S795" t="s">
        <v>83</v>
      </c>
      <c r="T795" t="s">
        <v>60</v>
      </c>
    </row>
    <row r="796" spans="1:20" hidden="1">
      <c r="A796" t="s">
        <v>867</v>
      </c>
      <c r="B796" s="5">
        <v>45839</v>
      </c>
      <c r="C796" s="8">
        <f>YEAR(Tabla2[[#This Row],[fecha]])</f>
        <v>2025</v>
      </c>
      <c r="D796" s="8">
        <f>MONTH(Tabla2[[#This Row],[fecha]])</f>
        <v>7</v>
      </c>
      <c r="E796" s="8" t="str">
        <f>TEXT(Tabla2[[#This Row],[fecha]], "mmmm")</f>
        <v>julio</v>
      </c>
      <c r="F796" s="8" t="str">
        <f>"T"&amp;ROUNDUP(Tabla2[[#This Row],[mes]]/3,0)</f>
        <v>T3</v>
      </c>
      <c r="G796" t="s">
        <v>42</v>
      </c>
      <c r="H796" t="s">
        <v>43</v>
      </c>
      <c r="I796" s="8" t="str">
        <f>IF(Tabla2[[#This Row],[precio_unitario]]&lt;=30,"Económico",IF(Tabla2[[#This Row],[precio_unitario]]&lt;=58.49,"Accesible","Caro"))</f>
        <v>Accesible</v>
      </c>
      <c r="J796" t="s">
        <v>44</v>
      </c>
      <c r="K796">
        <v>2</v>
      </c>
      <c r="L796" s="19">
        <v>50.41</v>
      </c>
      <c r="M796" s="19">
        <v>22.03</v>
      </c>
      <c r="N796" s="11">
        <v>0</v>
      </c>
      <c r="O796" s="17">
        <f t="shared" si="51"/>
        <v>100.82</v>
      </c>
      <c r="P796" s="17">
        <f t="shared" si="48"/>
        <v>44.06</v>
      </c>
      <c r="Q796" s="17">
        <f t="shared" si="49"/>
        <v>56.759999999999991</v>
      </c>
      <c r="R796" s="24">
        <f t="shared" si="50"/>
        <v>0.56298353501289422</v>
      </c>
      <c r="S796" t="s">
        <v>83</v>
      </c>
      <c r="T796" t="s">
        <v>64</v>
      </c>
    </row>
    <row r="797" spans="1:20" hidden="1">
      <c r="A797" t="s">
        <v>868</v>
      </c>
      <c r="B797" s="5">
        <v>45321</v>
      </c>
      <c r="C797" s="8">
        <f>YEAR(Tabla2[[#This Row],[fecha]])</f>
        <v>2024</v>
      </c>
      <c r="D797" s="8">
        <f>MONTH(Tabla2[[#This Row],[fecha]])</f>
        <v>1</v>
      </c>
      <c r="E797" s="8" t="str">
        <f>TEXT(Tabla2[[#This Row],[fecha]], "mmmm")</f>
        <v>enero</v>
      </c>
      <c r="F797" s="8" t="str">
        <f>"T"&amp;ROUNDUP(Tabla2[[#This Row],[mes]]/3,0)</f>
        <v>T1</v>
      </c>
      <c r="G797" t="s">
        <v>27</v>
      </c>
      <c r="H797" t="s">
        <v>28</v>
      </c>
      <c r="I797" s="8" t="str">
        <f>IF(Tabla2[[#This Row],[precio_unitario]]&lt;=30,"Económico",IF(Tabla2[[#This Row],[precio_unitario]]&lt;=58.49,"Accesible","Caro"))</f>
        <v>Económico</v>
      </c>
      <c r="J797" t="s">
        <v>26</v>
      </c>
      <c r="K797">
        <v>1</v>
      </c>
      <c r="L797" s="19">
        <v>16.829999999999998</v>
      </c>
      <c r="M797" s="19">
        <v>11.22</v>
      </c>
      <c r="N797" s="11">
        <v>0.3</v>
      </c>
      <c r="O797" s="17">
        <f t="shared" si="51"/>
        <v>11.780999999999999</v>
      </c>
      <c r="P797" s="17">
        <f t="shared" si="48"/>
        <v>11.22</v>
      </c>
      <c r="Q797" s="17">
        <f t="shared" si="49"/>
        <v>0.56099999999999817</v>
      </c>
      <c r="R797" s="24">
        <f t="shared" si="50"/>
        <v>4.7619047619047471E-2</v>
      </c>
      <c r="S797" t="s">
        <v>63</v>
      </c>
      <c r="T797" t="s">
        <v>60</v>
      </c>
    </row>
    <row r="798" spans="1:20" hidden="1">
      <c r="A798" t="s">
        <v>869</v>
      </c>
      <c r="B798" s="5">
        <v>45750</v>
      </c>
      <c r="C798" s="8">
        <f>YEAR(Tabla2[[#This Row],[fecha]])</f>
        <v>2025</v>
      </c>
      <c r="D798" s="8">
        <f>MONTH(Tabla2[[#This Row],[fecha]])</f>
        <v>4</v>
      </c>
      <c r="E798" s="8" t="str">
        <f>TEXT(Tabla2[[#This Row],[fecha]], "mmmm")</f>
        <v>abril</v>
      </c>
      <c r="F798" s="8" t="str">
        <f>"T"&amp;ROUNDUP(Tabla2[[#This Row],[mes]]/3,0)</f>
        <v>T2</v>
      </c>
      <c r="G798" t="s">
        <v>42</v>
      </c>
      <c r="H798" t="s">
        <v>43</v>
      </c>
      <c r="I798" s="8" t="str">
        <f>IF(Tabla2[[#This Row],[precio_unitario]]&lt;=30,"Económico",IF(Tabla2[[#This Row],[precio_unitario]]&lt;=58.49,"Accesible","Caro"))</f>
        <v>Accesible</v>
      </c>
      <c r="J798" t="s">
        <v>44</v>
      </c>
      <c r="K798">
        <v>1</v>
      </c>
      <c r="L798" s="19">
        <v>52.59</v>
      </c>
      <c r="M798" s="19">
        <v>23.23</v>
      </c>
      <c r="N798" s="13">
        <v>0</v>
      </c>
      <c r="O798" s="17">
        <f t="shared" si="51"/>
        <v>52.59</v>
      </c>
      <c r="P798" s="17">
        <f t="shared" si="48"/>
        <v>23.23</v>
      </c>
      <c r="Q798" s="17">
        <f t="shared" si="49"/>
        <v>29.360000000000003</v>
      </c>
      <c r="R798" s="24">
        <f t="shared" si="50"/>
        <v>0.55828104202319839</v>
      </c>
      <c r="S798" t="s">
        <v>63</v>
      </c>
      <c r="T798" t="s">
        <v>60</v>
      </c>
    </row>
    <row r="799" spans="1:20" hidden="1">
      <c r="A799" t="s">
        <v>870</v>
      </c>
      <c r="B799" s="5">
        <v>45458</v>
      </c>
      <c r="C799" s="8">
        <f>YEAR(Tabla2[[#This Row],[fecha]])</f>
        <v>2024</v>
      </c>
      <c r="D799" s="8">
        <f>MONTH(Tabla2[[#This Row],[fecha]])</f>
        <v>6</v>
      </c>
      <c r="E799" s="8" t="str">
        <f>TEXT(Tabla2[[#This Row],[fecha]], "mmmm")</f>
        <v>junio</v>
      </c>
      <c r="F799" s="8" t="str">
        <f>"T"&amp;ROUNDUP(Tabla2[[#This Row],[mes]]/3,0)</f>
        <v>T2</v>
      </c>
      <c r="G799" t="s">
        <v>42</v>
      </c>
      <c r="H799" t="s">
        <v>43</v>
      </c>
      <c r="I799" s="8" t="str">
        <f>IF(Tabla2[[#This Row],[precio_unitario]]&lt;=30,"Económico",IF(Tabla2[[#This Row],[precio_unitario]]&lt;=58.49,"Accesible","Caro"))</f>
        <v>Accesible</v>
      </c>
      <c r="J799" t="s">
        <v>44</v>
      </c>
      <c r="K799">
        <v>10</v>
      </c>
      <c r="L799" s="19">
        <v>47.59</v>
      </c>
      <c r="M799" s="19">
        <v>21.69</v>
      </c>
      <c r="N799" s="11">
        <v>0</v>
      </c>
      <c r="O799" s="17">
        <f t="shared" si="51"/>
        <v>475.90000000000003</v>
      </c>
      <c r="P799" s="17">
        <f t="shared" si="48"/>
        <v>216.9</v>
      </c>
      <c r="Q799" s="17">
        <f t="shared" si="49"/>
        <v>259</v>
      </c>
      <c r="R799" s="24">
        <f t="shared" si="50"/>
        <v>0.54423198150872032</v>
      </c>
      <c r="S799" t="s">
        <v>96</v>
      </c>
      <c r="T799" t="s">
        <v>64</v>
      </c>
    </row>
    <row r="800" spans="1:20">
      <c r="A800" t="s">
        <v>871</v>
      </c>
      <c r="B800" s="5">
        <v>45719</v>
      </c>
      <c r="C800" s="8">
        <f>YEAR(Tabla2[[#This Row],[fecha]])</f>
        <v>2025</v>
      </c>
      <c r="D800" s="8">
        <f>MONTH(Tabla2[[#This Row],[fecha]])</f>
        <v>3</v>
      </c>
      <c r="E800" s="8" t="str">
        <f>TEXT(Tabla2[[#This Row],[fecha]], "mmmm")</f>
        <v>marzo</v>
      </c>
      <c r="F800" s="8" t="str">
        <f>"T"&amp;ROUNDUP(Tabla2[[#This Row],[mes]]/3,0)</f>
        <v>T1</v>
      </c>
      <c r="G800" t="s">
        <v>22</v>
      </c>
      <c r="H800" t="s">
        <v>23</v>
      </c>
      <c r="I800" s="8" t="str">
        <f>IF(Tabla2[[#This Row],[precio_unitario]]&lt;=30,"Económico",IF(Tabla2[[#This Row],[precio_unitario]]&lt;=58.49,"Accesible","Caro"))</f>
        <v>Caro</v>
      </c>
      <c r="J800" t="s">
        <v>17</v>
      </c>
      <c r="K800">
        <v>2</v>
      </c>
      <c r="L800" s="19">
        <v>97.81</v>
      </c>
      <c r="M800" s="19">
        <v>55.39</v>
      </c>
      <c r="N800" s="11">
        <v>0</v>
      </c>
      <c r="O800" s="17">
        <f t="shared" si="51"/>
        <v>195.62</v>
      </c>
      <c r="P800" s="17">
        <f t="shared" si="48"/>
        <v>110.78</v>
      </c>
      <c r="Q800" s="17">
        <f t="shared" si="49"/>
        <v>84.84</v>
      </c>
      <c r="R800" s="24">
        <f t="shared" si="50"/>
        <v>0.43369798589101322</v>
      </c>
      <c r="S800" t="s">
        <v>67</v>
      </c>
      <c r="T800" t="s">
        <v>60</v>
      </c>
    </row>
    <row r="801" spans="1:20">
      <c r="A801" t="s">
        <v>872</v>
      </c>
      <c r="B801" s="5">
        <v>45663</v>
      </c>
      <c r="C801" s="8">
        <f>YEAR(Tabla2[[#This Row],[fecha]])</f>
        <v>2025</v>
      </c>
      <c r="D801" s="8">
        <f>MONTH(Tabla2[[#This Row],[fecha]])</f>
        <v>1</v>
      </c>
      <c r="E801" s="8" t="str">
        <f>TEXT(Tabla2[[#This Row],[fecha]], "mmmm")</f>
        <v>enero</v>
      </c>
      <c r="F801" s="8" t="str">
        <f>"T"&amp;ROUNDUP(Tabla2[[#This Row],[mes]]/3,0)</f>
        <v>T1</v>
      </c>
      <c r="G801" t="s">
        <v>40</v>
      </c>
      <c r="H801" t="s">
        <v>41</v>
      </c>
      <c r="I801" s="8" t="str">
        <f>IF(Tabla2[[#This Row],[precio_unitario]]&lt;=30,"Económico",IF(Tabla2[[#This Row],[precio_unitario]]&lt;=58.49,"Accesible","Caro"))</f>
        <v>Caro</v>
      </c>
      <c r="J801" t="s">
        <v>35</v>
      </c>
      <c r="K801">
        <v>5</v>
      </c>
      <c r="L801" s="19">
        <v>72.650000000000006</v>
      </c>
      <c r="M801" s="19">
        <v>43</v>
      </c>
      <c r="N801" s="11">
        <v>0</v>
      </c>
      <c r="O801" s="17">
        <f t="shared" si="51"/>
        <v>363.25</v>
      </c>
      <c r="P801" s="17">
        <f t="shared" si="48"/>
        <v>215</v>
      </c>
      <c r="Q801" s="17">
        <f t="shared" si="49"/>
        <v>148.25</v>
      </c>
      <c r="R801" s="24">
        <f t="shared" si="50"/>
        <v>0.40812112869924294</v>
      </c>
      <c r="S801" t="s">
        <v>67</v>
      </c>
      <c r="T801" t="s">
        <v>64</v>
      </c>
    </row>
    <row r="802" spans="1:20" hidden="1">
      <c r="A802" t="s">
        <v>873</v>
      </c>
      <c r="B802" s="5">
        <v>45920</v>
      </c>
      <c r="C802" s="8">
        <f>YEAR(Tabla2[[#This Row],[fecha]])</f>
        <v>2025</v>
      </c>
      <c r="D802" s="8">
        <f>MONTH(Tabla2[[#This Row],[fecha]])</f>
        <v>9</v>
      </c>
      <c r="E802" s="8" t="str">
        <f>TEXT(Tabla2[[#This Row],[fecha]], "mmmm")</f>
        <v>septiembre</v>
      </c>
      <c r="F802" s="8" t="str">
        <f>"T"&amp;ROUNDUP(Tabla2[[#This Row],[mes]]/3,0)</f>
        <v>T3</v>
      </c>
      <c r="G802" t="s">
        <v>45</v>
      </c>
      <c r="H802" t="s">
        <v>46</v>
      </c>
      <c r="I802" s="8" t="str">
        <f>IF(Tabla2[[#This Row],[precio_unitario]]&lt;=30,"Económico",IF(Tabla2[[#This Row],[precio_unitario]]&lt;=58.49,"Accesible","Caro"))</f>
        <v>Accesible</v>
      </c>
      <c r="J802" t="s">
        <v>44</v>
      </c>
      <c r="K802">
        <v>5</v>
      </c>
      <c r="L802" s="19">
        <v>31.25</v>
      </c>
      <c r="M802" s="19">
        <v>16.45</v>
      </c>
      <c r="N802" s="13">
        <v>0</v>
      </c>
      <c r="O802" s="17">
        <f t="shared" si="51"/>
        <v>156.25</v>
      </c>
      <c r="P802" s="17">
        <f t="shared" si="48"/>
        <v>82.25</v>
      </c>
      <c r="Q802" s="17">
        <f t="shared" si="49"/>
        <v>74</v>
      </c>
      <c r="R802" s="24">
        <f t="shared" si="50"/>
        <v>0.47360000000000002</v>
      </c>
      <c r="S802" t="s">
        <v>83</v>
      </c>
      <c r="T802" t="s">
        <v>64</v>
      </c>
    </row>
    <row r="803" spans="1:20">
      <c r="A803" t="s">
        <v>874</v>
      </c>
      <c r="B803" s="5">
        <v>45719</v>
      </c>
      <c r="C803" s="8">
        <f>YEAR(Tabla2[[#This Row],[fecha]])</f>
        <v>2025</v>
      </c>
      <c r="D803" s="8">
        <f>MONTH(Tabla2[[#This Row],[fecha]])</f>
        <v>3</v>
      </c>
      <c r="E803" s="8" t="str">
        <f>TEXT(Tabla2[[#This Row],[fecha]], "mmmm")</f>
        <v>marzo</v>
      </c>
      <c r="F803" s="8" t="str">
        <f>"T"&amp;ROUNDUP(Tabla2[[#This Row],[mes]]/3,0)</f>
        <v>T1</v>
      </c>
      <c r="G803" t="s">
        <v>31</v>
      </c>
      <c r="H803" t="s">
        <v>32</v>
      </c>
      <c r="I803" s="8" t="str">
        <f>IF(Tabla2[[#This Row],[precio_unitario]]&lt;=30,"Económico",IF(Tabla2[[#This Row],[precio_unitario]]&lt;=58.49,"Accesible","Caro"))</f>
        <v>Económico</v>
      </c>
      <c r="J803" t="s">
        <v>26</v>
      </c>
      <c r="K803">
        <v>4</v>
      </c>
      <c r="L803" s="19">
        <v>8.14</v>
      </c>
      <c r="M803" s="19">
        <v>5.49</v>
      </c>
      <c r="N803" s="11">
        <v>0</v>
      </c>
      <c r="O803" s="17">
        <f t="shared" si="51"/>
        <v>32.56</v>
      </c>
      <c r="P803" s="17">
        <f t="shared" si="48"/>
        <v>21.96</v>
      </c>
      <c r="Q803" s="17">
        <f t="shared" si="49"/>
        <v>10.600000000000001</v>
      </c>
      <c r="R803" s="24">
        <f t="shared" si="50"/>
        <v>0.32555282555282555</v>
      </c>
      <c r="S803" t="s">
        <v>67</v>
      </c>
      <c r="T803" t="s">
        <v>64</v>
      </c>
    </row>
    <row r="804" spans="1:20" hidden="1">
      <c r="A804" t="s">
        <v>875</v>
      </c>
      <c r="B804" s="5">
        <v>45396</v>
      </c>
      <c r="C804" s="8">
        <f>YEAR(Tabla2[[#This Row],[fecha]])</f>
        <v>2024</v>
      </c>
      <c r="D804" s="8">
        <f>MONTH(Tabla2[[#This Row],[fecha]])</f>
        <v>4</v>
      </c>
      <c r="E804" s="8" t="str">
        <f>TEXT(Tabla2[[#This Row],[fecha]], "mmmm")</f>
        <v>abril</v>
      </c>
      <c r="F804" s="8" t="str">
        <f>"T"&amp;ROUNDUP(Tabla2[[#This Row],[mes]]/3,0)</f>
        <v>T2</v>
      </c>
      <c r="G804" t="s">
        <v>47</v>
      </c>
      <c r="H804" t="s">
        <v>48</v>
      </c>
      <c r="I804" s="8" t="str">
        <f>IF(Tabla2[[#This Row],[precio_unitario]]&lt;=30,"Económico",IF(Tabla2[[#This Row],[precio_unitario]]&lt;=58.49,"Accesible","Caro"))</f>
        <v>Caro</v>
      </c>
      <c r="J804" t="s">
        <v>44</v>
      </c>
      <c r="K804">
        <v>4</v>
      </c>
      <c r="L804" s="19">
        <v>60.14</v>
      </c>
      <c r="M804" s="19">
        <v>33.83</v>
      </c>
      <c r="N804" s="13">
        <v>0</v>
      </c>
      <c r="O804" s="17">
        <f t="shared" si="51"/>
        <v>240.56</v>
      </c>
      <c r="P804" s="17">
        <f t="shared" si="48"/>
        <v>135.32</v>
      </c>
      <c r="Q804" s="17">
        <f t="shared" si="49"/>
        <v>105.24000000000001</v>
      </c>
      <c r="R804" s="24">
        <f t="shared" si="50"/>
        <v>0.43747921516461591</v>
      </c>
      <c r="S804" t="s">
        <v>67</v>
      </c>
      <c r="T804" t="s">
        <v>64</v>
      </c>
    </row>
    <row r="805" spans="1:20" hidden="1">
      <c r="A805" t="s">
        <v>876</v>
      </c>
      <c r="B805" s="5">
        <v>45739</v>
      </c>
      <c r="C805" s="8">
        <f>YEAR(Tabla2[[#This Row],[fecha]])</f>
        <v>2025</v>
      </c>
      <c r="D805" s="8">
        <f>MONTH(Tabla2[[#This Row],[fecha]])</f>
        <v>3</v>
      </c>
      <c r="E805" s="8" t="str">
        <f>TEXT(Tabla2[[#This Row],[fecha]], "mmmm")</f>
        <v>marzo</v>
      </c>
      <c r="F805" s="8" t="str">
        <f>"T"&amp;ROUNDUP(Tabla2[[#This Row],[mes]]/3,0)</f>
        <v>T1</v>
      </c>
      <c r="G805" t="s">
        <v>24</v>
      </c>
      <c r="H805" t="s">
        <v>25</v>
      </c>
      <c r="I805" s="8" t="str">
        <f>IF(Tabla2[[#This Row],[precio_unitario]]&lt;=30,"Económico",IF(Tabla2[[#This Row],[precio_unitario]]&lt;=58.49,"Accesible","Caro"))</f>
        <v>Económico</v>
      </c>
      <c r="J805" t="s">
        <v>26</v>
      </c>
      <c r="K805">
        <v>1</v>
      </c>
      <c r="L805" s="19">
        <v>7.3</v>
      </c>
      <c r="M805" s="19">
        <v>4.21</v>
      </c>
      <c r="N805" s="11">
        <v>0.26</v>
      </c>
      <c r="O805" s="17">
        <f t="shared" si="51"/>
        <v>5.4020000000000001</v>
      </c>
      <c r="P805" s="17">
        <f t="shared" si="48"/>
        <v>4.21</v>
      </c>
      <c r="Q805" s="17">
        <f t="shared" si="49"/>
        <v>1.1920000000000002</v>
      </c>
      <c r="R805" s="24">
        <f t="shared" si="50"/>
        <v>0.22065901517956316</v>
      </c>
      <c r="S805" t="s">
        <v>96</v>
      </c>
      <c r="T805" t="s">
        <v>64</v>
      </c>
    </row>
    <row r="806" spans="1:20" hidden="1">
      <c r="A806" t="s">
        <v>877</v>
      </c>
      <c r="B806" s="5">
        <v>45848</v>
      </c>
      <c r="C806" s="8">
        <f>YEAR(Tabla2[[#This Row],[fecha]])</f>
        <v>2025</v>
      </c>
      <c r="D806" s="8">
        <f>MONTH(Tabla2[[#This Row],[fecha]])</f>
        <v>7</v>
      </c>
      <c r="E806" s="8" t="str">
        <f>TEXT(Tabla2[[#This Row],[fecha]], "mmmm")</f>
        <v>julio</v>
      </c>
      <c r="F806" s="8" t="str">
        <f>"T"&amp;ROUNDUP(Tabla2[[#This Row],[mes]]/3,0)</f>
        <v>T3</v>
      </c>
      <c r="G806" t="s">
        <v>22</v>
      </c>
      <c r="H806" t="s">
        <v>23</v>
      </c>
      <c r="I806" s="8" t="str">
        <f>IF(Tabla2[[#This Row],[precio_unitario]]&lt;=30,"Económico",IF(Tabla2[[#This Row],[precio_unitario]]&lt;=58.49,"Accesible","Caro"))</f>
        <v>Caro</v>
      </c>
      <c r="J806" t="s">
        <v>17</v>
      </c>
      <c r="K806">
        <v>7</v>
      </c>
      <c r="L806" s="19">
        <v>105.9</v>
      </c>
      <c r="M806" s="19">
        <v>58.66</v>
      </c>
      <c r="N806" s="11">
        <v>0</v>
      </c>
      <c r="O806" s="17">
        <f t="shared" si="51"/>
        <v>741.30000000000007</v>
      </c>
      <c r="P806" s="17">
        <f t="shared" si="48"/>
        <v>410.62</v>
      </c>
      <c r="Q806" s="17">
        <f t="shared" si="49"/>
        <v>330.68000000000006</v>
      </c>
      <c r="R806" s="24">
        <f t="shared" si="50"/>
        <v>0.446081208687441</v>
      </c>
      <c r="S806" t="s">
        <v>63</v>
      </c>
      <c r="T806" t="s">
        <v>64</v>
      </c>
    </row>
    <row r="807" spans="1:20">
      <c r="A807" t="s">
        <v>878</v>
      </c>
      <c r="B807" s="5">
        <v>45835</v>
      </c>
      <c r="C807" s="8">
        <f>YEAR(Tabla2[[#This Row],[fecha]])</f>
        <v>2025</v>
      </c>
      <c r="D807" s="8">
        <f>MONTH(Tabla2[[#This Row],[fecha]])</f>
        <v>6</v>
      </c>
      <c r="E807" s="8" t="str">
        <f>TEXT(Tabla2[[#This Row],[fecha]], "mmmm")</f>
        <v>junio</v>
      </c>
      <c r="F807" s="8" t="str">
        <f>"T"&amp;ROUNDUP(Tabla2[[#This Row],[mes]]/3,0)</f>
        <v>T2</v>
      </c>
      <c r="G807" t="s">
        <v>11</v>
      </c>
      <c r="H807" t="s">
        <v>12</v>
      </c>
      <c r="I807" s="8" t="str">
        <f>IF(Tabla2[[#This Row],[precio_unitario]]&lt;=30,"Económico",IF(Tabla2[[#This Row],[precio_unitario]]&lt;=58.49,"Accesible","Caro"))</f>
        <v>Caro</v>
      </c>
      <c r="J807" t="s">
        <v>8</v>
      </c>
      <c r="K807">
        <v>2</v>
      </c>
      <c r="L807" s="20">
        <f>INDEX(Tabla3[precio_venta_recomendado], MATCH(Tabla2[[#This Row],[id_producto]], Tabla3[id_producto], 0))</f>
        <v>177.72</v>
      </c>
      <c r="M807" s="19">
        <v>96.8</v>
      </c>
      <c r="N807" s="11">
        <v>0</v>
      </c>
      <c r="O807" s="17">
        <f t="shared" si="51"/>
        <v>355.44</v>
      </c>
      <c r="P807" s="17">
        <f t="shared" si="48"/>
        <v>193.6</v>
      </c>
      <c r="Q807" s="17">
        <f t="shared" si="49"/>
        <v>161.84</v>
      </c>
      <c r="R807" s="24">
        <f t="shared" si="50"/>
        <v>0.45532297996848975</v>
      </c>
      <c r="S807" t="s">
        <v>67</v>
      </c>
      <c r="T807" t="s">
        <v>60</v>
      </c>
    </row>
    <row r="808" spans="1:20" hidden="1">
      <c r="A808" t="s">
        <v>879</v>
      </c>
      <c r="B808" s="5">
        <v>45336</v>
      </c>
      <c r="C808" s="8">
        <f>YEAR(Tabla2[[#This Row],[fecha]])</f>
        <v>2024</v>
      </c>
      <c r="D808" s="8">
        <f>MONTH(Tabla2[[#This Row],[fecha]])</f>
        <v>2</v>
      </c>
      <c r="E808" s="8" t="str">
        <f>TEXT(Tabla2[[#This Row],[fecha]], "mmmm")</f>
        <v>febrero</v>
      </c>
      <c r="F808" s="8" t="str">
        <f>"T"&amp;ROUNDUP(Tabla2[[#This Row],[mes]]/3,0)</f>
        <v>T1</v>
      </c>
      <c r="G808" t="s">
        <v>42</v>
      </c>
      <c r="H808" t="s">
        <v>43</v>
      </c>
      <c r="I808" s="8" t="str">
        <f>IF(Tabla2[[#This Row],[precio_unitario]]&lt;=30,"Económico",IF(Tabla2[[#This Row],[precio_unitario]]&lt;=58.49,"Accesible","Caro"))</f>
        <v>Accesible</v>
      </c>
      <c r="J808" t="s">
        <v>44</v>
      </c>
      <c r="K808">
        <v>1</v>
      </c>
      <c r="L808" s="19">
        <v>47.52</v>
      </c>
      <c r="M808" s="19">
        <v>22.61</v>
      </c>
      <c r="N808" s="13">
        <v>0</v>
      </c>
      <c r="O808" s="17">
        <f t="shared" si="51"/>
        <v>47.52</v>
      </c>
      <c r="P808" s="17">
        <f t="shared" si="48"/>
        <v>22.61</v>
      </c>
      <c r="Q808" s="17">
        <f t="shared" si="49"/>
        <v>24.910000000000004</v>
      </c>
      <c r="R808" s="24">
        <f t="shared" si="50"/>
        <v>0.52420033670033672</v>
      </c>
      <c r="S808" t="s">
        <v>67</v>
      </c>
      <c r="T808" t="s">
        <v>60</v>
      </c>
    </row>
    <row r="809" spans="1:20" hidden="1">
      <c r="A809" t="s">
        <v>880</v>
      </c>
      <c r="B809" s="5">
        <v>45311</v>
      </c>
      <c r="C809" s="8">
        <f>YEAR(Tabla2[[#This Row],[fecha]])</f>
        <v>2024</v>
      </c>
      <c r="D809" s="8">
        <f>MONTH(Tabla2[[#This Row],[fecha]])</f>
        <v>1</v>
      </c>
      <c r="E809" s="8" t="str">
        <f>TEXT(Tabla2[[#This Row],[fecha]], "mmmm")</f>
        <v>enero</v>
      </c>
      <c r="F809" s="8" t="str">
        <f>"T"&amp;ROUNDUP(Tabla2[[#This Row],[mes]]/3,0)</f>
        <v>T1</v>
      </c>
      <c r="G809" t="s">
        <v>33</v>
      </c>
      <c r="H809" t="s">
        <v>34</v>
      </c>
      <c r="I809" s="8" t="str">
        <f>IF(Tabla2[[#This Row],[precio_unitario]]&lt;=30,"Económico",IF(Tabla2[[#This Row],[precio_unitario]]&lt;=58.49,"Accesible","Caro"))</f>
        <v>Caro</v>
      </c>
      <c r="J809" t="s">
        <v>35</v>
      </c>
      <c r="K809">
        <v>1</v>
      </c>
      <c r="L809" s="19">
        <v>75.760000000000005</v>
      </c>
      <c r="M809" s="19">
        <v>45.56</v>
      </c>
      <c r="N809" s="13">
        <v>0</v>
      </c>
      <c r="O809" s="17">
        <f t="shared" si="51"/>
        <v>75.760000000000005</v>
      </c>
      <c r="P809" s="17">
        <f t="shared" si="48"/>
        <v>45.56</v>
      </c>
      <c r="Q809" s="17">
        <f t="shared" si="49"/>
        <v>30.200000000000003</v>
      </c>
      <c r="R809" s="24">
        <f t="shared" si="50"/>
        <v>0.39862724392819432</v>
      </c>
      <c r="S809" t="s">
        <v>540</v>
      </c>
      <c r="T809" t="s">
        <v>60</v>
      </c>
    </row>
    <row r="810" spans="1:20" hidden="1">
      <c r="A810" t="s">
        <v>881</v>
      </c>
      <c r="B810" s="5">
        <v>45675</v>
      </c>
      <c r="C810" s="8">
        <f>YEAR(Tabla2[[#This Row],[fecha]])</f>
        <v>2025</v>
      </c>
      <c r="D810" s="8">
        <f>MONTH(Tabla2[[#This Row],[fecha]])</f>
        <v>1</v>
      </c>
      <c r="E810" s="8" t="str">
        <f>TEXT(Tabla2[[#This Row],[fecha]], "mmmm")</f>
        <v>enero</v>
      </c>
      <c r="F810" s="8" t="str">
        <f>"T"&amp;ROUNDUP(Tabla2[[#This Row],[mes]]/3,0)</f>
        <v>T1</v>
      </c>
      <c r="G810" t="s">
        <v>9</v>
      </c>
      <c r="H810" t="s">
        <v>10</v>
      </c>
      <c r="I810" s="8" t="str">
        <f>IF(Tabla2[[#This Row],[precio_unitario]]&lt;=30,"Económico",IF(Tabla2[[#This Row],[precio_unitario]]&lt;=58.49,"Accesible","Caro"))</f>
        <v>Caro</v>
      </c>
      <c r="J810" t="s">
        <v>8</v>
      </c>
      <c r="K810">
        <v>5</v>
      </c>
      <c r="L810" s="19">
        <v>73.819999999999993</v>
      </c>
      <c r="M810" s="19">
        <v>45.08</v>
      </c>
      <c r="N810" s="13">
        <v>0</v>
      </c>
      <c r="O810" s="17">
        <f t="shared" si="51"/>
        <v>369.09999999999997</v>
      </c>
      <c r="P810" s="17">
        <f t="shared" si="48"/>
        <v>225.39999999999998</v>
      </c>
      <c r="Q810" s="17">
        <f t="shared" si="49"/>
        <v>143.69999999999999</v>
      </c>
      <c r="R810" s="24">
        <f t="shared" si="50"/>
        <v>0.38932538607423461</v>
      </c>
      <c r="S810" t="s">
        <v>83</v>
      </c>
      <c r="T810" t="s">
        <v>60</v>
      </c>
    </row>
    <row r="811" spans="1:20" hidden="1">
      <c r="A811" t="s">
        <v>882</v>
      </c>
      <c r="B811" s="5">
        <v>45301</v>
      </c>
      <c r="C811" s="8">
        <f>YEAR(Tabla2[[#This Row],[fecha]])</f>
        <v>2024</v>
      </c>
      <c r="D811" s="8">
        <f>MONTH(Tabla2[[#This Row],[fecha]])</f>
        <v>1</v>
      </c>
      <c r="E811" s="8" t="str">
        <f>TEXT(Tabla2[[#This Row],[fecha]], "mmmm")</f>
        <v>enero</v>
      </c>
      <c r="F811" s="8" t="str">
        <f>"T"&amp;ROUNDUP(Tabla2[[#This Row],[mes]]/3,0)</f>
        <v>T1</v>
      </c>
      <c r="G811" t="s">
        <v>11</v>
      </c>
      <c r="H811" t="s">
        <v>12</v>
      </c>
      <c r="I811" s="8" t="str">
        <f>IF(Tabla2[[#This Row],[precio_unitario]]&lt;=30,"Económico",IF(Tabla2[[#This Row],[precio_unitario]]&lt;=58.49,"Accesible","Caro"))</f>
        <v>Caro</v>
      </c>
      <c r="J811" t="s">
        <v>8</v>
      </c>
      <c r="K811">
        <v>1</v>
      </c>
      <c r="L811" s="20">
        <f>INDEX(Tabla3[precio_venta_recomendado], MATCH(Tabla2[[#This Row],[id_producto]], Tabla3[id_producto], 0))</f>
        <v>177.72</v>
      </c>
      <c r="M811" s="19">
        <v>97.78</v>
      </c>
      <c r="N811" s="11">
        <v>0</v>
      </c>
      <c r="O811" s="17">
        <f t="shared" si="51"/>
        <v>177.72</v>
      </c>
      <c r="P811" s="17">
        <f t="shared" si="48"/>
        <v>97.78</v>
      </c>
      <c r="Q811" s="17">
        <f t="shared" si="49"/>
        <v>79.94</v>
      </c>
      <c r="R811" s="24">
        <f t="shared" si="50"/>
        <v>0.44980868782354266</v>
      </c>
      <c r="S811" s="10" t="s">
        <v>2377</v>
      </c>
      <c r="T811" t="s">
        <v>64</v>
      </c>
    </row>
    <row r="812" spans="1:20">
      <c r="A812" t="s">
        <v>883</v>
      </c>
      <c r="B812" s="5">
        <v>45864</v>
      </c>
      <c r="C812" s="8">
        <f>YEAR(Tabla2[[#This Row],[fecha]])</f>
        <v>2025</v>
      </c>
      <c r="D812" s="8">
        <f>MONTH(Tabla2[[#This Row],[fecha]])</f>
        <v>7</v>
      </c>
      <c r="E812" s="8" t="str">
        <f>TEXT(Tabla2[[#This Row],[fecha]], "mmmm")</f>
        <v>julio</v>
      </c>
      <c r="F812" s="8" t="str">
        <f>"T"&amp;ROUNDUP(Tabla2[[#This Row],[mes]]/3,0)</f>
        <v>T3</v>
      </c>
      <c r="G812" t="s">
        <v>40</v>
      </c>
      <c r="H812" t="s">
        <v>41</v>
      </c>
      <c r="I812" s="8" t="str">
        <f>IF(Tabla2[[#This Row],[precio_unitario]]&lt;=30,"Económico",IF(Tabla2[[#This Row],[precio_unitario]]&lt;=58.49,"Accesible","Caro"))</f>
        <v>Caro</v>
      </c>
      <c r="J812" t="s">
        <v>35</v>
      </c>
      <c r="K812">
        <v>3</v>
      </c>
      <c r="L812" s="19">
        <v>85.14</v>
      </c>
      <c r="M812" s="19">
        <v>41.11</v>
      </c>
      <c r="N812" s="11">
        <v>0</v>
      </c>
      <c r="O812" s="17">
        <f t="shared" si="51"/>
        <v>255.42000000000002</v>
      </c>
      <c r="P812" s="17">
        <f t="shared" si="48"/>
        <v>123.33</v>
      </c>
      <c r="Q812" s="17">
        <f t="shared" si="49"/>
        <v>132.09000000000003</v>
      </c>
      <c r="R812" s="24">
        <f t="shared" si="50"/>
        <v>0.51714822645055214</v>
      </c>
      <c r="S812" t="s">
        <v>67</v>
      </c>
      <c r="T812" t="s">
        <v>60</v>
      </c>
    </row>
    <row r="813" spans="1:20" hidden="1">
      <c r="A813" t="s">
        <v>884</v>
      </c>
      <c r="B813" s="5">
        <v>46020</v>
      </c>
      <c r="C813" s="8">
        <f>YEAR(Tabla2[[#This Row],[fecha]])</f>
        <v>2025</v>
      </c>
      <c r="D813" s="8">
        <f>MONTH(Tabla2[[#This Row],[fecha]])</f>
        <v>12</v>
      </c>
      <c r="E813" s="8" t="str">
        <f>TEXT(Tabla2[[#This Row],[fecha]], "mmmm")</f>
        <v>diciembre</v>
      </c>
      <c r="F813" s="8" t="str">
        <f>"T"&amp;ROUNDUP(Tabla2[[#This Row],[mes]]/3,0)</f>
        <v>T4</v>
      </c>
      <c r="G813" t="s">
        <v>31</v>
      </c>
      <c r="H813" t="s">
        <v>32</v>
      </c>
      <c r="I813" s="8" t="str">
        <f>IF(Tabla2[[#This Row],[precio_unitario]]&lt;=30,"Económico",IF(Tabla2[[#This Row],[precio_unitario]]&lt;=58.49,"Accesible","Caro"))</f>
        <v>Económico</v>
      </c>
      <c r="J813" t="s">
        <v>26</v>
      </c>
      <c r="K813">
        <v>1</v>
      </c>
      <c r="L813" s="19">
        <v>8.34</v>
      </c>
      <c r="M813" s="19">
        <v>5.75</v>
      </c>
      <c r="N813" s="11">
        <v>0</v>
      </c>
      <c r="O813" s="17">
        <f t="shared" si="51"/>
        <v>8.34</v>
      </c>
      <c r="P813" s="17">
        <f t="shared" si="48"/>
        <v>5.75</v>
      </c>
      <c r="Q813" s="17">
        <f t="shared" si="49"/>
        <v>2.59</v>
      </c>
      <c r="R813" s="24">
        <f t="shared" si="50"/>
        <v>0.31055155875299761</v>
      </c>
      <c r="S813" t="s">
        <v>540</v>
      </c>
      <c r="T813" t="s">
        <v>60</v>
      </c>
    </row>
    <row r="814" spans="1:20" hidden="1">
      <c r="A814" t="s">
        <v>885</v>
      </c>
      <c r="B814" s="5">
        <v>45833</v>
      </c>
      <c r="C814" s="8">
        <f>YEAR(Tabla2[[#This Row],[fecha]])</f>
        <v>2025</v>
      </c>
      <c r="D814" s="8">
        <f>MONTH(Tabla2[[#This Row],[fecha]])</f>
        <v>6</v>
      </c>
      <c r="E814" s="8" t="str">
        <f>TEXT(Tabla2[[#This Row],[fecha]], "mmmm")</f>
        <v>junio</v>
      </c>
      <c r="F814" s="8" t="str">
        <f>"T"&amp;ROUNDUP(Tabla2[[#This Row],[mes]]/3,0)</f>
        <v>T2</v>
      </c>
      <c r="G814" t="s">
        <v>40</v>
      </c>
      <c r="H814" t="s">
        <v>41</v>
      </c>
      <c r="I814" s="8" t="str">
        <f>IF(Tabla2[[#This Row],[precio_unitario]]&lt;=30,"Económico",IF(Tabla2[[#This Row],[precio_unitario]]&lt;=58.49,"Accesible","Caro"))</f>
        <v>Caro</v>
      </c>
      <c r="J814" t="s">
        <v>35</v>
      </c>
      <c r="K814">
        <v>3</v>
      </c>
      <c r="L814" s="19">
        <v>77.150000000000006</v>
      </c>
      <c r="M814" s="19">
        <v>40.479999999999997</v>
      </c>
      <c r="N814" s="11">
        <v>0</v>
      </c>
      <c r="O814" s="17">
        <f t="shared" si="51"/>
        <v>231.45000000000002</v>
      </c>
      <c r="P814" s="17">
        <f t="shared" si="48"/>
        <v>121.44</v>
      </c>
      <c r="Q814" s="17">
        <f t="shared" si="49"/>
        <v>110.01000000000002</v>
      </c>
      <c r="R814" s="24">
        <f t="shared" si="50"/>
        <v>0.47530784186649389</v>
      </c>
      <c r="S814" t="s">
        <v>101</v>
      </c>
      <c r="T814" t="s">
        <v>64</v>
      </c>
    </row>
    <row r="815" spans="1:20">
      <c r="A815" t="s">
        <v>886</v>
      </c>
      <c r="B815" s="5">
        <v>45683</v>
      </c>
      <c r="C815" s="8">
        <f>YEAR(Tabla2[[#This Row],[fecha]])</f>
        <v>2025</v>
      </c>
      <c r="D815" s="8">
        <f>MONTH(Tabla2[[#This Row],[fecha]])</f>
        <v>1</v>
      </c>
      <c r="E815" s="8" t="str">
        <f>TEXT(Tabla2[[#This Row],[fecha]], "mmmm")</f>
        <v>enero</v>
      </c>
      <c r="F815" s="8" t="str">
        <f>"T"&amp;ROUNDUP(Tabla2[[#This Row],[mes]]/3,0)</f>
        <v>T1</v>
      </c>
      <c r="G815" t="s">
        <v>11</v>
      </c>
      <c r="H815" t="s">
        <v>12</v>
      </c>
      <c r="I815" s="8" t="str">
        <f>IF(Tabla2[[#This Row],[precio_unitario]]&lt;=30,"Económico",IF(Tabla2[[#This Row],[precio_unitario]]&lt;=58.49,"Accesible","Caro"))</f>
        <v>Caro</v>
      </c>
      <c r="J815" t="s">
        <v>8</v>
      </c>
      <c r="K815">
        <v>4</v>
      </c>
      <c r="L815" s="20">
        <f>INDEX(Tabla3[precio_venta_recomendado], MATCH(Tabla2[[#This Row],[id_producto]], Tabla3[id_producto], 0))</f>
        <v>177.72</v>
      </c>
      <c r="M815" s="19">
        <v>92.71</v>
      </c>
      <c r="N815" s="13">
        <v>0</v>
      </c>
      <c r="O815" s="17">
        <f t="shared" si="51"/>
        <v>710.88</v>
      </c>
      <c r="P815" s="17">
        <f t="shared" si="48"/>
        <v>370.84</v>
      </c>
      <c r="Q815" s="17">
        <f t="shared" si="49"/>
        <v>340.04</v>
      </c>
      <c r="R815" s="24">
        <f t="shared" si="50"/>
        <v>0.47833670943056494</v>
      </c>
      <c r="S815" t="s">
        <v>67</v>
      </c>
      <c r="T815" t="s">
        <v>64</v>
      </c>
    </row>
    <row r="816" spans="1:20" hidden="1">
      <c r="A816" t="s">
        <v>887</v>
      </c>
      <c r="B816" s="5">
        <v>45702</v>
      </c>
      <c r="C816" s="8">
        <f>YEAR(Tabla2[[#This Row],[fecha]])</f>
        <v>2025</v>
      </c>
      <c r="D816" s="8">
        <f>MONTH(Tabla2[[#This Row],[fecha]])</f>
        <v>2</v>
      </c>
      <c r="E816" s="8" t="str">
        <f>TEXT(Tabla2[[#This Row],[fecha]], "mmmm")</f>
        <v>febrero</v>
      </c>
      <c r="F816" s="8" t="str">
        <f>"T"&amp;ROUNDUP(Tabla2[[#This Row],[mes]]/3,0)</f>
        <v>T1</v>
      </c>
      <c r="G816" t="s">
        <v>40</v>
      </c>
      <c r="H816" t="s">
        <v>41</v>
      </c>
      <c r="I816" s="8" t="str">
        <f>IF(Tabla2[[#This Row],[precio_unitario]]&lt;=30,"Económico",IF(Tabla2[[#This Row],[precio_unitario]]&lt;=58.49,"Accesible","Caro"))</f>
        <v>Caro</v>
      </c>
      <c r="J816" t="s">
        <v>35</v>
      </c>
      <c r="K816">
        <v>4</v>
      </c>
      <c r="L816" s="19">
        <v>74.52</v>
      </c>
      <c r="M816" s="21">
        <f>INDEX(Tabla3[coste_objetivo], MATCH(Tabla2[[#This Row],[id_producto]], Tabla3[id_producto],0))</f>
        <v>41.01</v>
      </c>
      <c r="N816" s="11">
        <v>0</v>
      </c>
      <c r="O816" s="17">
        <f t="shared" si="51"/>
        <v>298.08</v>
      </c>
      <c r="P816" s="17">
        <f t="shared" si="48"/>
        <v>164.04</v>
      </c>
      <c r="Q816" s="17">
        <f t="shared" si="49"/>
        <v>134.04</v>
      </c>
      <c r="R816" s="24">
        <f t="shared" si="50"/>
        <v>0.44967793880837359</v>
      </c>
      <c r="S816" t="s">
        <v>540</v>
      </c>
      <c r="T816" t="s">
        <v>64</v>
      </c>
    </row>
    <row r="817" spans="1:20" hidden="1">
      <c r="A817" t="s">
        <v>888</v>
      </c>
      <c r="B817" s="5">
        <v>45712</v>
      </c>
      <c r="C817" s="8">
        <f>YEAR(Tabla2[[#This Row],[fecha]])</f>
        <v>2025</v>
      </c>
      <c r="D817" s="8">
        <f>MONTH(Tabla2[[#This Row],[fecha]])</f>
        <v>2</v>
      </c>
      <c r="E817" s="8" t="str">
        <f>TEXT(Tabla2[[#This Row],[fecha]], "mmmm")</f>
        <v>febrero</v>
      </c>
      <c r="F817" s="8" t="str">
        <f>"T"&amp;ROUNDUP(Tabla2[[#This Row],[mes]]/3,0)</f>
        <v>T1</v>
      </c>
      <c r="G817" t="s">
        <v>42</v>
      </c>
      <c r="H817" t="s">
        <v>43</v>
      </c>
      <c r="I817" s="8" t="str">
        <f>IF(Tabla2[[#This Row],[precio_unitario]]&lt;=30,"Económico",IF(Tabla2[[#This Row],[precio_unitario]]&lt;=58.49,"Accesible","Caro"))</f>
        <v>Accesible</v>
      </c>
      <c r="J817" t="s">
        <v>44</v>
      </c>
      <c r="K817">
        <v>1</v>
      </c>
      <c r="L817" s="19">
        <v>50.45</v>
      </c>
      <c r="M817" s="19">
        <v>22.58</v>
      </c>
      <c r="N817" s="11">
        <v>0</v>
      </c>
      <c r="O817" s="17">
        <f t="shared" si="51"/>
        <v>50.45</v>
      </c>
      <c r="P817" s="17">
        <f t="shared" si="48"/>
        <v>22.58</v>
      </c>
      <c r="Q817" s="17">
        <f t="shared" si="49"/>
        <v>27.870000000000005</v>
      </c>
      <c r="R817" s="24">
        <f t="shared" si="50"/>
        <v>0.55242814667988116</v>
      </c>
      <c r="S817" t="s">
        <v>63</v>
      </c>
      <c r="T817" t="s">
        <v>64</v>
      </c>
    </row>
    <row r="818" spans="1:20" hidden="1">
      <c r="A818" t="s">
        <v>889</v>
      </c>
      <c r="B818" s="5">
        <v>45403</v>
      </c>
      <c r="C818" s="8">
        <f>YEAR(Tabla2[[#This Row],[fecha]])</f>
        <v>2024</v>
      </c>
      <c r="D818" s="8">
        <f>MONTH(Tabla2[[#This Row],[fecha]])</f>
        <v>4</v>
      </c>
      <c r="E818" s="8" t="str">
        <f>TEXT(Tabla2[[#This Row],[fecha]], "mmmm")</f>
        <v>abril</v>
      </c>
      <c r="F818" s="8" t="str">
        <f>"T"&amp;ROUNDUP(Tabla2[[#This Row],[mes]]/3,0)</f>
        <v>T2</v>
      </c>
      <c r="G818" t="s">
        <v>38</v>
      </c>
      <c r="H818" t="s">
        <v>39</v>
      </c>
      <c r="I818" s="8" t="str">
        <f>IF(Tabla2[[#This Row],[precio_unitario]]&lt;=30,"Económico",IF(Tabla2[[#This Row],[precio_unitario]]&lt;=58.49,"Accesible","Caro"))</f>
        <v>Caro</v>
      </c>
      <c r="J818" t="s">
        <v>35</v>
      </c>
      <c r="K818">
        <v>12</v>
      </c>
      <c r="L818" s="19">
        <v>81.14</v>
      </c>
      <c r="M818" s="19">
        <v>41.5</v>
      </c>
      <c r="N818" s="13">
        <v>0</v>
      </c>
      <c r="O818" s="17">
        <f t="shared" si="51"/>
        <v>973.68000000000006</v>
      </c>
      <c r="P818" s="17">
        <f t="shared" si="48"/>
        <v>498</v>
      </c>
      <c r="Q818" s="17">
        <f t="shared" si="49"/>
        <v>475.68000000000006</v>
      </c>
      <c r="R818" s="24">
        <f t="shared" si="50"/>
        <v>0.48853832881439491</v>
      </c>
      <c r="S818" t="s">
        <v>67</v>
      </c>
      <c r="T818" t="s">
        <v>64</v>
      </c>
    </row>
    <row r="819" spans="1:20" hidden="1">
      <c r="A819" t="s">
        <v>890</v>
      </c>
      <c r="B819" s="5">
        <v>45942</v>
      </c>
      <c r="C819" s="8">
        <f>YEAR(Tabla2[[#This Row],[fecha]])</f>
        <v>2025</v>
      </c>
      <c r="D819" s="8">
        <f>MONTH(Tabla2[[#This Row],[fecha]])</f>
        <v>10</v>
      </c>
      <c r="E819" s="8" t="str">
        <f>TEXT(Tabla2[[#This Row],[fecha]], "mmmm")</f>
        <v>octubre</v>
      </c>
      <c r="F819" s="8" t="str">
        <f>"T"&amp;ROUNDUP(Tabla2[[#This Row],[mes]]/3,0)</f>
        <v>T4</v>
      </c>
      <c r="G819" t="s">
        <v>22</v>
      </c>
      <c r="H819" t="s">
        <v>23</v>
      </c>
      <c r="I819" s="8" t="str">
        <f>IF(Tabla2[[#This Row],[precio_unitario]]&lt;=30,"Económico",IF(Tabla2[[#This Row],[precio_unitario]]&lt;=58.49,"Accesible","Caro"))</f>
        <v>Caro</v>
      </c>
      <c r="J819" t="s">
        <v>17</v>
      </c>
      <c r="K819">
        <v>4</v>
      </c>
      <c r="L819" s="19">
        <v>98.87</v>
      </c>
      <c r="M819" s="19">
        <v>58.53</v>
      </c>
      <c r="N819" s="13">
        <v>0</v>
      </c>
      <c r="O819" s="17">
        <f t="shared" si="51"/>
        <v>395.48</v>
      </c>
      <c r="P819" s="17">
        <f t="shared" si="48"/>
        <v>234.12</v>
      </c>
      <c r="Q819" s="17">
        <f t="shared" si="49"/>
        <v>161.36000000000001</v>
      </c>
      <c r="R819" s="24">
        <f t="shared" si="50"/>
        <v>0.40801051886315365</v>
      </c>
      <c r="S819" t="s">
        <v>63</v>
      </c>
      <c r="T819" t="s">
        <v>64</v>
      </c>
    </row>
    <row r="820" spans="1:20">
      <c r="A820" t="s">
        <v>891</v>
      </c>
      <c r="B820" s="5">
        <v>45797</v>
      </c>
      <c r="C820" s="8">
        <f>YEAR(Tabla2[[#This Row],[fecha]])</f>
        <v>2025</v>
      </c>
      <c r="D820" s="8">
        <f>MONTH(Tabla2[[#This Row],[fecha]])</f>
        <v>5</v>
      </c>
      <c r="E820" s="8" t="str">
        <f>TEXT(Tabla2[[#This Row],[fecha]], "mmmm")</f>
        <v>mayo</v>
      </c>
      <c r="F820" s="8" t="str">
        <f>"T"&amp;ROUNDUP(Tabla2[[#This Row],[mes]]/3,0)</f>
        <v>T2</v>
      </c>
      <c r="G820" t="s">
        <v>18</v>
      </c>
      <c r="H820" t="s">
        <v>19</v>
      </c>
      <c r="I820" s="8" t="str">
        <f>IF(Tabla2[[#This Row],[precio_unitario]]&lt;=30,"Económico",IF(Tabla2[[#This Row],[precio_unitario]]&lt;=58.49,"Accesible","Caro"))</f>
        <v>Accesible</v>
      </c>
      <c r="J820" t="s">
        <v>17</v>
      </c>
      <c r="K820">
        <v>1</v>
      </c>
      <c r="L820" s="19">
        <v>49.13</v>
      </c>
      <c r="M820" s="19">
        <v>25.89</v>
      </c>
      <c r="N820" s="11">
        <v>0</v>
      </c>
      <c r="O820" s="17">
        <f t="shared" si="51"/>
        <v>49.13</v>
      </c>
      <c r="P820" s="17">
        <f t="shared" si="48"/>
        <v>25.89</v>
      </c>
      <c r="Q820" s="17">
        <f t="shared" si="49"/>
        <v>23.240000000000002</v>
      </c>
      <c r="R820" s="24">
        <f t="shared" si="50"/>
        <v>0.47303073478526358</v>
      </c>
      <c r="S820" t="s">
        <v>67</v>
      </c>
      <c r="T820" t="s">
        <v>64</v>
      </c>
    </row>
    <row r="821" spans="1:20">
      <c r="A821" t="s">
        <v>892</v>
      </c>
      <c r="B821" s="5">
        <v>45711</v>
      </c>
      <c r="C821" s="8">
        <f>YEAR(Tabla2[[#This Row],[fecha]])</f>
        <v>2025</v>
      </c>
      <c r="D821" s="8">
        <f>MONTH(Tabla2[[#This Row],[fecha]])</f>
        <v>2</v>
      </c>
      <c r="E821" s="8" t="str">
        <f>TEXT(Tabla2[[#This Row],[fecha]], "mmmm")</f>
        <v>febrero</v>
      </c>
      <c r="F821" s="8" t="str">
        <f>"T"&amp;ROUNDUP(Tabla2[[#This Row],[mes]]/3,0)</f>
        <v>T1</v>
      </c>
      <c r="G821" t="s">
        <v>29</v>
      </c>
      <c r="H821" t="s">
        <v>30</v>
      </c>
      <c r="I821" s="8" t="str">
        <f>IF(Tabla2[[#This Row],[precio_unitario]]&lt;=30,"Económico",IF(Tabla2[[#This Row],[precio_unitario]]&lt;=58.49,"Accesible","Caro"))</f>
        <v>Económico</v>
      </c>
      <c r="J821" t="s">
        <v>26</v>
      </c>
      <c r="K821">
        <v>1</v>
      </c>
      <c r="L821" s="19">
        <v>20.75</v>
      </c>
      <c r="M821" s="19">
        <v>11.82</v>
      </c>
      <c r="N821" s="11">
        <v>0</v>
      </c>
      <c r="O821" s="17">
        <f t="shared" si="51"/>
        <v>20.75</v>
      </c>
      <c r="P821" s="17">
        <f t="shared" si="48"/>
        <v>11.82</v>
      </c>
      <c r="Q821" s="17">
        <f t="shared" si="49"/>
        <v>8.93</v>
      </c>
      <c r="R821" s="24">
        <f t="shared" si="50"/>
        <v>0.43036144578313251</v>
      </c>
      <c r="S821" t="s">
        <v>67</v>
      </c>
      <c r="T821" t="s">
        <v>60</v>
      </c>
    </row>
    <row r="822" spans="1:20" hidden="1">
      <c r="A822" t="s">
        <v>893</v>
      </c>
      <c r="B822" s="5">
        <v>45642</v>
      </c>
      <c r="C822" s="8">
        <f>YEAR(Tabla2[[#This Row],[fecha]])</f>
        <v>2024</v>
      </c>
      <c r="D822" s="8">
        <f>MONTH(Tabla2[[#This Row],[fecha]])</f>
        <v>12</v>
      </c>
      <c r="E822" s="8" t="str">
        <f>TEXT(Tabla2[[#This Row],[fecha]], "mmmm")</f>
        <v>diciembre</v>
      </c>
      <c r="F822" s="8" t="str">
        <f>"T"&amp;ROUNDUP(Tabla2[[#This Row],[mes]]/3,0)</f>
        <v>T4</v>
      </c>
      <c r="G822" t="s">
        <v>29</v>
      </c>
      <c r="H822" t="s">
        <v>30</v>
      </c>
      <c r="I822" s="8" t="str">
        <f>IF(Tabla2[[#This Row],[precio_unitario]]&lt;=30,"Económico",IF(Tabla2[[#This Row],[precio_unitario]]&lt;=58.49,"Accesible","Caro"))</f>
        <v>Económico</v>
      </c>
      <c r="J822" t="s">
        <v>26</v>
      </c>
      <c r="K822">
        <v>5</v>
      </c>
      <c r="L822" s="19">
        <v>20.75</v>
      </c>
      <c r="M822" s="19">
        <v>10.87</v>
      </c>
      <c r="N822" s="11">
        <v>0.17</v>
      </c>
      <c r="O822" s="17">
        <f t="shared" si="51"/>
        <v>86.112499999999997</v>
      </c>
      <c r="P822" s="17">
        <f t="shared" si="48"/>
        <v>54.349999999999994</v>
      </c>
      <c r="Q822" s="17">
        <f t="shared" si="49"/>
        <v>31.762500000000003</v>
      </c>
      <c r="R822" s="24">
        <f t="shared" si="50"/>
        <v>0.36884888953403983</v>
      </c>
      <c r="S822" t="s">
        <v>101</v>
      </c>
      <c r="T822" t="s">
        <v>64</v>
      </c>
    </row>
    <row r="823" spans="1:20">
      <c r="A823" t="s">
        <v>894</v>
      </c>
      <c r="B823" s="5">
        <v>45895</v>
      </c>
      <c r="C823" s="8">
        <f>YEAR(Tabla2[[#This Row],[fecha]])</f>
        <v>2025</v>
      </c>
      <c r="D823" s="8">
        <f>MONTH(Tabla2[[#This Row],[fecha]])</f>
        <v>8</v>
      </c>
      <c r="E823" s="8" t="str">
        <f>TEXT(Tabla2[[#This Row],[fecha]], "mmmm")</f>
        <v>agosto</v>
      </c>
      <c r="F823" s="8" t="str">
        <f>"T"&amp;ROUNDUP(Tabla2[[#This Row],[mes]]/3,0)</f>
        <v>T3</v>
      </c>
      <c r="G823" t="s">
        <v>9</v>
      </c>
      <c r="H823" t="s">
        <v>10</v>
      </c>
      <c r="I823" s="8" t="str">
        <f>IF(Tabla2[[#This Row],[precio_unitario]]&lt;=30,"Económico",IF(Tabla2[[#This Row],[precio_unitario]]&lt;=58.49,"Accesible","Caro"))</f>
        <v>Caro</v>
      </c>
      <c r="J823" t="s">
        <v>8</v>
      </c>
      <c r="K823">
        <v>7</v>
      </c>
      <c r="L823" s="19">
        <v>72.56</v>
      </c>
      <c r="M823" s="19">
        <v>47.73</v>
      </c>
      <c r="N823" s="13">
        <v>0</v>
      </c>
      <c r="O823" s="17">
        <f t="shared" si="51"/>
        <v>507.92</v>
      </c>
      <c r="P823" s="17">
        <f t="shared" si="48"/>
        <v>334.10999999999996</v>
      </c>
      <c r="Q823" s="17">
        <f t="shared" si="49"/>
        <v>173.81000000000006</v>
      </c>
      <c r="R823" s="24">
        <f t="shared" si="50"/>
        <v>0.34219955898566712</v>
      </c>
      <c r="S823" t="s">
        <v>67</v>
      </c>
      <c r="T823" t="s">
        <v>64</v>
      </c>
    </row>
    <row r="824" spans="1:20" hidden="1">
      <c r="A824" t="s">
        <v>895</v>
      </c>
      <c r="B824" s="5">
        <v>45579</v>
      </c>
      <c r="C824" s="8">
        <f>YEAR(Tabla2[[#This Row],[fecha]])</f>
        <v>2024</v>
      </c>
      <c r="D824" s="8">
        <f>MONTH(Tabla2[[#This Row],[fecha]])</f>
        <v>10</v>
      </c>
      <c r="E824" s="8" t="str">
        <f>TEXT(Tabla2[[#This Row],[fecha]], "mmmm")</f>
        <v>octubre</v>
      </c>
      <c r="F824" s="8" t="str">
        <f>"T"&amp;ROUNDUP(Tabla2[[#This Row],[mes]]/3,0)</f>
        <v>T4</v>
      </c>
      <c r="G824" t="s">
        <v>49</v>
      </c>
      <c r="H824" t="s">
        <v>50</v>
      </c>
      <c r="I824" s="8" t="str">
        <f>IF(Tabla2[[#This Row],[precio_unitario]]&lt;=30,"Económico",IF(Tabla2[[#This Row],[precio_unitario]]&lt;=58.49,"Accesible","Caro"))</f>
        <v>Caro</v>
      </c>
      <c r="J824" t="s">
        <v>44</v>
      </c>
      <c r="K824">
        <v>2</v>
      </c>
      <c r="L824" s="19">
        <v>63.91</v>
      </c>
      <c r="M824" s="19">
        <v>35.21</v>
      </c>
      <c r="N824" s="11">
        <v>0.1</v>
      </c>
      <c r="O824" s="17">
        <f t="shared" si="51"/>
        <v>115.038</v>
      </c>
      <c r="P824" s="17">
        <f t="shared" si="48"/>
        <v>70.42</v>
      </c>
      <c r="Q824" s="17">
        <f t="shared" si="49"/>
        <v>44.617999999999995</v>
      </c>
      <c r="R824" s="24">
        <f t="shared" si="50"/>
        <v>0.38785444809541192</v>
      </c>
      <c r="S824" t="s">
        <v>540</v>
      </c>
      <c r="T824" t="s">
        <v>60</v>
      </c>
    </row>
    <row r="825" spans="1:20" hidden="1">
      <c r="A825" t="s">
        <v>896</v>
      </c>
      <c r="B825" s="5">
        <v>45552</v>
      </c>
      <c r="C825" s="8">
        <f>YEAR(Tabla2[[#This Row],[fecha]])</f>
        <v>2024</v>
      </c>
      <c r="D825" s="8">
        <f>MONTH(Tabla2[[#This Row],[fecha]])</f>
        <v>9</v>
      </c>
      <c r="E825" s="8" t="str">
        <f>TEXT(Tabla2[[#This Row],[fecha]], "mmmm")</f>
        <v>septiembre</v>
      </c>
      <c r="F825" s="8" t="str">
        <f>"T"&amp;ROUNDUP(Tabla2[[#This Row],[mes]]/3,0)</f>
        <v>T3</v>
      </c>
      <c r="G825" t="s">
        <v>13</v>
      </c>
      <c r="H825" t="s">
        <v>14</v>
      </c>
      <c r="I825" s="8" t="str">
        <f>IF(Tabla2[[#This Row],[precio_unitario]]&lt;=30,"Económico",IF(Tabla2[[#This Row],[precio_unitario]]&lt;=58.49,"Accesible","Caro"))</f>
        <v>Caro</v>
      </c>
      <c r="J825" t="s">
        <v>8</v>
      </c>
      <c r="K825">
        <v>2</v>
      </c>
      <c r="L825" s="19">
        <v>167.42</v>
      </c>
      <c r="M825" s="19">
        <v>105.71</v>
      </c>
      <c r="N825" s="11">
        <v>0</v>
      </c>
      <c r="O825" s="17">
        <f t="shared" si="51"/>
        <v>334.84</v>
      </c>
      <c r="P825" s="17">
        <f t="shared" si="48"/>
        <v>211.42</v>
      </c>
      <c r="Q825" s="17">
        <f t="shared" si="49"/>
        <v>123.41999999999999</v>
      </c>
      <c r="R825" s="24">
        <f t="shared" si="50"/>
        <v>0.36859395532194478</v>
      </c>
      <c r="S825" t="s">
        <v>83</v>
      </c>
      <c r="T825" t="s">
        <v>60</v>
      </c>
    </row>
    <row r="826" spans="1:20" hidden="1">
      <c r="A826" t="s">
        <v>897</v>
      </c>
      <c r="B826" s="5">
        <v>45945</v>
      </c>
      <c r="C826" s="8">
        <f>YEAR(Tabla2[[#This Row],[fecha]])</f>
        <v>2025</v>
      </c>
      <c r="D826" s="8">
        <f>MONTH(Tabla2[[#This Row],[fecha]])</f>
        <v>10</v>
      </c>
      <c r="E826" s="8" t="str">
        <f>TEXT(Tabla2[[#This Row],[fecha]], "mmmm")</f>
        <v>octubre</v>
      </c>
      <c r="F826" s="8" t="str">
        <f>"T"&amp;ROUNDUP(Tabla2[[#This Row],[mes]]/3,0)</f>
        <v>T4</v>
      </c>
      <c r="G826" t="s">
        <v>15</v>
      </c>
      <c r="H826" t="s">
        <v>16</v>
      </c>
      <c r="I826" s="8" t="str">
        <f>IF(Tabla2[[#This Row],[precio_unitario]]&lt;=30,"Económico",IF(Tabla2[[#This Row],[precio_unitario]]&lt;=58.49,"Accesible","Caro"))</f>
        <v>Accesible</v>
      </c>
      <c r="J826" t="s">
        <v>17</v>
      </c>
      <c r="K826">
        <v>2</v>
      </c>
      <c r="L826" s="19">
        <v>56.66</v>
      </c>
      <c r="M826" s="19">
        <v>39.32</v>
      </c>
      <c r="N826" s="11">
        <v>0</v>
      </c>
      <c r="O826" s="17">
        <f t="shared" si="51"/>
        <v>113.32</v>
      </c>
      <c r="P826" s="17">
        <f t="shared" si="48"/>
        <v>78.64</v>
      </c>
      <c r="Q826" s="17">
        <f t="shared" si="49"/>
        <v>34.679999999999993</v>
      </c>
      <c r="R826" s="24">
        <f t="shared" si="50"/>
        <v>0.30603600423579241</v>
      </c>
      <c r="S826" t="s">
        <v>96</v>
      </c>
      <c r="T826" t="s">
        <v>64</v>
      </c>
    </row>
    <row r="827" spans="1:20" hidden="1">
      <c r="A827" t="s">
        <v>898</v>
      </c>
      <c r="B827" s="5">
        <v>45479</v>
      </c>
      <c r="C827" s="8">
        <f>YEAR(Tabla2[[#This Row],[fecha]])</f>
        <v>2024</v>
      </c>
      <c r="D827" s="8">
        <f>MONTH(Tabla2[[#This Row],[fecha]])</f>
        <v>7</v>
      </c>
      <c r="E827" s="8" t="str">
        <f>TEXT(Tabla2[[#This Row],[fecha]], "mmmm")</f>
        <v>julio</v>
      </c>
      <c r="F827" s="8" t="str">
        <f>"T"&amp;ROUNDUP(Tabla2[[#This Row],[mes]]/3,0)</f>
        <v>T3</v>
      </c>
      <c r="G827" t="s">
        <v>29</v>
      </c>
      <c r="H827" t="s">
        <v>30</v>
      </c>
      <c r="I827" s="8" t="str">
        <f>IF(Tabla2[[#This Row],[precio_unitario]]&lt;=30,"Económico",IF(Tabla2[[#This Row],[precio_unitario]]&lt;=58.49,"Accesible","Caro"))</f>
        <v>Económico</v>
      </c>
      <c r="J827" t="s">
        <v>26</v>
      </c>
      <c r="K827">
        <v>2</v>
      </c>
      <c r="L827" s="19">
        <v>22.26</v>
      </c>
      <c r="M827" s="19">
        <v>11.89</v>
      </c>
      <c r="N827" s="11">
        <v>0</v>
      </c>
      <c r="O827" s="17">
        <f t="shared" si="51"/>
        <v>44.52</v>
      </c>
      <c r="P827" s="17">
        <f t="shared" si="48"/>
        <v>23.78</v>
      </c>
      <c r="Q827" s="17">
        <f t="shared" si="49"/>
        <v>20.740000000000002</v>
      </c>
      <c r="R827" s="24">
        <f t="shared" si="50"/>
        <v>0.46585804132973946</v>
      </c>
      <c r="S827" t="s">
        <v>96</v>
      </c>
      <c r="T827" t="s">
        <v>64</v>
      </c>
    </row>
    <row r="828" spans="1:20" hidden="1">
      <c r="A828" t="s">
        <v>899</v>
      </c>
      <c r="B828" s="5">
        <v>45919</v>
      </c>
      <c r="C828" s="8">
        <f>YEAR(Tabla2[[#This Row],[fecha]])</f>
        <v>2025</v>
      </c>
      <c r="D828" s="8">
        <f>MONTH(Tabla2[[#This Row],[fecha]])</f>
        <v>9</v>
      </c>
      <c r="E828" s="8" t="str">
        <f>TEXT(Tabla2[[#This Row],[fecha]], "mmmm")</f>
        <v>septiembre</v>
      </c>
      <c r="F828" s="8" t="str">
        <f>"T"&amp;ROUNDUP(Tabla2[[#This Row],[mes]]/3,0)</f>
        <v>T3</v>
      </c>
      <c r="G828" t="s">
        <v>49</v>
      </c>
      <c r="H828" t="s">
        <v>50</v>
      </c>
      <c r="I828" s="8" t="str">
        <f>IF(Tabla2[[#This Row],[precio_unitario]]&lt;=30,"Económico",IF(Tabla2[[#This Row],[precio_unitario]]&lt;=58.49,"Accesible","Caro"))</f>
        <v>Caro</v>
      </c>
      <c r="J828" t="s">
        <v>44</v>
      </c>
      <c r="K828">
        <v>1</v>
      </c>
      <c r="L828" s="19">
        <v>62.62</v>
      </c>
      <c r="M828" s="19">
        <v>32.85</v>
      </c>
      <c r="N828" s="11">
        <v>0</v>
      </c>
      <c r="O828" s="17">
        <f t="shared" si="51"/>
        <v>62.62</v>
      </c>
      <c r="P828" s="17">
        <f t="shared" si="48"/>
        <v>32.85</v>
      </c>
      <c r="Q828" s="17">
        <f t="shared" si="49"/>
        <v>29.769999999999996</v>
      </c>
      <c r="R828" s="24">
        <f t="shared" si="50"/>
        <v>0.47540721814116893</v>
      </c>
      <c r="S828" t="s">
        <v>63</v>
      </c>
      <c r="T828" t="s">
        <v>64</v>
      </c>
    </row>
    <row r="829" spans="1:20" hidden="1">
      <c r="A829" t="s">
        <v>900</v>
      </c>
      <c r="B829" s="5">
        <v>45981</v>
      </c>
      <c r="C829" s="8">
        <f>YEAR(Tabla2[[#This Row],[fecha]])</f>
        <v>2025</v>
      </c>
      <c r="D829" s="8">
        <f>MONTH(Tabla2[[#This Row],[fecha]])</f>
        <v>11</v>
      </c>
      <c r="E829" s="8" t="str">
        <f>TEXT(Tabla2[[#This Row],[fecha]], "mmmm")</f>
        <v>noviembre</v>
      </c>
      <c r="F829" s="8" t="str">
        <f>"T"&amp;ROUNDUP(Tabla2[[#This Row],[mes]]/3,0)</f>
        <v>T4</v>
      </c>
      <c r="G829" t="s">
        <v>38</v>
      </c>
      <c r="H829" t="s">
        <v>39</v>
      </c>
      <c r="I829" s="8" t="str">
        <f>IF(Tabla2[[#This Row],[precio_unitario]]&lt;=30,"Económico",IF(Tabla2[[#This Row],[precio_unitario]]&lt;=58.49,"Accesible","Caro"))</f>
        <v>Caro</v>
      </c>
      <c r="J829" t="s">
        <v>35</v>
      </c>
      <c r="K829">
        <v>1</v>
      </c>
      <c r="L829" s="19">
        <v>81.7</v>
      </c>
      <c r="M829" s="19">
        <v>41.79</v>
      </c>
      <c r="N829" s="11">
        <v>0</v>
      </c>
      <c r="O829" s="17">
        <f t="shared" si="51"/>
        <v>81.7</v>
      </c>
      <c r="P829" s="17">
        <f t="shared" si="48"/>
        <v>41.79</v>
      </c>
      <c r="Q829" s="17">
        <f t="shared" si="49"/>
        <v>39.910000000000004</v>
      </c>
      <c r="R829" s="24">
        <f t="shared" si="50"/>
        <v>0.4884944920440637</v>
      </c>
      <c r="S829" t="s">
        <v>540</v>
      </c>
      <c r="T829" t="s">
        <v>60</v>
      </c>
    </row>
    <row r="830" spans="1:20" hidden="1">
      <c r="A830" t="s">
        <v>901</v>
      </c>
      <c r="B830" s="5">
        <v>45698</v>
      </c>
      <c r="C830" s="8">
        <f>YEAR(Tabla2[[#This Row],[fecha]])</f>
        <v>2025</v>
      </c>
      <c r="D830" s="8">
        <f>MONTH(Tabla2[[#This Row],[fecha]])</f>
        <v>2</v>
      </c>
      <c r="E830" s="8" t="str">
        <f>TEXT(Tabla2[[#This Row],[fecha]], "mmmm")</f>
        <v>febrero</v>
      </c>
      <c r="F830" s="8" t="str">
        <f>"T"&amp;ROUNDUP(Tabla2[[#This Row],[mes]]/3,0)</f>
        <v>T1</v>
      </c>
      <c r="G830" t="s">
        <v>6</v>
      </c>
      <c r="H830" t="s">
        <v>7</v>
      </c>
      <c r="I830" s="8" t="str">
        <f>IF(Tabla2[[#This Row],[precio_unitario]]&lt;=30,"Económico",IF(Tabla2[[#This Row],[precio_unitario]]&lt;=58.49,"Accesible","Caro"))</f>
        <v>Caro</v>
      </c>
      <c r="J830" t="s">
        <v>8</v>
      </c>
      <c r="K830">
        <v>1</v>
      </c>
      <c r="L830" s="19">
        <v>116.29</v>
      </c>
      <c r="M830" s="19">
        <v>83.92</v>
      </c>
      <c r="N830" s="11">
        <v>0.08</v>
      </c>
      <c r="O830" s="17">
        <f t="shared" si="51"/>
        <v>106.98680000000002</v>
      </c>
      <c r="P830" s="17">
        <f t="shared" si="48"/>
        <v>83.92</v>
      </c>
      <c r="Q830" s="17">
        <f t="shared" si="49"/>
        <v>23.066800000000015</v>
      </c>
      <c r="R830" s="24">
        <f t="shared" si="50"/>
        <v>0.21560416799081766</v>
      </c>
      <c r="S830" t="s">
        <v>101</v>
      </c>
      <c r="T830" t="s">
        <v>64</v>
      </c>
    </row>
    <row r="831" spans="1:20">
      <c r="A831" t="s">
        <v>902</v>
      </c>
      <c r="B831" s="5">
        <v>45843</v>
      </c>
      <c r="C831" s="8">
        <f>YEAR(Tabla2[[#This Row],[fecha]])</f>
        <v>2025</v>
      </c>
      <c r="D831" s="8">
        <f>MONTH(Tabla2[[#This Row],[fecha]])</f>
        <v>7</v>
      </c>
      <c r="E831" s="8" t="str">
        <f>TEXT(Tabla2[[#This Row],[fecha]], "mmmm")</f>
        <v>julio</v>
      </c>
      <c r="F831" s="8" t="str">
        <f>"T"&amp;ROUNDUP(Tabla2[[#This Row],[mes]]/3,0)</f>
        <v>T3</v>
      </c>
      <c r="G831" t="s">
        <v>40</v>
      </c>
      <c r="H831" t="s">
        <v>41</v>
      </c>
      <c r="I831" s="8" t="str">
        <f>IF(Tabla2[[#This Row],[precio_unitario]]&lt;=30,"Económico",IF(Tabla2[[#This Row],[precio_unitario]]&lt;=58.49,"Accesible","Caro"))</f>
        <v>Caro</v>
      </c>
      <c r="J831" t="s">
        <v>35</v>
      </c>
      <c r="K831">
        <v>7</v>
      </c>
      <c r="L831" s="19">
        <v>80.349999999999994</v>
      </c>
      <c r="M831" s="19">
        <v>42.72</v>
      </c>
      <c r="N831" s="11">
        <v>0</v>
      </c>
      <c r="O831" s="17">
        <f t="shared" si="51"/>
        <v>562.44999999999993</v>
      </c>
      <c r="P831" s="17">
        <f t="shared" si="48"/>
        <v>299.03999999999996</v>
      </c>
      <c r="Q831" s="17">
        <f t="shared" si="49"/>
        <v>263.40999999999997</v>
      </c>
      <c r="R831" s="24">
        <f t="shared" si="50"/>
        <v>0.46832607342874921</v>
      </c>
      <c r="S831" t="s">
        <v>67</v>
      </c>
      <c r="T831" t="s">
        <v>64</v>
      </c>
    </row>
    <row r="832" spans="1:20" hidden="1">
      <c r="A832" t="s">
        <v>903</v>
      </c>
      <c r="B832" s="5">
        <v>45336</v>
      </c>
      <c r="C832" s="8">
        <f>YEAR(Tabla2[[#This Row],[fecha]])</f>
        <v>2024</v>
      </c>
      <c r="D832" s="8">
        <f>MONTH(Tabla2[[#This Row],[fecha]])</f>
        <v>2</v>
      </c>
      <c r="E832" s="8" t="str">
        <f>TEXT(Tabla2[[#This Row],[fecha]], "mmmm")</f>
        <v>febrero</v>
      </c>
      <c r="F832" s="8" t="str">
        <f>"T"&amp;ROUNDUP(Tabla2[[#This Row],[mes]]/3,0)</f>
        <v>T1</v>
      </c>
      <c r="G832" t="s">
        <v>11</v>
      </c>
      <c r="H832" t="s">
        <v>12</v>
      </c>
      <c r="I832" s="8" t="str">
        <f>IF(Tabla2[[#This Row],[precio_unitario]]&lt;=30,"Económico",IF(Tabla2[[#This Row],[precio_unitario]]&lt;=58.49,"Accesible","Caro"))</f>
        <v>Caro</v>
      </c>
      <c r="J832" t="s">
        <v>8</v>
      </c>
      <c r="K832">
        <v>3</v>
      </c>
      <c r="L832" s="19">
        <v>174.09</v>
      </c>
      <c r="M832" s="19">
        <v>98.66</v>
      </c>
      <c r="N832" s="11">
        <v>7.0000000000000007E-2</v>
      </c>
      <c r="O832" s="17">
        <f t="shared" si="51"/>
        <v>485.71109999999993</v>
      </c>
      <c r="P832" s="17">
        <f t="shared" si="48"/>
        <v>295.98</v>
      </c>
      <c r="Q832" s="17">
        <f t="shared" si="49"/>
        <v>189.73109999999991</v>
      </c>
      <c r="R832" s="24">
        <f t="shared" si="50"/>
        <v>0.39062541498433934</v>
      </c>
      <c r="S832" t="s">
        <v>101</v>
      </c>
      <c r="T832" t="s">
        <v>64</v>
      </c>
    </row>
    <row r="833" spans="1:20">
      <c r="A833" t="s">
        <v>904</v>
      </c>
      <c r="B833" s="5">
        <v>45919</v>
      </c>
      <c r="C833" s="8">
        <f>YEAR(Tabla2[[#This Row],[fecha]])</f>
        <v>2025</v>
      </c>
      <c r="D833" s="8">
        <f>MONTH(Tabla2[[#This Row],[fecha]])</f>
        <v>9</v>
      </c>
      <c r="E833" s="8" t="str">
        <f>TEXT(Tabla2[[#This Row],[fecha]], "mmmm")</f>
        <v>septiembre</v>
      </c>
      <c r="F833" s="8" t="str">
        <f>"T"&amp;ROUNDUP(Tabla2[[#This Row],[mes]]/3,0)</f>
        <v>T3</v>
      </c>
      <c r="G833" t="s">
        <v>29</v>
      </c>
      <c r="H833" t="s">
        <v>30</v>
      </c>
      <c r="I833" s="8" t="str">
        <f>IF(Tabla2[[#This Row],[precio_unitario]]&lt;=30,"Económico",IF(Tabla2[[#This Row],[precio_unitario]]&lt;=58.49,"Accesible","Caro"))</f>
        <v>Económico</v>
      </c>
      <c r="J833" t="s">
        <v>26</v>
      </c>
      <c r="K833">
        <v>3</v>
      </c>
      <c r="L833" s="19">
        <v>20.98</v>
      </c>
      <c r="M833" s="19">
        <v>10.96</v>
      </c>
      <c r="N833" s="11">
        <v>0.28000000000000003</v>
      </c>
      <c r="O833" s="17">
        <f t="shared" si="51"/>
        <v>45.316799999999994</v>
      </c>
      <c r="P833" s="17">
        <f t="shared" si="48"/>
        <v>32.880000000000003</v>
      </c>
      <c r="Q833" s="17">
        <f t="shared" si="49"/>
        <v>12.436799999999991</v>
      </c>
      <c r="R833" s="24">
        <f t="shared" si="50"/>
        <v>0.2744412668149559</v>
      </c>
      <c r="S833" t="s">
        <v>67</v>
      </c>
      <c r="T833" t="s">
        <v>64</v>
      </c>
    </row>
    <row r="834" spans="1:20">
      <c r="A834" t="s">
        <v>905</v>
      </c>
      <c r="B834" s="5">
        <v>45827</v>
      </c>
      <c r="C834" s="8">
        <f>YEAR(Tabla2[[#This Row],[fecha]])</f>
        <v>2025</v>
      </c>
      <c r="D834" s="8">
        <f>MONTH(Tabla2[[#This Row],[fecha]])</f>
        <v>6</v>
      </c>
      <c r="E834" s="8" t="str">
        <f>TEXT(Tabla2[[#This Row],[fecha]], "mmmm")</f>
        <v>junio</v>
      </c>
      <c r="F834" s="8" t="str">
        <f>"T"&amp;ROUNDUP(Tabla2[[#This Row],[mes]]/3,0)</f>
        <v>T2</v>
      </c>
      <c r="G834" t="s">
        <v>29</v>
      </c>
      <c r="H834" t="s">
        <v>30</v>
      </c>
      <c r="I834" s="8" t="str">
        <f>IF(Tabla2[[#This Row],[precio_unitario]]&lt;=30,"Económico",IF(Tabla2[[#This Row],[precio_unitario]]&lt;=58.49,"Accesible","Caro"))</f>
        <v>Económico</v>
      </c>
      <c r="J834" t="s">
        <v>26</v>
      </c>
      <c r="K834">
        <v>3</v>
      </c>
      <c r="L834" s="19">
        <v>21.6</v>
      </c>
      <c r="M834" s="19">
        <v>11.03</v>
      </c>
      <c r="N834" s="13">
        <v>0</v>
      </c>
      <c r="O834" s="17">
        <f t="shared" si="51"/>
        <v>64.800000000000011</v>
      </c>
      <c r="P834" s="17">
        <f t="shared" ref="P834:P897" si="52">M834*K834</f>
        <v>33.089999999999996</v>
      </c>
      <c r="Q834" s="17">
        <f t="shared" ref="Q834:Q897" si="53">O834-P834</f>
        <v>31.710000000000015</v>
      </c>
      <c r="R834" s="24">
        <f t="shared" ref="R834:R897" si="54">IFERROR(Q834/O834,0)</f>
        <v>0.48935185185185198</v>
      </c>
      <c r="S834" t="s">
        <v>67</v>
      </c>
      <c r="T834" t="s">
        <v>64</v>
      </c>
    </row>
    <row r="835" spans="1:20">
      <c r="A835" t="s">
        <v>906</v>
      </c>
      <c r="B835" s="5">
        <v>45809</v>
      </c>
      <c r="C835" s="8">
        <f>YEAR(Tabla2[[#This Row],[fecha]])</f>
        <v>2025</v>
      </c>
      <c r="D835" s="8">
        <f>MONTH(Tabla2[[#This Row],[fecha]])</f>
        <v>6</v>
      </c>
      <c r="E835" s="8" t="str">
        <f>TEXT(Tabla2[[#This Row],[fecha]], "mmmm")</f>
        <v>junio</v>
      </c>
      <c r="F835" s="8" t="str">
        <f>"T"&amp;ROUNDUP(Tabla2[[#This Row],[mes]]/3,0)</f>
        <v>T2</v>
      </c>
      <c r="G835" t="s">
        <v>27</v>
      </c>
      <c r="H835" t="s">
        <v>28</v>
      </c>
      <c r="I835" s="8" t="str">
        <f>IF(Tabla2[[#This Row],[precio_unitario]]&lt;=30,"Económico",IF(Tabla2[[#This Row],[precio_unitario]]&lt;=58.49,"Accesible","Caro"))</f>
        <v>Económico</v>
      </c>
      <c r="J835" t="s">
        <v>26</v>
      </c>
      <c r="K835">
        <v>1</v>
      </c>
      <c r="L835" s="19">
        <v>16.18</v>
      </c>
      <c r="M835" s="19">
        <v>11.86</v>
      </c>
      <c r="N835" s="11">
        <v>0.11</v>
      </c>
      <c r="O835" s="17">
        <f t="shared" ref="O835:O898" si="55">K835*L835*(1-N835)</f>
        <v>14.4002</v>
      </c>
      <c r="P835" s="17">
        <f t="shared" si="52"/>
        <v>11.86</v>
      </c>
      <c r="Q835" s="17">
        <f t="shared" si="53"/>
        <v>2.5402000000000005</v>
      </c>
      <c r="R835" s="24">
        <f t="shared" si="54"/>
        <v>0.1764003277732254</v>
      </c>
      <c r="S835" t="s">
        <v>67</v>
      </c>
      <c r="T835" t="s">
        <v>60</v>
      </c>
    </row>
    <row r="836" spans="1:20">
      <c r="A836" t="s">
        <v>907</v>
      </c>
      <c r="B836" s="5">
        <v>45759</v>
      </c>
      <c r="C836" s="8">
        <f>YEAR(Tabla2[[#This Row],[fecha]])</f>
        <v>2025</v>
      </c>
      <c r="D836" s="8">
        <f>MONTH(Tabla2[[#This Row],[fecha]])</f>
        <v>4</v>
      </c>
      <c r="E836" s="8" t="str">
        <f>TEXT(Tabla2[[#This Row],[fecha]], "mmmm")</f>
        <v>abril</v>
      </c>
      <c r="F836" s="8" t="str">
        <f>"T"&amp;ROUNDUP(Tabla2[[#This Row],[mes]]/3,0)</f>
        <v>T2</v>
      </c>
      <c r="G836" t="s">
        <v>33</v>
      </c>
      <c r="H836" t="s">
        <v>34</v>
      </c>
      <c r="I836" s="8" t="str">
        <f>IF(Tabla2[[#This Row],[precio_unitario]]&lt;=30,"Económico",IF(Tabla2[[#This Row],[precio_unitario]]&lt;=58.49,"Accesible","Caro"))</f>
        <v>Caro</v>
      </c>
      <c r="J836" t="s">
        <v>35</v>
      </c>
      <c r="K836">
        <v>2</v>
      </c>
      <c r="L836" s="19">
        <v>77.25</v>
      </c>
      <c r="M836" s="19">
        <v>45.57</v>
      </c>
      <c r="N836" s="11">
        <v>0</v>
      </c>
      <c r="O836" s="17">
        <f t="shared" si="55"/>
        <v>154.5</v>
      </c>
      <c r="P836" s="17">
        <f t="shared" si="52"/>
        <v>91.14</v>
      </c>
      <c r="Q836" s="17">
        <f t="shared" si="53"/>
        <v>63.36</v>
      </c>
      <c r="R836" s="24">
        <f t="shared" si="54"/>
        <v>0.41009708737864076</v>
      </c>
      <c r="S836" t="s">
        <v>67</v>
      </c>
      <c r="T836" t="s">
        <v>60</v>
      </c>
    </row>
    <row r="837" spans="1:20">
      <c r="A837" t="s">
        <v>908</v>
      </c>
      <c r="B837" s="5">
        <v>45679</v>
      </c>
      <c r="C837" s="8">
        <f>YEAR(Tabla2[[#This Row],[fecha]])</f>
        <v>2025</v>
      </c>
      <c r="D837" s="8">
        <f>MONTH(Tabla2[[#This Row],[fecha]])</f>
        <v>1</v>
      </c>
      <c r="E837" s="8" t="str">
        <f>TEXT(Tabla2[[#This Row],[fecha]], "mmmm")</f>
        <v>enero</v>
      </c>
      <c r="F837" s="8" t="str">
        <f>"T"&amp;ROUNDUP(Tabla2[[#This Row],[mes]]/3,0)</f>
        <v>T1</v>
      </c>
      <c r="G837" t="s">
        <v>18</v>
      </c>
      <c r="H837" t="s">
        <v>19</v>
      </c>
      <c r="I837" s="8" t="str">
        <f>IF(Tabla2[[#This Row],[precio_unitario]]&lt;=30,"Económico",IF(Tabla2[[#This Row],[precio_unitario]]&lt;=58.49,"Accesible","Caro"))</f>
        <v>Accesible</v>
      </c>
      <c r="J837" t="s">
        <v>17</v>
      </c>
      <c r="K837">
        <v>1</v>
      </c>
      <c r="L837" s="19">
        <v>50.07</v>
      </c>
      <c r="M837" s="19">
        <v>27.82</v>
      </c>
      <c r="N837" s="11">
        <v>0</v>
      </c>
      <c r="O837" s="17">
        <f t="shared" si="55"/>
        <v>50.07</v>
      </c>
      <c r="P837" s="17">
        <f t="shared" si="52"/>
        <v>27.82</v>
      </c>
      <c r="Q837" s="17">
        <f t="shared" si="53"/>
        <v>22.25</v>
      </c>
      <c r="R837" s="24">
        <f t="shared" si="54"/>
        <v>0.44437787098062714</v>
      </c>
      <c r="S837" t="s">
        <v>67</v>
      </c>
      <c r="T837" t="s">
        <v>64</v>
      </c>
    </row>
    <row r="838" spans="1:20" hidden="1">
      <c r="A838" t="s">
        <v>909</v>
      </c>
      <c r="B838" s="5">
        <v>45848</v>
      </c>
      <c r="C838" s="8">
        <f>YEAR(Tabla2[[#This Row],[fecha]])</f>
        <v>2025</v>
      </c>
      <c r="D838" s="8">
        <f>MONTH(Tabla2[[#This Row],[fecha]])</f>
        <v>7</v>
      </c>
      <c r="E838" s="8" t="str">
        <f>TEXT(Tabla2[[#This Row],[fecha]], "mmmm")</f>
        <v>julio</v>
      </c>
      <c r="F838" s="8" t="str">
        <f>"T"&amp;ROUNDUP(Tabla2[[#This Row],[mes]]/3,0)</f>
        <v>T3</v>
      </c>
      <c r="G838" t="s">
        <v>40</v>
      </c>
      <c r="H838" t="s">
        <v>41</v>
      </c>
      <c r="I838" s="8" t="str">
        <f>IF(Tabla2[[#This Row],[precio_unitario]]&lt;=30,"Económico",IF(Tabla2[[#This Row],[precio_unitario]]&lt;=58.49,"Accesible","Caro"))</f>
        <v>Caro</v>
      </c>
      <c r="J838" t="s">
        <v>35</v>
      </c>
      <c r="K838">
        <v>3</v>
      </c>
      <c r="L838" s="19">
        <v>80.88</v>
      </c>
      <c r="M838" s="19">
        <v>40.82</v>
      </c>
      <c r="N838" s="13">
        <v>0</v>
      </c>
      <c r="O838" s="17">
        <f t="shared" si="55"/>
        <v>242.64</v>
      </c>
      <c r="P838" s="17">
        <f t="shared" si="52"/>
        <v>122.46000000000001</v>
      </c>
      <c r="Q838" s="17">
        <f t="shared" si="53"/>
        <v>120.17999999999998</v>
      </c>
      <c r="R838" s="24">
        <f t="shared" si="54"/>
        <v>0.49530168150346188</v>
      </c>
      <c r="S838" t="s">
        <v>63</v>
      </c>
      <c r="T838" t="s">
        <v>64</v>
      </c>
    </row>
    <row r="839" spans="1:20" hidden="1">
      <c r="A839" t="s">
        <v>910</v>
      </c>
      <c r="B839" s="5">
        <v>45393</v>
      </c>
      <c r="C839" s="8">
        <f>YEAR(Tabla2[[#This Row],[fecha]])</f>
        <v>2024</v>
      </c>
      <c r="D839" s="8">
        <f>MONTH(Tabla2[[#This Row],[fecha]])</f>
        <v>4</v>
      </c>
      <c r="E839" s="8" t="str">
        <f>TEXT(Tabla2[[#This Row],[fecha]], "mmmm")</f>
        <v>abril</v>
      </c>
      <c r="F839" s="8" t="str">
        <f>"T"&amp;ROUNDUP(Tabla2[[#This Row],[mes]]/3,0)</f>
        <v>T2</v>
      </c>
      <c r="G839" t="s">
        <v>47</v>
      </c>
      <c r="H839" t="s">
        <v>48</v>
      </c>
      <c r="I839" s="8" t="str">
        <f>IF(Tabla2[[#This Row],[precio_unitario]]&lt;=30,"Económico",IF(Tabla2[[#This Row],[precio_unitario]]&lt;=58.49,"Accesible","Caro"))</f>
        <v>Caro</v>
      </c>
      <c r="J839" t="s">
        <v>44</v>
      </c>
      <c r="K839">
        <v>4</v>
      </c>
      <c r="L839" s="19">
        <v>60.02</v>
      </c>
      <c r="M839" s="19">
        <v>33.340000000000003</v>
      </c>
      <c r="N839" s="11">
        <v>0</v>
      </c>
      <c r="O839" s="17">
        <f t="shared" si="55"/>
        <v>240.08</v>
      </c>
      <c r="P839" s="17">
        <f t="shared" si="52"/>
        <v>133.36000000000001</v>
      </c>
      <c r="Q839" s="17">
        <f t="shared" si="53"/>
        <v>106.72</v>
      </c>
      <c r="R839" s="24">
        <f t="shared" si="54"/>
        <v>0.44451849383538816</v>
      </c>
      <c r="S839" t="s">
        <v>96</v>
      </c>
      <c r="T839" t="s">
        <v>60</v>
      </c>
    </row>
    <row r="840" spans="1:20" hidden="1">
      <c r="A840" t="s">
        <v>911</v>
      </c>
      <c r="B840" s="5">
        <v>45859</v>
      </c>
      <c r="C840" s="8">
        <f>YEAR(Tabla2[[#This Row],[fecha]])</f>
        <v>2025</v>
      </c>
      <c r="D840" s="8">
        <f>MONTH(Tabla2[[#This Row],[fecha]])</f>
        <v>7</v>
      </c>
      <c r="E840" s="8" t="str">
        <f>TEXT(Tabla2[[#This Row],[fecha]], "mmmm")</f>
        <v>julio</v>
      </c>
      <c r="F840" s="8" t="str">
        <f>"T"&amp;ROUNDUP(Tabla2[[#This Row],[mes]]/3,0)</f>
        <v>T3</v>
      </c>
      <c r="G840" t="s">
        <v>47</v>
      </c>
      <c r="H840" t="s">
        <v>48</v>
      </c>
      <c r="I840" s="8" t="str">
        <f>IF(Tabla2[[#This Row],[precio_unitario]]&lt;=30,"Económico",IF(Tabla2[[#This Row],[precio_unitario]]&lt;=58.49,"Accesible","Caro"))</f>
        <v>Caro</v>
      </c>
      <c r="J840" t="s">
        <v>44</v>
      </c>
      <c r="K840">
        <v>1</v>
      </c>
      <c r="L840" s="19">
        <v>60.1</v>
      </c>
      <c r="M840" s="19">
        <v>31.66</v>
      </c>
      <c r="N840" s="11">
        <v>0</v>
      </c>
      <c r="O840" s="17">
        <f t="shared" si="55"/>
        <v>60.1</v>
      </c>
      <c r="P840" s="17">
        <f t="shared" si="52"/>
        <v>31.66</v>
      </c>
      <c r="Q840" s="17">
        <f t="shared" si="53"/>
        <v>28.44</v>
      </c>
      <c r="R840" s="24">
        <f t="shared" si="54"/>
        <v>0.47321131447587356</v>
      </c>
      <c r="S840" t="s">
        <v>101</v>
      </c>
      <c r="T840" t="s">
        <v>64</v>
      </c>
    </row>
    <row r="841" spans="1:20" hidden="1">
      <c r="A841" t="s">
        <v>912</v>
      </c>
      <c r="B841" s="5">
        <v>45483</v>
      </c>
      <c r="C841" s="8">
        <f>YEAR(Tabla2[[#This Row],[fecha]])</f>
        <v>2024</v>
      </c>
      <c r="D841" s="8">
        <f>MONTH(Tabla2[[#This Row],[fecha]])</f>
        <v>7</v>
      </c>
      <c r="E841" s="8" t="str">
        <f>TEXT(Tabla2[[#This Row],[fecha]], "mmmm")</f>
        <v>julio</v>
      </c>
      <c r="F841" s="8" t="str">
        <f>"T"&amp;ROUNDUP(Tabla2[[#This Row],[mes]]/3,0)</f>
        <v>T3</v>
      </c>
      <c r="G841" t="s">
        <v>13</v>
      </c>
      <c r="H841" t="s">
        <v>14</v>
      </c>
      <c r="I841" s="8" t="str">
        <f>IF(Tabla2[[#This Row],[precio_unitario]]&lt;=30,"Económico",IF(Tabla2[[#This Row],[precio_unitario]]&lt;=58.49,"Accesible","Caro"))</f>
        <v>Caro</v>
      </c>
      <c r="J841" t="s">
        <v>8</v>
      </c>
      <c r="K841">
        <v>2</v>
      </c>
      <c r="L841" s="19">
        <v>149.43</v>
      </c>
      <c r="M841" s="19">
        <v>113.43</v>
      </c>
      <c r="N841" s="11">
        <v>0</v>
      </c>
      <c r="O841" s="17">
        <f t="shared" si="55"/>
        <v>298.86</v>
      </c>
      <c r="P841" s="17">
        <f t="shared" si="52"/>
        <v>226.86</v>
      </c>
      <c r="Q841" s="17">
        <f t="shared" si="53"/>
        <v>72</v>
      </c>
      <c r="R841" s="24">
        <f t="shared" si="54"/>
        <v>0.24091547881951414</v>
      </c>
      <c r="S841" s="10" t="s">
        <v>2377</v>
      </c>
      <c r="T841" t="s">
        <v>60</v>
      </c>
    </row>
    <row r="842" spans="1:20" hidden="1">
      <c r="A842" t="s">
        <v>913</v>
      </c>
      <c r="B842" s="5">
        <v>45511</v>
      </c>
      <c r="C842" s="8">
        <f>YEAR(Tabla2[[#This Row],[fecha]])</f>
        <v>2024</v>
      </c>
      <c r="D842" s="8">
        <f>MONTH(Tabla2[[#This Row],[fecha]])</f>
        <v>8</v>
      </c>
      <c r="E842" s="8" t="str">
        <f>TEXT(Tabla2[[#This Row],[fecha]], "mmmm")</f>
        <v>agosto</v>
      </c>
      <c r="F842" s="8" t="str">
        <f>"T"&amp;ROUNDUP(Tabla2[[#This Row],[mes]]/3,0)</f>
        <v>T3</v>
      </c>
      <c r="G842" t="s">
        <v>40</v>
      </c>
      <c r="H842" t="s">
        <v>41</v>
      </c>
      <c r="I842" s="8" t="str">
        <f>IF(Tabla2[[#This Row],[precio_unitario]]&lt;=30,"Económico",IF(Tabla2[[#This Row],[precio_unitario]]&lt;=58.49,"Accesible","Caro"))</f>
        <v>Caro</v>
      </c>
      <c r="J842" t="s">
        <v>35</v>
      </c>
      <c r="K842">
        <v>1</v>
      </c>
      <c r="L842" s="19">
        <v>79.97</v>
      </c>
      <c r="M842" s="21">
        <f>INDEX(Tabla3[coste_objetivo], MATCH(Tabla2[[#This Row],[id_producto]], Tabla3[id_producto],0))</f>
        <v>41.01</v>
      </c>
      <c r="N842" s="11">
        <v>0</v>
      </c>
      <c r="O842" s="17">
        <f t="shared" si="55"/>
        <v>79.97</v>
      </c>
      <c r="P842" s="17">
        <f t="shared" si="52"/>
        <v>41.01</v>
      </c>
      <c r="Q842" s="17">
        <f t="shared" si="53"/>
        <v>38.96</v>
      </c>
      <c r="R842" s="24">
        <f t="shared" si="54"/>
        <v>0.48718269351006627</v>
      </c>
      <c r="S842" t="s">
        <v>67</v>
      </c>
      <c r="T842" t="s">
        <v>64</v>
      </c>
    </row>
    <row r="843" spans="1:20">
      <c r="A843" t="s">
        <v>914</v>
      </c>
      <c r="B843" s="5">
        <v>45658</v>
      </c>
      <c r="C843" s="8">
        <f>YEAR(Tabla2[[#This Row],[fecha]])</f>
        <v>2025</v>
      </c>
      <c r="D843" s="8">
        <f>MONTH(Tabla2[[#This Row],[fecha]])</f>
        <v>1</v>
      </c>
      <c r="E843" s="8" t="str">
        <f>TEXT(Tabla2[[#This Row],[fecha]], "mmmm")</f>
        <v>enero</v>
      </c>
      <c r="F843" s="8" t="str">
        <f>"T"&amp;ROUNDUP(Tabla2[[#This Row],[mes]]/3,0)</f>
        <v>T1</v>
      </c>
      <c r="G843" t="s">
        <v>9</v>
      </c>
      <c r="H843" t="s">
        <v>10</v>
      </c>
      <c r="I843" s="8" t="str">
        <f>IF(Tabla2[[#This Row],[precio_unitario]]&lt;=30,"Económico",IF(Tabla2[[#This Row],[precio_unitario]]&lt;=58.49,"Accesible","Caro"))</f>
        <v>Caro</v>
      </c>
      <c r="J843" t="s">
        <v>8</v>
      </c>
      <c r="K843">
        <v>1</v>
      </c>
      <c r="L843" s="19">
        <v>78.34</v>
      </c>
      <c r="M843" s="19">
        <v>46.79</v>
      </c>
      <c r="N843" s="11">
        <v>0</v>
      </c>
      <c r="O843" s="17">
        <f t="shared" si="55"/>
        <v>78.34</v>
      </c>
      <c r="P843" s="17">
        <f t="shared" si="52"/>
        <v>46.79</v>
      </c>
      <c r="Q843" s="17">
        <f t="shared" si="53"/>
        <v>31.550000000000004</v>
      </c>
      <c r="R843" s="24">
        <f t="shared" si="54"/>
        <v>0.40273168241000767</v>
      </c>
      <c r="S843" t="s">
        <v>67</v>
      </c>
      <c r="T843" t="s">
        <v>60</v>
      </c>
    </row>
    <row r="844" spans="1:20">
      <c r="A844" t="s">
        <v>915</v>
      </c>
      <c r="B844" s="5">
        <v>45856</v>
      </c>
      <c r="C844" s="8">
        <f>YEAR(Tabla2[[#This Row],[fecha]])</f>
        <v>2025</v>
      </c>
      <c r="D844" s="8">
        <f>MONTH(Tabla2[[#This Row],[fecha]])</f>
        <v>7</v>
      </c>
      <c r="E844" s="8" t="str">
        <f>TEXT(Tabla2[[#This Row],[fecha]], "mmmm")</f>
        <v>julio</v>
      </c>
      <c r="F844" s="8" t="str">
        <f>"T"&amp;ROUNDUP(Tabla2[[#This Row],[mes]]/3,0)</f>
        <v>T3</v>
      </c>
      <c r="G844" t="s">
        <v>45</v>
      </c>
      <c r="H844" t="s">
        <v>46</v>
      </c>
      <c r="I844" s="8" t="str">
        <f>IF(Tabla2[[#This Row],[precio_unitario]]&lt;=30,"Económico",IF(Tabla2[[#This Row],[precio_unitario]]&lt;=58.49,"Accesible","Caro"))</f>
        <v>Accesible</v>
      </c>
      <c r="J844" t="s">
        <v>44</v>
      </c>
      <c r="K844">
        <v>3</v>
      </c>
      <c r="L844" s="19">
        <v>32.11</v>
      </c>
      <c r="M844" s="19">
        <v>16.63</v>
      </c>
      <c r="N844" s="11">
        <v>0</v>
      </c>
      <c r="O844" s="17">
        <f t="shared" si="55"/>
        <v>96.33</v>
      </c>
      <c r="P844" s="17">
        <f t="shared" si="52"/>
        <v>49.89</v>
      </c>
      <c r="Q844" s="17">
        <f t="shared" si="53"/>
        <v>46.44</v>
      </c>
      <c r="R844" s="24">
        <f t="shared" si="54"/>
        <v>0.48209280597944565</v>
      </c>
      <c r="S844" t="s">
        <v>67</v>
      </c>
      <c r="T844" t="s">
        <v>64</v>
      </c>
    </row>
    <row r="845" spans="1:20" hidden="1">
      <c r="A845" t="s">
        <v>916</v>
      </c>
      <c r="B845" s="5">
        <v>45999</v>
      </c>
      <c r="C845" s="8">
        <f>YEAR(Tabla2[[#This Row],[fecha]])</f>
        <v>2025</v>
      </c>
      <c r="D845" s="8">
        <f>MONTH(Tabla2[[#This Row],[fecha]])</f>
        <v>12</v>
      </c>
      <c r="E845" s="8" t="str">
        <f>TEXT(Tabla2[[#This Row],[fecha]], "mmmm")</f>
        <v>diciembre</v>
      </c>
      <c r="F845" s="8" t="str">
        <f>"T"&amp;ROUNDUP(Tabla2[[#This Row],[mes]]/3,0)</f>
        <v>T4</v>
      </c>
      <c r="G845" t="s">
        <v>36</v>
      </c>
      <c r="H845" t="s">
        <v>37</v>
      </c>
      <c r="I845" s="8" t="str">
        <f>IF(Tabla2[[#This Row],[precio_unitario]]&lt;=30,"Económico",IF(Tabla2[[#This Row],[precio_unitario]]&lt;=58.49,"Accesible","Caro"))</f>
        <v>Económico</v>
      </c>
      <c r="J845" t="s">
        <v>35</v>
      </c>
      <c r="K845">
        <v>1</v>
      </c>
      <c r="L845" s="19">
        <v>13.94</v>
      </c>
      <c r="M845" s="19">
        <v>9.2899999999999991</v>
      </c>
      <c r="N845" s="11">
        <v>0.21</v>
      </c>
      <c r="O845" s="17">
        <f t="shared" si="55"/>
        <v>11.012600000000001</v>
      </c>
      <c r="P845" s="17">
        <f t="shared" si="52"/>
        <v>9.2899999999999991</v>
      </c>
      <c r="Q845" s="17">
        <f t="shared" si="53"/>
        <v>1.7226000000000017</v>
      </c>
      <c r="R845" s="24">
        <f t="shared" si="54"/>
        <v>0.15642082705264893</v>
      </c>
      <c r="S845" t="s">
        <v>63</v>
      </c>
      <c r="T845" t="s">
        <v>60</v>
      </c>
    </row>
    <row r="846" spans="1:20" hidden="1">
      <c r="A846" t="s">
        <v>917</v>
      </c>
      <c r="B846" s="5">
        <v>45394</v>
      </c>
      <c r="C846" s="8">
        <f>YEAR(Tabla2[[#This Row],[fecha]])</f>
        <v>2024</v>
      </c>
      <c r="D846" s="8">
        <f>MONTH(Tabla2[[#This Row],[fecha]])</f>
        <v>4</v>
      </c>
      <c r="E846" s="8" t="str">
        <f>TEXT(Tabla2[[#This Row],[fecha]], "mmmm")</f>
        <v>abril</v>
      </c>
      <c r="F846" s="8" t="str">
        <f>"T"&amp;ROUNDUP(Tabla2[[#This Row],[mes]]/3,0)</f>
        <v>T2</v>
      </c>
      <c r="G846" t="s">
        <v>20</v>
      </c>
      <c r="H846" t="s">
        <v>21</v>
      </c>
      <c r="I846" s="8" t="str">
        <f>IF(Tabla2[[#This Row],[precio_unitario]]&lt;=30,"Económico",IF(Tabla2[[#This Row],[precio_unitario]]&lt;=58.49,"Accesible","Caro"))</f>
        <v>Económico</v>
      </c>
      <c r="J846" t="s">
        <v>17</v>
      </c>
      <c r="K846">
        <v>3</v>
      </c>
      <c r="L846" s="19">
        <v>20.11</v>
      </c>
      <c r="M846" s="19">
        <v>13.37</v>
      </c>
      <c r="N846" s="11">
        <v>0.27</v>
      </c>
      <c r="O846" s="17">
        <f t="shared" si="55"/>
        <v>44.040900000000001</v>
      </c>
      <c r="P846" s="17">
        <f t="shared" si="52"/>
        <v>40.11</v>
      </c>
      <c r="Q846" s="17">
        <f t="shared" si="53"/>
        <v>3.9309000000000012</v>
      </c>
      <c r="R846" s="24">
        <f t="shared" si="54"/>
        <v>8.9255669162074364E-2</v>
      </c>
      <c r="S846" t="s">
        <v>540</v>
      </c>
      <c r="T846" t="s">
        <v>60</v>
      </c>
    </row>
    <row r="847" spans="1:20" hidden="1">
      <c r="A847" t="s">
        <v>918</v>
      </c>
      <c r="B847" s="5">
        <v>45553</v>
      </c>
      <c r="C847" s="8">
        <f>YEAR(Tabla2[[#This Row],[fecha]])</f>
        <v>2024</v>
      </c>
      <c r="D847" s="8">
        <f>MONTH(Tabla2[[#This Row],[fecha]])</f>
        <v>9</v>
      </c>
      <c r="E847" s="8" t="str">
        <f>TEXT(Tabla2[[#This Row],[fecha]], "mmmm")</f>
        <v>septiembre</v>
      </c>
      <c r="F847" s="8" t="str">
        <f>"T"&amp;ROUNDUP(Tabla2[[#This Row],[mes]]/3,0)</f>
        <v>T3</v>
      </c>
      <c r="G847" t="s">
        <v>29</v>
      </c>
      <c r="H847" t="s">
        <v>30</v>
      </c>
      <c r="I847" s="8" t="str">
        <f>IF(Tabla2[[#This Row],[precio_unitario]]&lt;=30,"Económico",IF(Tabla2[[#This Row],[precio_unitario]]&lt;=58.49,"Accesible","Caro"))</f>
        <v>Económico</v>
      </c>
      <c r="J847" t="s">
        <v>26</v>
      </c>
      <c r="K847">
        <v>1</v>
      </c>
      <c r="L847" s="19">
        <v>20.67</v>
      </c>
      <c r="M847" s="19">
        <v>11.49</v>
      </c>
      <c r="N847" s="11">
        <v>0</v>
      </c>
      <c r="O847" s="17">
        <f t="shared" si="55"/>
        <v>20.67</v>
      </c>
      <c r="P847" s="17">
        <f t="shared" si="52"/>
        <v>11.49</v>
      </c>
      <c r="Q847" s="17">
        <f t="shared" si="53"/>
        <v>9.1800000000000015</v>
      </c>
      <c r="R847" s="24">
        <f t="shared" si="54"/>
        <v>0.44412191582002908</v>
      </c>
      <c r="S847" t="s">
        <v>67</v>
      </c>
      <c r="T847" t="s">
        <v>60</v>
      </c>
    </row>
    <row r="848" spans="1:20" hidden="1">
      <c r="A848" t="s">
        <v>919</v>
      </c>
      <c r="B848" s="5">
        <v>45976</v>
      </c>
      <c r="C848" s="8">
        <f>YEAR(Tabla2[[#This Row],[fecha]])</f>
        <v>2025</v>
      </c>
      <c r="D848" s="8">
        <f>MONTH(Tabla2[[#This Row],[fecha]])</f>
        <v>11</v>
      </c>
      <c r="E848" s="8" t="str">
        <f>TEXT(Tabla2[[#This Row],[fecha]], "mmmm")</f>
        <v>noviembre</v>
      </c>
      <c r="F848" s="8" t="str">
        <f>"T"&amp;ROUNDUP(Tabla2[[#This Row],[mes]]/3,0)</f>
        <v>T4</v>
      </c>
      <c r="G848" t="s">
        <v>49</v>
      </c>
      <c r="H848" t="s">
        <v>50</v>
      </c>
      <c r="I848" s="8" t="str">
        <f>IF(Tabla2[[#This Row],[precio_unitario]]&lt;=30,"Económico",IF(Tabla2[[#This Row],[precio_unitario]]&lt;=58.49,"Accesible","Caro"))</f>
        <v>Accesible</v>
      </c>
      <c r="J848" t="s">
        <v>44</v>
      </c>
      <c r="K848">
        <v>3</v>
      </c>
      <c r="L848" s="19">
        <v>56.23</v>
      </c>
      <c r="M848" s="19">
        <v>32.68</v>
      </c>
      <c r="N848" s="11">
        <v>0</v>
      </c>
      <c r="O848" s="17">
        <f t="shared" si="55"/>
        <v>168.69</v>
      </c>
      <c r="P848" s="17">
        <f t="shared" si="52"/>
        <v>98.039999999999992</v>
      </c>
      <c r="Q848" s="17">
        <f t="shared" si="53"/>
        <v>70.650000000000006</v>
      </c>
      <c r="R848" s="24">
        <f t="shared" si="54"/>
        <v>0.41881557887248805</v>
      </c>
      <c r="S848" t="s">
        <v>83</v>
      </c>
      <c r="T848" t="s">
        <v>64</v>
      </c>
    </row>
    <row r="849" spans="1:20" hidden="1">
      <c r="A849" t="s">
        <v>920</v>
      </c>
      <c r="B849" s="5">
        <v>45394</v>
      </c>
      <c r="C849" s="8">
        <f>YEAR(Tabla2[[#This Row],[fecha]])</f>
        <v>2024</v>
      </c>
      <c r="D849" s="8">
        <f>MONTH(Tabla2[[#This Row],[fecha]])</f>
        <v>4</v>
      </c>
      <c r="E849" s="8" t="str">
        <f>TEXT(Tabla2[[#This Row],[fecha]], "mmmm")</f>
        <v>abril</v>
      </c>
      <c r="F849" s="8" t="str">
        <f>"T"&amp;ROUNDUP(Tabla2[[#This Row],[mes]]/3,0)</f>
        <v>T2</v>
      </c>
      <c r="G849" t="s">
        <v>49</v>
      </c>
      <c r="H849" t="s">
        <v>50</v>
      </c>
      <c r="I849" s="8" t="str">
        <f>IF(Tabla2[[#This Row],[precio_unitario]]&lt;=30,"Económico",IF(Tabla2[[#This Row],[precio_unitario]]&lt;=58.49,"Accesible","Caro"))</f>
        <v>Accesible</v>
      </c>
      <c r="J849" t="s">
        <v>44</v>
      </c>
      <c r="K849">
        <v>1</v>
      </c>
      <c r="L849" s="19">
        <v>57.21</v>
      </c>
      <c r="M849" s="19">
        <v>34.5</v>
      </c>
      <c r="N849" s="11">
        <v>0</v>
      </c>
      <c r="O849" s="17">
        <f t="shared" si="55"/>
        <v>57.21</v>
      </c>
      <c r="P849" s="17">
        <f t="shared" si="52"/>
        <v>34.5</v>
      </c>
      <c r="Q849" s="17">
        <f t="shared" si="53"/>
        <v>22.71</v>
      </c>
      <c r="R849" s="24">
        <f t="shared" si="54"/>
        <v>0.39695857367593079</v>
      </c>
      <c r="S849" t="s">
        <v>67</v>
      </c>
      <c r="T849" t="s">
        <v>60</v>
      </c>
    </row>
    <row r="850" spans="1:20" hidden="1">
      <c r="A850" t="s">
        <v>921</v>
      </c>
      <c r="B850" s="5">
        <v>45644</v>
      </c>
      <c r="C850" s="8">
        <f>YEAR(Tabla2[[#This Row],[fecha]])</f>
        <v>2024</v>
      </c>
      <c r="D850" s="8">
        <f>MONTH(Tabla2[[#This Row],[fecha]])</f>
        <v>12</v>
      </c>
      <c r="E850" s="8" t="str">
        <f>TEXT(Tabla2[[#This Row],[fecha]], "mmmm")</f>
        <v>diciembre</v>
      </c>
      <c r="F850" s="8" t="str">
        <f>"T"&amp;ROUNDUP(Tabla2[[#This Row],[mes]]/3,0)</f>
        <v>T4</v>
      </c>
      <c r="G850" t="s">
        <v>29</v>
      </c>
      <c r="H850" t="s">
        <v>30</v>
      </c>
      <c r="I850" s="8" t="str">
        <f>IF(Tabla2[[#This Row],[precio_unitario]]&lt;=30,"Económico",IF(Tabla2[[#This Row],[precio_unitario]]&lt;=58.49,"Accesible","Caro"))</f>
        <v>Económico</v>
      </c>
      <c r="J850" t="s">
        <v>26</v>
      </c>
      <c r="K850">
        <v>4</v>
      </c>
      <c r="L850" s="19">
        <v>23.19</v>
      </c>
      <c r="M850" s="19">
        <v>11.15</v>
      </c>
      <c r="N850" s="11">
        <v>0</v>
      </c>
      <c r="O850" s="17">
        <f t="shared" si="55"/>
        <v>92.76</v>
      </c>
      <c r="P850" s="17">
        <f t="shared" si="52"/>
        <v>44.6</v>
      </c>
      <c r="Q850" s="17">
        <f t="shared" si="53"/>
        <v>48.160000000000004</v>
      </c>
      <c r="R850" s="24">
        <f t="shared" si="54"/>
        <v>0.5191893057352307</v>
      </c>
      <c r="S850" t="s">
        <v>96</v>
      </c>
      <c r="T850" t="s">
        <v>60</v>
      </c>
    </row>
    <row r="851" spans="1:20">
      <c r="A851" t="s">
        <v>922</v>
      </c>
      <c r="B851" s="5">
        <v>45944</v>
      </c>
      <c r="C851" s="8">
        <f>YEAR(Tabla2[[#This Row],[fecha]])</f>
        <v>2025</v>
      </c>
      <c r="D851" s="8">
        <f>MONTH(Tabla2[[#This Row],[fecha]])</f>
        <v>10</v>
      </c>
      <c r="E851" s="8" t="str">
        <f>TEXT(Tabla2[[#This Row],[fecha]], "mmmm")</f>
        <v>octubre</v>
      </c>
      <c r="F851" s="8" t="str">
        <f>"T"&amp;ROUNDUP(Tabla2[[#This Row],[mes]]/3,0)</f>
        <v>T4</v>
      </c>
      <c r="G851" t="s">
        <v>47</v>
      </c>
      <c r="H851" t="s">
        <v>48</v>
      </c>
      <c r="I851" s="8" t="str">
        <f>IF(Tabla2[[#This Row],[precio_unitario]]&lt;=30,"Económico",IF(Tabla2[[#This Row],[precio_unitario]]&lt;=58.49,"Accesible","Caro"))</f>
        <v>Caro</v>
      </c>
      <c r="J851" t="s">
        <v>44</v>
      </c>
      <c r="K851">
        <v>1</v>
      </c>
      <c r="L851" s="19">
        <v>60.24</v>
      </c>
      <c r="M851" s="19">
        <v>32.200000000000003</v>
      </c>
      <c r="N851" s="11">
        <v>0.14000000000000001</v>
      </c>
      <c r="O851" s="17">
        <f t="shared" si="55"/>
        <v>51.806400000000004</v>
      </c>
      <c r="P851" s="17">
        <f t="shared" si="52"/>
        <v>32.200000000000003</v>
      </c>
      <c r="Q851" s="17">
        <f t="shared" si="53"/>
        <v>19.606400000000001</v>
      </c>
      <c r="R851" s="24">
        <f t="shared" si="54"/>
        <v>0.37845517156181474</v>
      </c>
      <c r="S851" t="s">
        <v>67</v>
      </c>
      <c r="T851" t="s">
        <v>201</v>
      </c>
    </row>
    <row r="852" spans="1:20">
      <c r="A852" t="s">
        <v>923</v>
      </c>
      <c r="B852" s="5">
        <v>45757</v>
      </c>
      <c r="C852" s="8">
        <f>YEAR(Tabla2[[#This Row],[fecha]])</f>
        <v>2025</v>
      </c>
      <c r="D852" s="8">
        <f>MONTH(Tabla2[[#This Row],[fecha]])</f>
        <v>4</v>
      </c>
      <c r="E852" s="8" t="str">
        <f>TEXT(Tabla2[[#This Row],[fecha]], "mmmm")</f>
        <v>abril</v>
      </c>
      <c r="F852" s="8" t="str">
        <f>"T"&amp;ROUNDUP(Tabla2[[#This Row],[mes]]/3,0)</f>
        <v>T2</v>
      </c>
      <c r="G852" t="s">
        <v>6</v>
      </c>
      <c r="H852" t="s">
        <v>7</v>
      </c>
      <c r="I852" s="8" t="str">
        <f>IF(Tabla2[[#This Row],[precio_unitario]]&lt;=30,"Económico",IF(Tabla2[[#This Row],[precio_unitario]]&lt;=58.49,"Accesible","Caro"))</f>
        <v>Caro</v>
      </c>
      <c r="J852" t="s">
        <v>8</v>
      </c>
      <c r="K852">
        <v>1</v>
      </c>
      <c r="L852" s="19">
        <v>128.54</v>
      </c>
      <c r="M852" s="19">
        <v>86.5</v>
      </c>
      <c r="N852" s="11">
        <v>0</v>
      </c>
      <c r="O852" s="17">
        <f t="shared" si="55"/>
        <v>128.54</v>
      </c>
      <c r="P852" s="17">
        <f t="shared" si="52"/>
        <v>86.5</v>
      </c>
      <c r="Q852" s="17">
        <f t="shared" si="53"/>
        <v>42.039999999999992</v>
      </c>
      <c r="R852" s="24">
        <f t="shared" si="54"/>
        <v>0.32705772522172083</v>
      </c>
      <c r="S852" t="s">
        <v>67</v>
      </c>
      <c r="T852" t="s">
        <v>60</v>
      </c>
    </row>
    <row r="853" spans="1:20" hidden="1">
      <c r="A853" t="s">
        <v>924</v>
      </c>
      <c r="B853" s="5">
        <v>45331</v>
      </c>
      <c r="C853" s="8">
        <f>YEAR(Tabla2[[#This Row],[fecha]])</f>
        <v>2024</v>
      </c>
      <c r="D853" s="8">
        <f>MONTH(Tabla2[[#This Row],[fecha]])</f>
        <v>2</v>
      </c>
      <c r="E853" s="8" t="str">
        <f>TEXT(Tabla2[[#This Row],[fecha]], "mmmm")</f>
        <v>febrero</v>
      </c>
      <c r="F853" s="8" t="str">
        <f>"T"&amp;ROUNDUP(Tabla2[[#This Row],[mes]]/3,0)</f>
        <v>T1</v>
      </c>
      <c r="G853" t="s">
        <v>29</v>
      </c>
      <c r="H853" t="s">
        <v>30</v>
      </c>
      <c r="I853" s="8" t="str">
        <f>IF(Tabla2[[#This Row],[precio_unitario]]&lt;=30,"Económico",IF(Tabla2[[#This Row],[precio_unitario]]&lt;=58.49,"Accesible","Caro"))</f>
        <v>Económico</v>
      </c>
      <c r="J853" t="s">
        <v>26</v>
      </c>
      <c r="K853">
        <v>6</v>
      </c>
      <c r="L853" s="19">
        <v>22.69</v>
      </c>
      <c r="M853" s="19">
        <v>11.58</v>
      </c>
      <c r="N853" s="11">
        <v>0</v>
      </c>
      <c r="O853" s="17">
        <f t="shared" si="55"/>
        <v>136.14000000000001</v>
      </c>
      <c r="P853" s="17">
        <f t="shared" si="52"/>
        <v>69.48</v>
      </c>
      <c r="Q853" s="17">
        <f t="shared" si="53"/>
        <v>66.660000000000011</v>
      </c>
      <c r="R853" s="24">
        <f t="shared" si="54"/>
        <v>0.48964301454385195</v>
      </c>
      <c r="S853" t="s">
        <v>540</v>
      </c>
      <c r="T853" t="s">
        <v>64</v>
      </c>
    </row>
    <row r="854" spans="1:20" hidden="1">
      <c r="A854" t="s">
        <v>925</v>
      </c>
      <c r="B854" s="5">
        <v>45638</v>
      </c>
      <c r="C854" s="8">
        <f>YEAR(Tabla2[[#This Row],[fecha]])</f>
        <v>2024</v>
      </c>
      <c r="D854" s="8">
        <f>MONTH(Tabla2[[#This Row],[fecha]])</f>
        <v>12</v>
      </c>
      <c r="E854" s="8" t="str">
        <f>TEXT(Tabla2[[#This Row],[fecha]], "mmmm")</f>
        <v>diciembre</v>
      </c>
      <c r="F854" s="8" t="str">
        <f>"T"&amp;ROUNDUP(Tabla2[[#This Row],[mes]]/3,0)</f>
        <v>T4</v>
      </c>
      <c r="G854" t="s">
        <v>11</v>
      </c>
      <c r="H854" t="s">
        <v>12</v>
      </c>
      <c r="I854" s="8" t="str">
        <f>IF(Tabla2[[#This Row],[precio_unitario]]&lt;=30,"Económico",IF(Tabla2[[#This Row],[precio_unitario]]&lt;=58.49,"Accesible","Caro"))</f>
        <v>Caro</v>
      </c>
      <c r="J854" t="s">
        <v>8</v>
      </c>
      <c r="K854">
        <v>3</v>
      </c>
      <c r="L854" s="20">
        <f>INDEX(Tabla3[precio_venta_recomendado], MATCH(Tabla2[[#This Row],[id_producto]], Tabla3[id_producto], 0))</f>
        <v>177.72</v>
      </c>
      <c r="M854" s="19">
        <v>91.03</v>
      </c>
      <c r="N854" s="13">
        <v>0</v>
      </c>
      <c r="O854" s="17">
        <f t="shared" si="55"/>
        <v>533.16</v>
      </c>
      <c r="P854" s="17">
        <f t="shared" si="52"/>
        <v>273.09000000000003</v>
      </c>
      <c r="Q854" s="17">
        <f t="shared" si="53"/>
        <v>260.06999999999994</v>
      </c>
      <c r="R854" s="24">
        <f t="shared" si="54"/>
        <v>0.48778978167904558</v>
      </c>
      <c r="S854" t="s">
        <v>83</v>
      </c>
      <c r="T854" t="s">
        <v>64</v>
      </c>
    </row>
    <row r="855" spans="1:20">
      <c r="A855" t="s">
        <v>926</v>
      </c>
      <c r="B855" s="5">
        <v>45690</v>
      </c>
      <c r="C855" s="8">
        <f>YEAR(Tabla2[[#This Row],[fecha]])</f>
        <v>2025</v>
      </c>
      <c r="D855" s="8">
        <f>MONTH(Tabla2[[#This Row],[fecha]])</f>
        <v>2</v>
      </c>
      <c r="E855" s="8" t="str">
        <f>TEXT(Tabla2[[#This Row],[fecha]], "mmmm")</f>
        <v>febrero</v>
      </c>
      <c r="F855" s="8" t="str">
        <f>"T"&amp;ROUNDUP(Tabla2[[#This Row],[mes]]/3,0)</f>
        <v>T1</v>
      </c>
      <c r="G855" t="s">
        <v>40</v>
      </c>
      <c r="H855" t="s">
        <v>41</v>
      </c>
      <c r="I855" s="8" t="str">
        <f>IF(Tabla2[[#This Row],[precio_unitario]]&lt;=30,"Económico",IF(Tabla2[[#This Row],[precio_unitario]]&lt;=58.49,"Accesible","Caro"))</f>
        <v>Caro</v>
      </c>
      <c r="J855" t="s">
        <v>35</v>
      </c>
      <c r="K855">
        <v>6</v>
      </c>
      <c r="L855" s="19">
        <v>75.37</v>
      </c>
      <c r="M855" s="19">
        <v>40.75</v>
      </c>
      <c r="N855" s="13">
        <v>0</v>
      </c>
      <c r="O855" s="17">
        <f t="shared" si="55"/>
        <v>452.22</v>
      </c>
      <c r="P855" s="17">
        <f t="shared" si="52"/>
        <v>244.5</v>
      </c>
      <c r="Q855" s="17">
        <f t="shared" si="53"/>
        <v>207.72000000000003</v>
      </c>
      <c r="R855" s="24">
        <f t="shared" si="54"/>
        <v>0.45933395250099512</v>
      </c>
      <c r="S855" t="s">
        <v>67</v>
      </c>
      <c r="T855" t="s">
        <v>60</v>
      </c>
    </row>
    <row r="856" spans="1:20" hidden="1">
      <c r="A856" t="s">
        <v>927</v>
      </c>
      <c r="B856" s="5">
        <v>46005</v>
      </c>
      <c r="C856" s="8">
        <f>YEAR(Tabla2[[#This Row],[fecha]])</f>
        <v>2025</v>
      </c>
      <c r="D856" s="8">
        <f>MONTH(Tabla2[[#This Row],[fecha]])</f>
        <v>12</v>
      </c>
      <c r="E856" s="8" t="str">
        <f>TEXT(Tabla2[[#This Row],[fecha]], "mmmm")</f>
        <v>diciembre</v>
      </c>
      <c r="F856" s="8" t="str">
        <f>"T"&amp;ROUNDUP(Tabla2[[#This Row],[mes]]/3,0)</f>
        <v>T4</v>
      </c>
      <c r="G856" t="s">
        <v>18</v>
      </c>
      <c r="H856" t="s">
        <v>19</v>
      </c>
      <c r="I856" s="8" t="str">
        <f>IF(Tabla2[[#This Row],[precio_unitario]]&lt;=30,"Económico",IF(Tabla2[[#This Row],[precio_unitario]]&lt;=58.49,"Accesible","Caro"))</f>
        <v>Accesible</v>
      </c>
      <c r="J856" t="s">
        <v>17</v>
      </c>
      <c r="K856">
        <v>8</v>
      </c>
      <c r="L856" s="19">
        <v>50.36</v>
      </c>
      <c r="M856" s="19">
        <v>25.36</v>
      </c>
      <c r="N856" s="11">
        <v>0</v>
      </c>
      <c r="O856" s="17">
        <f t="shared" si="55"/>
        <v>402.88</v>
      </c>
      <c r="P856" s="17">
        <f t="shared" si="52"/>
        <v>202.88</v>
      </c>
      <c r="Q856" s="17">
        <f t="shared" si="53"/>
        <v>200</v>
      </c>
      <c r="R856" s="24">
        <f t="shared" si="54"/>
        <v>0.49642573471008739</v>
      </c>
      <c r="S856" t="s">
        <v>540</v>
      </c>
      <c r="T856" t="s">
        <v>64</v>
      </c>
    </row>
    <row r="857" spans="1:20" hidden="1">
      <c r="A857" t="s">
        <v>928</v>
      </c>
      <c r="B857" s="5">
        <v>45420</v>
      </c>
      <c r="C857" s="8">
        <f>YEAR(Tabla2[[#This Row],[fecha]])</f>
        <v>2024</v>
      </c>
      <c r="D857" s="8">
        <f>MONTH(Tabla2[[#This Row],[fecha]])</f>
        <v>5</v>
      </c>
      <c r="E857" s="8" t="str">
        <f>TEXT(Tabla2[[#This Row],[fecha]], "mmmm")</f>
        <v>mayo</v>
      </c>
      <c r="F857" s="8" t="str">
        <f>"T"&amp;ROUNDUP(Tabla2[[#This Row],[mes]]/3,0)</f>
        <v>T2</v>
      </c>
      <c r="G857" t="s">
        <v>33</v>
      </c>
      <c r="H857" t="s">
        <v>34</v>
      </c>
      <c r="I857" s="8" t="str">
        <f>IF(Tabla2[[#This Row],[precio_unitario]]&lt;=30,"Económico",IF(Tabla2[[#This Row],[precio_unitario]]&lt;=58.49,"Accesible","Caro"))</f>
        <v>Caro</v>
      </c>
      <c r="J857" t="s">
        <v>35</v>
      </c>
      <c r="K857">
        <v>2</v>
      </c>
      <c r="L857" s="19">
        <v>76.12</v>
      </c>
      <c r="M857" s="19">
        <v>47.09</v>
      </c>
      <c r="N857" s="11">
        <v>0</v>
      </c>
      <c r="O857" s="17">
        <f t="shared" si="55"/>
        <v>152.24</v>
      </c>
      <c r="P857" s="17">
        <f t="shared" si="52"/>
        <v>94.18</v>
      </c>
      <c r="Q857" s="17">
        <f t="shared" si="53"/>
        <v>58.06</v>
      </c>
      <c r="R857" s="24">
        <f t="shared" si="54"/>
        <v>0.38137151865475566</v>
      </c>
      <c r="S857" t="s">
        <v>96</v>
      </c>
      <c r="T857" t="s">
        <v>60</v>
      </c>
    </row>
    <row r="858" spans="1:20" hidden="1">
      <c r="A858" t="s">
        <v>929</v>
      </c>
      <c r="B858" s="5">
        <v>45352</v>
      </c>
      <c r="C858" s="8">
        <f>YEAR(Tabla2[[#This Row],[fecha]])</f>
        <v>2024</v>
      </c>
      <c r="D858" s="8">
        <f>MONTH(Tabla2[[#This Row],[fecha]])</f>
        <v>3</v>
      </c>
      <c r="E858" s="8" t="str">
        <f>TEXT(Tabla2[[#This Row],[fecha]], "mmmm")</f>
        <v>marzo</v>
      </c>
      <c r="F858" s="8" t="str">
        <f>"T"&amp;ROUNDUP(Tabla2[[#This Row],[mes]]/3,0)</f>
        <v>T1</v>
      </c>
      <c r="G858" t="s">
        <v>36</v>
      </c>
      <c r="H858" t="s">
        <v>37</v>
      </c>
      <c r="I858" s="8" t="str">
        <f>IF(Tabla2[[#This Row],[precio_unitario]]&lt;=30,"Económico",IF(Tabla2[[#This Row],[precio_unitario]]&lt;=58.49,"Accesible","Caro"))</f>
        <v>Económico</v>
      </c>
      <c r="J858" t="s">
        <v>35</v>
      </c>
      <c r="K858">
        <v>1</v>
      </c>
      <c r="L858" s="19">
        <v>13.53</v>
      </c>
      <c r="M858" s="19">
        <v>9.7799999999999994</v>
      </c>
      <c r="N858" s="11">
        <v>0</v>
      </c>
      <c r="O858" s="17">
        <f t="shared" si="55"/>
        <v>13.53</v>
      </c>
      <c r="P858" s="17">
        <f t="shared" si="52"/>
        <v>9.7799999999999994</v>
      </c>
      <c r="Q858" s="17">
        <f t="shared" si="53"/>
        <v>3.75</v>
      </c>
      <c r="R858" s="24">
        <f t="shared" si="54"/>
        <v>0.27716186252771619</v>
      </c>
      <c r="S858" t="s">
        <v>101</v>
      </c>
      <c r="T858" t="s">
        <v>64</v>
      </c>
    </row>
    <row r="859" spans="1:20" hidden="1">
      <c r="A859" t="s">
        <v>930</v>
      </c>
      <c r="B859" s="5">
        <v>45401</v>
      </c>
      <c r="C859" s="8">
        <f>YEAR(Tabla2[[#This Row],[fecha]])</f>
        <v>2024</v>
      </c>
      <c r="D859" s="8">
        <f>MONTH(Tabla2[[#This Row],[fecha]])</f>
        <v>4</v>
      </c>
      <c r="E859" s="8" t="str">
        <f>TEXT(Tabla2[[#This Row],[fecha]], "mmmm")</f>
        <v>abril</v>
      </c>
      <c r="F859" s="8" t="str">
        <f>"T"&amp;ROUNDUP(Tabla2[[#This Row],[mes]]/3,0)</f>
        <v>T2</v>
      </c>
      <c r="G859" t="s">
        <v>47</v>
      </c>
      <c r="H859" t="s">
        <v>48</v>
      </c>
      <c r="I859" s="8" t="str">
        <f>IF(Tabla2[[#This Row],[precio_unitario]]&lt;=30,"Económico",IF(Tabla2[[#This Row],[precio_unitario]]&lt;=58.49,"Accesible","Caro"))</f>
        <v>Caro</v>
      </c>
      <c r="J859" t="s">
        <v>44</v>
      </c>
      <c r="K859">
        <v>3</v>
      </c>
      <c r="L859" s="19">
        <v>59.65</v>
      </c>
      <c r="M859" s="19">
        <v>31.09</v>
      </c>
      <c r="N859" s="11">
        <v>0</v>
      </c>
      <c r="O859" s="17">
        <f t="shared" si="55"/>
        <v>178.95</v>
      </c>
      <c r="P859" s="17">
        <f t="shared" si="52"/>
        <v>93.27</v>
      </c>
      <c r="Q859" s="17">
        <f t="shared" si="53"/>
        <v>85.679999999999993</v>
      </c>
      <c r="R859" s="24">
        <f t="shared" si="54"/>
        <v>0.47879295892707457</v>
      </c>
      <c r="S859" t="s">
        <v>67</v>
      </c>
      <c r="T859" t="s">
        <v>60</v>
      </c>
    </row>
    <row r="860" spans="1:20" hidden="1">
      <c r="A860" t="s">
        <v>931</v>
      </c>
      <c r="B860" s="5">
        <v>45556</v>
      </c>
      <c r="C860" s="8">
        <f>YEAR(Tabla2[[#This Row],[fecha]])</f>
        <v>2024</v>
      </c>
      <c r="D860" s="8">
        <f>MONTH(Tabla2[[#This Row],[fecha]])</f>
        <v>9</v>
      </c>
      <c r="E860" s="8" t="str">
        <f>TEXT(Tabla2[[#This Row],[fecha]], "mmmm")</f>
        <v>septiembre</v>
      </c>
      <c r="F860" s="8" t="str">
        <f>"T"&amp;ROUNDUP(Tabla2[[#This Row],[mes]]/3,0)</f>
        <v>T3</v>
      </c>
      <c r="G860" t="s">
        <v>9</v>
      </c>
      <c r="H860" t="s">
        <v>10</v>
      </c>
      <c r="I860" s="8" t="str">
        <f>IF(Tabla2[[#This Row],[precio_unitario]]&lt;=30,"Económico",IF(Tabla2[[#This Row],[precio_unitario]]&lt;=58.49,"Accesible","Caro"))</f>
        <v>Caro</v>
      </c>
      <c r="J860" t="s">
        <v>8</v>
      </c>
      <c r="K860">
        <v>2</v>
      </c>
      <c r="L860" s="19">
        <v>78.86</v>
      </c>
      <c r="M860" s="19">
        <v>47.75</v>
      </c>
      <c r="N860" s="11">
        <v>0.17</v>
      </c>
      <c r="O860" s="17">
        <f t="shared" si="55"/>
        <v>130.9076</v>
      </c>
      <c r="P860" s="17">
        <f t="shared" si="52"/>
        <v>95.5</v>
      </c>
      <c r="Q860" s="17">
        <f t="shared" si="53"/>
        <v>35.407600000000002</v>
      </c>
      <c r="R860" s="24">
        <f t="shared" si="54"/>
        <v>0.27047780266386368</v>
      </c>
      <c r="S860" t="s">
        <v>101</v>
      </c>
      <c r="T860" t="s">
        <v>60</v>
      </c>
    </row>
    <row r="861" spans="1:20" hidden="1">
      <c r="A861" t="s">
        <v>932</v>
      </c>
      <c r="B861" s="5">
        <v>45467</v>
      </c>
      <c r="C861" s="8">
        <f>YEAR(Tabla2[[#This Row],[fecha]])</f>
        <v>2024</v>
      </c>
      <c r="D861" s="8">
        <f>MONTH(Tabla2[[#This Row],[fecha]])</f>
        <v>6</v>
      </c>
      <c r="E861" s="8" t="str">
        <f>TEXT(Tabla2[[#This Row],[fecha]], "mmmm")</f>
        <v>junio</v>
      </c>
      <c r="F861" s="8" t="str">
        <f>"T"&amp;ROUNDUP(Tabla2[[#This Row],[mes]]/3,0)</f>
        <v>T2</v>
      </c>
      <c r="G861" t="s">
        <v>47</v>
      </c>
      <c r="H861" t="s">
        <v>48</v>
      </c>
      <c r="I861" s="8" t="str">
        <f>IF(Tabla2[[#This Row],[precio_unitario]]&lt;=30,"Económico",IF(Tabla2[[#This Row],[precio_unitario]]&lt;=58.49,"Accesible","Caro"))</f>
        <v>Accesible</v>
      </c>
      <c r="J861" t="s">
        <v>44</v>
      </c>
      <c r="K861">
        <v>2</v>
      </c>
      <c r="L861" s="19">
        <v>58.36</v>
      </c>
      <c r="M861" s="19">
        <v>34.07</v>
      </c>
      <c r="N861" s="11">
        <v>0</v>
      </c>
      <c r="O861" s="17">
        <f t="shared" si="55"/>
        <v>116.72</v>
      </c>
      <c r="P861" s="17">
        <f t="shared" si="52"/>
        <v>68.14</v>
      </c>
      <c r="Q861" s="17">
        <f t="shared" si="53"/>
        <v>48.58</v>
      </c>
      <c r="R861" s="24">
        <f t="shared" si="54"/>
        <v>0.41620973269362577</v>
      </c>
      <c r="S861" t="s">
        <v>67</v>
      </c>
      <c r="T861" t="s">
        <v>60</v>
      </c>
    </row>
    <row r="862" spans="1:20" hidden="1">
      <c r="A862" t="s">
        <v>933</v>
      </c>
      <c r="B862" s="5">
        <v>45830</v>
      </c>
      <c r="C862" s="8">
        <f>YEAR(Tabla2[[#This Row],[fecha]])</f>
        <v>2025</v>
      </c>
      <c r="D862" s="8">
        <f>MONTH(Tabla2[[#This Row],[fecha]])</f>
        <v>6</v>
      </c>
      <c r="E862" s="8" t="str">
        <f>TEXT(Tabla2[[#This Row],[fecha]], "mmmm")</f>
        <v>junio</v>
      </c>
      <c r="F862" s="8" t="str">
        <f>"T"&amp;ROUNDUP(Tabla2[[#This Row],[mes]]/3,0)</f>
        <v>T2</v>
      </c>
      <c r="G862" t="s">
        <v>6</v>
      </c>
      <c r="H862" t="s">
        <v>7</v>
      </c>
      <c r="I862" s="8" t="str">
        <f>IF(Tabla2[[#This Row],[precio_unitario]]&lt;=30,"Económico",IF(Tabla2[[#This Row],[precio_unitario]]&lt;=58.49,"Accesible","Caro"))</f>
        <v>Caro</v>
      </c>
      <c r="J862" t="s">
        <v>8</v>
      </c>
      <c r="K862">
        <v>3</v>
      </c>
      <c r="L862" s="19">
        <v>118.84</v>
      </c>
      <c r="M862" s="19">
        <v>82.49</v>
      </c>
      <c r="N862" s="11">
        <v>0</v>
      </c>
      <c r="O862" s="17">
        <f t="shared" si="55"/>
        <v>356.52</v>
      </c>
      <c r="P862" s="17">
        <f t="shared" si="52"/>
        <v>247.46999999999997</v>
      </c>
      <c r="Q862" s="17">
        <f t="shared" si="53"/>
        <v>109.05000000000001</v>
      </c>
      <c r="R862" s="24">
        <f t="shared" si="54"/>
        <v>0.30587344328508925</v>
      </c>
      <c r="S862" t="s">
        <v>63</v>
      </c>
      <c r="T862" t="s">
        <v>60</v>
      </c>
    </row>
    <row r="863" spans="1:20" hidden="1">
      <c r="A863" t="s">
        <v>934</v>
      </c>
      <c r="B863" s="5">
        <v>45621</v>
      </c>
      <c r="C863" s="8">
        <f>YEAR(Tabla2[[#This Row],[fecha]])</f>
        <v>2024</v>
      </c>
      <c r="D863" s="8">
        <f>MONTH(Tabla2[[#This Row],[fecha]])</f>
        <v>11</v>
      </c>
      <c r="E863" s="8" t="str">
        <f>TEXT(Tabla2[[#This Row],[fecha]], "mmmm")</f>
        <v>noviembre</v>
      </c>
      <c r="F863" s="8" t="str">
        <f>"T"&amp;ROUNDUP(Tabla2[[#This Row],[mes]]/3,0)</f>
        <v>T4</v>
      </c>
      <c r="G863" t="s">
        <v>33</v>
      </c>
      <c r="H863" t="s">
        <v>34</v>
      </c>
      <c r="I863" s="8" t="str">
        <f>IF(Tabla2[[#This Row],[precio_unitario]]&lt;=30,"Económico",IF(Tabla2[[#This Row],[precio_unitario]]&lt;=58.49,"Accesible","Caro"))</f>
        <v>Caro</v>
      </c>
      <c r="J863" t="s">
        <v>35</v>
      </c>
      <c r="K863">
        <v>1</v>
      </c>
      <c r="L863" s="19">
        <v>70.709999999999994</v>
      </c>
      <c r="M863" s="19">
        <v>46.93</v>
      </c>
      <c r="N863" s="11">
        <v>0</v>
      </c>
      <c r="O863" s="17">
        <f t="shared" si="55"/>
        <v>70.709999999999994</v>
      </c>
      <c r="P863" s="17">
        <f t="shared" si="52"/>
        <v>46.93</v>
      </c>
      <c r="Q863" s="17">
        <f t="shared" si="53"/>
        <v>23.779999999999994</v>
      </c>
      <c r="R863" s="24">
        <f t="shared" si="54"/>
        <v>0.33630321029557342</v>
      </c>
      <c r="S863" t="s">
        <v>83</v>
      </c>
      <c r="T863" t="s">
        <v>60</v>
      </c>
    </row>
    <row r="864" spans="1:20" hidden="1">
      <c r="A864" t="s">
        <v>935</v>
      </c>
      <c r="B864" s="5">
        <v>45968</v>
      </c>
      <c r="C864" s="8">
        <f>YEAR(Tabla2[[#This Row],[fecha]])</f>
        <v>2025</v>
      </c>
      <c r="D864" s="8">
        <f>MONTH(Tabla2[[#This Row],[fecha]])</f>
        <v>11</v>
      </c>
      <c r="E864" s="8" t="str">
        <f>TEXT(Tabla2[[#This Row],[fecha]], "mmmm")</f>
        <v>noviembre</v>
      </c>
      <c r="F864" s="8" t="str">
        <f>"T"&amp;ROUNDUP(Tabla2[[#This Row],[mes]]/3,0)</f>
        <v>T4</v>
      </c>
      <c r="G864" t="s">
        <v>18</v>
      </c>
      <c r="H864" t="s">
        <v>19</v>
      </c>
      <c r="I864" s="8" t="str">
        <f>IF(Tabla2[[#This Row],[precio_unitario]]&lt;=30,"Económico",IF(Tabla2[[#This Row],[precio_unitario]]&lt;=58.49,"Accesible","Caro"))</f>
        <v>Accesible</v>
      </c>
      <c r="J864" t="s">
        <v>17</v>
      </c>
      <c r="K864">
        <v>7</v>
      </c>
      <c r="L864" s="19">
        <v>43.69</v>
      </c>
      <c r="M864" s="21">
        <f>INDEX(Tabla3[coste_objetivo], MATCH(Tabla2[[#This Row],[id_producto]], Tabla3[id_producto],0))</f>
        <v>26.63</v>
      </c>
      <c r="N864" s="11">
        <v>0</v>
      </c>
      <c r="O864" s="17">
        <f t="shared" si="55"/>
        <v>305.83</v>
      </c>
      <c r="P864" s="17">
        <f t="shared" si="52"/>
        <v>186.41</v>
      </c>
      <c r="Q864" s="17">
        <f t="shared" si="53"/>
        <v>119.41999999999999</v>
      </c>
      <c r="R864" s="24">
        <f t="shared" si="54"/>
        <v>0.39047837033646143</v>
      </c>
      <c r="S864" t="s">
        <v>83</v>
      </c>
      <c r="T864" t="s">
        <v>60</v>
      </c>
    </row>
    <row r="865" spans="1:20">
      <c r="A865" t="s">
        <v>936</v>
      </c>
      <c r="B865" s="5">
        <v>45852</v>
      </c>
      <c r="C865" s="8">
        <f>YEAR(Tabla2[[#This Row],[fecha]])</f>
        <v>2025</v>
      </c>
      <c r="D865" s="8">
        <f>MONTH(Tabla2[[#This Row],[fecha]])</f>
        <v>7</v>
      </c>
      <c r="E865" s="8" t="str">
        <f>TEXT(Tabla2[[#This Row],[fecha]], "mmmm")</f>
        <v>julio</v>
      </c>
      <c r="F865" s="8" t="str">
        <f>"T"&amp;ROUNDUP(Tabla2[[#This Row],[mes]]/3,0)</f>
        <v>T3</v>
      </c>
      <c r="G865" t="s">
        <v>33</v>
      </c>
      <c r="H865" t="s">
        <v>34</v>
      </c>
      <c r="I865" s="8" t="str">
        <f>IF(Tabla2[[#This Row],[precio_unitario]]&lt;=30,"Económico",IF(Tabla2[[#This Row],[precio_unitario]]&lt;=58.49,"Accesible","Caro"))</f>
        <v>Caro</v>
      </c>
      <c r="J865" t="s">
        <v>35</v>
      </c>
      <c r="K865">
        <v>1</v>
      </c>
      <c r="L865" s="19">
        <v>75.98</v>
      </c>
      <c r="M865" s="19">
        <v>46.44</v>
      </c>
      <c r="N865" s="11">
        <v>0</v>
      </c>
      <c r="O865" s="17">
        <f t="shared" si="55"/>
        <v>75.98</v>
      </c>
      <c r="P865" s="17">
        <f t="shared" si="52"/>
        <v>46.44</v>
      </c>
      <c r="Q865" s="17">
        <f t="shared" si="53"/>
        <v>29.540000000000006</v>
      </c>
      <c r="R865" s="24">
        <f t="shared" si="54"/>
        <v>0.38878652276914982</v>
      </c>
      <c r="S865" t="s">
        <v>67</v>
      </c>
      <c r="T865" t="s">
        <v>201</v>
      </c>
    </row>
    <row r="866" spans="1:20" hidden="1">
      <c r="A866" t="s">
        <v>937</v>
      </c>
      <c r="B866" s="5">
        <v>45550</v>
      </c>
      <c r="C866" s="8">
        <f>YEAR(Tabla2[[#This Row],[fecha]])</f>
        <v>2024</v>
      </c>
      <c r="D866" s="8">
        <f>MONTH(Tabla2[[#This Row],[fecha]])</f>
        <v>9</v>
      </c>
      <c r="E866" s="8" t="str">
        <f>TEXT(Tabla2[[#This Row],[fecha]], "mmmm")</f>
        <v>septiembre</v>
      </c>
      <c r="F866" s="8" t="str">
        <f>"T"&amp;ROUNDUP(Tabla2[[#This Row],[mes]]/3,0)</f>
        <v>T3</v>
      </c>
      <c r="G866" t="s">
        <v>29</v>
      </c>
      <c r="H866" t="s">
        <v>30</v>
      </c>
      <c r="I866" s="8" t="str">
        <f>IF(Tabla2[[#This Row],[precio_unitario]]&lt;=30,"Económico",IF(Tabla2[[#This Row],[precio_unitario]]&lt;=58.49,"Accesible","Caro"))</f>
        <v>Económico</v>
      </c>
      <c r="J866" t="s">
        <v>26</v>
      </c>
      <c r="K866">
        <v>2</v>
      </c>
      <c r="L866" s="19">
        <v>23.19</v>
      </c>
      <c r="M866" s="19">
        <v>11.58</v>
      </c>
      <c r="N866" s="11">
        <v>0</v>
      </c>
      <c r="O866" s="17">
        <f t="shared" si="55"/>
        <v>46.38</v>
      </c>
      <c r="P866" s="17">
        <f t="shared" si="52"/>
        <v>23.16</v>
      </c>
      <c r="Q866" s="17">
        <f t="shared" si="53"/>
        <v>23.220000000000002</v>
      </c>
      <c r="R866" s="24">
        <f t="shared" si="54"/>
        <v>0.50064683053040104</v>
      </c>
      <c r="S866" t="s">
        <v>67</v>
      </c>
      <c r="T866" t="s">
        <v>64</v>
      </c>
    </row>
    <row r="867" spans="1:20" hidden="1">
      <c r="A867" t="s">
        <v>938</v>
      </c>
      <c r="B867" s="5">
        <v>45910</v>
      </c>
      <c r="C867" s="8">
        <f>YEAR(Tabla2[[#This Row],[fecha]])</f>
        <v>2025</v>
      </c>
      <c r="D867" s="8">
        <f>MONTH(Tabla2[[#This Row],[fecha]])</f>
        <v>9</v>
      </c>
      <c r="E867" s="8" t="str">
        <f>TEXT(Tabla2[[#This Row],[fecha]], "mmmm")</f>
        <v>septiembre</v>
      </c>
      <c r="F867" s="8" t="str">
        <f>"T"&amp;ROUNDUP(Tabla2[[#This Row],[mes]]/3,0)</f>
        <v>T3</v>
      </c>
      <c r="G867" t="s">
        <v>49</v>
      </c>
      <c r="H867" t="s">
        <v>50</v>
      </c>
      <c r="I867" s="8" t="str">
        <f>IF(Tabla2[[#This Row],[precio_unitario]]&lt;=30,"Económico",IF(Tabla2[[#This Row],[precio_unitario]]&lt;=58.49,"Accesible","Caro"))</f>
        <v>Caro</v>
      </c>
      <c r="J867" t="s">
        <v>44</v>
      </c>
      <c r="K867">
        <v>1</v>
      </c>
      <c r="L867" s="19">
        <v>64.55</v>
      </c>
      <c r="M867" s="19">
        <v>32.799999999999997</v>
      </c>
      <c r="N867" s="11">
        <v>0</v>
      </c>
      <c r="O867" s="17">
        <f t="shared" si="55"/>
        <v>64.55</v>
      </c>
      <c r="P867" s="17">
        <f t="shared" si="52"/>
        <v>32.799999999999997</v>
      </c>
      <c r="Q867" s="17">
        <f t="shared" si="53"/>
        <v>31.75</v>
      </c>
      <c r="R867" s="24">
        <f t="shared" si="54"/>
        <v>0.49186676994577849</v>
      </c>
      <c r="S867" t="s">
        <v>96</v>
      </c>
      <c r="T867" t="s">
        <v>60</v>
      </c>
    </row>
    <row r="868" spans="1:20" hidden="1">
      <c r="A868" t="s">
        <v>939</v>
      </c>
      <c r="B868" s="5">
        <v>45305</v>
      </c>
      <c r="C868" s="8">
        <f>YEAR(Tabla2[[#This Row],[fecha]])</f>
        <v>2024</v>
      </c>
      <c r="D868" s="8">
        <f>MONTH(Tabla2[[#This Row],[fecha]])</f>
        <v>1</v>
      </c>
      <c r="E868" s="8" t="str">
        <f>TEXT(Tabla2[[#This Row],[fecha]], "mmmm")</f>
        <v>enero</v>
      </c>
      <c r="F868" s="8" t="str">
        <f>"T"&amp;ROUNDUP(Tabla2[[#This Row],[mes]]/3,0)</f>
        <v>T1</v>
      </c>
      <c r="G868" t="s">
        <v>38</v>
      </c>
      <c r="H868" t="s">
        <v>39</v>
      </c>
      <c r="I868" s="8" t="str">
        <f>IF(Tabla2[[#This Row],[precio_unitario]]&lt;=30,"Económico",IF(Tabla2[[#This Row],[precio_unitario]]&lt;=58.49,"Accesible","Caro"))</f>
        <v>Caro</v>
      </c>
      <c r="J868" t="s">
        <v>35</v>
      </c>
      <c r="K868">
        <v>1</v>
      </c>
      <c r="L868" s="19">
        <v>81.44</v>
      </c>
      <c r="M868" s="19">
        <v>44.3</v>
      </c>
      <c r="N868" s="11">
        <v>0</v>
      </c>
      <c r="O868" s="17">
        <f t="shared" si="55"/>
        <v>81.44</v>
      </c>
      <c r="P868" s="17">
        <f t="shared" si="52"/>
        <v>44.3</v>
      </c>
      <c r="Q868" s="17">
        <f t="shared" si="53"/>
        <v>37.14</v>
      </c>
      <c r="R868" s="24">
        <f t="shared" si="54"/>
        <v>0.45604125736738704</v>
      </c>
      <c r="S868" t="s">
        <v>101</v>
      </c>
      <c r="T868" t="s">
        <v>60</v>
      </c>
    </row>
    <row r="869" spans="1:20" hidden="1">
      <c r="A869" t="s">
        <v>940</v>
      </c>
      <c r="B869" s="5">
        <v>45598</v>
      </c>
      <c r="C869" s="8">
        <f>YEAR(Tabla2[[#This Row],[fecha]])</f>
        <v>2024</v>
      </c>
      <c r="D869" s="8">
        <f>MONTH(Tabla2[[#This Row],[fecha]])</f>
        <v>11</v>
      </c>
      <c r="E869" s="8" t="str">
        <f>TEXT(Tabla2[[#This Row],[fecha]], "mmmm")</f>
        <v>noviembre</v>
      </c>
      <c r="F869" s="8" t="str">
        <f>"T"&amp;ROUNDUP(Tabla2[[#This Row],[mes]]/3,0)</f>
        <v>T4</v>
      </c>
      <c r="G869" t="s">
        <v>45</v>
      </c>
      <c r="H869" t="s">
        <v>46</v>
      </c>
      <c r="I869" s="8" t="str">
        <f>IF(Tabla2[[#This Row],[precio_unitario]]&lt;=30,"Económico",IF(Tabla2[[#This Row],[precio_unitario]]&lt;=58.49,"Accesible","Caro"))</f>
        <v>Económico</v>
      </c>
      <c r="J869" t="s">
        <v>44</v>
      </c>
      <c r="K869">
        <v>6</v>
      </c>
      <c r="L869" s="19">
        <v>29.2</v>
      </c>
      <c r="M869" s="19">
        <v>18.09</v>
      </c>
      <c r="N869" s="11">
        <v>0</v>
      </c>
      <c r="O869" s="17">
        <f t="shared" si="55"/>
        <v>175.2</v>
      </c>
      <c r="P869" s="17">
        <f t="shared" si="52"/>
        <v>108.53999999999999</v>
      </c>
      <c r="Q869" s="17">
        <f t="shared" si="53"/>
        <v>66.66</v>
      </c>
      <c r="R869" s="24">
        <f t="shared" si="54"/>
        <v>0.3804794520547945</v>
      </c>
      <c r="S869" t="s">
        <v>67</v>
      </c>
      <c r="T869" t="s">
        <v>60</v>
      </c>
    </row>
    <row r="870" spans="1:20" hidden="1">
      <c r="A870" t="s">
        <v>941</v>
      </c>
      <c r="B870" s="5">
        <v>45838</v>
      </c>
      <c r="C870" s="8">
        <f>YEAR(Tabla2[[#This Row],[fecha]])</f>
        <v>2025</v>
      </c>
      <c r="D870" s="8">
        <f>MONTH(Tabla2[[#This Row],[fecha]])</f>
        <v>6</v>
      </c>
      <c r="E870" s="8" t="str">
        <f>TEXT(Tabla2[[#This Row],[fecha]], "mmmm")</f>
        <v>junio</v>
      </c>
      <c r="F870" s="8" t="str">
        <f>"T"&amp;ROUNDUP(Tabla2[[#This Row],[mes]]/3,0)</f>
        <v>T2</v>
      </c>
      <c r="G870" t="s">
        <v>38</v>
      </c>
      <c r="H870" t="s">
        <v>39</v>
      </c>
      <c r="I870" s="8" t="str">
        <f>IF(Tabla2[[#This Row],[precio_unitario]]&lt;=30,"Económico",IF(Tabla2[[#This Row],[precio_unitario]]&lt;=58.49,"Accesible","Caro"))</f>
        <v>Caro</v>
      </c>
      <c r="J870" t="s">
        <v>35</v>
      </c>
      <c r="K870">
        <v>2</v>
      </c>
      <c r="L870" s="19">
        <v>77.38</v>
      </c>
      <c r="M870" s="19">
        <v>44.09</v>
      </c>
      <c r="N870" s="11">
        <v>0</v>
      </c>
      <c r="O870" s="17">
        <f t="shared" si="55"/>
        <v>154.76</v>
      </c>
      <c r="P870" s="17">
        <f t="shared" si="52"/>
        <v>88.18</v>
      </c>
      <c r="Q870" s="17">
        <f t="shared" si="53"/>
        <v>66.579999999999984</v>
      </c>
      <c r="R870" s="24">
        <f t="shared" si="54"/>
        <v>0.4302145257172395</v>
      </c>
      <c r="S870" t="s">
        <v>83</v>
      </c>
      <c r="T870" t="s">
        <v>60</v>
      </c>
    </row>
    <row r="871" spans="1:20">
      <c r="A871" t="s">
        <v>942</v>
      </c>
      <c r="B871" s="5">
        <v>45751</v>
      </c>
      <c r="C871" s="8">
        <f>YEAR(Tabla2[[#This Row],[fecha]])</f>
        <v>2025</v>
      </c>
      <c r="D871" s="8">
        <f>MONTH(Tabla2[[#This Row],[fecha]])</f>
        <v>4</v>
      </c>
      <c r="E871" s="8" t="str">
        <f>TEXT(Tabla2[[#This Row],[fecha]], "mmmm")</f>
        <v>abril</v>
      </c>
      <c r="F871" s="8" t="str">
        <f>"T"&amp;ROUNDUP(Tabla2[[#This Row],[mes]]/3,0)</f>
        <v>T2</v>
      </c>
      <c r="G871" t="s">
        <v>45</v>
      </c>
      <c r="H871" t="s">
        <v>46</v>
      </c>
      <c r="I871" s="8" t="str">
        <f>IF(Tabla2[[#This Row],[precio_unitario]]&lt;=30,"Económico",IF(Tabla2[[#This Row],[precio_unitario]]&lt;=58.49,"Accesible","Caro"))</f>
        <v>Accesible</v>
      </c>
      <c r="J871" t="s">
        <v>44</v>
      </c>
      <c r="K871">
        <v>3</v>
      </c>
      <c r="L871" s="19">
        <v>33.03</v>
      </c>
      <c r="M871" s="19">
        <v>16.53</v>
      </c>
      <c r="N871" s="11">
        <v>0</v>
      </c>
      <c r="O871" s="17">
        <f t="shared" si="55"/>
        <v>99.09</v>
      </c>
      <c r="P871" s="17">
        <f t="shared" si="52"/>
        <v>49.59</v>
      </c>
      <c r="Q871" s="17">
        <f t="shared" si="53"/>
        <v>49.5</v>
      </c>
      <c r="R871" s="24">
        <f t="shared" si="54"/>
        <v>0.49954586739327883</v>
      </c>
      <c r="S871" t="s">
        <v>67</v>
      </c>
      <c r="T871" t="s">
        <v>64</v>
      </c>
    </row>
    <row r="872" spans="1:20" hidden="1">
      <c r="A872" t="s">
        <v>943</v>
      </c>
      <c r="B872" s="5">
        <v>45314</v>
      </c>
      <c r="C872" s="8">
        <f>YEAR(Tabla2[[#This Row],[fecha]])</f>
        <v>2024</v>
      </c>
      <c r="D872" s="8">
        <f>MONTH(Tabla2[[#This Row],[fecha]])</f>
        <v>1</v>
      </c>
      <c r="E872" s="8" t="str">
        <f>TEXT(Tabla2[[#This Row],[fecha]], "mmmm")</f>
        <v>enero</v>
      </c>
      <c r="F872" s="8" t="str">
        <f>"T"&amp;ROUNDUP(Tabla2[[#This Row],[mes]]/3,0)</f>
        <v>T1</v>
      </c>
      <c r="G872" t="s">
        <v>11</v>
      </c>
      <c r="H872" t="s">
        <v>12</v>
      </c>
      <c r="I872" s="8" t="str">
        <f>IF(Tabla2[[#This Row],[precio_unitario]]&lt;=30,"Económico",IF(Tabla2[[#This Row],[precio_unitario]]&lt;=58.49,"Accesible","Caro"))</f>
        <v>Caro</v>
      </c>
      <c r="J872" t="s">
        <v>8</v>
      </c>
      <c r="K872">
        <v>4</v>
      </c>
      <c r="L872" s="19">
        <v>166.12</v>
      </c>
      <c r="M872" s="19">
        <v>97.46</v>
      </c>
      <c r="N872" s="11">
        <v>0</v>
      </c>
      <c r="O872" s="17">
        <f t="shared" si="55"/>
        <v>664.48</v>
      </c>
      <c r="P872" s="17">
        <f t="shared" si="52"/>
        <v>389.84</v>
      </c>
      <c r="Q872" s="17">
        <f t="shared" si="53"/>
        <v>274.64000000000004</v>
      </c>
      <c r="R872" s="24">
        <f t="shared" si="54"/>
        <v>0.41331567541536246</v>
      </c>
      <c r="S872" t="s">
        <v>101</v>
      </c>
      <c r="T872" t="s">
        <v>60</v>
      </c>
    </row>
    <row r="873" spans="1:20">
      <c r="A873" t="s">
        <v>944</v>
      </c>
      <c r="B873" s="5">
        <v>45885</v>
      </c>
      <c r="C873" s="8">
        <f>YEAR(Tabla2[[#This Row],[fecha]])</f>
        <v>2025</v>
      </c>
      <c r="D873" s="8">
        <f>MONTH(Tabla2[[#This Row],[fecha]])</f>
        <v>8</v>
      </c>
      <c r="E873" s="8" t="str">
        <f>TEXT(Tabla2[[#This Row],[fecha]], "mmmm")</f>
        <v>agosto</v>
      </c>
      <c r="F873" s="8" t="str">
        <f>"T"&amp;ROUNDUP(Tabla2[[#This Row],[mes]]/3,0)</f>
        <v>T3</v>
      </c>
      <c r="G873" t="s">
        <v>45</v>
      </c>
      <c r="H873" t="s">
        <v>46</v>
      </c>
      <c r="I873" s="8" t="str">
        <f>IF(Tabla2[[#This Row],[precio_unitario]]&lt;=30,"Económico",IF(Tabla2[[#This Row],[precio_unitario]]&lt;=58.49,"Accesible","Caro"))</f>
        <v>Accesible</v>
      </c>
      <c r="J873" t="s">
        <v>44</v>
      </c>
      <c r="K873">
        <v>2</v>
      </c>
      <c r="L873" s="19">
        <v>30.76</v>
      </c>
      <c r="M873" s="19">
        <v>17.329999999999998</v>
      </c>
      <c r="N873" s="13">
        <v>0</v>
      </c>
      <c r="O873" s="17">
        <f t="shared" si="55"/>
        <v>61.52</v>
      </c>
      <c r="P873" s="17">
        <f t="shared" si="52"/>
        <v>34.659999999999997</v>
      </c>
      <c r="Q873" s="17">
        <f t="shared" si="53"/>
        <v>26.860000000000007</v>
      </c>
      <c r="R873" s="24">
        <f t="shared" si="54"/>
        <v>0.43660598179453847</v>
      </c>
      <c r="S873" t="s">
        <v>67</v>
      </c>
      <c r="T873" t="s">
        <v>60</v>
      </c>
    </row>
    <row r="874" spans="1:20" hidden="1">
      <c r="A874" t="s">
        <v>945</v>
      </c>
      <c r="B874" s="5">
        <v>45987</v>
      </c>
      <c r="C874" s="8">
        <f>YEAR(Tabla2[[#This Row],[fecha]])</f>
        <v>2025</v>
      </c>
      <c r="D874" s="8">
        <f>MONTH(Tabla2[[#This Row],[fecha]])</f>
        <v>11</v>
      </c>
      <c r="E874" s="8" t="str">
        <f>TEXT(Tabla2[[#This Row],[fecha]], "mmmm")</f>
        <v>noviembre</v>
      </c>
      <c r="F874" s="8" t="str">
        <f>"T"&amp;ROUNDUP(Tabla2[[#This Row],[mes]]/3,0)</f>
        <v>T4</v>
      </c>
      <c r="G874" t="s">
        <v>20</v>
      </c>
      <c r="H874" t="s">
        <v>21</v>
      </c>
      <c r="I874" s="8" t="str">
        <f>IF(Tabla2[[#This Row],[precio_unitario]]&lt;=30,"Económico",IF(Tabla2[[#This Row],[precio_unitario]]&lt;=58.49,"Accesible","Caro"))</f>
        <v>Económico</v>
      </c>
      <c r="J874" t="s">
        <v>17</v>
      </c>
      <c r="K874">
        <v>9</v>
      </c>
      <c r="L874" s="19">
        <v>20.32</v>
      </c>
      <c r="M874" s="19">
        <v>12.84</v>
      </c>
      <c r="N874" s="11">
        <v>0</v>
      </c>
      <c r="O874" s="17">
        <f t="shared" si="55"/>
        <v>182.88</v>
      </c>
      <c r="P874" s="17">
        <f t="shared" si="52"/>
        <v>115.56</v>
      </c>
      <c r="Q874" s="17">
        <f t="shared" si="53"/>
        <v>67.319999999999993</v>
      </c>
      <c r="R874" s="24">
        <f t="shared" si="54"/>
        <v>0.3681102362204724</v>
      </c>
      <c r="S874" t="s">
        <v>83</v>
      </c>
      <c r="T874" t="s">
        <v>60</v>
      </c>
    </row>
    <row r="875" spans="1:20">
      <c r="A875" t="s">
        <v>946</v>
      </c>
      <c r="B875" s="5">
        <v>45963</v>
      </c>
      <c r="C875" s="8">
        <f>YEAR(Tabla2[[#This Row],[fecha]])</f>
        <v>2025</v>
      </c>
      <c r="D875" s="8">
        <f>MONTH(Tabla2[[#This Row],[fecha]])</f>
        <v>11</v>
      </c>
      <c r="E875" s="8" t="str">
        <f>TEXT(Tabla2[[#This Row],[fecha]], "mmmm")</f>
        <v>noviembre</v>
      </c>
      <c r="F875" s="8" t="str">
        <f>"T"&amp;ROUNDUP(Tabla2[[#This Row],[mes]]/3,0)</f>
        <v>T4</v>
      </c>
      <c r="G875" t="s">
        <v>40</v>
      </c>
      <c r="H875" t="s">
        <v>41</v>
      </c>
      <c r="I875" s="8" t="str">
        <f>IF(Tabla2[[#This Row],[precio_unitario]]&lt;=30,"Económico",IF(Tabla2[[#This Row],[precio_unitario]]&lt;=58.49,"Accesible","Caro"))</f>
        <v>Caro</v>
      </c>
      <c r="J875" t="s">
        <v>35</v>
      </c>
      <c r="K875">
        <v>1</v>
      </c>
      <c r="L875" s="19">
        <v>72.959999999999994</v>
      </c>
      <c r="M875" s="19">
        <v>42.46</v>
      </c>
      <c r="N875" s="11">
        <v>0</v>
      </c>
      <c r="O875" s="17">
        <f t="shared" si="55"/>
        <v>72.959999999999994</v>
      </c>
      <c r="P875" s="17">
        <f t="shared" si="52"/>
        <v>42.46</v>
      </c>
      <c r="Q875" s="17">
        <f t="shared" si="53"/>
        <v>30.499999999999993</v>
      </c>
      <c r="R875" s="24">
        <f t="shared" si="54"/>
        <v>0.41803728070175433</v>
      </c>
      <c r="S875" t="s">
        <v>67</v>
      </c>
      <c r="T875" t="s">
        <v>60</v>
      </c>
    </row>
    <row r="876" spans="1:20">
      <c r="A876" t="s">
        <v>947</v>
      </c>
      <c r="B876" s="5">
        <v>45974</v>
      </c>
      <c r="C876" s="8">
        <f>YEAR(Tabla2[[#This Row],[fecha]])</f>
        <v>2025</v>
      </c>
      <c r="D876" s="8">
        <f>MONTH(Tabla2[[#This Row],[fecha]])</f>
        <v>11</v>
      </c>
      <c r="E876" s="8" t="str">
        <f>TEXT(Tabla2[[#This Row],[fecha]], "mmmm")</f>
        <v>noviembre</v>
      </c>
      <c r="F876" s="8" t="str">
        <f>"T"&amp;ROUNDUP(Tabla2[[#This Row],[mes]]/3,0)</f>
        <v>T4</v>
      </c>
      <c r="G876" t="s">
        <v>47</v>
      </c>
      <c r="H876" t="s">
        <v>48</v>
      </c>
      <c r="I876" s="8" t="str">
        <f>IF(Tabla2[[#This Row],[precio_unitario]]&lt;=30,"Económico",IF(Tabla2[[#This Row],[precio_unitario]]&lt;=58.49,"Accesible","Caro"))</f>
        <v>Caro</v>
      </c>
      <c r="J876" t="s">
        <v>44</v>
      </c>
      <c r="K876">
        <v>5</v>
      </c>
      <c r="L876" s="19">
        <v>63.22</v>
      </c>
      <c r="M876" s="19">
        <v>31.5</v>
      </c>
      <c r="N876" s="11">
        <v>0</v>
      </c>
      <c r="O876" s="17">
        <f t="shared" si="55"/>
        <v>316.10000000000002</v>
      </c>
      <c r="P876" s="17">
        <f t="shared" si="52"/>
        <v>157.5</v>
      </c>
      <c r="Q876" s="17">
        <f t="shared" si="53"/>
        <v>158.60000000000002</v>
      </c>
      <c r="R876" s="24">
        <f t="shared" si="54"/>
        <v>0.50173995571021834</v>
      </c>
      <c r="S876" t="s">
        <v>67</v>
      </c>
      <c r="T876" t="s">
        <v>64</v>
      </c>
    </row>
    <row r="877" spans="1:20" hidden="1">
      <c r="A877" t="s">
        <v>948</v>
      </c>
      <c r="B877" s="5">
        <v>45858</v>
      </c>
      <c r="C877" s="8">
        <f>YEAR(Tabla2[[#This Row],[fecha]])</f>
        <v>2025</v>
      </c>
      <c r="D877" s="8">
        <f>MONTH(Tabla2[[#This Row],[fecha]])</f>
        <v>7</v>
      </c>
      <c r="E877" s="8" t="str">
        <f>TEXT(Tabla2[[#This Row],[fecha]], "mmmm")</f>
        <v>julio</v>
      </c>
      <c r="F877" s="8" t="str">
        <f>"T"&amp;ROUNDUP(Tabla2[[#This Row],[mes]]/3,0)</f>
        <v>T3</v>
      </c>
      <c r="G877" t="s">
        <v>11</v>
      </c>
      <c r="H877" t="s">
        <v>12</v>
      </c>
      <c r="I877" s="8" t="str">
        <f>IF(Tabla2[[#This Row],[precio_unitario]]&lt;=30,"Económico",IF(Tabla2[[#This Row],[precio_unitario]]&lt;=58.49,"Accesible","Caro"))</f>
        <v>Caro</v>
      </c>
      <c r="J877" t="s">
        <v>8</v>
      </c>
      <c r="K877">
        <v>14</v>
      </c>
      <c r="L877" s="20">
        <f>INDEX(Tabla3[precio_venta_recomendado], MATCH(Tabla2[[#This Row],[id_producto]], Tabla3[id_producto], 0))</f>
        <v>177.72</v>
      </c>
      <c r="M877" s="19">
        <v>92.88</v>
      </c>
      <c r="N877" s="13">
        <v>0</v>
      </c>
      <c r="O877" s="17">
        <f t="shared" si="55"/>
        <v>2488.08</v>
      </c>
      <c r="P877" s="17">
        <f t="shared" si="52"/>
        <v>1300.32</v>
      </c>
      <c r="Q877" s="17">
        <f t="shared" si="53"/>
        <v>1187.76</v>
      </c>
      <c r="R877" s="24">
        <f t="shared" si="54"/>
        <v>0.4773801485482782</v>
      </c>
      <c r="S877" t="s">
        <v>96</v>
      </c>
      <c r="T877" t="s">
        <v>64</v>
      </c>
    </row>
    <row r="878" spans="1:20" hidden="1">
      <c r="A878" t="s">
        <v>949</v>
      </c>
      <c r="B878" s="5">
        <v>45450</v>
      </c>
      <c r="C878" s="8">
        <f>YEAR(Tabla2[[#This Row],[fecha]])</f>
        <v>2024</v>
      </c>
      <c r="D878" s="8">
        <f>MONTH(Tabla2[[#This Row],[fecha]])</f>
        <v>6</v>
      </c>
      <c r="E878" s="8" t="str">
        <f>TEXT(Tabla2[[#This Row],[fecha]], "mmmm")</f>
        <v>junio</v>
      </c>
      <c r="F878" s="8" t="str">
        <f>"T"&amp;ROUNDUP(Tabla2[[#This Row],[mes]]/3,0)</f>
        <v>T2</v>
      </c>
      <c r="G878" t="s">
        <v>33</v>
      </c>
      <c r="H878" t="s">
        <v>34</v>
      </c>
      <c r="I878" s="8" t="str">
        <f>IF(Tabla2[[#This Row],[precio_unitario]]&lt;=30,"Económico",IF(Tabla2[[#This Row],[precio_unitario]]&lt;=58.49,"Accesible","Caro"))</f>
        <v>Caro</v>
      </c>
      <c r="J878" t="s">
        <v>35</v>
      </c>
      <c r="K878">
        <v>2</v>
      </c>
      <c r="L878" s="19">
        <v>76.94</v>
      </c>
      <c r="M878" s="19">
        <v>48.93</v>
      </c>
      <c r="N878" s="13">
        <v>0</v>
      </c>
      <c r="O878" s="17">
        <f t="shared" si="55"/>
        <v>153.88</v>
      </c>
      <c r="P878" s="17">
        <f t="shared" si="52"/>
        <v>97.86</v>
      </c>
      <c r="Q878" s="17">
        <f t="shared" si="53"/>
        <v>56.019999999999996</v>
      </c>
      <c r="R878" s="24">
        <f t="shared" si="54"/>
        <v>0.36404990902001561</v>
      </c>
      <c r="S878" t="s">
        <v>96</v>
      </c>
      <c r="T878" t="s">
        <v>64</v>
      </c>
    </row>
    <row r="879" spans="1:20" hidden="1">
      <c r="A879" t="s">
        <v>950</v>
      </c>
      <c r="B879" s="5">
        <v>45669</v>
      </c>
      <c r="C879" s="8">
        <f>YEAR(Tabla2[[#This Row],[fecha]])</f>
        <v>2025</v>
      </c>
      <c r="D879" s="8">
        <f>MONTH(Tabla2[[#This Row],[fecha]])</f>
        <v>1</v>
      </c>
      <c r="E879" s="8" t="str">
        <f>TEXT(Tabla2[[#This Row],[fecha]], "mmmm")</f>
        <v>enero</v>
      </c>
      <c r="F879" s="8" t="str">
        <f>"T"&amp;ROUNDUP(Tabla2[[#This Row],[mes]]/3,0)</f>
        <v>T1</v>
      </c>
      <c r="G879" t="s">
        <v>22</v>
      </c>
      <c r="H879" t="s">
        <v>23</v>
      </c>
      <c r="I879" s="8" t="str">
        <f>IF(Tabla2[[#This Row],[precio_unitario]]&lt;=30,"Económico",IF(Tabla2[[#This Row],[precio_unitario]]&lt;=58.49,"Accesible","Caro"))</f>
        <v>Caro</v>
      </c>
      <c r="J879" t="s">
        <v>17</v>
      </c>
      <c r="K879">
        <v>4</v>
      </c>
      <c r="L879" s="19">
        <v>99.7</v>
      </c>
      <c r="M879" s="19">
        <v>58.24</v>
      </c>
      <c r="N879" s="11">
        <v>0</v>
      </c>
      <c r="O879" s="17">
        <f t="shared" si="55"/>
        <v>398.8</v>
      </c>
      <c r="P879" s="17">
        <f t="shared" si="52"/>
        <v>232.96</v>
      </c>
      <c r="Q879" s="17">
        <f t="shared" si="53"/>
        <v>165.84</v>
      </c>
      <c r="R879" s="24">
        <f t="shared" si="54"/>
        <v>0.41584754262788365</v>
      </c>
      <c r="S879" t="s">
        <v>540</v>
      </c>
      <c r="T879" t="s">
        <v>64</v>
      </c>
    </row>
    <row r="880" spans="1:20" hidden="1">
      <c r="A880" t="s">
        <v>951</v>
      </c>
      <c r="B880" s="5">
        <v>45668</v>
      </c>
      <c r="C880" s="8">
        <f>YEAR(Tabla2[[#This Row],[fecha]])</f>
        <v>2025</v>
      </c>
      <c r="D880" s="8">
        <f>MONTH(Tabla2[[#This Row],[fecha]])</f>
        <v>1</v>
      </c>
      <c r="E880" s="8" t="str">
        <f>TEXT(Tabla2[[#This Row],[fecha]], "mmmm")</f>
        <v>enero</v>
      </c>
      <c r="F880" s="8" t="str">
        <f>"T"&amp;ROUNDUP(Tabla2[[#This Row],[mes]]/3,0)</f>
        <v>T1</v>
      </c>
      <c r="G880" t="s">
        <v>11</v>
      </c>
      <c r="H880" t="s">
        <v>12</v>
      </c>
      <c r="I880" s="8" t="str">
        <f>IF(Tabla2[[#This Row],[precio_unitario]]&lt;=30,"Económico",IF(Tabla2[[#This Row],[precio_unitario]]&lt;=58.49,"Accesible","Caro"))</f>
        <v>Caro</v>
      </c>
      <c r="J880" t="s">
        <v>8</v>
      </c>
      <c r="K880">
        <v>1</v>
      </c>
      <c r="L880" s="19">
        <v>178.22</v>
      </c>
      <c r="M880" s="19">
        <v>95.22</v>
      </c>
      <c r="N880" s="11">
        <v>0.06</v>
      </c>
      <c r="O880" s="17">
        <f t="shared" si="55"/>
        <v>167.52679999999998</v>
      </c>
      <c r="P880" s="17">
        <f t="shared" si="52"/>
        <v>95.22</v>
      </c>
      <c r="Q880" s="17">
        <f t="shared" si="53"/>
        <v>72.306799999999981</v>
      </c>
      <c r="R880" s="24">
        <f t="shared" si="54"/>
        <v>0.43161332992691315</v>
      </c>
      <c r="S880" t="s">
        <v>83</v>
      </c>
      <c r="T880" t="s">
        <v>64</v>
      </c>
    </row>
    <row r="881" spans="1:20" hidden="1">
      <c r="A881" t="s">
        <v>952</v>
      </c>
      <c r="B881" s="5">
        <v>45599</v>
      </c>
      <c r="C881" s="8">
        <f>YEAR(Tabla2[[#This Row],[fecha]])</f>
        <v>2024</v>
      </c>
      <c r="D881" s="8">
        <f>MONTH(Tabla2[[#This Row],[fecha]])</f>
        <v>11</v>
      </c>
      <c r="E881" s="8" t="str">
        <f>TEXT(Tabla2[[#This Row],[fecha]], "mmmm")</f>
        <v>noviembre</v>
      </c>
      <c r="F881" s="8" t="str">
        <f>"T"&amp;ROUNDUP(Tabla2[[#This Row],[mes]]/3,0)</f>
        <v>T4</v>
      </c>
      <c r="G881" t="s">
        <v>24</v>
      </c>
      <c r="H881" t="s">
        <v>25</v>
      </c>
      <c r="I881" s="8" t="str">
        <f>IF(Tabla2[[#This Row],[precio_unitario]]&lt;=30,"Económico",IF(Tabla2[[#This Row],[precio_unitario]]&lt;=58.49,"Accesible","Caro"))</f>
        <v>Económico</v>
      </c>
      <c r="J881" t="s">
        <v>26</v>
      </c>
      <c r="K881">
        <v>2</v>
      </c>
      <c r="L881" s="19">
        <v>8.08</v>
      </c>
      <c r="M881" s="19">
        <v>4.37</v>
      </c>
      <c r="N881" s="11">
        <v>0.11</v>
      </c>
      <c r="O881" s="17">
        <f t="shared" si="55"/>
        <v>14.382400000000001</v>
      </c>
      <c r="P881" s="17">
        <f t="shared" si="52"/>
        <v>8.74</v>
      </c>
      <c r="Q881" s="17">
        <f t="shared" si="53"/>
        <v>5.6424000000000003</v>
      </c>
      <c r="R881" s="24">
        <f t="shared" si="54"/>
        <v>0.39231282678829682</v>
      </c>
      <c r="S881" t="s">
        <v>83</v>
      </c>
      <c r="T881" t="s">
        <v>64</v>
      </c>
    </row>
    <row r="882" spans="1:20" hidden="1">
      <c r="A882" t="s">
        <v>953</v>
      </c>
      <c r="B882" s="5">
        <v>45886</v>
      </c>
      <c r="C882" s="8">
        <f>YEAR(Tabla2[[#This Row],[fecha]])</f>
        <v>2025</v>
      </c>
      <c r="D882" s="8">
        <f>MONTH(Tabla2[[#This Row],[fecha]])</f>
        <v>8</v>
      </c>
      <c r="E882" s="8" t="str">
        <f>TEXT(Tabla2[[#This Row],[fecha]], "mmmm")</f>
        <v>agosto</v>
      </c>
      <c r="F882" s="8" t="str">
        <f>"T"&amp;ROUNDUP(Tabla2[[#This Row],[mes]]/3,0)</f>
        <v>T3</v>
      </c>
      <c r="G882" t="s">
        <v>31</v>
      </c>
      <c r="H882" t="s">
        <v>32</v>
      </c>
      <c r="I882" s="8" t="str">
        <f>IF(Tabla2[[#This Row],[precio_unitario]]&lt;=30,"Económico",IF(Tabla2[[#This Row],[precio_unitario]]&lt;=58.49,"Accesible","Caro"))</f>
        <v>Económico</v>
      </c>
      <c r="J882" t="s">
        <v>26</v>
      </c>
      <c r="K882">
        <v>2</v>
      </c>
      <c r="L882" s="19">
        <v>9.08</v>
      </c>
      <c r="M882" s="21">
        <f>INDEX(Tabla3[coste_objetivo], MATCH(Tabla2[[#This Row],[id_producto]], Tabla3[id_producto],0))</f>
        <v>5.77</v>
      </c>
      <c r="N882" s="11">
        <v>0</v>
      </c>
      <c r="O882" s="17">
        <f t="shared" si="55"/>
        <v>18.16</v>
      </c>
      <c r="P882" s="17">
        <f t="shared" si="52"/>
        <v>11.54</v>
      </c>
      <c r="Q882" s="17">
        <f t="shared" si="53"/>
        <v>6.620000000000001</v>
      </c>
      <c r="R882" s="24">
        <f t="shared" si="54"/>
        <v>0.36453744493392076</v>
      </c>
      <c r="S882" t="s">
        <v>83</v>
      </c>
      <c r="T882" t="s">
        <v>64</v>
      </c>
    </row>
    <row r="883" spans="1:20" hidden="1">
      <c r="A883" t="s">
        <v>954</v>
      </c>
      <c r="B883" s="5">
        <v>45551</v>
      </c>
      <c r="C883" s="8">
        <f>YEAR(Tabla2[[#This Row],[fecha]])</f>
        <v>2024</v>
      </c>
      <c r="D883" s="8">
        <f>MONTH(Tabla2[[#This Row],[fecha]])</f>
        <v>9</v>
      </c>
      <c r="E883" s="8" t="str">
        <f>TEXT(Tabla2[[#This Row],[fecha]], "mmmm")</f>
        <v>septiembre</v>
      </c>
      <c r="F883" s="8" t="str">
        <f>"T"&amp;ROUNDUP(Tabla2[[#This Row],[mes]]/3,0)</f>
        <v>T3</v>
      </c>
      <c r="G883" t="s">
        <v>29</v>
      </c>
      <c r="H883" t="s">
        <v>30</v>
      </c>
      <c r="I883" s="8" t="str">
        <f>IF(Tabla2[[#This Row],[precio_unitario]]&lt;=30,"Económico",IF(Tabla2[[#This Row],[precio_unitario]]&lt;=58.49,"Accesible","Caro"))</f>
        <v>Económico</v>
      </c>
      <c r="J883" t="s">
        <v>26</v>
      </c>
      <c r="K883">
        <v>4</v>
      </c>
      <c r="L883" s="19">
        <v>20.84</v>
      </c>
      <c r="M883" s="19">
        <v>11.25</v>
      </c>
      <c r="N883" s="11">
        <v>0</v>
      </c>
      <c r="O883" s="17">
        <f t="shared" si="55"/>
        <v>83.36</v>
      </c>
      <c r="P883" s="17">
        <f t="shared" si="52"/>
        <v>45</v>
      </c>
      <c r="Q883" s="17">
        <f t="shared" si="53"/>
        <v>38.36</v>
      </c>
      <c r="R883" s="24">
        <f t="shared" si="54"/>
        <v>0.46017274472168906</v>
      </c>
      <c r="S883" t="s">
        <v>67</v>
      </c>
      <c r="T883" t="s">
        <v>64</v>
      </c>
    </row>
    <row r="884" spans="1:20">
      <c r="A884" t="s">
        <v>955</v>
      </c>
      <c r="B884" s="5">
        <v>45899</v>
      </c>
      <c r="C884" s="8">
        <f>YEAR(Tabla2[[#This Row],[fecha]])</f>
        <v>2025</v>
      </c>
      <c r="D884" s="8">
        <f>MONTH(Tabla2[[#This Row],[fecha]])</f>
        <v>8</v>
      </c>
      <c r="E884" s="8" t="str">
        <f>TEXT(Tabla2[[#This Row],[fecha]], "mmmm")</f>
        <v>agosto</v>
      </c>
      <c r="F884" s="8" t="str">
        <f>"T"&amp;ROUNDUP(Tabla2[[#This Row],[mes]]/3,0)</f>
        <v>T3</v>
      </c>
      <c r="G884" t="s">
        <v>27</v>
      </c>
      <c r="H884" t="s">
        <v>28</v>
      </c>
      <c r="I884" s="8" t="str">
        <f>IF(Tabla2[[#This Row],[precio_unitario]]&lt;=30,"Económico",IF(Tabla2[[#This Row],[precio_unitario]]&lt;=58.49,"Accesible","Caro"))</f>
        <v>Económico</v>
      </c>
      <c r="J884" t="s">
        <v>26</v>
      </c>
      <c r="K884">
        <v>3</v>
      </c>
      <c r="L884" s="19">
        <v>15.82</v>
      </c>
      <c r="M884" s="19">
        <v>11.8</v>
      </c>
      <c r="N884" s="11">
        <v>0</v>
      </c>
      <c r="O884" s="17">
        <f t="shared" si="55"/>
        <v>47.46</v>
      </c>
      <c r="P884" s="17">
        <f t="shared" si="52"/>
        <v>35.400000000000006</v>
      </c>
      <c r="Q884" s="17">
        <f t="shared" si="53"/>
        <v>12.059999999999995</v>
      </c>
      <c r="R884" s="24">
        <f t="shared" si="54"/>
        <v>0.25410872313527172</v>
      </c>
      <c r="S884" t="s">
        <v>67</v>
      </c>
      <c r="T884" t="s">
        <v>64</v>
      </c>
    </row>
    <row r="885" spans="1:20" hidden="1">
      <c r="A885" t="s">
        <v>956</v>
      </c>
      <c r="B885" s="5">
        <v>45476</v>
      </c>
      <c r="C885" s="8">
        <f>YEAR(Tabla2[[#This Row],[fecha]])</f>
        <v>2024</v>
      </c>
      <c r="D885" s="8">
        <f>MONTH(Tabla2[[#This Row],[fecha]])</f>
        <v>7</v>
      </c>
      <c r="E885" s="8" t="str">
        <f>TEXT(Tabla2[[#This Row],[fecha]], "mmmm")</f>
        <v>julio</v>
      </c>
      <c r="F885" s="8" t="str">
        <f>"T"&amp;ROUNDUP(Tabla2[[#This Row],[mes]]/3,0)</f>
        <v>T3</v>
      </c>
      <c r="G885" t="s">
        <v>36</v>
      </c>
      <c r="H885" t="s">
        <v>37</v>
      </c>
      <c r="I885" s="8" t="str">
        <f>IF(Tabla2[[#This Row],[precio_unitario]]&lt;=30,"Económico",IF(Tabla2[[#This Row],[precio_unitario]]&lt;=58.49,"Accesible","Caro"))</f>
        <v>Económico</v>
      </c>
      <c r="J885" t="s">
        <v>35</v>
      </c>
      <c r="K885">
        <v>1</v>
      </c>
      <c r="L885" s="19">
        <v>13.35</v>
      </c>
      <c r="M885" s="19">
        <v>10.039999999999999</v>
      </c>
      <c r="N885" s="11">
        <v>0</v>
      </c>
      <c r="O885" s="17">
        <f t="shared" si="55"/>
        <v>13.35</v>
      </c>
      <c r="P885" s="17">
        <f t="shared" si="52"/>
        <v>10.039999999999999</v>
      </c>
      <c r="Q885" s="17">
        <f t="shared" si="53"/>
        <v>3.3100000000000005</v>
      </c>
      <c r="R885" s="24">
        <f t="shared" si="54"/>
        <v>0.24794007490636708</v>
      </c>
      <c r="S885" t="s">
        <v>101</v>
      </c>
      <c r="T885" t="s">
        <v>60</v>
      </c>
    </row>
    <row r="886" spans="1:20">
      <c r="A886" t="s">
        <v>957</v>
      </c>
      <c r="B886" s="5">
        <v>45711</v>
      </c>
      <c r="C886" s="8">
        <f>YEAR(Tabla2[[#This Row],[fecha]])</f>
        <v>2025</v>
      </c>
      <c r="D886" s="8">
        <f>MONTH(Tabla2[[#This Row],[fecha]])</f>
        <v>2</v>
      </c>
      <c r="E886" s="8" t="str">
        <f>TEXT(Tabla2[[#This Row],[fecha]], "mmmm")</f>
        <v>febrero</v>
      </c>
      <c r="F886" s="8" t="str">
        <f>"T"&amp;ROUNDUP(Tabla2[[#This Row],[mes]]/3,0)</f>
        <v>T1</v>
      </c>
      <c r="G886" t="s">
        <v>24</v>
      </c>
      <c r="H886" t="s">
        <v>25</v>
      </c>
      <c r="I886" s="8" t="str">
        <f>IF(Tabla2[[#This Row],[precio_unitario]]&lt;=30,"Económico",IF(Tabla2[[#This Row],[precio_unitario]]&lt;=58.49,"Accesible","Caro"))</f>
        <v>Económico</v>
      </c>
      <c r="J886" t="s">
        <v>26</v>
      </c>
      <c r="K886">
        <v>4</v>
      </c>
      <c r="L886" s="19">
        <v>7.93</v>
      </c>
      <c r="M886" s="19">
        <v>4.17</v>
      </c>
      <c r="N886" s="11">
        <v>0.13</v>
      </c>
      <c r="O886" s="17">
        <f t="shared" si="55"/>
        <v>27.596399999999999</v>
      </c>
      <c r="P886" s="17">
        <f t="shared" si="52"/>
        <v>16.68</v>
      </c>
      <c r="Q886" s="17">
        <f t="shared" si="53"/>
        <v>10.916399999999999</v>
      </c>
      <c r="R886" s="24">
        <f t="shared" si="54"/>
        <v>0.39557333565247638</v>
      </c>
      <c r="S886" t="s">
        <v>67</v>
      </c>
      <c r="T886" t="s">
        <v>64</v>
      </c>
    </row>
    <row r="887" spans="1:20" hidden="1">
      <c r="A887" t="s">
        <v>958</v>
      </c>
      <c r="B887" s="5">
        <v>45572</v>
      </c>
      <c r="C887" s="8">
        <f>YEAR(Tabla2[[#This Row],[fecha]])</f>
        <v>2024</v>
      </c>
      <c r="D887" s="8">
        <f>MONTH(Tabla2[[#This Row],[fecha]])</f>
        <v>10</v>
      </c>
      <c r="E887" s="8" t="str">
        <f>TEXT(Tabla2[[#This Row],[fecha]], "mmmm")</f>
        <v>octubre</v>
      </c>
      <c r="F887" s="8" t="str">
        <f>"T"&amp;ROUNDUP(Tabla2[[#This Row],[mes]]/3,0)</f>
        <v>T4</v>
      </c>
      <c r="G887" t="s">
        <v>11</v>
      </c>
      <c r="H887" t="s">
        <v>12</v>
      </c>
      <c r="I887" s="8" t="str">
        <f>IF(Tabla2[[#This Row],[precio_unitario]]&lt;=30,"Económico",IF(Tabla2[[#This Row],[precio_unitario]]&lt;=58.49,"Accesible","Caro"))</f>
        <v>Caro</v>
      </c>
      <c r="J887" t="s">
        <v>8</v>
      </c>
      <c r="K887">
        <v>9</v>
      </c>
      <c r="L887" s="20">
        <f>INDEX(Tabla3[precio_venta_recomendado], MATCH(Tabla2[[#This Row],[id_producto]], Tabla3[id_producto], 0))</f>
        <v>177.72</v>
      </c>
      <c r="M887" s="19">
        <v>96.9</v>
      </c>
      <c r="N887" s="11">
        <v>0</v>
      </c>
      <c r="O887" s="17">
        <f t="shared" si="55"/>
        <v>1599.48</v>
      </c>
      <c r="P887" s="17">
        <f t="shared" si="52"/>
        <v>872.1</v>
      </c>
      <c r="Q887" s="17">
        <f t="shared" si="53"/>
        <v>727.38</v>
      </c>
      <c r="R887" s="24">
        <f t="shared" si="54"/>
        <v>0.45476029709655635</v>
      </c>
      <c r="S887" t="s">
        <v>540</v>
      </c>
      <c r="T887" t="s">
        <v>64</v>
      </c>
    </row>
    <row r="888" spans="1:20">
      <c r="A888" t="s">
        <v>959</v>
      </c>
      <c r="B888" s="5">
        <v>45951</v>
      </c>
      <c r="C888" s="8">
        <f>YEAR(Tabla2[[#This Row],[fecha]])</f>
        <v>2025</v>
      </c>
      <c r="D888" s="8">
        <f>MONTH(Tabla2[[#This Row],[fecha]])</f>
        <v>10</v>
      </c>
      <c r="E888" s="8" t="str">
        <f>TEXT(Tabla2[[#This Row],[fecha]], "mmmm")</f>
        <v>octubre</v>
      </c>
      <c r="F888" s="8" t="str">
        <f>"T"&amp;ROUNDUP(Tabla2[[#This Row],[mes]]/3,0)</f>
        <v>T4</v>
      </c>
      <c r="G888" t="s">
        <v>27</v>
      </c>
      <c r="H888" t="s">
        <v>28</v>
      </c>
      <c r="I888" s="8" t="str">
        <f>IF(Tabla2[[#This Row],[precio_unitario]]&lt;=30,"Económico",IF(Tabla2[[#This Row],[precio_unitario]]&lt;=58.49,"Accesible","Caro"))</f>
        <v>Económico</v>
      </c>
      <c r="J888" t="s">
        <v>26</v>
      </c>
      <c r="K888">
        <v>9</v>
      </c>
      <c r="L888" s="19">
        <v>17.55</v>
      </c>
      <c r="M888" s="19">
        <v>11.18</v>
      </c>
      <c r="N888" s="11">
        <v>0</v>
      </c>
      <c r="O888" s="17">
        <f t="shared" si="55"/>
        <v>157.95000000000002</v>
      </c>
      <c r="P888" s="17">
        <f t="shared" si="52"/>
        <v>100.62</v>
      </c>
      <c r="Q888" s="17">
        <f t="shared" si="53"/>
        <v>57.330000000000013</v>
      </c>
      <c r="R888" s="24">
        <f t="shared" si="54"/>
        <v>0.36296296296296299</v>
      </c>
      <c r="S888" t="s">
        <v>67</v>
      </c>
      <c r="T888" t="s">
        <v>60</v>
      </c>
    </row>
    <row r="889" spans="1:20" hidden="1">
      <c r="A889" t="s">
        <v>960</v>
      </c>
      <c r="B889" s="5">
        <v>45890</v>
      </c>
      <c r="C889" s="8">
        <f>YEAR(Tabla2[[#This Row],[fecha]])</f>
        <v>2025</v>
      </c>
      <c r="D889" s="8">
        <f>MONTH(Tabla2[[#This Row],[fecha]])</f>
        <v>8</v>
      </c>
      <c r="E889" s="8" t="str">
        <f>TEXT(Tabla2[[#This Row],[fecha]], "mmmm")</f>
        <v>agosto</v>
      </c>
      <c r="F889" s="8" t="str">
        <f>"T"&amp;ROUNDUP(Tabla2[[#This Row],[mes]]/3,0)</f>
        <v>T3</v>
      </c>
      <c r="G889" t="s">
        <v>22</v>
      </c>
      <c r="H889" t="s">
        <v>23</v>
      </c>
      <c r="I889" s="8" t="str">
        <f>IF(Tabla2[[#This Row],[precio_unitario]]&lt;=30,"Económico",IF(Tabla2[[#This Row],[precio_unitario]]&lt;=58.49,"Accesible","Caro"))</f>
        <v>Caro</v>
      </c>
      <c r="J889" t="s">
        <v>17</v>
      </c>
      <c r="K889">
        <v>2</v>
      </c>
      <c r="L889" s="19">
        <v>96.07</v>
      </c>
      <c r="M889" s="19">
        <v>56.26</v>
      </c>
      <c r="N889" s="11">
        <v>0</v>
      </c>
      <c r="O889" s="17">
        <f t="shared" si="55"/>
        <v>192.14</v>
      </c>
      <c r="P889" s="17">
        <f t="shared" si="52"/>
        <v>112.52</v>
      </c>
      <c r="Q889" s="17">
        <f t="shared" si="53"/>
        <v>79.61999999999999</v>
      </c>
      <c r="R889" s="24">
        <f t="shared" si="54"/>
        <v>0.41438534401998539</v>
      </c>
      <c r="S889" t="s">
        <v>540</v>
      </c>
      <c r="T889" t="s">
        <v>60</v>
      </c>
    </row>
    <row r="890" spans="1:20">
      <c r="A890" t="s">
        <v>961</v>
      </c>
      <c r="B890" s="5">
        <v>45820</v>
      </c>
      <c r="C890" s="8">
        <f>YEAR(Tabla2[[#This Row],[fecha]])</f>
        <v>2025</v>
      </c>
      <c r="D890" s="8">
        <f>MONTH(Tabla2[[#This Row],[fecha]])</f>
        <v>6</v>
      </c>
      <c r="E890" s="8" t="str">
        <f>TEXT(Tabla2[[#This Row],[fecha]], "mmmm")</f>
        <v>junio</v>
      </c>
      <c r="F890" s="8" t="str">
        <f>"T"&amp;ROUNDUP(Tabla2[[#This Row],[mes]]/3,0)</f>
        <v>T2</v>
      </c>
      <c r="G890" t="s">
        <v>11</v>
      </c>
      <c r="H890" t="s">
        <v>12</v>
      </c>
      <c r="I890" s="8" t="str">
        <f>IF(Tabla2[[#This Row],[precio_unitario]]&lt;=30,"Económico",IF(Tabla2[[#This Row],[precio_unitario]]&lt;=58.49,"Accesible","Caro"))</f>
        <v>Caro</v>
      </c>
      <c r="J890" t="s">
        <v>8</v>
      </c>
      <c r="K890">
        <v>3</v>
      </c>
      <c r="L890" s="20">
        <f>INDEX(Tabla3[precio_venta_recomendado], MATCH(Tabla2[[#This Row],[id_producto]], Tabla3[id_producto], 0))</f>
        <v>177.72</v>
      </c>
      <c r="M890" s="19">
        <v>94.63</v>
      </c>
      <c r="N890" s="13">
        <v>0</v>
      </c>
      <c r="O890" s="17">
        <f t="shared" si="55"/>
        <v>533.16</v>
      </c>
      <c r="P890" s="17">
        <f t="shared" si="52"/>
        <v>283.89</v>
      </c>
      <c r="Q890" s="17">
        <f t="shared" si="53"/>
        <v>249.26999999999998</v>
      </c>
      <c r="R890" s="24">
        <f t="shared" si="54"/>
        <v>0.46753319828944406</v>
      </c>
      <c r="S890" t="s">
        <v>67</v>
      </c>
      <c r="T890" t="s">
        <v>60</v>
      </c>
    </row>
    <row r="891" spans="1:20">
      <c r="A891" t="s">
        <v>962</v>
      </c>
      <c r="B891" s="5">
        <v>45964</v>
      </c>
      <c r="C891" s="8">
        <f>YEAR(Tabla2[[#This Row],[fecha]])</f>
        <v>2025</v>
      </c>
      <c r="D891" s="8">
        <f>MONTH(Tabla2[[#This Row],[fecha]])</f>
        <v>11</v>
      </c>
      <c r="E891" s="8" t="str">
        <f>TEXT(Tabla2[[#This Row],[fecha]], "mmmm")</f>
        <v>noviembre</v>
      </c>
      <c r="F891" s="8" t="str">
        <f>"T"&amp;ROUNDUP(Tabla2[[#This Row],[mes]]/3,0)</f>
        <v>T4</v>
      </c>
      <c r="G891" t="s">
        <v>40</v>
      </c>
      <c r="H891" t="s">
        <v>41</v>
      </c>
      <c r="I891" s="8" t="str">
        <f>IF(Tabla2[[#This Row],[precio_unitario]]&lt;=30,"Económico",IF(Tabla2[[#This Row],[precio_unitario]]&lt;=58.49,"Accesible","Caro"))</f>
        <v>Caro</v>
      </c>
      <c r="J891" t="s">
        <v>35</v>
      </c>
      <c r="K891">
        <v>1</v>
      </c>
      <c r="L891" s="19">
        <v>72.59</v>
      </c>
      <c r="M891" s="19">
        <v>40.42</v>
      </c>
      <c r="N891" s="11">
        <v>0</v>
      </c>
      <c r="O891" s="17">
        <f t="shared" si="55"/>
        <v>72.59</v>
      </c>
      <c r="P891" s="17">
        <f t="shared" si="52"/>
        <v>40.42</v>
      </c>
      <c r="Q891" s="17">
        <f t="shared" si="53"/>
        <v>32.17</v>
      </c>
      <c r="R891" s="24">
        <f t="shared" si="54"/>
        <v>0.44317399090783854</v>
      </c>
      <c r="S891" t="s">
        <v>67</v>
      </c>
      <c r="T891" t="s">
        <v>64</v>
      </c>
    </row>
    <row r="892" spans="1:20" hidden="1">
      <c r="A892" t="s">
        <v>963</v>
      </c>
      <c r="B892" s="5">
        <v>45849</v>
      </c>
      <c r="C892" s="8">
        <f>YEAR(Tabla2[[#This Row],[fecha]])</f>
        <v>2025</v>
      </c>
      <c r="D892" s="8">
        <f>MONTH(Tabla2[[#This Row],[fecha]])</f>
        <v>7</v>
      </c>
      <c r="E892" s="8" t="str">
        <f>TEXT(Tabla2[[#This Row],[fecha]], "mmmm")</f>
        <v>julio</v>
      </c>
      <c r="F892" s="8" t="str">
        <f>"T"&amp;ROUNDUP(Tabla2[[#This Row],[mes]]/3,0)</f>
        <v>T3</v>
      </c>
      <c r="G892" t="s">
        <v>47</v>
      </c>
      <c r="H892" t="s">
        <v>48</v>
      </c>
      <c r="I892" s="8" t="str">
        <f>IF(Tabla2[[#This Row],[precio_unitario]]&lt;=30,"Económico",IF(Tabla2[[#This Row],[precio_unitario]]&lt;=58.49,"Accesible","Caro"))</f>
        <v>Caro</v>
      </c>
      <c r="J892" t="s">
        <v>44</v>
      </c>
      <c r="K892">
        <v>4</v>
      </c>
      <c r="L892" s="19">
        <v>58.98</v>
      </c>
      <c r="M892" s="19">
        <v>33.33</v>
      </c>
      <c r="N892" s="11">
        <v>0</v>
      </c>
      <c r="O892" s="17">
        <f t="shared" si="55"/>
        <v>235.92</v>
      </c>
      <c r="P892" s="17">
        <f t="shared" si="52"/>
        <v>133.32</v>
      </c>
      <c r="Q892" s="17">
        <f t="shared" si="53"/>
        <v>102.6</v>
      </c>
      <c r="R892" s="24">
        <f t="shared" si="54"/>
        <v>0.43489318413021361</v>
      </c>
      <c r="S892" t="s">
        <v>63</v>
      </c>
      <c r="T892" t="s">
        <v>64</v>
      </c>
    </row>
    <row r="893" spans="1:20" hidden="1">
      <c r="A893" t="s">
        <v>964</v>
      </c>
      <c r="B893" s="5">
        <v>45602</v>
      </c>
      <c r="C893" s="8">
        <f>YEAR(Tabla2[[#This Row],[fecha]])</f>
        <v>2024</v>
      </c>
      <c r="D893" s="8">
        <f>MONTH(Tabla2[[#This Row],[fecha]])</f>
        <v>11</v>
      </c>
      <c r="E893" s="8" t="str">
        <f>TEXT(Tabla2[[#This Row],[fecha]], "mmmm")</f>
        <v>noviembre</v>
      </c>
      <c r="F893" s="8" t="str">
        <f>"T"&amp;ROUNDUP(Tabla2[[#This Row],[mes]]/3,0)</f>
        <v>T4</v>
      </c>
      <c r="G893" t="s">
        <v>29</v>
      </c>
      <c r="H893" t="s">
        <v>30</v>
      </c>
      <c r="I893" s="8" t="str">
        <f>IF(Tabla2[[#This Row],[precio_unitario]]&lt;=30,"Económico",IF(Tabla2[[#This Row],[precio_unitario]]&lt;=58.49,"Accesible","Caro"))</f>
        <v>Económico</v>
      </c>
      <c r="J893" t="s">
        <v>26</v>
      </c>
      <c r="K893">
        <v>2</v>
      </c>
      <c r="L893" s="19">
        <v>22.4</v>
      </c>
      <c r="M893" s="19">
        <v>11.79</v>
      </c>
      <c r="N893" s="11">
        <v>0</v>
      </c>
      <c r="O893" s="17">
        <f t="shared" si="55"/>
        <v>44.8</v>
      </c>
      <c r="P893" s="17">
        <f t="shared" si="52"/>
        <v>23.58</v>
      </c>
      <c r="Q893" s="17">
        <f t="shared" si="53"/>
        <v>21.22</v>
      </c>
      <c r="R893" s="24">
        <f t="shared" si="54"/>
        <v>0.47366071428571427</v>
      </c>
      <c r="S893" t="s">
        <v>96</v>
      </c>
      <c r="T893" t="s">
        <v>64</v>
      </c>
    </row>
    <row r="894" spans="1:20">
      <c r="A894" t="s">
        <v>965</v>
      </c>
      <c r="B894" s="5">
        <v>45811</v>
      </c>
      <c r="C894" s="8">
        <f>YEAR(Tabla2[[#This Row],[fecha]])</f>
        <v>2025</v>
      </c>
      <c r="D894" s="8">
        <f>MONTH(Tabla2[[#This Row],[fecha]])</f>
        <v>6</v>
      </c>
      <c r="E894" s="8" t="str">
        <f>TEXT(Tabla2[[#This Row],[fecha]], "mmmm")</f>
        <v>junio</v>
      </c>
      <c r="F894" s="8" t="str">
        <f>"T"&amp;ROUNDUP(Tabla2[[#This Row],[mes]]/3,0)</f>
        <v>T2</v>
      </c>
      <c r="G894" t="s">
        <v>22</v>
      </c>
      <c r="H894" t="s">
        <v>23</v>
      </c>
      <c r="I894" s="8" t="str">
        <f>IF(Tabla2[[#This Row],[precio_unitario]]&lt;=30,"Económico",IF(Tabla2[[#This Row],[precio_unitario]]&lt;=58.49,"Accesible","Caro"))</f>
        <v>Caro</v>
      </c>
      <c r="J894" t="s">
        <v>17</v>
      </c>
      <c r="K894">
        <v>2</v>
      </c>
      <c r="L894" s="19">
        <v>108.24</v>
      </c>
      <c r="M894" s="19">
        <v>58.37</v>
      </c>
      <c r="N894" s="11">
        <v>0.12</v>
      </c>
      <c r="O894" s="17">
        <f t="shared" si="55"/>
        <v>190.50239999999999</v>
      </c>
      <c r="P894" s="17">
        <f t="shared" si="52"/>
        <v>116.74</v>
      </c>
      <c r="Q894" s="17">
        <f t="shared" si="53"/>
        <v>73.7624</v>
      </c>
      <c r="R894" s="24">
        <f t="shared" si="54"/>
        <v>0.38719932137337904</v>
      </c>
      <c r="S894" t="s">
        <v>67</v>
      </c>
      <c r="T894" t="s">
        <v>64</v>
      </c>
    </row>
    <row r="895" spans="1:20">
      <c r="A895" t="s">
        <v>966</v>
      </c>
      <c r="B895" s="5">
        <v>45971</v>
      </c>
      <c r="C895" s="8">
        <f>YEAR(Tabla2[[#This Row],[fecha]])</f>
        <v>2025</v>
      </c>
      <c r="D895" s="8">
        <f>MONTH(Tabla2[[#This Row],[fecha]])</f>
        <v>11</v>
      </c>
      <c r="E895" s="8" t="str">
        <f>TEXT(Tabla2[[#This Row],[fecha]], "mmmm")</f>
        <v>noviembre</v>
      </c>
      <c r="F895" s="8" t="str">
        <f>"T"&amp;ROUNDUP(Tabla2[[#This Row],[mes]]/3,0)</f>
        <v>T4</v>
      </c>
      <c r="G895" t="s">
        <v>27</v>
      </c>
      <c r="H895" t="s">
        <v>28</v>
      </c>
      <c r="I895" s="8" t="str">
        <f>IF(Tabla2[[#This Row],[precio_unitario]]&lt;=30,"Económico",IF(Tabla2[[#This Row],[precio_unitario]]&lt;=58.49,"Accesible","Caro"))</f>
        <v>Económico</v>
      </c>
      <c r="J895" t="s">
        <v>26</v>
      </c>
      <c r="K895">
        <v>1</v>
      </c>
      <c r="L895" s="19">
        <v>16.97</v>
      </c>
      <c r="M895" s="19">
        <v>11.05</v>
      </c>
      <c r="N895" s="11">
        <v>0</v>
      </c>
      <c r="O895" s="17">
        <f t="shared" si="55"/>
        <v>16.97</v>
      </c>
      <c r="P895" s="17">
        <f t="shared" si="52"/>
        <v>11.05</v>
      </c>
      <c r="Q895" s="17">
        <f t="shared" si="53"/>
        <v>5.9199999999999982</v>
      </c>
      <c r="R895" s="24">
        <f t="shared" si="54"/>
        <v>0.34885091337654678</v>
      </c>
      <c r="S895" t="s">
        <v>67</v>
      </c>
      <c r="T895" t="s">
        <v>64</v>
      </c>
    </row>
    <row r="896" spans="1:20" hidden="1">
      <c r="A896" t="s">
        <v>967</v>
      </c>
      <c r="B896" s="5">
        <v>45801</v>
      </c>
      <c r="C896" s="8">
        <f>YEAR(Tabla2[[#This Row],[fecha]])</f>
        <v>2025</v>
      </c>
      <c r="D896" s="8">
        <f>MONTH(Tabla2[[#This Row],[fecha]])</f>
        <v>5</v>
      </c>
      <c r="E896" s="8" t="str">
        <f>TEXT(Tabla2[[#This Row],[fecha]], "mmmm")</f>
        <v>mayo</v>
      </c>
      <c r="F896" s="8" t="str">
        <f>"T"&amp;ROUNDUP(Tabla2[[#This Row],[mes]]/3,0)</f>
        <v>T2</v>
      </c>
      <c r="G896" t="s">
        <v>38</v>
      </c>
      <c r="H896" t="s">
        <v>39</v>
      </c>
      <c r="I896" s="8" t="str">
        <f>IF(Tabla2[[#This Row],[precio_unitario]]&lt;=30,"Económico",IF(Tabla2[[#This Row],[precio_unitario]]&lt;=58.49,"Accesible","Caro"))</f>
        <v>Caro</v>
      </c>
      <c r="J896" t="s">
        <v>35</v>
      </c>
      <c r="K896">
        <v>1</v>
      </c>
      <c r="L896" s="19">
        <v>73.489999999999995</v>
      </c>
      <c r="M896" s="19">
        <v>42.44</v>
      </c>
      <c r="N896" s="11">
        <v>0</v>
      </c>
      <c r="O896" s="17">
        <f t="shared" si="55"/>
        <v>73.489999999999995</v>
      </c>
      <c r="P896" s="17">
        <f t="shared" si="52"/>
        <v>42.44</v>
      </c>
      <c r="Q896" s="17">
        <f t="shared" si="53"/>
        <v>31.049999999999997</v>
      </c>
      <c r="R896" s="24">
        <f t="shared" si="54"/>
        <v>0.42250646346441689</v>
      </c>
      <c r="S896" t="s">
        <v>540</v>
      </c>
      <c r="T896" t="s">
        <v>64</v>
      </c>
    </row>
    <row r="897" spans="1:20" hidden="1">
      <c r="A897" t="s">
        <v>968</v>
      </c>
      <c r="B897" s="5">
        <v>45297</v>
      </c>
      <c r="C897" s="8">
        <f>YEAR(Tabla2[[#This Row],[fecha]])</f>
        <v>2024</v>
      </c>
      <c r="D897" s="8">
        <f>MONTH(Tabla2[[#This Row],[fecha]])</f>
        <v>1</v>
      </c>
      <c r="E897" s="8" t="str">
        <f>TEXT(Tabla2[[#This Row],[fecha]], "mmmm")</f>
        <v>enero</v>
      </c>
      <c r="F897" s="8" t="str">
        <f>"T"&amp;ROUNDUP(Tabla2[[#This Row],[mes]]/3,0)</f>
        <v>T1</v>
      </c>
      <c r="G897" t="s">
        <v>20</v>
      </c>
      <c r="H897" t="s">
        <v>21</v>
      </c>
      <c r="I897" s="8" t="str">
        <f>IF(Tabla2[[#This Row],[precio_unitario]]&lt;=30,"Económico",IF(Tabla2[[#This Row],[precio_unitario]]&lt;=58.49,"Accesible","Caro"))</f>
        <v>Económico</v>
      </c>
      <c r="J897" t="s">
        <v>17</v>
      </c>
      <c r="K897">
        <v>1</v>
      </c>
      <c r="L897" s="19">
        <v>19.850000000000001</v>
      </c>
      <c r="M897" s="19">
        <v>13.04</v>
      </c>
      <c r="N897" s="11">
        <v>0.15</v>
      </c>
      <c r="O897" s="17">
        <f t="shared" si="55"/>
        <v>16.872500000000002</v>
      </c>
      <c r="P897" s="17">
        <f t="shared" si="52"/>
        <v>13.04</v>
      </c>
      <c r="Q897" s="17">
        <f t="shared" si="53"/>
        <v>3.8325000000000031</v>
      </c>
      <c r="R897" s="24">
        <f t="shared" si="54"/>
        <v>0.22714476218699081</v>
      </c>
      <c r="S897" t="s">
        <v>83</v>
      </c>
      <c r="T897" t="s">
        <v>64</v>
      </c>
    </row>
    <row r="898" spans="1:20" hidden="1">
      <c r="A898" t="s">
        <v>969</v>
      </c>
      <c r="B898" s="5">
        <v>45698</v>
      </c>
      <c r="C898" s="8">
        <f>YEAR(Tabla2[[#This Row],[fecha]])</f>
        <v>2025</v>
      </c>
      <c r="D898" s="8">
        <f>MONTH(Tabla2[[#This Row],[fecha]])</f>
        <v>2</v>
      </c>
      <c r="E898" s="8" t="str">
        <f>TEXT(Tabla2[[#This Row],[fecha]], "mmmm")</f>
        <v>febrero</v>
      </c>
      <c r="F898" s="8" t="str">
        <f>"T"&amp;ROUNDUP(Tabla2[[#This Row],[mes]]/3,0)</f>
        <v>T1</v>
      </c>
      <c r="G898" t="s">
        <v>11</v>
      </c>
      <c r="H898" t="s">
        <v>12</v>
      </c>
      <c r="I898" s="8" t="str">
        <f>IF(Tabla2[[#This Row],[precio_unitario]]&lt;=30,"Económico",IF(Tabla2[[#This Row],[precio_unitario]]&lt;=58.49,"Accesible","Caro"))</f>
        <v>Caro</v>
      </c>
      <c r="J898" t="s">
        <v>8</v>
      </c>
      <c r="K898">
        <v>1</v>
      </c>
      <c r="L898" s="20">
        <f>INDEX(Tabla3[precio_venta_recomendado], MATCH(Tabla2[[#This Row],[id_producto]], Tabla3[id_producto], 0))</f>
        <v>177.72</v>
      </c>
      <c r="M898" s="19">
        <v>98.27</v>
      </c>
      <c r="N898" s="11">
        <v>0</v>
      </c>
      <c r="O898" s="17">
        <f t="shared" si="55"/>
        <v>177.72</v>
      </c>
      <c r="P898" s="17">
        <f t="shared" ref="P898:P961" si="56">M898*K898</f>
        <v>98.27</v>
      </c>
      <c r="Q898" s="17">
        <f t="shared" ref="Q898:Q961" si="57">O898-P898</f>
        <v>79.45</v>
      </c>
      <c r="R898" s="24">
        <f t="shared" ref="R898:R961" si="58">IFERROR(Q898/O898,0)</f>
        <v>0.44705154175106909</v>
      </c>
      <c r="S898" t="s">
        <v>101</v>
      </c>
      <c r="T898" t="s">
        <v>64</v>
      </c>
    </row>
    <row r="899" spans="1:20" hidden="1">
      <c r="A899" t="s">
        <v>970</v>
      </c>
      <c r="B899" s="5">
        <v>45883</v>
      </c>
      <c r="C899" s="8">
        <f>YEAR(Tabla2[[#This Row],[fecha]])</f>
        <v>2025</v>
      </c>
      <c r="D899" s="8">
        <f>MONTH(Tabla2[[#This Row],[fecha]])</f>
        <v>8</v>
      </c>
      <c r="E899" s="8" t="str">
        <f>TEXT(Tabla2[[#This Row],[fecha]], "mmmm")</f>
        <v>agosto</v>
      </c>
      <c r="F899" s="8" t="str">
        <f>"T"&amp;ROUNDUP(Tabla2[[#This Row],[mes]]/3,0)</f>
        <v>T3</v>
      </c>
      <c r="G899" t="s">
        <v>27</v>
      </c>
      <c r="H899" t="s">
        <v>28</v>
      </c>
      <c r="I899" s="8" t="str">
        <f>IF(Tabla2[[#This Row],[precio_unitario]]&lt;=30,"Económico",IF(Tabla2[[#This Row],[precio_unitario]]&lt;=58.49,"Accesible","Caro"))</f>
        <v>Económico</v>
      </c>
      <c r="J899" t="s">
        <v>26</v>
      </c>
      <c r="K899">
        <v>9</v>
      </c>
      <c r="L899" s="19">
        <v>15.66</v>
      </c>
      <c r="M899" s="19">
        <v>20.36</v>
      </c>
      <c r="N899" s="11">
        <v>0.06</v>
      </c>
      <c r="O899" s="17">
        <f t="shared" ref="O899:O962" si="59">K899*L899*(1-N899)</f>
        <v>132.4836</v>
      </c>
      <c r="P899" s="17">
        <f t="shared" si="56"/>
        <v>183.24</v>
      </c>
      <c r="Q899" s="17">
        <f t="shared" si="57"/>
        <v>-50.756400000000014</v>
      </c>
      <c r="R899" s="24">
        <f t="shared" si="58"/>
        <v>-0.38311458927746539</v>
      </c>
      <c r="S899" t="s">
        <v>83</v>
      </c>
      <c r="T899" t="s">
        <v>60</v>
      </c>
    </row>
    <row r="900" spans="1:20" hidden="1">
      <c r="A900" t="s">
        <v>971</v>
      </c>
      <c r="B900" s="5">
        <v>45705</v>
      </c>
      <c r="C900" s="8">
        <f>YEAR(Tabla2[[#This Row],[fecha]])</f>
        <v>2025</v>
      </c>
      <c r="D900" s="8">
        <f>MONTH(Tabla2[[#This Row],[fecha]])</f>
        <v>2</v>
      </c>
      <c r="E900" s="8" t="str">
        <f>TEXT(Tabla2[[#This Row],[fecha]], "mmmm")</f>
        <v>febrero</v>
      </c>
      <c r="F900" s="8" t="str">
        <f>"T"&amp;ROUNDUP(Tabla2[[#This Row],[mes]]/3,0)</f>
        <v>T1</v>
      </c>
      <c r="G900" t="s">
        <v>49</v>
      </c>
      <c r="H900" t="s">
        <v>50</v>
      </c>
      <c r="I900" s="8" t="str">
        <f>IF(Tabla2[[#This Row],[precio_unitario]]&lt;=30,"Económico",IF(Tabla2[[#This Row],[precio_unitario]]&lt;=58.49,"Accesible","Caro"))</f>
        <v>Caro</v>
      </c>
      <c r="J900" t="s">
        <v>44</v>
      </c>
      <c r="K900">
        <v>5</v>
      </c>
      <c r="L900" s="19">
        <v>65.12</v>
      </c>
      <c r="M900" s="19">
        <v>32.97</v>
      </c>
      <c r="N900" s="11">
        <v>0</v>
      </c>
      <c r="O900" s="17">
        <f t="shared" si="59"/>
        <v>325.60000000000002</v>
      </c>
      <c r="P900" s="17">
        <f t="shared" si="56"/>
        <v>164.85</v>
      </c>
      <c r="Q900" s="17">
        <f t="shared" si="57"/>
        <v>160.75000000000003</v>
      </c>
      <c r="R900" s="24">
        <f t="shared" si="58"/>
        <v>0.49370393120393125</v>
      </c>
      <c r="S900" s="10" t="s">
        <v>2377</v>
      </c>
      <c r="T900" t="s">
        <v>64</v>
      </c>
    </row>
    <row r="901" spans="1:20" hidden="1">
      <c r="A901" t="s">
        <v>972</v>
      </c>
      <c r="B901" s="5">
        <v>45576</v>
      </c>
      <c r="C901" s="8">
        <f>YEAR(Tabla2[[#This Row],[fecha]])</f>
        <v>2024</v>
      </c>
      <c r="D901" s="8">
        <f>MONTH(Tabla2[[#This Row],[fecha]])</f>
        <v>10</v>
      </c>
      <c r="E901" s="8" t="str">
        <f>TEXT(Tabla2[[#This Row],[fecha]], "mmmm")</f>
        <v>octubre</v>
      </c>
      <c r="F901" s="8" t="str">
        <f>"T"&amp;ROUNDUP(Tabla2[[#This Row],[mes]]/3,0)</f>
        <v>T4</v>
      </c>
      <c r="G901" t="s">
        <v>38</v>
      </c>
      <c r="H901" t="s">
        <v>39</v>
      </c>
      <c r="I901" s="8" t="str">
        <f>IF(Tabla2[[#This Row],[precio_unitario]]&lt;=30,"Económico",IF(Tabla2[[#This Row],[precio_unitario]]&lt;=58.49,"Accesible","Caro"))</f>
        <v>Caro</v>
      </c>
      <c r="J901" t="s">
        <v>35</v>
      </c>
      <c r="K901">
        <v>4</v>
      </c>
      <c r="L901" s="19">
        <v>72.709999999999994</v>
      </c>
      <c r="M901" s="19">
        <v>42.14</v>
      </c>
      <c r="N901" s="11">
        <v>0</v>
      </c>
      <c r="O901" s="17">
        <f t="shared" si="59"/>
        <v>290.83999999999997</v>
      </c>
      <c r="P901" s="17">
        <f t="shared" si="56"/>
        <v>168.56</v>
      </c>
      <c r="Q901" s="17">
        <f t="shared" si="57"/>
        <v>122.27999999999997</v>
      </c>
      <c r="R901" s="24">
        <f t="shared" si="58"/>
        <v>0.42043735387154446</v>
      </c>
      <c r="S901" t="s">
        <v>67</v>
      </c>
      <c r="T901" t="s">
        <v>64</v>
      </c>
    </row>
    <row r="902" spans="1:20" hidden="1">
      <c r="A902" t="s">
        <v>973</v>
      </c>
      <c r="B902" s="5">
        <v>45388</v>
      </c>
      <c r="C902" s="8">
        <f>YEAR(Tabla2[[#This Row],[fecha]])</f>
        <v>2024</v>
      </c>
      <c r="D902" s="8">
        <f>MONTH(Tabla2[[#This Row],[fecha]])</f>
        <v>4</v>
      </c>
      <c r="E902" s="8" t="str">
        <f>TEXT(Tabla2[[#This Row],[fecha]], "mmmm")</f>
        <v>abril</v>
      </c>
      <c r="F902" s="8" t="str">
        <f>"T"&amp;ROUNDUP(Tabla2[[#This Row],[mes]]/3,0)</f>
        <v>T2</v>
      </c>
      <c r="G902" t="s">
        <v>18</v>
      </c>
      <c r="H902" t="s">
        <v>19</v>
      </c>
      <c r="I902" s="8" t="str">
        <f>IF(Tabla2[[#This Row],[precio_unitario]]&lt;=30,"Económico",IF(Tabla2[[#This Row],[precio_unitario]]&lt;=58.49,"Accesible","Caro"))</f>
        <v>Accesible</v>
      </c>
      <c r="J902" t="s">
        <v>17</v>
      </c>
      <c r="K902">
        <v>2</v>
      </c>
      <c r="L902" s="19">
        <v>49.3</v>
      </c>
      <c r="M902" s="19">
        <v>27.43</v>
      </c>
      <c r="N902" s="11">
        <v>0</v>
      </c>
      <c r="O902" s="17">
        <f t="shared" si="59"/>
        <v>98.6</v>
      </c>
      <c r="P902" s="17">
        <f t="shared" si="56"/>
        <v>54.86</v>
      </c>
      <c r="Q902" s="17">
        <f t="shared" si="57"/>
        <v>43.739999999999995</v>
      </c>
      <c r="R902" s="24">
        <f t="shared" si="58"/>
        <v>0.44361054766734276</v>
      </c>
      <c r="S902" t="s">
        <v>83</v>
      </c>
      <c r="T902" t="s">
        <v>60</v>
      </c>
    </row>
    <row r="903" spans="1:20" hidden="1">
      <c r="A903" t="s">
        <v>974</v>
      </c>
      <c r="B903" s="5">
        <v>45670</v>
      </c>
      <c r="C903" s="8">
        <f>YEAR(Tabla2[[#This Row],[fecha]])</f>
        <v>2025</v>
      </c>
      <c r="D903" s="8">
        <f>MONTH(Tabla2[[#This Row],[fecha]])</f>
        <v>1</v>
      </c>
      <c r="E903" s="8" t="str">
        <f>TEXT(Tabla2[[#This Row],[fecha]], "mmmm")</f>
        <v>enero</v>
      </c>
      <c r="F903" s="8" t="str">
        <f>"T"&amp;ROUNDUP(Tabla2[[#This Row],[mes]]/3,0)</f>
        <v>T1</v>
      </c>
      <c r="G903" t="s">
        <v>24</v>
      </c>
      <c r="H903" t="s">
        <v>25</v>
      </c>
      <c r="I903" s="8" t="str">
        <f>IF(Tabla2[[#This Row],[precio_unitario]]&lt;=30,"Económico",IF(Tabla2[[#This Row],[precio_unitario]]&lt;=58.49,"Accesible","Caro"))</f>
        <v>Económico</v>
      </c>
      <c r="J903" t="s">
        <v>26</v>
      </c>
      <c r="K903">
        <v>2</v>
      </c>
      <c r="L903" s="19">
        <v>8.07</v>
      </c>
      <c r="M903" s="19">
        <v>4.32</v>
      </c>
      <c r="N903" s="13">
        <v>0</v>
      </c>
      <c r="O903" s="17">
        <f t="shared" si="59"/>
        <v>16.14</v>
      </c>
      <c r="P903" s="17">
        <f t="shared" si="56"/>
        <v>8.64</v>
      </c>
      <c r="Q903" s="17">
        <f t="shared" si="57"/>
        <v>7.5</v>
      </c>
      <c r="R903" s="24">
        <f t="shared" si="58"/>
        <v>0.46468401486988847</v>
      </c>
      <c r="S903" t="s">
        <v>96</v>
      </c>
      <c r="T903" t="s">
        <v>64</v>
      </c>
    </row>
    <row r="904" spans="1:20" hidden="1">
      <c r="A904" t="s">
        <v>975</v>
      </c>
      <c r="B904" s="5">
        <v>45326</v>
      </c>
      <c r="C904" s="8">
        <f>YEAR(Tabla2[[#This Row],[fecha]])</f>
        <v>2024</v>
      </c>
      <c r="D904" s="8">
        <f>MONTH(Tabla2[[#This Row],[fecha]])</f>
        <v>2</v>
      </c>
      <c r="E904" s="8" t="str">
        <f>TEXT(Tabla2[[#This Row],[fecha]], "mmmm")</f>
        <v>febrero</v>
      </c>
      <c r="F904" s="8" t="str">
        <f>"T"&amp;ROUNDUP(Tabla2[[#This Row],[mes]]/3,0)</f>
        <v>T1</v>
      </c>
      <c r="G904" t="s">
        <v>45</v>
      </c>
      <c r="H904" t="s">
        <v>46</v>
      </c>
      <c r="I904" s="8" t="str">
        <f>IF(Tabla2[[#This Row],[precio_unitario]]&lt;=30,"Económico",IF(Tabla2[[#This Row],[precio_unitario]]&lt;=58.49,"Accesible","Caro"))</f>
        <v>Económico</v>
      </c>
      <c r="J904" t="s">
        <v>44</v>
      </c>
      <c r="K904">
        <v>2</v>
      </c>
      <c r="L904" s="19">
        <v>28.46</v>
      </c>
      <c r="M904" s="19">
        <v>17.260000000000002</v>
      </c>
      <c r="N904" s="13">
        <v>0</v>
      </c>
      <c r="O904" s="17">
        <f t="shared" si="59"/>
        <v>56.92</v>
      </c>
      <c r="P904" s="17">
        <f t="shared" si="56"/>
        <v>34.520000000000003</v>
      </c>
      <c r="Q904" s="17">
        <f t="shared" si="57"/>
        <v>22.4</v>
      </c>
      <c r="R904" s="24">
        <f t="shared" si="58"/>
        <v>0.39353478566408989</v>
      </c>
      <c r="S904" t="s">
        <v>83</v>
      </c>
      <c r="T904" t="s">
        <v>64</v>
      </c>
    </row>
    <row r="905" spans="1:20" hidden="1">
      <c r="A905" t="s">
        <v>976</v>
      </c>
      <c r="B905" s="5">
        <v>45292</v>
      </c>
      <c r="C905" s="8">
        <f>YEAR(Tabla2[[#This Row],[fecha]])</f>
        <v>2024</v>
      </c>
      <c r="D905" s="8">
        <f>MONTH(Tabla2[[#This Row],[fecha]])</f>
        <v>1</v>
      </c>
      <c r="E905" s="8" t="str">
        <f>TEXT(Tabla2[[#This Row],[fecha]], "mmmm")</f>
        <v>enero</v>
      </c>
      <c r="F905" s="8" t="str">
        <f>"T"&amp;ROUNDUP(Tabla2[[#This Row],[mes]]/3,0)</f>
        <v>T1</v>
      </c>
      <c r="G905" t="s">
        <v>42</v>
      </c>
      <c r="H905" t="s">
        <v>43</v>
      </c>
      <c r="I905" s="8" t="str">
        <f>IF(Tabla2[[#This Row],[precio_unitario]]&lt;=30,"Económico",IF(Tabla2[[#This Row],[precio_unitario]]&lt;=58.49,"Accesible","Caro"))</f>
        <v>Accesible</v>
      </c>
      <c r="J905" t="s">
        <v>44</v>
      </c>
      <c r="K905">
        <v>1</v>
      </c>
      <c r="L905" s="19">
        <v>53.16</v>
      </c>
      <c r="M905" s="19">
        <v>23.39</v>
      </c>
      <c r="N905" s="11">
        <v>0</v>
      </c>
      <c r="O905" s="17">
        <f t="shared" si="59"/>
        <v>53.16</v>
      </c>
      <c r="P905" s="17">
        <f t="shared" si="56"/>
        <v>23.39</v>
      </c>
      <c r="Q905" s="17">
        <f t="shared" si="57"/>
        <v>29.769999999999996</v>
      </c>
      <c r="R905" s="24">
        <f t="shared" si="58"/>
        <v>0.56000752445447699</v>
      </c>
      <c r="S905" t="s">
        <v>83</v>
      </c>
      <c r="T905" t="s">
        <v>64</v>
      </c>
    </row>
    <row r="906" spans="1:20">
      <c r="A906" t="s">
        <v>977</v>
      </c>
      <c r="B906" s="5">
        <v>46006</v>
      </c>
      <c r="C906" s="8">
        <f>YEAR(Tabla2[[#This Row],[fecha]])</f>
        <v>2025</v>
      </c>
      <c r="D906" s="8">
        <f>MONTH(Tabla2[[#This Row],[fecha]])</f>
        <v>12</v>
      </c>
      <c r="E906" s="8" t="str">
        <f>TEXT(Tabla2[[#This Row],[fecha]], "mmmm")</f>
        <v>diciembre</v>
      </c>
      <c r="F906" s="8" t="str">
        <f>"T"&amp;ROUNDUP(Tabla2[[#This Row],[mes]]/3,0)</f>
        <v>T4</v>
      </c>
      <c r="G906" t="s">
        <v>9</v>
      </c>
      <c r="H906" t="s">
        <v>10</v>
      </c>
      <c r="I906" s="8" t="str">
        <f>IF(Tabla2[[#This Row],[precio_unitario]]&lt;=30,"Económico",IF(Tabla2[[#This Row],[precio_unitario]]&lt;=58.49,"Accesible","Caro"))</f>
        <v>Caro</v>
      </c>
      <c r="J906" t="s">
        <v>8</v>
      </c>
      <c r="K906">
        <v>4</v>
      </c>
      <c r="L906" s="19">
        <v>73.400000000000006</v>
      </c>
      <c r="M906" s="19">
        <v>47.41</v>
      </c>
      <c r="N906" s="11">
        <v>0</v>
      </c>
      <c r="O906" s="17">
        <f t="shared" si="59"/>
        <v>293.60000000000002</v>
      </c>
      <c r="P906" s="17">
        <f t="shared" si="56"/>
        <v>189.64</v>
      </c>
      <c r="Q906" s="17">
        <f t="shared" si="57"/>
        <v>103.96000000000004</v>
      </c>
      <c r="R906" s="24">
        <f t="shared" si="58"/>
        <v>0.35408719346049056</v>
      </c>
      <c r="S906" t="s">
        <v>67</v>
      </c>
      <c r="T906" t="s">
        <v>64</v>
      </c>
    </row>
    <row r="907" spans="1:20" hidden="1">
      <c r="A907" t="s">
        <v>978</v>
      </c>
      <c r="B907" s="5">
        <v>45599</v>
      </c>
      <c r="C907" s="8">
        <f>YEAR(Tabla2[[#This Row],[fecha]])</f>
        <v>2024</v>
      </c>
      <c r="D907" s="8">
        <f>MONTH(Tabla2[[#This Row],[fecha]])</f>
        <v>11</v>
      </c>
      <c r="E907" s="8" t="str">
        <f>TEXT(Tabla2[[#This Row],[fecha]], "mmmm")</f>
        <v>noviembre</v>
      </c>
      <c r="F907" s="8" t="str">
        <f>"T"&amp;ROUNDUP(Tabla2[[#This Row],[mes]]/3,0)</f>
        <v>T4</v>
      </c>
      <c r="G907" t="s">
        <v>22</v>
      </c>
      <c r="H907" t="s">
        <v>23</v>
      </c>
      <c r="I907" s="8" t="str">
        <f>IF(Tabla2[[#This Row],[precio_unitario]]&lt;=30,"Económico",IF(Tabla2[[#This Row],[precio_unitario]]&lt;=58.49,"Accesible","Caro"))</f>
        <v>Caro</v>
      </c>
      <c r="J907" t="s">
        <v>17</v>
      </c>
      <c r="K907">
        <v>4</v>
      </c>
      <c r="L907" s="19">
        <v>106.88</v>
      </c>
      <c r="M907" s="19">
        <v>55.13</v>
      </c>
      <c r="N907" s="11">
        <v>0</v>
      </c>
      <c r="O907" s="17">
        <f t="shared" si="59"/>
        <v>427.52</v>
      </c>
      <c r="P907" s="17">
        <f t="shared" si="56"/>
        <v>220.52</v>
      </c>
      <c r="Q907" s="17">
        <f t="shared" si="57"/>
        <v>206.99999999999997</v>
      </c>
      <c r="R907" s="24">
        <f t="shared" si="58"/>
        <v>0.48418787425149695</v>
      </c>
      <c r="S907" t="s">
        <v>83</v>
      </c>
      <c r="T907" t="s">
        <v>64</v>
      </c>
    </row>
    <row r="908" spans="1:20" hidden="1">
      <c r="A908" t="s">
        <v>979</v>
      </c>
      <c r="B908" s="5">
        <v>45398</v>
      </c>
      <c r="C908" s="8">
        <f>YEAR(Tabla2[[#This Row],[fecha]])</f>
        <v>2024</v>
      </c>
      <c r="D908" s="8">
        <f>MONTH(Tabla2[[#This Row],[fecha]])</f>
        <v>4</v>
      </c>
      <c r="E908" s="8" t="str">
        <f>TEXT(Tabla2[[#This Row],[fecha]], "mmmm")</f>
        <v>abril</v>
      </c>
      <c r="F908" s="8" t="str">
        <f>"T"&amp;ROUNDUP(Tabla2[[#This Row],[mes]]/3,0)</f>
        <v>T2</v>
      </c>
      <c r="G908" t="s">
        <v>36</v>
      </c>
      <c r="H908" t="s">
        <v>37</v>
      </c>
      <c r="I908" s="8" t="str">
        <f>IF(Tabla2[[#This Row],[precio_unitario]]&lt;=30,"Económico",IF(Tabla2[[#This Row],[precio_unitario]]&lt;=58.49,"Accesible","Caro"))</f>
        <v>Económico</v>
      </c>
      <c r="J908" t="s">
        <v>35</v>
      </c>
      <c r="K908">
        <v>2</v>
      </c>
      <c r="L908" s="19">
        <v>13.32</v>
      </c>
      <c r="M908" s="19">
        <v>10.06</v>
      </c>
      <c r="N908" s="11">
        <v>0</v>
      </c>
      <c r="O908" s="17">
        <f t="shared" si="59"/>
        <v>26.64</v>
      </c>
      <c r="P908" s="17">
        <f t="shared" si="56"/>
        <v>20.12</v>
      </c>
      <c r="Q908" s="17">
        <f t="shared" si="57"/>
        <v>6.52</v>
      </c>
      <c r="R908" s="24">
        <f t="shared" si="58"/>
        <v>0.24474474474474472</v>
      </c>
      <c r="S908" t="s">
        <v>67</v>
      </c>
      <c r="T908" t="s">
        <v>60</v>
      </c>
    </row>
    <row r="909" spans="1:20" hidden="1">
      <c r="A909" t="s">
        <v>980</v>
      </c>
      <c r="B909" s="5">
        <v>45933</v>
      </c>
      <c r="C909" s="8">
        <f>YEAR(Tabla2[[#This Row],[fecha]])</f>
        <v>2025</v>
      </c>
      <c r="D909" s="8">
        <f>MONTH(Tabla2[[#This Row],[fecha]])</f>
        <v>10</v>
      </c>
      <c r="E909" s="8" t="str">
        <f>TEXT(Tabla2[[#This Row],[fecha]], "mmmm")</f>
        <v>octubre</v>
      </c>
      <c r="F909" s="8" t="str">
        <f>"T"&amp;ROUNDUP(Tabla2[[#This Row],[mes]]/3,0)</f>
        <v>T4</v>
      </c>
      <c r="G909" t="s">
        <v>18</v>
      </c>
      <c r="H909" t="s">
        <v>19</v>
      </c>
      <c r="I909" s="8" t="str">
        <f>IF(Tabla2[[#This Row],[precio_unitario]]&lt;=30,"Económico",IF(Tabla2[[#This Row],[precio_unitario]]&lt;=58.49,"Accesible","Caro"))</f>
        <v>Accesible</v>
      </c>
      <c r="J909" t="s">
        <v>17</v>
      </c>
      <c r="K909">
        <v>1</v>
      </c>
      <c r="L909" s="19">
        <v>47.79</v>
      </c>
      <c r="M909" s="19">
        <v>26.31</v>
      </c>
      <c r="N909" s="13">
        <v>0</v>
      </c>
      <c r="O909" s="17">
        <f t="shared" si="59"/>
        <v>47.79</v>
      </c>
      <c r="P909" s="17">
        <f t="shared" si="56"/>
        <v>26.31</v>
      </c>
      <c r="Q909" s="17">
        <f t="shared" si="57"/>
        <v>21.48</v>
      </c>
      <c r="R909" s="24">
        <f t="shared" si="58"/>
        <v>0.44946641556811051</v>
      </c>
      <c r="S909" t="s">
        <v>83</v>
      </c>
      <c r="T909" t="s">
        <v>64</v>
      </c>
    </row>
    <row r="910" spans="1:20">
      <c r="A910" t="s">
        <v>981</v>
      </c>
      <c r="B910" s="5">
        <v>45822</v>
      </c>
      <c r="C910" s="8">
        <f>YEAR(Tabla2[[#This Row],[fecha]])</f>
        <v>2025</v>
      </c>
      <c r="D910" s="8">
        <f>MONTH(Tabla2[[#This Row],[fecha]])</f>
        <v>6</v>
      </c>
      <c r="E910" s="8" t="str">
        <f>TEXT(Tabla2[[#This Row],[fecha]], "mmmm")</f>
        <v>junio</v>
      </c>
      <c r="F910" s="8" t="str">
        <f>"T"&amp;ROUNDUP(Tabla2[[#This Row],[mes]]/3,0)</f>
        <v>T2</v>
      </c>
      <c r="G910" t="s">
        <v>11</v>
      </c>
      <c r="H910" t="s">
        <v>12</v>
      </c>
      <c r="I910" s="8" t="str">
        <f>IF(Tabla2[[#This Row],[precio_unitario]]&lt;=30,"Económico",IF(Tabla2[[#This Row],[precio_unitario]]&lt;=58.49,"Accesible","Caro"))</f>
        <v>Caro</v>
      </c>
      <c r="J910" t="s">
        <v>8</v>
      </c>
      <c r="K910">
        <v>2</v>
      </c>
      <c r="L910" s="19">
        <v>165.78</v>
      </c>
      <c r="M910" s="19">
        <v>96.64</v>
      </c>
      <c r="N910" s="11">
        <v>0</v>
      </c>
      <c r="O910" s="17">
        <f t="shared" si="59"/>
        <v>331.56</v>
      </c>
      <c r="P910" s="17">
        <f t="shared" si="56"/>
        <v>193.28</v>
      </c>
      <c r="Q910" s="17">
        <f t="shared" si="57"/>
        <v>138.28</v>
      </c>
      <c r="R910" s="24">
        <f t="shared" si="58"/>
        <v>0.41705875256363856</v>
      </c>
      <c r="S910" t="s">
        <v>67</v>
      </c>
      <c r="T910" t="s">
        <v>64</v>
      </c>
    </row>
    <row r="911" spans="1:20" hidden="1">
      <c r="A911" t="s">
        <v>982</v>
      </c>
      <c r="B911" s="5">
        <v>45853</v>
      </c>
      <c r="C911" s="8">
        <f>YEAR(Tabla2[[#This Row],[fecha]])</f>
        <v>2025</v>
      </c>
      <c r="D911" s="8">
        <f>MONTH(Tabla2[[#This Row],[fecha]])</f>
        <v>7</v>
      </c>
      <c r="E911" s="8" t="str">
        <f>TEXT(Tabla2[[#This Row],[fecha]], "mmmm")</f>
        <v>julio</v>
      </c>
      <c r="F911" s="8" t="str">
        <f>"T"&amp;ROUNDUP(Tabla2[[#This Row],[mes]]/3,0)</f>
        <v>T3</v>
      </c>
      <c r="G911" t="s">
        <v>11</v>
      </c>
      <c r="H911" t="s">
        <v>12</v>
      </c>
      <c r="I911" s="8" t="str">
        <f>IF(Tabla2[[#This Row],[precio_unitario]]&lt;=30,"Económico",IF(Tabla2[[#This Row],[precio_unitario]]&lt;=58.49,"Accesible","Caro"))</f>
        <v>Caro</v>
      </c>
      <c r="J911" t="s">
        <v>8</v>
      </c>
      <c r="K911">
        <v>2</v>
      </c>
      <c r="L911" s="19">
        <v>171.44</v>
      </c>
      <c r="M911" s="19">
        <v>91</v>
      </c>
      <c r="N911" s="13">
        <v>0</v>
      </c>
      <c r="O911" s="17">
        <f t="shared" si="59"/>
        <v>342.88</v>
      </c>
      <c r="P911" s="17">
        <f t="shared" si="56"/>
        <v>182</v>
      </c>
      <c r="Q911" s="17">
        <f t="shared" si="57"/>
        <v>160.88</v>
      </c>
      <c r="R911" s="24">
        <f t="shared" si="58"/>
        <v>0.46920205319645358</v>
      </c>
      <c r="S911" t="s">
        <v>83</v>
      </c>
      <c r="T911" t="s">
        <v>64</v>
      </c>
    </row>
    <row r="912" spans="1:20" hidden="1">
      <c r="A912" t="s">
        <v>983</v>
      </c>
      <c r="B912" s="5">
        <v>45619</v>
      </c>
      <c r="C912" s="8">
        <f>YEAR(Tabla2[[#This Row],[fecha]])</f>
        <v>2024</v>
      </c>
      <c r="D912" s="8">
        <f>MONTH(Tabla2[[#This Row],[fecha]])</f>
        <v>11</v>
      </c>
      <c r="E912" s="8" t="str">
        <f>TEXT(Tabla2[[#This Row],[fecha]], "mmmm")</f>
        <v>noviembre</v>
      </c>
      <c r="F912" s="8" t="str">
        <f>"T"&amp;ROUNDUP(Tabla2[[#This Row],[mes]]/3,0)</f>
        <v>T4</v>
      </c>
      <c r="G912" t="s">
        <v>20</v>
      </c>
      <c r="H912" t="s">
        <v>21</v>
      </c>
      <c r="I912" s="8" t="str">
        <f>IF(Tabla2[[#This Row],[precio_unitario]]&lt;=30,"Económico",IF(Tabla2[[#This Row],[precio_unitario]]&lt;=58.49,"Accesible","Caro"))</f>
        <v>Económico</v>
      </c>
      <c r="J912" t="s">
        <v>17</v>
      </c>
      <c r="K912">
        <v>7</v>
      </c>
      <c r="L912" s="19">
        <v>21.37</v>
      </c>
      <c r="M912" s="19">
        <v>12.53</v>
      </c>
      <c r="N912" s="11">
        <v>0.06</v>
      </c>
      <c r="O912" s="17">
        <f t="shared" si="59"/>
        <v>140.6146</v>
      </c>
      <c r="P912" s="17">
        <f t="shared" si="56"/>
        <v>87.71</v>
      </c>
      <c r="Q912" s="17">
        <f t="shared" si="57"/>
        <v>52.904600000000002</v>
      </c>
      <c r="R912" s="24">
        <f t="shared" si="58"/>
        <v>0.37623831380240746</v>
      </c>
      <c r="S912" t="s">
        <v>83</v>
      </c>
      <c r="T912" t="s">
        <v>64</v>
      </c>
    </row>
    <row r="913" spans="1:20" hidden="1">
      <c r="A913" t="s">
        <v>984</v>
      </c>
      <c r="B913" s="5">
        <v>45447</v>
      </c>
      <c r="C913" s="8">
        <f>YEAR(Tabla2[[#This Row],[fecha]])</f>
        <v>2024</v>
      </c>
      <c r="D913" s="8">
        <f>MONTH(Tabla2[[#This Row],[fecha]])</f>
        <v>6</v>
      </c>
      <c r="E913" s="8" t="str">
        <f>TEXT(Tabla2[[#This Row],[fecha]], "mmmm")</f>
        <v>junio</v>
      </c>
      <c r="F913" s="8" t="str">
        <f>"T"&amp;ROUNDUP(Tabla2[[#This Row],[mes]]/3,0)</f>
        <v>T2</v>
      </c>
      <c r="G913" t="s">
        <v>38</v>
      </c>
      <c r="H913" t="s">
        <v>39</v>
      </c>
      <c r="I913" s="8" t="str">
        <f>IF(Tabla2[[#This Row],[precio_unitario]]&lt;=30,"Económico",IF(Tabla2[[#This Row],[precio_unitario]]&lt;=58.49,"Accesible","Caro"))</f>
        <v>Caro</v>
      </c>
      <c r="J913" t="s">
        <v>35</v>
      </c>
      <c r="K913">
        <v>1</v>
      </c>
      <c r="L913" s="19">
        <v>79.95</v>
      </c>
      <c r="M913" s="19">
        <v>41.74</v>
      </c>
      <c r="N913" s="11">
        <v>0.26</v>
      </c>
      <c r="O913" s="17">
        <f t="shared" si="59"/>
        <v>59.163000000000004</v>
      </c>
      <c r="P913" s="17">
        <f t="shared" si="56"/>
        <v>41.74</v>
      </c>
      <c r="Q913" s="17">
        <f t="shared" si="57"/>
        <v>17.423000000000002</v>
      </c>
      <c r="R913" s="24">
        <f t="shared" si="58"/>
        <v>0.29449148961344085</v>
      </c>
      <c r="S913" t="s">
        <v>540</v>
      </c>
      <c r="T913" t="s">
        <v>64</v>
      </c>
    </row>
    <row r="914" spans="1:20" hidden="1">
      <c r="A914" t="s">
        <v>985</v>
      </c>
      <c r="B914" s="5">
        <v>45656</v>
      </c>
      <c r="C914" s="8">
        <f>YEAR(Tabla2[[#This Row],[fecha]])</f>
        <v>2024</v>
      </c>
      <c r="D914" s="8">
        <f>MONTH(Tabla2[[#This Row],[fecha]])</f>
        <v>12</v>
      </c>
      <c r="E914" s="8" t="str">
        <f>TEXT(Tabla2[[#This Row],[fecha]], "mmmm")</f>
        <v>diciembre</v>
      </c>
      <c r="F914" s="8" t="str">
        <f>"T"&amp;ROUNDUP(Tabla2[[#This Row],[mes]]/3,0)</f>
        <v>T4</v>
      </c>
      <c r="G914" t="s">
        <v>6</v>
      </c>
      <c r="H914" t="s">
        <v>7</v>
      </c>
      <c r="I914" s="8" t="str">
        <f>IF(Tabla2[[#This Row],[precio_unitario]]&lt;=30,"Económico",IF(Tabla2[[#This Row],[precio_unitario]]&lt;=58.49,"Accesible","Caro"))</f>
        <v>Caro</v>
      </c>
      <c r="J914" t="s">
        <v>8</v>
      </c>
      <c r="K914">
        <v>1</v>
      </c>
      <c r="L914" s="19">
        <v>122.92</v>
      </c>
      <c r="M914" s="19">
        <v>88.35</v>
      </c>
      <c r="N914" s="11">
        <v>0</v>
      </c>
      <c r="O914" s="17">
        <f t="shared" si="59"/>
        <v>122.92</v>
      </c>
      <c r="P914" s="17">
        <f t="shared" si="56"/>
        <v>88.35</v>
      </c>
      <c r="Q914" s="17">
        <f t="shared" si="57"/>
        <v>34.570000000000007</v>
      </c>
      <c r="R914" s="24">
        <f t="shared" si="58"/>
        <v>0.28123983078424997</v>
      </c>
      <c r="S914" t="s">
        <v>67</v>
      </c>
      <c r="T914" t="s">
        <v>64</v>
      </c>
    </row>
    <row r="915" spans="1:20" hidden="1">
      <c r="A915" t="s">
        <v>986</v>
      </c>
      <c r="B915" s="5">
        <v>45760</v>
      </c>
      <c r="C915" s="8">
        <f>YEAR(Tabla2[[#This Row],[fecha]])</f>
        <v>2025</v>
      </c>
      <c r="D915" s="8">
        <f>MONTH(Tabla2[[#This Row],[fecha]])</f>
        <v>4</v>
      </c>
      <c r="E915" s="8" t="str">
        <f>TEXT(Tabla2[[#This Row],[fecha]], "mmmm")</f>
        <v>abril</v>
      </c>
      <c r="F915" s="8" t="str">
        <f>"T"&amp;ROUNDUP(Tabla2[[#This Row],[mes]]/3,0)</f>
        <v>T2</v>
      </c>
      <c r="G915" t="s">
        <v>18</v>
      </c>
      <c r="H915" t="s">
        <v>19</v>
      </c>
      <c r="I915" s="8" t="str">
        <f>IF(Tabla2[[#This Row],[precio_unitario]]&lt;=30,"Económico",IF(Tabla2[[#This Row],[precio_unitario]]&lt;=58.49,"Accesible","Caro"))</f>
        <v>Accesible</v>
      </c>
      <c r="J915" t="s">
        <v>17</v>
      </c>
      <c r="K915">
        <v>2</v>
      </c>
      <c r="L915" s="19">
        <v>43.07</v>
      </c>
      <c r="M915" s="19">
        <v>25.86</v>
      </c>
      <c r="N915" s="11">
        <v>0</v>
      </c>
      <c r="O915" s="17">
        <f t="shared" si="59"/>
        <v>86.14</v>
      </c>
      <c r="P915" s="17">
        <f t="shared" si="56"/>
        <v>51.72</v>
      </c>
      <c r="Q915" s="17">
        <f t="shared" si="57"/>
        <v>34.42</v>
      </c>
      <c r="R915" s="24">
        <f t="shared" si="58"/>
        <v>0.399582075690736</v>
      </c>
      <c r="S915" t="s">
        <v>101</v>
      </c>
      <c r="T915" t="s">
        <v>64</v>
      </c>
    </row>
    <row r="916" spans="1:20" hidden="1">
      <c r="A916" t="s">
        <v>987</v>
      </c>
      <c r="B916" s="5">
        <v>45972</v>
      </c>
      <c r="C916" s="8">
        <f>YEAR(Tabla2[[#This Row],[fecha]])</f>
        <v>2025</v>
      </c>
      <c r="D916" s="8">
        <f>MONTH(Tabla2[[#This Row],[fecha]])</f>
        <v>11</v>
      </c>
      <c r="E916" s="8" t="str">
        <f>TEXT(Tabla2[[#This Row],[fecha]], "mmmm")</f>
        <v>noviembre</v>
      </c>
      <c r="F916" s="8" t="str">
        <f>"T"&amp;ROUNDUP(Tabla2[[#This Row],[mes]]/3,0)</f>
        <v>T4</v>
      </c>
      <c r="G916" t="s">
        <v>40</v>
      </c>
      <c r="H916" t="s">
        <v>41</v>
      </c>
      <c r="I916" s="8" t="str">
        <f>IF(Tabla2[[#This Row],[precio_unitario]]&lt;=30,"Económico",IF(Tabla2[[#This Row],[precio_unitario]]&lt;=58.49,"Accesible","Caro"))</f>
        <v>Caro</v>
      </c>
      <c r="J916" t="s">
        <v>35</v>
      </c>
      <c r="K916">
        <v>3</v>
      </c>
      <c r="L916" s="19">
        <v>74.05</v>
      </c>
      <c r="M916" s="21">
        <f>INDEX(Tabla3[coste_objetivo], MATCH(Tabla2[[#This Row],[id_producto]], Tabla3[id_producto],0))</f>
        <v>41.01</v>
      </c>
      <c r="N916" s="11">
        <v>0.2</v>
      </c>
      <c r="O916" s="17">
        <f t="shared" si="59"/>
        <v>177.72</v>
      </c>
      <c r="P916" s="17">
        <f t="shared" si="56"/>
        <v>123.03</v>
      </c>
      <c r="Q916" s="17">
        <f t="shared" si="57"/>
        <v>54.69</v>
      </c>
      <c r="R916" s="24">
        <f t="shared" si="58"/>
        <v>0.3077312626603646</v>
      </c>
      <c r="S916" t="s">
        <v>83</v>
      </c>
      <c r="T916" t="s">
        <v>60</v>
      </c>
    </row>
    <row r="917" spans="1:20" hidden="1">
      <c r="A917" t="s">
        <v>988</v>
      </c>
      <c r="B917" s="5">
        <v>45745</v>
      </c>
      <c r="C917" s="8">
        <f>YEAR(Tabla2[[#This Row],[fecha]])</f>
        <v>2025</v>
      </c>
      <c r="D917" s="8">
        <f>MONTH(Tabla2[[#This Row],[fecha]])</f>
        <v>3</v>
      </c>
      <c r="E917" s="8" t="str">
        <f>TEXT(Tabla2[[#This Row],[fecha]], "mmmm")</f>
        <v>marzo</v>
      </c>
      <c r="F917" s="8" t="str">
        <f>"T"&amp;ROUNDUP(Tabla2[[#This Row],[mes]]/3,0)</f>
        <v>T1</v>
      </c>
      <c r="G917" t="s">
        <v>11</v>
      </c>
      <c r="H917" t="s">
        <v>12</v>
      </c>
      <c r="I917" s="8" t="str">
        <f>IF(Tabla2[[#This Row],[precio_unitario]]&lt;=30,"Económico",IF(Tabla2[[#This Row],[precio_unitario]]&lt;=58.49,"Accesible","Caro"))</f>
        <v>Caro</v>
      </c>
      <c r="J917" t="s">
        <v>8</v>
      </c>
      <c r="K917">
        <v>1</v>
      </c>
      <c r="L917" s="19">
        <v>178.87</v>
      </c>
      <c r="M917" s="19">
        <v>89.62</v>
      </c>
      <c r="N917" s="13">
        <v>0</v>
      </c>
      <c r="O917" s="17">
        <f t="shared" si="59"/>
        <v>178.87</v>
      </c>
      <c r="P917" s="17">
        <f t="shared" si="56"/>
        <v>89.62</v>
      </c>
      <c r="Q917" s="17">
        <f t="shared" si="57"/>
        <v>89.25</v>
      </c>
      <c r="R917" s="24">
        <f t="shared" si="58"/>
        <v>0.4989657293006094</v>
      </c>
      <c r="S917" t="s">
        <v>63</v>
      </c>
      <c r="T917" t="s">
        <v>64</v>
      </c>
    </row>
    <row r="918" spans="1:20">
      <c r="A918" t="s">
        <v>989</v>
      </c>
      <c r="B918" s="5">
        <v>45783</v>
      </c>
      <c r="C918" s="8">
        <f>YEAR(Tabla2[[#This Row],[fecha]])</f>
        <v>2025</v>
      </c>
      <c r="D918" s="8">
        <f>MONTH(Tabla2[[#This Row],[fecha]])</f>
        <v>5</v>
      </c>
      <c r="E918" s="8" t="str">
        <f>TEXT(Tabla2[[#This Row],[fecha]], "mmmm")</f>
        <v>mayo</v>
      </c>
      <c r="F918" s="8" t="str">
        <f>"T"&amp;ROUNDUP(Tabla2[[#This Row],[mes]]/3,0)</f>
        <v>T2</v>
      </c>
      <c r="G918" t="s">
        <v>47</v>
      </c>
      <c r="H918" t="s">
        <v>48</v>
      </c>
      <c r="I918" s="8" t="str">
        <f>IF(Tabla2[[#This Row],[precio_unitario]]&lt;=30,"Económico",IF(Tabla2[[#This Row],[precio_unitario]]&lt;=58.49,"Accesible","Caro"))</f>
        <v>Accesible</v>
      </c>
      <c r="J918" t="s">
        <v>44</v>
      </c>
      <c r="K918">
        <v>1</v>
      </c>
      <c r="L918" s="19">
        <v>58.25</v>
      </c>
      <c r="M918" s="19">
        <v>31.17</v>
      </c>
      <c r="N918" s="11">
        <v>0</v>
      </c>
      <c r="O918" s="17">
        <f t="shared" si="59"/>
        <v>58.25</v>
      </c>
      <c r="P918" s="17">
        <f t="shared" si="56"/>
        <v>31.17</v>
      </c>
      <c r="Q918" s="17">
        <f t="shared" si="57"/>
        <v>27.08</v>
      </c>
      <c r="R918" s="24">
        <f t="shared" si="58"/>
        <v>0.46489270386266091</v>
      </c>
      <c r="S918" t="s">
        <v>67</v>
      </c>
      <c r="T918" t="s">
        <v>64</v>
      </c>
    </row>
    <row r="919" spans="1:20" hidden="1">
      <c r="A919" t="s">
        <v>990</v>
      </c>
      <c r="B919" s="5">
        <v>45524</v>
      </c>
      <c r="C919" s="8">
        <f>YEAR(Tabla2[[#This Row],[fecha]])</f>
        <v>2024</v>
      </c>
      <c r="D919" s="8">
        <f>MONTH(Tabla2[[#This Row],[fecha]])</f>
        <v>8</v>
      </c>
      <c r="E919" s="8" t="str">
        <f>TEXT(Tabla2[[#This Row],[fecha]], "mmmm")</f>
        <v>agosto</v>
      </c>
      <c r="F919" s="8" t="str">
        <f>"T"&amp;ROUNDUP(Tabla2[[#This Row],[mes]]/3,0)</f>
        <v>T3</v>
      </c>
      <c r="G919" t="s">
        <v>38</v>
      </c>
      <c r="H919" t="s">
        <v>39</v>
      </c>
      <c r="I919" s="8" t="str">
        <f>IF(Tabla2[[#This Row],[precio_unitario]]&lt;=30,"Económico",IF(Tabla2[[#This Row],[precio_unitario]]&lt;=58.49,"Accesible","Caro"))</f>
        <v>Caro</v>
      </c>
      <c r="J919" t="s">
        <v>35</v>
      </c>
      <c r="K919">
        <v>3</v>
      </c>
      <c r="L919" s="19">
        <v>71.59</v>
      </c>
      <c r="M919" s="19">
        <v>42.21</v>
      </c>
      <c r="N919" s="11">
        <v>0</v>
      </c>
      <c r="O919" s="17">
        <f t="shared" si="59"/>
        <v>214.77</v>
      </c>
      <c r="P919" s="17">
        <f t="shared" si="56"/>
        <v>126.63</v>
      </c>
      <c r="Q919" s="17">
        <f t="shared" si="57"/>
        <v>88.140000000000015</v>
      </c>
      <c r="R919" s="24">
        <f t="shared" si="58"/>
        <v>0.41039251292079904</v>
      </c>
      <c r="S919" t="s">
        <v>83</v>
      </c>
      <c r="T919" t="s">
        <v>60</v>
      </c>
    </row>
    <row r="920" spans="1:20" hidden="1">
      <c r="A920" t="s">
        <v>991</v>
      </c>
      <c r="B920" s="5">
        <v>45496</v>
      </c>
      <c r="C920" s="8">
        <f>YEAR(Tabla2[[#This Row],[fecha]])</f>
        <v>2024</v>
      </c>
      <c r="D920" s="8">
        <f>MONTH(Tabla2[[#This Row],[fecha]])</f>
        <v>7</v>
      </c>
      <c r="E920" s="8" t="str">
        <f>TEXT(Tabla2[[#This Row],[fecha]], "mmmm")</f>
        <v>julio</v>
      </c>
      <c r="F920" s="8" t="str">
        <f>"T"&amp;ROUNDUP(Tabla2[[#This Row],[mes]]/3,0)</f>
        <v>T3</v>
      </c>
      <c r="G920" t="s">
        <v>40</v>
      </c>
      <c r="H920" t="s">
        <v>41</v>
      </c>
      <c r="I920" s="8" t="str">
        <f>IF(Tabla2[[#This Row],[precio_unitario]]&lt;=30,"Económico",IF(Tabla2[[#This Row],[precio_unitario]]&lt;=58.49,"Accesible","Caro"))</f>
        <v>Caro</v>
      </c>
      <c r="J920" t="s">
        <v>35</v>
      </c>
      <c r="K920">
        <v>1</v>
      </c>
      <c r="L920" s="19">
        <v>76.62</v>
      </c>
      <c r="M920" s="19">
        <v>40.81</v>
      </c>
      <c r="N920" s="11">
        <v>0</v>
      </c>
      <c r="O920" s="17">
        <f t="shared" si="59"/>
        <v>76.62</v>
      </c>
      <c r="P920" s="17">
        <f t="shared" si="56"/>
        <v>40.81</v>
      </c>
      <c r="Q920" s="17">
        <f t="shared" si="57"/>
        <v>35.81</v>
      </c>
      <c r="R920" s="24">
        <f t="shared" si="58"/>
        <v>0.46737144348734011</v>
      </c>
      <c r="S920" t="s">
        <v>83</v>
      </c>
      <c r="T920" t="s">
        <v>64</v>
      </c>
    </row>
    <row r="921" spans="1:20" hidden="1">
      <c r="A921" t="s">
        <v>992</v>
      </c>
      <c r="B921" s="5">
        <v>45621</v>
      </c>
      <c r="C921" s="8">
        <f>YEAR(Tabla2[[#This Row],[fecha]])</f>
        <v>2024</v>
      </c>
      <c r="D921" s="8">
        <f>MONTH(Tabla2[[#This Row],[fecha]])</f>
        <v>11</v>
      </c>
      <c r="E921" s="8" t="str">
        <f>TEXT(Tabla2[[#This Row],[fecha]], "mmmm")</f>
        <v>noviembre</v>
      </c>
      <c r="F921" s="8" t="str">
        <f>"T"&amp;ROUNDUP(Tabla2[[#This Row],[mes]]/3,0)</f>
        <v>T4</v>
      </c>
      <c r="G921" t="s">
        <v>15</v>
      </c>
      <c r="H921" t="s">
        <v>16</v>
      </c>
      <c r="I921" s="8" t="str">
        <f>IF(Tabla2[[#This Row],[precio_unitario]]&lt;=30,"Económico",IF(Tabla2[[#This Row],[precio_unitario]]&lt;=58.49,"Accesible","Caro"))</f>
        <v>Accesible</v>
      </c>
      <c r="J921" t="s">
        <v>17</v>
      </c>
      <c r="K921">
        <v>1</v>
      </c>
      <c r="L921" s="19">
        <v>56.13</v>
      </c>
      <c r="M921" s="19">
        <v>43.15</v>
      </c>
      <c r="N921" s="13">
        <v>0</v>
      </c>
      <c r="O921" s="17">
        <f t="shared" si="59"/>
        <v>56.13</v>
      </c>
      <c r="P921" s="17">
        <f t="shared" si="56"/>
        <v>43.15</v>
      </c>
      <c r="Q921" s="17">
        <f t="shared" si="57"/>
        <v>12.980000000000004</v>
      </c>
      <c r="R921" s="24">
        <f t="shared" si="58"/>
        <v>0.23124888651345099</v>
      </c>
      <c r="S921" t="s">
        <v>96</v>
      </c>
      <c r="T921" t="s">
        <v>64</v>
      </c>
    </row>
    <row r="922" spans="1:20" hidden="1">
      <c r="A922" t="s">
        <v>993</v>
      </c>
      <c r="B922" s="5">
        <v>45625</v>
      </c>
      <c r="C922" s="8">
        <f>YEAR(Tabla2[[#This Row],[fecha]])</f>
        <v>2024</v>
      </c>
      <c r="D922" s="8">
        <f>MONTH(Tabla2[[#This Row],[fecha]])</f>
        <v>11</v>
      </c>
      <c r="E922" s="8" t="str">
        <f>TEXT(Tabla2[[#This Row],[fecha]], "mmmm")</f>
        <v>noviembre</v>
      </c>
      <c r="F922" s="8" t="str">
        <f>"T"&amp;ROUNDUP(Tabla2[[#This Row],[mes]]/3,0)</f>
        <v>T4</v>
      </c>
      <c r="G922" t="s">
        <v>13</v>
      </c>
      <c r="H922" t="s">
        <v>14</v>
      </c>
      <c r="I922" s="8" t="str">
        <f>IF(Tabla2[[#This Row],[precio_unitario]]&lt;=30,"Económico",IF(Tabla2[[#This Row],[precio_unitario]]&lt;=58.49,"Accesible","Caro"))</f>
        <v>Caro</v>
      </c>
      <c r="J922" t="s">
        <v>8</v>
      </c>
      <c r="K922">
        <v>1</v>
      </c>
      <c r="L922" s="19">
        <v>149.74</v>
      </c>
      <c r="M922" s="19">
        <v>106.77</v>
      </c>
      <c r="N922" s="11">
        <v>0</v>
      </c>
      <c r="O922" s="17">
        <f t="shared" si="59"/>
        <v>149.74</v>
      </c>
      <c r="P922" s="17">
        <f t="shared" si="56"/>
        <v>106.77</v>
      </c>
      <c r="Q922" s="17">
        <f t="shared" si="57"/>
        <v>42.970000000000013</v>
      </c>
      <c r="R922" s="24">
        <f t="shared" si="58"/>
        <v>0.28696407105649802</v>
      </c>
      <c r="S922" t="s">
        <v>96</v>
      </c>
      <c r="T922" t="s">
        <v>60</v>
      </c>
    </row>
    <row r="923" spans="1:20" hidden="1">
      <c r="A923" t="s">
        <v>994</v>
      </c>
      <c r="B923" s="5">
        <v>45688</v>
      </c>
      <c r="C923" s="8">
        <f>YEAR(Tabla2[[#This Row],[fecha]])</f>
        <v>2025</v>
      </c>
      <c r="D923" s="8">
        <f>MONTH(Tabla2[[#This Row],[fecha]])</f>
        <v>1</v>
      </c>
      <c r="E923" s="8" t="str">
        <f>TEXT(Tabla2[[#This Row],[fecha]], "mmmm")</f>
        <v>enero</v>
      </c>
      <c r="F923" s="8" t="str">
        <f>"T"&amp;ROUNDUP(Tabla2[[#This Row],[mes]]/3,0)</f>
        <v>T1</v>
      </c>
      <c r="G923" t="s">
        <v>13</v>
      </c>
      <c r="H923" t="s">
        <v>14</v>
      </c>
      <c r="I923" s="8" t="str">
        <f>IF(Tabla2[[#This Row],[precio_unitario]]&lt;=30,"Económico",IF(Tabla2[[#This Row],[precio_unitario]]&lt;=58.49,"Accesible","Caro"))</f>
        <v>Caro</v>
      </c>
      <c r="J923" t="s">
        <v>8</v>
      </c>
      <c r="K923" s="10">
        <v>1</v>
      </c>
      <c r="L923" s="19">
        <v>157.53</v>
      </c>
      <c r="M923" s="19">
        <v>115.2</v>
      </c>
      <c r="N923" s="11">
        <v>0</v>
      </c>
      <c r="O923" s="17">
        <f t="shared" si="59"/>
        <v>157.53</v>
      </c>
      <c r="P923" s="17">
        <f t="shared" si="56"/>
        <v>115.2</v>
      </c>
      <c r="Q923" s="17">
        <f t="shared" si="57"/>
        <v>42.33</v>
      </c>
      <c r="R923" s="24">
        <f t="shared" si="58"/>
        <v>0.26871072176728239</v>
      </c>
      <c r="S923" t="s">
        <v>540</v>
      </c>
      <c r="T923" t="s">
        <v>60</v>
      </c>
    </row>
    <row r="924" spans="1:20" hidden="1">
      <c r="A924" t="s">
        <v>995</v>
      </c>
      <c r="B924" s="5">
        <v>45794</v>
      </c>
      <c r="C924" s="8">
        <f>YEAR(Tabla2[[#This Row],[fecha]])</f>
        <v>2025</v>
      </c>
      <c r="D924" s="8">
        <f>MONTH(Tabla2[[#This Row],[fecha]])</f>
        <v>5</v>
      </c>
      <c r="E924" s="8" t="str">
        <f>TEXT(Tabla2[[#This Row],[fecha]], "mmmm")</f>
        <v>mayo</v>
      </c>
      <c r="F924" s="8" t="str">
        <f>"T"&amp;ROUNDUP(Tabla2[[#This Row],[mes]]/3,0)</f>
        <v>T2</v>
      </c>
      <c r="G924" t="s">
        <v>47</v>
      </c>
      <c r="H924" t="s">
        <v>48</v>
      </c>
      <c r="I924" s="8" t="str">
        <f>IF(Tabla2[[#This Row],[precio_unitario]]&lt;=30,"Económico",IF(Tabla2[[#This Row],[precio_unitario]]&lt;=58.49,"Accesible","Caro"))</f>
        <v>Caro</v>
      </c>
      <c r="J924" t="s">
        <v>44</v>
      </c>
      <c r="K924">
        <v>5</v>
      </c>
      <c r="L924" s="19">
        <v>63.04</v>
      </c>
      <c r="M924" s="19">
        <v>32.54</v>
      </c>
      <c r="N924" s="11">
        <v>0</v>
      </c>
      <c r="O924" s="17">
        <f t="shared" si="59"/>
        <v>315.2</v>
      </c>
      <c r="P924" s="17">
        <f t="shared" si="56"/>
        <v>162.69999999999999</v>
      </c>
      <c r="Q924" s="17">
        <f t="shared" si="57"/>
        <v>152.5</v>
      </c>
      <c r="R924" s="24">
        <f t="shared" si="58"/>
        <v>0.48381979695431476</v>
      </c>
      <c r="S924" t="s">
        <v>540</v>
      </c>
      <c r="T924" t="s">
        <v>64</v>
      </c>
    </row>
    <row r="925" spans="1:20" hidden="1">
      <c r="A925" t="s">
        <v>996</v>
      </c>
      <c r="B925" s="5">
        <v>45626</v>
      </c>
      <c r="C925" s="8">
        <f>YEAR(Tabla2[[#This Row],[fecha]])</f>
        <v>2024</v>
      </c>
      <c r="D925" s="8">
        <f>MONTH(Tabla2[[#This Row],[fecha]])</f>
        <v>11</v>
      </c>
      <c r="E925" s="8" t="str">
        <f>TEXT(Tabla2[[#This Row],[fecha]], "mmmm")</f>
        <v>noviembre</v>
      </c>
      <c r="F925" s="8" t="str">
        <f>"T"&amp;ROUNDUP(Tabla2[[#This Row],[mes]]/3,0)</f>
        <v>T4</v>
      </c>
      <c r="G925" t="s">
        <v>36</v>
      </c>
      <c r="H925" t="s">
        <v>37</v>
      </c>
      <c r="I925" s="8" t="str">
        <f>IF(Tabla2[[#This Row],[precio_unitario]]&lt;=30,"Económico",IF(Tabla2[[#This Row],[precio_unitario]]&lt;=58.49,"Accesible","Caro"))</f>
        <v>Económico</v>
      </c>
      <c r="J925" t="s">
        <v>35</v>
      </c>
      <c r="K925">
        <v>2</v>
      </c>
      <c r="L925" s="19">
        <v>14.79</v>
      </c>
      <c r="M925" s="19">
        <v>9.85</v>
      </c>
      <c r="N925" s="11">
        <v>0.18</v>
      </c>
      <c r="O925" s="17">
        <f t="shared" si="59"/>
        <v>24.255600000000001</v>
      </c>
      <c r="P925" s="17">
        <f t="shared" si="56"/>
        <v>19.7</v>
      </c>
      <c r="Q925" s="17">
        <f t="shared" si="57"/>
        <v>4.5556000000000019</v>
      </c>
      <c r="R925" s="24">
        <f t="shared" si="58"/>
        <v>0.18781642177476549</v>
      </c>
      <c r="S925" t="s">
        <v>96</v>
      </c>
      <c r="T925" t="s">
        <v>60</v>
      </c>
    </row>
    <row r="926" spans="1:20" hidden="1">
      <c r="A926" t="s">
        <v>997</v>
      </c>
      <c r="B926" s="5">
        <v>45381</v>
      </c>
      <c r="C926" s="8">
        <f>YEAR(Tabla2[[#This Row],[fecha]])</f>
        <v>2024</v>
      </c>
      <c r="D926" s="8">
        <f>MONTH(Tabla2[[#This Row],[fecha]])</f>
        <v>3</v>
      </c>
      <c r="E926" s="8" t="str">
        <f>TEXT(Tabla2[[#This Row],[fecha]], "mmmm")</f>
        <v>marzo</v>
      </c>
      <c r="F926" s="8" t="str">
        <f>"T"&amp;ROUNDUP(Tabla2[[#This Row],[mes]]/3,0)</f>
        <v>T1</v>
      </c>
      <c r="G926" t="s">
        <v>49</v>
      </c>
      <c r="H926" t="s">
        <v>50</v>
      </c>
      <c r="I926" s="8" t="str">
        <f>IF(Tabla2[[#This Row],[precio_unitario]]&lt;=30,"Económico",IF(Tabla2[[#This Row],[precio_unitario]]&lt;=58.49,"Accesible","Caro"))</f>
        <v>Caro</v>
      </c>
      <c r="J926" t="s">
        <v>44</v>
      </c>
      <c r="K926">
        <v>1</v>
      </c>
      <c r="L926" s="19">
        <v>62.69</v>
      </c>
      <c r="M926" s="19">
        <v>32.17</v>
      </c>
      <c r="N926" s="13">
        <v>0</v>
      </c>
      <c r="O926" s="17">
        <f t="shared" si="59"/>
        <v>62.69</v>
      </c>
      <c r="P926" s="17">
        <f t="shared" si="56"/>
        <v>32.17</v>
      </c>
      <c r="Q926" s="17">
        <f t="shared" si="57"/>
        <v>30.519999999999996</v>
      </c>
      <c r="R926" s="24">
        <f t="shared" si="58"/>
        <v>0.48684000638060293</v>
      </c>
      <c r="S926" t="s">
        <v>67</v>
      </c>
      <c r="T926" t="s">
        <v>64</v>
      </c>
    </row>
    <row r="927" spans="1:20">
      <c r="A927" t="s">
        <v>998</v>
      </c>
      <c r="B927" s="5">
        <v>45891</v>
      </c>
      <c r="C927" s="8">
        <f>YEAR(Tabla2[[#This Row],[fecha]])</f>
        <v>2025</v>
      </c>
      <c r="D927" s="8">
        <f>MONTH(Tabla2[[#This Row],[fecha]])</f>
        <v>8</v>
      </c>
      <c r="E927" s="8" t="str">
        <f>TEXT(Tabla2[[#This Row],[fecha]], "mmmm")</f>
        <v>agosto</v>
      </c>
      <c r="F927" s="8" t="str">
        <f>"T"&amp;ROUNDUP(Tabla2[[#This Row],[mes]]/3,0)</f>
        <v>T3</v>
      </c>
      <c r="G927" t="s">
        <v>38</v>
      </c>
      <c r="H927" t="s">
        <v>39</v>
      </c>
      <c r="I927" s="8" t="str">
        <f>IF(Tabla2[[#This Row],[precio_unitario]]&lt;=30,"Económico",IF(Tabla2[[#This Row],[precio_unitario]]&lt;=58.49,"Accesible","Caro"))</f>
        <v>Caro</v>
      </c>
      <c r="J927" t="s">
        <v>35</v>
      </c>
      <c r="K927">
        <v>2</v>
      </c>
      <c r="L927" s="19">
        <v>82.13</v>
      </c>
      <c r="M927" s="19">
        <v>42.5</v>
      </c>
      <c r="N927" s="11">
        <v>0</v>
      </c>
      <c r="O927" s="17">
        <f t="shared" si="59"/>
        <v>164.26</v>
      </c>
      <c r="P927" s="17">
        <f t="shared" si="56"/>
        <v>85</v>
      </c>
      <c r="Q927" s="17">
        <f t="shared" si="57"/>
        <v>79.259999999999991</v>
      </c>
      <c r="R927" s="24">
        <f t="shared" si="58"/>
        <v>0.48252769998782413</v>
      </c>
      <c r="S927" t="s">
        <v>67</v>
      </c>
      <c r="T927" t="s">
        <v>60</v>
      </c>
    </row>
    <row r="928" spans="1:20" hidden="1">
      <c r="A928" t="s">
        <v>999</v>
      </c>
      <c r="B928" s="5">
        <v>45935</v>
      </c>
      <c r="C928" s="8">
        <f>YEAR(Tabla2[[#This Row],[fecha]])</f>
        <v>2025</v>
      </c>
      <c r="D928" s="8">
        <f>MONTH(Tabla2[[#This Row],[fecha]])</f>
        <v>10</v>
      </c>
      <c r="E928" s="8" t="str">
        <f>TEXT(Tabla2[[#This Row],[fecha]], "mmmm")</f>
        <v>octubre</v>
      </c>
      <c r="F928" s="8" t="str">
        <f>"T"&amp;ROUNDUP(Tabla2[[#This Row],[mes]]/3,0)</f>
        <v>T4</v>
      </c>
      <c r="G928" t="s">
        <v>24</v>
      </c>
      <c r="H928" t="s">
        <v>25</v>
      </c>
      <c r="I928" s="8" t="str">
        <f>IF(Tabla2[[#This Row],[precio_unitario]]&lt;=30,"Económico",IF(Tabla2[[#This Row],[precio_unitario]]&lt;=58.49,"Accesible","Caro"))</f>
        <v>Económico</v>
      </c>
      <c r="J928" t="s">
        <v>26</v>
      </c>
      <c r="K928">
        <v>4</v>
      </c>
      <c r="L928" s="19">
        <v>7.24</v>
      </c>
      <c r="M928" s="19">
        <v>4.2699999999999996</v>
      </c>
      <c r="N928" s="11">
        <v>0.22</v>
      </c>
      <c r="O928" s="17">
        <f t="shared" si="59"/>
        <v>22.588800000000003</v>
      </c>
      <c r="P928" s="17">
        <f t="shared" si="56"/>
        <v>17.079999999999998</v>
      </c>
      <c r="Q928" s="17">
        <f t="shared" si="57"/>
        <v>5.5088000000000044</v>
      </c>
      <c r="R928" s="24">
        <f t="shared" si="58"/>
        <v>0.24387306983992083</v>
      </c>
      <c r="S928" s="10" t="s">
        <v>2377</v>
      </c>
      <c r="T928" t="s">
        <v>64</v>
      </c>
    </row>
    <row r="929" spans="1:20">
      <c r="A929" t="s">
        <v>1000</v>
      </c>
      <c r="B929" s="5">
        <v>45701</v>
      </c>
      <c r="C929" s="8">
        <f>YEAR(Tabla2[[#This Row],[fecha]])</f>
        <v>2025</v>
      </c>
      <c r="D929" s="8">
        <f>MONTH(Tabla2[[#This Row],[fecha]])</f>
        <v>2</v>
      </c>
      <c r="E929" s="8" t="str">
        <f>TEXT(Tabla2[[#This Row],[fecha]], "mmmm")</f>
        <v>febrero</v>
      </c>
      <c r="F929" s="8" t="str">
        <f>"T"&amp;ROUNDUP(Tabla2[[#This Row],[mes]]/3,0)</f>
        <v>T1</v>
      </c>
      <c r="G929" t="s">
        <v>33</v>
      </c>
      <c r="H929" t="s">
        <v>34</v>
      </c>
      <c r="I929" s="8" t="str">
        <f>IF(Tabla2[[#This Row],[precio_unitario]]&lt;=30,"Económico",IF(Tabla2[[#This Row],[precio_unitario]]&lt;=58.49,"Accesible","Caro"))</f>
        <v>Caro</v>
      </c>
      <c r="J929" t="s">
        <v>35</v>
      </c>
      <c r="K929">
        <v>1</v>
      </c>
      <c r="L929" s="19">
        <v>72.87</v>
      </c>
      <c r="M929" s="19">
        <v>47.78</v>
      </c>
      <c r="N929" s="11">
        <v>0</v>
      </c>
      <c r="O929" s="17">
        <f t="shared" si="59"/>
        <v>72.87</v>
      </c>
      <c r="P929" s="17">
        <f t="shared" si="56"/>
        <v>47.78</v>
      </c>
      <c r="Q929" s="17">
        <f t="shared" si="57"/>
        <v>25.090000000000003</v>
      </c>
      <c r="R929" s="24">
        <f t="shared" si="58"/>
        <v>0.34431178811582275</v>
      </c>
      <c r="S929" t="s">
        <v>67</v>
      </c>
      <c r="T929" t="s">
        <v>64</v>
      </c>
    </row>
    <row r="930" spans="1:20" hidden="1">
      <c r="A930" t="s">
        <v>1001</v>
      </c>
      <c r="B930" s="5">
        <v>45621</v>
      </c>
      <c r="C930" s="8">
        <f>YEAR(Tabla2[[#This Row],[fecha]])</f>
        <v>2024</v>
      </c>
      <c r="D930" s="8">
        <f>MONTH(Tabla2[[#This Row],[fecha]])</f>
        <v>11</v>
      </c>
      <c r="E930" s="8" t="str">
        <f>TEXT(Tabla2[[#This Row],[fecha]], "mmmm")</f>
        <v>noviembre</v>
      </c>
      <c r="F930" s="8" t="str">
        <f>"T"&amp;ROUNDUP(Tabla2[[#This Row],[mes]]/3,0)</f>
        <v>T4</v>
      </c>
      <c r="G930" t="s">
        <v>6</v>
      </c>
      <c r="H930" t="s">
        <v>7</v>
      </c>
      <c r="I930" s="8" t="str">
        <f>IF(Tabla2[[#This Row],[precio_unitario]]&lt;=30,"Económico",IF(Tabla2[[#This Row],[precio_unitario]]&lt;=58.49,"Accesible","Caro"))</f>
        <v>Caro</v>
      </c>
      <c r="J930" t="s">
        <v>8</v>
      </c>
      <c r="K930">
        <v>5</v>
      </c>
      <c r="L930" s="19">
        <v>129.56</v>
      </c>
      <c r="M930" s="19">
        <v>82.73</v>
      </c>
      <c r="N930" s="11">
        <v>0.18</v>
      </c>
      <c r="O930" s="17">
        <f t="shared" si="59"/>
        <v>531.19600000000003</v>
      </c>
      <c r="P930" s="17">
        <f t="shared" si="56"/>
        <v>413.65000000000003</v>
      </c>
      <c r="Q930" s="17">
        <f t="shared" si="57"/>
        <v>117.54599999999999</v>
      </c>
      <c r="R930" s="24">
        <f t="shared" si="58"/>
        <v>0.22128555184903498</v>
      </c>
      <c r="S930" t="s">
        <v>63</v>
      </c>
      <c r="T930" t="s">
        <v>64</v>
      </c>
    </row>
    <row r="931" spans="1:20" hidden="1">
      <c r="A931" t="s">
        <v>1002</v>
      </c>
      <c r="B931" s="5">
        <v>45427</v>
      </c>
      <c r="C931" s="8">
        <f>YEAR(Tabla2[[#This Row],[fecha]])</f>
        <v>2024</v>
      </c>
      <c r="D931" s="8">
        <f>MONTH(Tabla2[[#This Row],[fecha]])</f>
        <v>5</v>
      </c>
      <c r="E931" s="8" t="str">
        <f>TEXT(Tabla2[[#This Row],[fecha]], "mmmm")</f>
        <v>mayo</v>
      </c>
      <c r="F931" s="8" t="str">
        <f>"T"&amp;ROUNDUP(Tabla2[[#This Row],[mes]]/3,0)</f>
        <v>T2</v>
      </c>
      <c r="G931" t="s">
        <v>29</v>
      </c>
      <c r="H931" t="s">
        <v>30</v>
      </c>
      <c r="I931" s="8" t="str">
        <f>IF(Tabla2[[#This Row],[precio_unitario]]&lt;=30,"Económico",IF(Tabla2[[#This Row],[precio_unitario]]&lt;=58.49,"Accesible","Caro"))</f>
        <v>Económico</v>
      </c>
      <c r="J931" t="s">
        <v>26</v>
      </c>
      <c r="K931">
        <v>2</v>
      </c>
      <c r="L931" s="19">
        <v>20.38</v>
      </c>
      <c r="M931" s="19">
        <v>11.37</v>
      </c>
      <c r="N931" s="11">
        <v>0</v>
      </c>
      <c r="O931" s="17">
        <f t="shared" si="59"/>
        <v>40.76</v>
      </c>
      <c r="P931" s="17">
        <f t="shared" si="56"/>
        <v>22.74</v>
      </c>
      <c r="Q931" s="17">
        <f t="shared" si="57"/>
        <v>18.02</v>
      </c>
      <c r="R931" s="24">
        <f t="shared" si="58"/>
        <v>0.44210009813542689</v>
      </c>
      <c r="S931" t="s">
        <v>540</v>
      </c>
      <c r="T931" t="s">
        <v>64</v>
      </c>
    </row>
    <row r="932" spans="1:20" hidden="1">
      <c r="A932" t="s">
        <v>1003</v>
      </c>
      <c r="B932" s="5">
        <v>45413</v>
      </c>
      <c r="C932" s="8">
        <f>YEAR(Tabla2[[#This Row],[fecha]])</f>
        <v>2024</v>
      </c>
      <c r="D932" s="8">
        <f>MONTH(Tabla2[[#This Row],[fecha]])</f>
        <v>5</v>
      </c>
      <c r="E932" s="8" t="str">
        <f>TEXT(Tabla2[[#This Row],[fecha]], "mmmm")</f>
        <v>mayo</v>
      </c>
      <c r="F932" s="8" t="str">
        <f>"T"&amp;ROUNDUP(Tabla2[[#This Row],[mes]]/3,0)</f>
        <v>T2</v>
      </c>
      <c r="G932" t="s">
        <v>31</v>
      </c>
      <c r="H932" t="s">
        <v>32</v>
      </c>
      <c r="I932" s="8" t="str">
        <f>IF(Tabla2[[#This Row],[precio_unitario]]&lt;=30,"Económico",IF(Tabla2[[#This Row],[precio_unitario]]&lt;=58.49,"Accesible","Caro"))</f>
        <v>Económico</v>
      </c>
      <c r="J932" t="s">
        <v>26</v>
      </c>
      <c r="K932">
        <v>3</v>
      </c>
      <c r="L932" s="19">
        <v>8.35</v>
      </c>
      <c r="M932" s="19">
        <v>5.48</v>
      </c>
      <c r="N932" s="13">
        <v>0</v>
      </c>
      <c r="O932" s="17">
        <f t="shared" si="59"/>
        <v>25.049999999999997</v>
      </c>
      <c r="P932" s="17">
        <f t="shared" si="56"/>
        <v>16.440000000000001</v>
      </c>
      <c r="Q932" s="17">
        <f t="shared" si="57"/>
        <v>8.6099999999999959</v>
      </c>
      <c r="R932" s="24">
        <f t="shared" si="58"/>
        <v>0.34371257485029927</v>
      </c>
      <c r="S932" t="s">
        <v>67</v>
      </c>
      <c r="T932" t="s">
        <v>64</v>
      </c>
    </row>
    <row r="933" spans="1:20" hidden="1">
      <c r="A933" t="s">
        <v>1004</v>
      </c>
      <c r="B933" s="5">
        <v>45834</v>
      </c>
      <c r="C933" s="8">
        <f>YEAR(Tabla2[[#This Row],[fecha]])</f>
        <v>2025</v>
      </c>
      <c r="D933" s="8">
        <f>MONTH(Tabla2[[#This Row],[fecha]])</f>
        <v>6</v>
      </c>
      <c r="E933" s="8" t="str">
        <f>TEXT(Tabla2[[#This Row],[fecha]], "mmmm")</f>
        <v>junio</v>
      </c>
      <c r="F933" s="8" t="str">
        <f>"T"&amp;ROUNDUP(Tabla2[[#This Row],[mes]]/3,0)</f>
        <v>T2</v>
      </c>
      <c r="G933" t="s">
        <v>24</v>
      </c>
      <c r="H933" t="s">
        <v>25</v>
      </c>
      <c r="I933" s="8" t="str">
        <f>IF(Tabla2[[#This Row],[precio_unitario]]&lt;=30,"Económico",IF(Tabla2[[#This Row],[precio_unitario]]&lt;=58.49,"Accesible","Caro"))</f>
        <v>Económico</v>
      </c>
      <c r="J933" t="s">
        <v>26</v>
      </c>
      <c r="K933">
        <v>1</v>
      </c>
      <c r="L933" s="19">
        <v>7.37</v>
      </c>
      <c r="M933" s="19">
        <v>4.49</v>
      </c>
      <c r="N933" s="11">
        <v>0</v>
      </c>
      <c r="O933" s="17">
        <f t="shared" si="59"/>
        <v>7.37</v>
      </c>
      <c r="P933" s="17">
        <f t="shared" si="56"/>
        <v>4.49</v>
      </c>
      <c r="Q933" s="17">
        <f t="shared" si="57"/>
        <v>2.88</v>
      </c>
      <c r="R933" s="24">
        <f t="shared" si="58"/>
        <v>0.39077340569877883</v>
      </c>
      <c r="S933" t="s">
        <v>83</v>
      </c>
      <c r="T933" t="s">
        <v>64</v>
      </c>
    </row>
    <row r="934" spans="1:20" hidden="1">
      <c r="A934" t="s">
        <v>1005</v>
      </c>
      <c r="B934" s="5">
        <v>45858</v>
      </c>
      <c r="C934" s="8">
        <f>YEAR(Tabla2[[#This Row],[fecha]])</f>
        <v>2025</v>
      </c>
      <c r="D934" s="8">
        <f>MONTH(Tabla2[[#This Row],[fecha]])</f>
        <v>7</v>
      </c>
      <c r="E934" s="8" t="str">
        <f>TEXT(Tabla2[[#This Row],[fecha]], "mmmm")</f>
        <v>julio</v>
      </c>
      <c r="F934" s="8" t="str">
        <f>"T"&amp;ROUNDUP(Tabla2[[#This Row],[mes]]/3,0)</f>
        <v>T3</v>
      </c>
      <c r="G934" t="s">
        <v>38</v>
      </c>
      <c r="H934" t="s">
        <v>39</v>
      </c>
      <c r="I934" s="8" t="str">
        <f>IF(Tabla2[[#This Row],[precio_unitario]]&lt;=30,"Económico",IF(Tabla2[[#This Row],[precio_unitario]]&lt;=58.49,"Accesible","Caro"))</f>
        <v>Caro</v>
      </c>
      <c r="J934" t="s">
        <v>35</v>
      </c>
      <c r="K934">
        <v>2</v>
      </c>
      <c r="L934" s="19">
        <v>82.61</v>
      </c>
      <c r="M934" s="19">
        <v>41.8</v>
      </c>
      <c r="N934" s="11">
        <v>0</v>
      </c>
      <c r="O934" s="17">
        <f t="shared" si="59"/>
        <v>165.22</v>
      </c>
      <c r="P934" s="17">
        <f t="shared" si="56"/>
        <v>83.6</v>
      </c>
      <c r="Q934" s="17">
        <f t="shared" si="57"/>
        <v>81.62</v>
      </c>
      <c r="R934" s="24">
        <f t="shared" si="58"/>
        <v>0.49400798934753665</v>
      </c>
      <c r="S934" t="s">
        <v>540</v>
      </c>
      <c r="T934" t="s">
        <v>64</v>
      </c>
    </row>
    <row r="935" spans="1:20" hidden="1">
      <c r="A935" t="s">
        <v>1006</v>
      </c>
      <c r="B935" s="5">
        <v>45645</v>
      </c>
      <c r="C935" s="8">
        <f>YEAR(Tabla2[[#This Row],[fecha]])</f>
        <v>2024</v>
      </c>
      <c r="D935" s="8">
        <f>MONTH(Tabla2[[#This Row],[fecha]])</f>
        <v>12</v>
      </c>
      <c r="E935" s="8" t="str">
        <f>TEXT(Tabla2[[#This Row],[fecha]], "mmmm")</f>
        <v>diciembre</v>
      </c>
      <c r="F935" s="8" t="str">
        <f>"T"&amp;ROUNDUP(Tabla2[[#This Row],[mes]]/3,0)</f>
        <v>T4</v>
      </c>
      <c r="G935" t="s">
        <v>47</v>
      </c>
      <c r="H935" t="s">
        <v>48</v>
      </c>
      <c r="I935" s="8" t="str">
        <f>IF(Tabla2[[#This Row],[precio_unitario]]&lt;=30,"Económico",IF(Tabla2[[#This Row],[precio_unitario]]&lt;=58.49,"Accesible","Caro"))</f>
        <v>Caro</v>
      </c>
      <c r="J935" t="s">
        <v>44</v>
      </c>
      <c r="K935">
        <v>2</v>
      </c>
      <c r="L935" s="19">
        <v>59.85</v>
      </c>
      <c r="M935" s="21">
        <f>INDEX(Tabla3[coste_objetivo], MATCH(Tabla2[[#This Row],[id_producto]], Tabla3[id_producto],0))</f>
        <v>32.68</v>
      </c>
      <c r="N935" s="11">
        <v>0</v>
      </c>
      <c r="O935" s="17">
        <f t="shared" si="59"/>
        <v>119.7</v>
      </c>
      <c r="P935" s="17">
        <f t="shared" si="56"/>
        <v>65.36</v>
      </c>
      <c r="Q935" s="17">
        <f t="shared" si="57"/>
        <v>54.34</v>
      </c>
      <c r="R935" s="24">
        <f t="shared" si="58"/>
        <v>0.45396825396825397</v>
      </c>
      <c r="S935" t="s">
        <v>67</v>
      </c>
      <c r="T935" t="s">
        <v>60</v>
      </c>
    </row>
    <row r="936" spans="1:20" hidden="1">
      <c r="A936" t="s">
        <v>1007</v>
      </c>
      <c r="B936" s="5">
        <v>45428</v>
      </c>
      <c r="C936" s="8">
        <f>YEAR(Tabla2[[#This Row],[fecha]])</f>
        <v>2024</v>
      </c>
      <c r="D936" s="8">
        <f>MONTH(Tabla2[[#This Row],[fecha]])</f>
        <v>5</v>
      </c>
      <c r="E936" s="8" t="str">
        <f>TEXT(Tabla2[[#This Row],[fecha]], "mmmm")</f>
        <v>mayo</v>
      </c>
      <c r="F936" s="8" t="str">
        <f>"T"&amp;ROUNDUP(Tabla2[[#This Row],[mes]]/3,0)</f>
        <v>T2</v>
      </c>
      <c r="G936" t="s">
        <v>33</v>
      </c>
      <c r="H936" t="s">
        <v>34</v>
      </c>
      <c r="I936" s="8" t="str">
        <f>IF(Tabla2[[#This Row],[precio_unitario]]&lt;=30,"Económico",IF(Tabla2[[#This Row],[precio_unitario]]&lt;=58.49,"Accesible","Caro"))</f>
        <v>Caro</v>
      </c>
      <c r="J936" t="s">
        <v>35</v>
      </c>
      <c r="K936">
        <v>1</v>
      </c>
      <c r="L936" s="19">
        <v>81.260000000000005</v>
      </c>
      <c r="M936" s="19">
        <v>46.35</v>
      </c>
      <c r="N936" s="11">
        <v>0.06</v>
      </c>
      <c r="O936" s="17">
        <f t="shared" si="59"/>
        <v>76.384399999999999</v>
      </c>
      <c r="P936" s="17">
        <f t="shared" si="56"/>
        <v>46.35</v>
      </c>
      <c r="Q936" s="17">
        <f t="shared" si="57"/>
        <v>30.034399999999998</v>
      </c>
      <c r="R936" s="24">
        <f t="shared" si="58"/>
        <v>0.39320070590329959</v>
      </c>
      <c r="S936" t="s">
        <v>67</v>
      </c>
      <c r="T936" t="s">
        <v>64</v>
      </c>
    </row>
    <row r="937" spans="1:20" hidden="1">
      <c r="A937" t="s">
        <v>1008</v>
      </c>
      <c r="B937" s="5">
        <v>46017</v>
      </c>
      <c r="C937" s="8">
        <f>YEAR(Tabla2[[#This Row],[fecha]])</f>
        <v>2025</v>
      </c>
      <c r="D937" s="8">
        <f>MONTH(Tabla2[[#This Row],[fecha]])</f>
        <v>12</v>
      </c>
      <c r="E937" s="8" t="str">
        <f>TEXT(Tabla2[[#This Row],[fecha]], "mmmm")</f>
        <v>diciembre</v>
      </c>
      <c r="F937" s="8" t="str">
        <f>"T"&amp;ROUNDUP(Tabla2[[#This Row],[mes]]/3,0)</f>
        <v>T4</v>
      </c>
      <c r="G937" t="s">
        <v>22</v>
      </c>
      <c r="H937" t="s">
        <v>23</v>
      </c>
      <c r="I937" s="8" t="str">
        <f>IF(Tabla2[[#This Row],[precio_unitario]]&lt;=30,"Económico",IF(Tabla2[[#This Row],[precio_unitario]]&lt;=58.49,"Accesible","Caro"))</f>
        <v>Caro</v>
      </c>
      <c r="J937" t="s">
        <v>17</v>
      </c>
      <c r="K937">
        <v>7</v>
      </c>
      <c r="L937" s="19">
        <v>102.12</v>
      </c>
      <c r="M937" s="19">
        <v>54.71</v>
      </c>
      <c r="N937" s="11">
        <v>0</v>
      </c>
      <c r="O937" s="17">
        <f t="shared" si="59"/>
        <v>714.84</v>
      </c>
      <c r="P937" s="17">
        <f t="shared" si="56"/>
        <v>382.97</v>
      </c>
      <c r="Q937" s="17">
        <f t="shared" si="57"/>
        <v>331.87</v>
      </c>
      <c r="R937" s="24">
        <f t="shared" si="58"/>
        <v>0.46425773599686643</v>
      </c>
      <c r="S937" t="s">
        <v>83</v>
      </c>
      <c r="T937" t="s">
        <v>60</v>
      </c>
    </row>
    <row r="938" spans="1:20" hidden="1">
      <c r="A938" t="s">
        <v>1009</v>
      </c>
      <c r="B938" s="5">
        <v>45689</v>
      </c>
      <c r="C938" s="8">
        <f>YEAR(Tabla2[[#This Row],[fecha]])</f>
        <v>2025</v>
      </c>
      <c r="D938" s="8">
        <f>MONTH(Tabla2[[#This Row],[fecha]])</f>
        <v>2</v>
      </c>
      <c r="E938" s="8" t="str">
        <f>TEXT(Tabla2[[#This Row],[fecha]], "mmmm")</f>
        <v>febrero</v>
      </c>
      <c r="F938" s="8" t="str">
        <f>"T"&amp;ROUNDUP(Tabla2[[#This Row],[mes]]/3,0)</f>
        <v>T1</v>
      </c>
      <c r="G938" t="s">
        <v>31</v>
      </c>
      <c r="H938" t="s">
        <v>32</v>
      </c>
      <c r="I938" s="8" t="str">
        <f>IF(Tabla2[[#This Row],[precio_unitario]]&lt;=30,"Económico",IF(Tabla2[[#This Row],[precio_unitario]]&lt;=58.49,"Accesible","Caro"))</f>
        <v>Económico</v>
      </c>
      <c r="J938" t="s">
        <v>26</v>
      </c>
      <c r="K938">
        <v>1</v>
      </c>
      <c r="L938" s="19">
        <v>8.49</v>
      </c>
      <c r="M938" s="19">
        <v>5.89</v>
      </c>
      <c r="N938" s="11">
        <v>0</v>
      </c>
      <c r="O938" s="17">
        <f t="shared" si="59"/>
        <v>8.49</v>
      </c>
      <c r="P938" s="17">
        <f t="shared" si="56"/>
        <v>5.89</v>
      </c>
      <c r="Q938" s="17">
        <f t="shared" si="57"/>
        <v>2.6000000000000005</v>
      </c>
      <c r="R938" s="24">
        <f t="shared" si="58"/>
        <v>0.3062426383981155</v>
      </c>
      <c r="S938" t="s">
        <v>540</v>
      </c>
      <c r="T938" t="s">
        <v>64</v>
      </c>
    </row>
    <row r="939" spans="1:20" hidden="1">
      <c r="A939" t="s">
        <v>1010</v>
      </c>
      <c r="B939" s="5">
        <v>45314</v>
      </c>
      <c r="C939" s="8">
        <f>YEAR(Tabla2[[#This Row],[fecha]])</f>
        <v>2024</v>
      </c>
      <c r="D939" s="8">
        <f>MONTH(Tabla2[[#This Row],[fecha]])</f>
        <v>1</v>
      </c>
      <c r="E939" s="8" t="str">
        <f>TEXT(Tabla2[[#This Row],[fecha]], "mmmm")</f>
        <v>enero</v>
      </c>
      <c r="F939" s="8" t="str">
        <f>"T"&amp;ROUNDUP(Tabla2[[#This Row],[mes]]/3,0)</f>
        <v>T1</v>
      </c>
      <c r="G939" t="s">
        <v>29</v>
      </c>
      <c r="H939" t="s">
        <v>30</v>
      </c>
      <c r="I939" s="8" t="str">
        <f>IF(Tabla2[[#This Row],[precio_unitario]]&lt;=30,"Económico",IF(Tabla2[[#This Row],[precio_unitario]]&lt;=58.49,"Accesible","Caro"))</f>
        <v>Económico</v>
      </c>
      <c r="J939" t="s">
        <v>26</v>
      </c>
      <c r="K939">
        <v>3</v>
      </c>
      <c r="L939" s="19">
        <v>20.2</v>
      </c>
      <c r="M939" s="19">
        <v>11.35</v>
      </c>
      <c r="N939" s="13">
        <v>0.1</v>
      </c>
      <c r="O939" s="17">
        <f t="shared" si="59"/>
        <v>54.54</v>
      </c>
      <c r="P939" s="17">
        <f t="shared" si="56"/>
        <v>34.049999999999997</v>
      </c>
      <c r="Q939" s="17">
        <f t="shared" si="57"/>
        <v>20.490000000000002</v>
      </c>
      <c r="R939" s="24">
        <f t="shared" si="58"/>
        <v>0.37568756875687576</v>
      </c>
      <c r="S939" t="s">
        <v>96</v>
      </c>
      <c r="T939" t="s">
        <v>64</v>
      </c>
    </row>
    <row r="940" spans="1:20" hidden="1">
      <c r="A940" t="s">
        <v>1011</v>
      </c>
      <c r="B940" s="5">
        <v>45467</v>
      </c>
      <c r="C940" s="8">
        <f>YEAR(Tabla2[[#This Row],[fecha]])</f>
        <v>2024</v>
      </c>
      <c r="D940" s="8">
        <f>MONTH(Tabla2[[#This Row],[fecha]])</f>
        <v>6</v>
      </c>
      <c r="E940" s="8" t="str">
        <f>TEXT(Tabla2[[#This Row],[fecha]], "mmmm")</f>
        <v>junio</v>
      </c>
      <c r="F940" s="8" t="str">
        <f>"T"&amp;ROUNDUP(Tabla2[[#This Row],[mes]]/3,0)</f>
        <v>T2</v>
      </c>
      <c r="G940" t="s">
        <v>36</v>
      </c>
      <c r="H940" t="s">
        <v>37</v>
      </c>
      <c r="I940" s="8" t="str">
        <f>IF(Tabla2[[#This Row],[precio_unitario]]&lt;=30,"Económico",IF(Tabla2[[#This Row],[precio_unitario]]&lt;=58.49,"Accesible","Caro"))</f>
        <v>Económico</v>
      </c>
      <c r="J940" t="s">
        <v>35</v>
      </c>
      <c r="K940">
        <v>7</v>
      </c>
      <c r="L940" s="19">
        <v>14.28</v>
      </c>
      <c r="M940" s="19">
        <v>9.7100000000000009</v>
      </c>
      <c r="N940" s="11">
        <v>0</v>
      </c>
      <c r="O940" s="17">
        <f t="shared" si="59"/>
        <v>99.96</v>
      </c>
      <c r="P940" s="17">
        <f t="shared" si="56"/>
        <v>67.97</v>
      </c>
      <c r="Q940" s="17">
        <f t="shared" si="57"/>
        <v>31.989999999999995</v>
      </c>
      <c r="R940" s="24">
        <f t="shared" si="58"/>
        <v>0.32002801120448177</v>
      </c>
      <c r="S940" t="s">
        <v>101</v>
      </c>
      <c r="T940" t="s">
        <v>64</v>
      </c>
    </row>
    <row r="941" spans="1:20" hidden="1">
      <c r="A941" t="s">
        <v>1012</v>
      </c>
      <c r="B941" s="5">
        <v>45443</v>
      </c>
      <c r="C941" s="8">
        <f>YEAR(Tabla2[[#This Row],[fecha]])</f>
        <v>2024</v>
      </c>
      <c r="D941" s="8">
        <f>MONTH(Tabla2[[#This Row],[fecha]])</f>
        <v>5</v>
      </c>
      <c r="E941" s="8" t="str">
        <f>TEXT(Tabla2[[#This Row],[fecha]], "mmmm")</f>
        <v>mayo</v>
      </c>
      <c r="F941" s="8" t="str">
        <f>"T"&amp;ROUNDUP(Tabla2[[#This Row],[mes]]/3,0)</f>
        <v>T2</v>
      </c>
      <c r="G941" t="s">
        <v>13</v>
      </c>
      <c r="H941" t="s">
        <v>14</v>
      </c>
      <c r="I941" s="8" t="str">
        <f>IF(Tabla2[[#This Row],[precio_unitario]]&lt;=30,"Económico",IF(Tabla2[[#This Row],[precio_unitario]]&lt;=58.49,"Accesible","Caro"))</f>
        <v>Caro</v>
      </c>
      <c r="J941" t="s">
        <v>8</v>
      </c>
      <c r="K941">
        <v>1</v>
      </c>
      <c r="L941" s="19">
        <v>168.81</v>
      </c>
      <c r="M941" s="19">
        <v>112.1</v>
      </c>
      <c r="N941" s="11">
        <v>0</v>
      </c>
      <c r="O941" s="17">
        <f t="shared" si="59"/>
        <v>168.81</v>
      </c>
      <c r="P941" s="17">
        <f t="shared" si="56"/>
        <v>112.1</v>
      </c>
      <c r="Q941" s="17">
        <f t="shared" si="57"/>
        <v>56.710000000000008</v>
      </c>
      <c r="R941" s="24">
        <f t="shared" si="58"/>
        <v>0.33593981399206213</v>
      </c>
      <c r="S941" t="s">
        <v>67</v>
      </c>
      <c r="T941" t="s">
        <v>64</v>
      </c>
    </row>
    <row r="942" spans="1:20" hidden="1">
      <c r="A942" t="s">
        <v>1013</v>
      </c>
      <c r="B942" s="5">
        <v>45608</v>
      </c>
      <c r="C942" s="8">
        <f>YEAR(Tabla2[[#This Row],[fecha]])</f>
        <v>2024</v>
      </c>
      <c r="D942" s="8">
        <f>MONTH(Tabla2[[#This Row],[fecha]])</f>
        <v>11</v>
      </c>
      <c r="E942" s="8" t="str">
        <f>TEXT(Tabla2[[#This Row],[fecha]], "mmmm")</f>
        <v>noviembre</v>
      </c>
      <c r="F942" s="8" t="str">
        <f>"T"&amp;ROUNDUP(Tabla2[[#This Row],[mes]]/3,0)</f>
        <v>T4</v>
      </c>
      <c r="G942" t="s">
        <v>49</v>
      </c>
      <c r="H942" t="s">
        <v>50</v>
      </c>
      <c r="I942" s="8" t="str">
        <f>IF(Tabla2[[#This Row],[precio_unitario]]&lt;=30,"Económico",IF(Tabla2[[#This Row],[precio_unitario]]&lt;=58.49,"Accesible","Caro"))</f>
        <v>Caro</v>
      </c>
      <c r="J942" t="s">
        <v>44</v>
      </c>
      <c r="K942">
        <v>1</v>
      </c>
      <c r="L942" s="19">
        <v>60.74</v>
      </c>
      <c r="M942" s="19">
        <v>33.659999999999997</v>
      </c>
      <c r="N942" s="11">
        <v>0</v>
      </c>
      <c r="O942" s="17">
        <f t="shared" si="59"/>
        <v>60.74</v>
      </c>
      <c r="P942" s="17">
        <f t="shared" si="56"/>
        <v>33.659999999999997</v>
      </c>
      <c r="Q942" s="17">
        <f t="shared" si="57"/>
        <v>27.080000000000005</v>
      </c>
      <c r="R942" s="24">
        <f t="shared" si="58"/>
        <v>0.44583470530128422</v>
      </c>
      <c r="S942" t="s">
        <v>67</v>
      </c>
      <c r="T942" t="s">
        <v>64</v>
      </c>
    </row>
    <row r="943" spans="1:20" hidden="1">
      <c r="A943" t="s">
        <v>1014</v>
      </c>
      <c r="B943" s="5">
        <v>45775</v>
      </c>
      <c r="C943" s="8">
        <f>YEAR(Tabla2[[#This Row],[fecha]])</f>
        <v>2025</v>
      </c>
      <c r="D943" s="8">
        <f>MONTH(Tabla2[[#This Row],[fecha]])</f>
        <v>4</v>
      </c>
      <c r="E943" s="8" t="str">
        <f>TEXT(Tabla2[[#This Row],[fecha]], "mmmm")</f>
        <v>abril</v>
      </c>
      <c r="F943" s="8" t="str">
        <f>"T"&amp;ROUNDUP(Tabla2[[#This Row],[mes]]/3,0)</f>
        <v>T2</v>
      </c>
      <c r="G943" t="s">
        <v>29</v>
      </c>
      <c r="H943" t="s">
        <v>30</v>
      </c>
      <c r="I943" s="8" t="str">
        <f>IF(Tabla2[[#This Row],[precio_unitario]]&lt;=30,"Económico",IF(Tabla2[[#This Row],[precio_unitario]]&lt;=58.49,"Accesible","Caro"))</f>
        <v>Económico</v>
      </c>
      <c r="J943" t="s">
        <v>26</v>
      </c>
      <c r="K943">
        <v>5</v>
      </c>
      <c r="L943" s="19">
        <v>21.84</v>
      </c>
      <c r="M943" s="19">
        <v>11.92</v>
      </c>
      <c r="N943" s="13">
        <v>0</v>
      </c>
      <c r="O943" s="17">
        <f t="shared" si="59"/>
        <v>109.2</v>
      </c>
      <c r="P943" s="17">
        <f t="shared" si="56"/>
        <v>59.6</v>
      </c>
      <c r="Q943" s="17">
        <f t="shared" si="57"/>
        <v>49.6</v>
      </c>
      <c r="R943" s="24">
        <f t="shared" si="58"/>
        <v>0.45421245421245421</v>
      </c>
      <c r="S943" t="s">
        <v>83</v>
      </c>
      <c r="T943" t="s">
        <v>64</v>
      </c>
    </row>
    <row r="944" spans="1:20" hidden="1">
      <c r="A944" t="s">
        <v>1015</v>
      </c>
      <c r="B944" s="5">
        <v>45957</v>
      </c>
      <c r="C944" s="8">
        <f>YEAR(Tabla2[[#This Row],[fecha]])</f>
        <v>2025</v>
      </c>
      <c r="D944" s="8">
        <f>MONTH(Tabla2[[#This Row],[fecha]])</f>
        <v>10</v>
      </c>
      <c r="E944" s="8" t="str">
        <f>TEXT(Tabla2[[#This Row],[fecha]], "mmmm")</f>
        <v>octubre</v>
      </c>
      <c r="F944" s="8" t="str">
        <f>"T"&amp;ROUNDUP(Tabla2[[#This Row],[mes]]/3,0)</f>
        <v>T4</v>
      </c>
      <c r="G944" t="s">
        <v>38</v>
      </c>
      <c r="H944" t="s">
        <v>39</v>
      </c>
      <c r="I944" s="8" t="str">
        <f>IF(Tabla2[[#This Row],[precio_unitario]]&lt;=30,"Económico",IF(Tabla2[[#This Row],[precio_unitario]]&lt;=58.49,"Accesible","Caro"))</f>
        <v>Caro</v>
      </c>
      <c r="J944" t="s">
        <v>35</v>
      </c>
      <c r="K944">
        <v>1</v>
      </c>
      <c r="L944" s="19">
        <v>74.94</v>
      </c>
      <c r="M944" s="19">
        <v>43.17</v>
      </c>
      <c r="N944" s="11">
        <v>0</v>
      </c>
      <c r="O944" s="17">
        <f t="shared" si="59"/>
        <v>74.94</v>
      </c>
      <c r="P944" s="17">
        <f t="shared" si="56"/>
        <v>43.17</v>
      </c>
      <c r="Q944" s="17">
        <f t="shared" si="57"/>
        <v>31.769999999999996</v>
      </c>
      <c r="R944" s="24">
        <f t="shared" si="58"/>
        <v>0.42393915132105681</v>
      </c>
      <c r="S944" t="s">
        <v>63</v>
      </c>
      <c r="T944" t="s">
        <v>64</v>
      </c>
    </row>
    <row r="945" spans="1:20" hidden="1">
      <c r="A945" t="s">
        <v>1016</v>
      </c>
      <c r="B945" s="5">
        <v>45892</v>
      </c>
      <c r="C945" s="8">
        <f>YEAR(Tabla2[[#This Row],[fecha]])</f>
        <v>2025</v>
      </c>
      <c r="D945" s="8">
        <f>MONTH(Tabla2[[#This Row],[fecha]])</f>
        <v>8</v>
      </c>
      <c r="E945" s="8" t="str">
        <f>TEXT(Tabla2[[#This Row],[fecha]], "mmmm")</f>
        <v>agosto</v>
      </c>
      <c r="F945" s="8" t="str">
        <f>"T"&amp;ROUNDUP(Tabla2[[#This Row],[mes]]/3,0)</f>
        <v>T3</v>
      </c>
      <c r="G945" t="s">
        <v>38</v>
      </c>
      <c r="H945" t="s">
        <v>39</v>
      </c>
      <c r="I945" s="8" t="str">
        <f>IF(Tabla2[[#This Row],[precio_unitario]]&lt;=30,"Económico",IF(Tabla2[[#This Row],[precio_unitario]]&lt;=58.49,"Accesible","Caro"))</f>
        <v>Caro</v>
      </c>
      <c r="J945" t="s">
        <v>35</v>
      </c>
      <c r="K945">
        <v>1</v>
      </c>
      <c r="L945" s="19">
        <v>81.39</v>
      </c>
      <c r="M945" s="19">
        <v>41.59</v>
      </c>
      <c r="N945" s="11">
        <v>0</v>
      </c>
      <c r="O945" s="17">
        <f t="shared" si="59"/>
        <v>81.39</v>
      </c>
      <c r="P945" s="17">
        <f t="shared" si="56"/>
        <v>41.59</v>
      </c>
      <c r="Q945" s="17">
        <f t="shared" si="57"/>
        <v>39.799999999999997</v>
      </c>
      <c r="R945" s="24">
        <f t="shared" si="58"/>
        <v>0.48900356309128884</v>
      </c>
      <c r="S945" t="s">
        <v>96</v>
      </c>
      <c r="T945" t="s">
        <v>64</v>
      </c>
    </row>
    <row r="946" spans="1:20" hidden="1">
      <c r="A946" t="s">
        <v>1017</v>
      </c>
      <c r="B946" s="5">
        <v>45371</v>
      </c>
      <c r="C946" s="8">
        <f>YEAR(Tabla2[[#This Row],[fecha]])</f>
        <v>2024</v>
      </c>
      <c r="D946" s="8">
        <f>MONTH(Tabla2[[#This Row],[fecha]])</f>
        <v>3</v>
      </c>
      <c r="E946" s="8" t="str">
        <f>TEXT(Tabla2[[#This Row],[fecha]], "mmmm")</f>
        <v>marzo</v>
      </c>
      <c r="F946" s="8" t="str">
        <f>"T"&amp;ROUNDUP(Tabla2[[#This Row],[mes]]/3,0)</f>
        <v>T1</v>
      </c>
      <c r="G946" t="s">
        <v>22</v>
      </c>
      <c r="H946" t="s">
        <v>23</v>
      </c>
      <c r="I946" s="8" t="str">
        <f>IF(Tabla2[[#This Row],[precio_unitario]]&lt;=30,"Económico",IF(Tabla2[[#This Row],[precio_unitario]]&lt;=58.49,"Accesible","Caro"))</f>
        <v>Caro</v>
      </c>
      <c r="J946" t="s">
        <v>17</v>
      </c>
      <c r="K946">
        <v>8</v>
      </c>
      <c r="L946" s="19">
        <v>108.48</v>
      </c>
      <c r="M946" s="19">
        <v>60.04</v>
      </c>
      <c r="N946" s="11">
        <v>0</v>
      </c>
      <c r="O946" s="17">
        <f t="shared" si="59"/>
        <v>867.84</v>
      </c>
      <c r="P946" s="17">
        <f t="shared" si="56"/>
        <v>480.32</v>
      </c>
      <c r="Q946" s="17">
        <f t="shared" si="57"/>
        <v>387.52000000000004</v>
      </c>
      <c r="R946" s="24">
        <f t="shared" si="58"/>
        <v>0.44653392330383485</v>
      </c>
      <c r="S946" t="s">
        <v>83</v>
      </c>
      <c r="T946" t="s">
        <v>64</v>
      </c>
    </row>
    <row r="947" spans="1:20" hidden="1">
      <c r="A947" t="s">
        <v>1018</v>
      </c>
      <c r="B947" s="5">
        <v>45654</v>
      </c>
      <c r="C947" s="8">
        <f>YEAR(Tabla2[[#This Row],[fecha]])</f>
        <v>2024</v>
      </c>
      <c r="D947" s="8">
        <f>MONTH(Tabla2[[#This Row],[fecha]])</f>
        <v>12</v>
      </c>
      <c r="E947" s="8" t="str">
        <f>TEXT(Tabla2[[#This Row],[fecha]], "mmmm")</f>
        <v>diciembre</v>
      </c>
      <c r="F947" s="8" t="str">
        <f>"T"&amp;ROUNDUP(Tabla2[[#This Row],[mes]]/3,0)</f>
        <v>T4</v>
      </c>
      <c r="G947" t="s">
        <v>42</v>
      </c>
      <c r="H947" t="s">
        <v>43</v>
      </c>
      <c r="I947" s="8" t="str">
        <f>IF(Tabla2[[#This Row],[precio_unitario]]&lt;=30,"Económico",IF(Tabla2[[#This Row],[precio_unitario]]&lt;=58.49,"Accesible","Caro"))</f>
        <v>Accesible</v>
      </c>
      <c r="J947" t="s">
        <v>44</v>
      </c>
      <c r="K947">
        <v>1</v>
      </c>
      <c r="L947" s="19">
        <v>46.7</v>
      </c>
      <c r="M947" s="19">
        <v>23.5</v>
      </c>
      <c r="N947" s="11">
        <v>0.06</v>
      </c>
      <c r="O947" s="17">
        <f t="shared" si="59"/>
        <v>43.898000000000003</v>
      </c>
      <c r="P947" s="17">
        <f t="shared" si="56"/>
        <v>23.5</v>
      </c>
      <c r="Q947" s="17">
        <f t="shared" si="57"/>
        <v>20.398000000000003</v>
      </c>
      <c r="R947" s="24">
        <f t="shared" si="58"/>
        <v>0.46466809421841548</v>
      </c>
      <c r="S947" t="s">
        <v>63</v>
      </c>
      <c r="T947" t="s">
        <v>64</v>
      </c>
    </row>
    <row r="948" spans="1:20">
      <c r="A948" t="s">
        <v>1019</v>
      </c>
      <c r="B948" s="5">
        <v>45694</v>
      </c>
      <c r="C948" s="8">
        <f>YEAR(Tabla2[[#This Row],[fecha]])</f>
        <v>2025</v>
      </c>
      <c r="D948" s="8">
        <f>MONTH(Tabla2[[#This Row],[fecha]])</f>
        <v>2</v>
      </c>
      <c r="E948" s="8" t="str">
        <f>TEXT(Tabla2[[#This Row],[fecha]], "mmmm")</f>
        <v>febrero</v>
      </c>
      <c r="F948" s="8" t="str">
        <f>"T"&amp;ROUNDUP(Tabla2[[#This Row],[mes]]/3,0)</f>
        <v>T1</v>
      </c>
      <c r="G948" t="s">
        <v>24</v>
      </c>
      <c r="H948" t="s">
        <v>25</v>
      </c>
      <c r="I948" s="8" t="str">
        <f>IF(Tabla2[[#This Row],[precio_unitario]]&lt;=30,"Económico",IF(Tabla2[[#This Row],[precio_unitario]]&lt;=58.49,"Accesible","Caro"))</f>
        <v>Económico</v>
      </c>
      <c r="J948" t="s">
        <v>26</v>
      </c>
      <c r="K948">
        <v>3</v>
      </c>
      <c r="L948" s="19">
        <v>7.48</v>
      </c>
      <c r="M948" s="19">
        <v>4.42</v>
      </c>
      <c r="N948" s="11">
        <v>0</v>
      </c>
      <c r="O948" s="17">
        <f t="shared" si="59"/>
        <v>22.44</v>
      </c>
      <c r="P948" s="17">
        <f t="shared" si="56"/>
        <v>13.26</v>
      </c>
      <c r="Q948" s="17">
        <f t="shared" si="57"/>
        <v>9.1800000000000015</v>
      </c>
      <c r="R948" s="24">
        <f t="shared" si="58"/>
        <v>0.40909090909090912</v>
      </c>
      <c r="S948" t="s">
        <v>67</v>
      </c>
      <c r="T948" t="s">
        <v>64</v>
      </c>
    </row>
    <row r="949" spans="1:20" hidden="1">
      <c r="A949" t="s">
        <v>1020</v>
      </c>
      <c r="B949" s="5">
        <v>45476</v>
      </c>
      <c r="C949" s="8">
        <f>YEAR(Tabla2[[#This Row],[fecha]])</f>
        <v>2024</v>
      </c>
      <c r="D949" s="8">
        <f>MONTH(Tabla2[[#This Row],[fecha]])</f>
        <v>7</v>
      </c>
      <c r="E949" s="8" t="str">
        <f>TEXT(Tabla2[[#This Row],[fecha]], "mmmm")</f>
        <v>julio</v>
      </c>
      <c r="F949" s="8" t="str">
        <f>"T"&amp;ROUNDUP(Tabla2[[#This Row],[mes]]/3,0)</f>
        <v>T3</v>
      </c>
      <c r="G949" t="s">
        <v>40</v>
      </c>
      <c r="H949" t="s">
        <v>41</v>
      </c>
      <c r="I949" s="8" t="str">
        <f>IF(Tabla2[[#This Row],[precio_unitario]]&lt;=30,"Económico",IF(Tabla2[[#This Row],[precio_unitario]]&lt;=58.49,"Accesible","Caro"))</f>
        <v>Caro</v>
      </c>
      <c r="J949" t="s">
        <v>35</v>
      </c>
      <c r="K949">
        <v>1</v>
      </c>
      <c r="L949" s="19">
        <v>74.05</v>
      </c>
      <c r="M949" s="19">
        <v>40.869999999999997</v>
      </c>
      <c r="N949" s="13">
        <v>0</v>
      </c>
      <c r="O949" s="17">
        <f t="shared" si="59"/>
        <v>74.05</v>
      </c>
      <c r="P949" s="17">
        <f t="shared" si="56"/>
        <v>40.869999999999997</v>
      </c>
      <c r="Q949" s="17">
        <f t="shared" si="57"/>
        <v>33.18</v>
      </c>
      <c r="R949" s="24">
        <f t="shared" si="58"/>
        <v>0.44807562457798789</v>
      </c>
      <c r="S949" t="s">
        <v>96</v>
      </c>
      <c r="T949" t="s">
        <v>60</v>
      </c>
    </row>
    <row r="950" spans="1:20" hidden="1">
      <c r="A950" t="s">
        <v>1021</v>
      </c>
      <c r="B950" s="5">
        <v>45297</v>
      </c>
      <c r="C950" s="8">
        <f>YEAR(Tabla2[[#This Row],[fecha]])</f>
        <v>2024</v>
      </c>
      <c r="D950" s="8">
        <f>MONTH(Tabla2[[#This Row],[fecha]])</f>
        <v>1</v>
      </c>
      <c r="E950" s="8" t="str">
        <f>TEXT(Tabla2[[#This Row],[fecha]], "mmmm")</f>
        <v>enero</v>
      </c>
      <c r="F950" s="8" t="str">
        <f>"T"&amp;ROUNDUP(Tabla2[[#This Row],[mes]]/3,0)</f>
        <v>T1</v>
      </c>
      <c r="G950" t="s">
        <v>42</v>
      </c>
      <c r="H950" t="s">
        <v>43</v>
      </c>
      <c r="I950" s="8" t="str">
        <f>IF(Tabla2[[#This Row],[precio_unitario]]&lt;=30,"Económico",IF(Tabla2[[#This Row],[precio_unitario]]&lt;=58.49,"Accesible","Caro"))</f>
        <v>Accesible</v>
      </c>
      <c r="J950" t="s">
        <v>44</v>
      </c>
      <c r="K950">
        <v>4</v>
      </c>
      <c r="L950" s="19">
        <v>50.73</v>
      </c>
      <c r="M950" s="19">
        <v>22.34</v>
      </c>
      <c r="N950" s="11">
        <v>0</v>
      </c>
      <c r="O950" s="17">
        <f t="shared" si="59"/>
        <v>202.92</v>
      </c>
      <c r="P950" s="17">
        <f t="shared" si="56"/>
        <v>89.36</v>
      </c>
      <c r="Q950" s="17">
        <f t="shared" si="57"/>
        <v>113.55999999999999</v>
      </c>
      <c r="R950" s="24">
        <f t="shared" si="58"/>
        <v>0.55962941060516458</v>
      </c>
      <c r="S950" t="s">
        <v>540</v>
      </c>
      <c r="T950" t="s">
        <v>60</v>
      </c>
    </row>
    <row r="951" spans="1:20" hidden="1">
      <c r="A951" t="s">
        <v>1022</v>
      </c>
      <c r="B951" s="14">
        <v>45622</v>
      </c>
      <c r="C951" s="8">
        <f>YEAR(Tabla2[[#This Row],[fecha]])</f>
        <v>2024</v>
      </c>
      <c r="D951" s="8">
        <f>MONTH(Tabla2[[#This Row],[fecha]])</f>
        <v>11</v>
      </c>
      <c r="E951" s="8" t="str">
        <f>TEXT(Tabla2[[#This Row],[fecha]], "mmmm")</f>
        <v>noviembre</v>
      </c>
      <c r="F951" s="8" t="str">
        <f>"T"&amp;ROUNDUP(Tabla2[[#This Row],[mes]]/3,0)</f>
        <v>T4</v>
      </c>
      <c r="G951" t="s">
        <v>9</v>
      </c>
      <c r="H951" t="s">
        <v>10</v>
      </c>
      <c r="I951" s="8" t="str">
        <f>IF(Tabla2[[#This Row],[precio_unitario]]&lt;=30,"Económico",IF(Tabla2[[#This Row],[precio_unitario]]&lt;=58.49,"Accesible","Caro"))</f>
        <v>Caro</v>
      </c>
      <c r="J951" t="s">
        <v>8</v>
      </c>
      <c r="K951">
        <v>1</v>
      </c>
      <c r="L951" s="19">
        <v>73.41</v>
      </c>
      <c r="M951" s="19">
        <v>46.58</v>
      </c>
      <c r="N951" s="11">
        <v>0</v>
      </c>
      <c r="O951" s="17">
        <f t="shared" si="59"/>
        <v>73.41</v>
      </c>
      <c r="P951" s="17">
        <f t="shared" si="56"/>
        <v>46.58</v>
      </c>
      <c r="Q951" s="17">
        <f t="shared" si="57"/>
        <v>26.83</v>
      </c>
      <c r="R951" s="24">
        <f t="shared" si="58"/>
        <v>0.36548154202424737</v>
      </c>
      <c r="S951" t="s">
        <v>540</v>
      </c>
      <c r="T951" t="s">
        <v>64</v>
      </c>
    </row>
    <row r="952" spans="1:20" hidden="1">
      <c r="A952" t="s">
        <v>1023</v>
      </c>
      <c r="B952" s="5">
        <v>45575</v>
      </c>
      <c r="C952" s="8">
        <f>YEAR(Tabla2[[#This Row],[fecha]])</f>
        <v>2024</v>
      </c>
      <c r="D952" s="8">
        <f>MONTH(Tabla2[[#This Row],[fecha]])</f>
        <v>10</v>
      </c>
      <c r="E952" s="8" t="str">
        <f>TEXT(Tabla2[[#This Row],[fecha]], "mmmm")</f>
        <v>octubre</v>
      </c>
      <c r="F952" s="8" t="str">
        <f>"T"&amp;ROUNDUP(Tabla2[[#This Row],[mes]]/3,0)</f>
        <v>T4</v>
      </c>
      <c r="G952" t="s">
        <v>13</v>
      </c>
      <c r="H952" t="s">
        <v>14</v>
      </c>
      <c r="I952" s="8" t="str">
        <f>IF(Tabla2[[#This Row],[precio_unitario]]&lt;=30,"Económico",IF(Tabla2[[#This Row],[precio_unitario]]&lt;=58.49,"Accesible","Caro"))</f>
        <v>Caro</v>
      </c>
      <c r="J952" t="s">
        <v>8</v>
      </c>
      <c r="K952">
        <v>1</v>
      </c>
      <c r="L952" s="19">
        <v>168.56</v>
      </c>
      <c r="M952" s="19">
        <v>104.63</v>
      </c>
      <c r="N952" s="13">
        <v>0</v>
      </c>
      <c r="O952" s="17">
        <f t="shared" si="59"/>
        <v>168.56</v>
      </c>
      <c r="P952" s="17">
        <f t="shared" si="56"/>
        <v>104.63</v>
      </c>
      <c r="Q952" s="17">
        <f t="shared" si="57"/>
        <v>63.930000000000007</v>
      </c>
      <c r="R952" s="24">
        <f t="shared" si="58"/>
        <v>0.3792714760322734</v>
      </c>
      <c r="S952" t="s">
        <v>67</v>
      </c>
      <c r="T952" t="s">
        <v>60</v>
      </c>
    </row>
    <row r="953" spans="1:20" hidden="1">
      <c r="A953" t="s">
        <v>1024</v>
      </c>
      <c r="B953" s="5">
        <v>45987</v>
      </c>
      <c r="C953" s="8">
        <f>YEAR(Tabla2[[#This Row],[fecha]])</f>
        <v>2025</v>
      </c>
      <c r="D953" s="8">
        <f>MONTH(Tabla2[[#This Row],[fecha]])</f>
        <v>11</v>
      </c>
      <c r="E953" s="8" t="str">
        <f>TEXT(Tabla2[[#This Row],[fecha]], "mmmm")</f>
        <v>noviembre</v>
      </c>
      <c r="F953" s="8" t="str">
        <f>"T"&amp;ROUNDUP(Tabla2[[#This Row],[mes]]/3,0)</f>
        <v>T4</v>
      </c>
      <c r="G953" t="s">
        <v>33</v>
      </c>
      <c r="H953" t="s">
        <v>34</v>
      </c>
      <c r="I953" s="8" t="str">
        <f>IF(Tabla2[[#This Row],[precio_unitario]]&lt;=30,"Económico",IF(Tabla2[[#This Row],[precio_unitario]]&lt;=58.49,"Accesible","Caro"))</f>
        <v>Caro</v>
      </c>
      <c r="J953" t="s">
        <v>35</v>
      </c>
      <c r="K953">
        <v>1</v>
      </c>
      <c r="L953" s="19">
        <v>80.09</v>
      </c>
      <c r="M953" s="19">
        <v>46.15</v>
      </c>
      <c r="N953" s="13">
        <v>0</v>
      </c>
      <c r="O953" s="17">
        <f t="shared" si="59"/>
        <v>80.09</v>
      </c>
      <c r="P953" s="17">
        <f t="shared" si="56"/>
        <v>46.15</v>
      </c>
      <c r="Q953" s="17">
        <f t="shared" si="57"/>
        <v>33.940000000000005</v>
      </c>
      <c r="R953" s="24">
        <f t="shared" si="58"/>
        <v>0.42377325508802599</v>
      </c>
      <c r="S953" t="s">
        <v>540</v>
      </c>
      <c r="T953" t="s">
        <v>64</v>
      </c>
    </row>
    <row r="954" spans="1:20">
      <c r="A954" t="s">
        <v>1025</v>
      </c>
      <c r="B954" s="5">
        <v>45811</v>
      </c>
      <c r="C954" s="8">
        <f>YEAR(Tabla2[[#This Row],[fecha]])</f>
        <v>2025</v>
      </c>
      <c r="D954" s="8">
        <f>MONTH(Tabla2[[#This Row],[fecha]])</f>
        <v>6</v>
      </c>
      <c r="E954" s="8" t="str">
        <f>TEXT(Tabla2[[#This Row],[fecha]], "mmmm")</f>
        <v>junio</v>
      </c>
      <c r="F954" s="8" t="str">
        <f>"T"&amp;ROUNDUP(Tabla2[[#This Row],[mes]]/3,0)</f>
        <v>T2</v>
      </c>
      <c r="G954" t="s">
        <v>31</v>
      </c>
      <c r="H954" t="s">
        <v>32</v>
      </c>
      <c r="I954" s="8" t="str">
        <f>IF(Tabla2[[#This Row],[precio_unitario]]&lt;=30,"Económico",IF(Tabla2[[#This Row],[precio_unitario]]&lt;=58.49,"Accesible","Caro"))</f>
        <v>Económico</v>
      </c>
      <c r="J954" t="s">
        <v>26</v>
      </c>
      <c r="K954">
        <v>4</v>
      </c>
      <c r="L954" s="19">
        <v>8.4499999999999993</v>
      </c>
      <c r="M954" s="19">
        <v>5.75</v>
      </c>
      <c r="N954" s="11">
        <v>0</v>
      </c>
      <c r="O954" s="17">
        <f t="shared" si="59"/>
        <v>33.799999999999997</v>
      </c>
      <c r="P954" s="17">
        <f t="shared" si="56"/>
        <v>23</v>
      </c>
      <c r="Q954" s="17">
        <f t="shared" si="57"/>
        <v>10.799999999999997</v>
      </c>
      <c r="R954" s="24">
        <f t="shared" si="58"/>
        <v>0.31952662721893488</v>
      </c>
      <c r="S954" t="s">
        <v>67</v>
      </c>
      <c r="T954" t="s">
        <v>60</v>
      </c>
    </row>
    <row r="955" spans="1:20" hidden="1">
      <c r="A955" t="s">
        <v>1026</v>
      </c>
      <c r="B955" s="5">
        <v>45325</v>
      </c>
      <c r="C955" s="8">
        <f>YEAR(Tabla2[[#This Row],[fecha]])</f>
        <v>2024</v>
      </c>
      <c r="D955" s="8">
        <f>MONTH(Tabla2[[#This Row],[fecha]])</f>
        <v>2</v>
      </c>
      <c r="E955" s="8" t="str">
        <f>TEXT(Tabla2[[#This Row],[fecha]], "mmmm")</f>
        <v>febrero</v>
      </c>
      <c r="F955" s="8" t="str">
        <f>"T"&amp;ROUNDUP(Tabla2[[#This Row],[mes]]/3,0)</f>
        <v>T1</v>
      </c>
      <c r="G955" t="s">
        <v>27</v>
      </c>
      <c r="H955" t="s">
        <v>28</v>
      </c>
      <c r="I955" s="8" t="str">
        <f>IF(Tabla2[[#This Row],[precio_unitario]]&lt;=30,"Económico",IF(Tabla2[[#This Row],[precio_unitario]]&lt;=58.49,"Accesible","Caro"))</f>
        <v>Económico</v>
      </c>
      <c r="J955" t="s">
        <v>26</v>
      </c>
      <c r="K955">
        <v>5</v>
      </c>
      <c r="L955" s="19">
        <v>16.829999999999998</v>
      </c>
      <c r="M955" s="19">
        <v>11.92</v>
      </c>
      <c r="N955" s="11">
        <v>0</v>
      </c>
      <c r="O955" s="17">
        <f t="shared" si="59"/>
        <v>84.149999999999991</v>
      </c>
      <c r="P955" s="17">
        <f t="shared" si="56"/>
        <v>59.6</v>
      </c>
      <c r="Q955" s="17">
        <f t="shared" si="57"/>
        <v>24.54999999999999</v>
      </c>
      <c r="R955" s="24">
        <f t="shared" si="58"/>
        <v>0.29174093879976226</v>
      </c>
      <c r="S955" t="s">
        <v>67</v>
      </c>
      <c r="T955" t="s">
        <v>64</v>
      </c>
    </row>
    <row r="956" spans="1:20" hidden="1">
      <c r="A956" t="s">
        <v>1027</v>
      </c>
      <c r="B956" s="5">
        <v>45597</v>
      </c>
      <c r="C956" s="8">
        <f>YEAR(Tabla2[[#This Row],[fecha]])</f>
        <v>2024</v>
      </c>
      <c r="D956" s="8">
        <f>MONTH(Tabla2[[#This Row],[fecha]])</f>
        <v>11</v>
      </c>
      <c r="E956" s="8" t="str">
        <f>TEXT(Tabla2[[#This Row],[fecha]], "mmmm")</f>
        <v>noviembre</v>
      </c>
      <c r="F956" s="8" t="str">
        <f>"T"&amp;ROUNDUP(Tabla2[[#This Row],[mes]]/3,0)</f>
        <v>T4</v>
      </c>
      <c r="G956" t="s">
        <v>15</v>
      </c>
      <c r="H956" t="s">
        <v>16</v>
      </c>
      <c r="I956" s="8" t="str">
        <f>IF(Tabla2[[#This Row],[precio_unitario]]&lt;=30,"Económico",IF(Tabla2[[#This Row],[precio_unitario]]&lt;=58.49,"Accesible","Caro"))</f>
        <v>Accesible</v>
      </c>
      <c r="J956" t="s">
        <v>17</v>
      </c>
      <c r="K956">
        <v>6</v>
      </c>
      <c r="L956" s="19">
        <v>58.46</v>
      </c>
      <c r="M956" s="19">
        <v>43.02</v>
      </c>
      <c r="N956" s="11">
        <v>0</v>
      </c>
      <c r="O956" s="17">
        <f t="shared" si="59"/>
        <v>350.76</v>
      </c>
      <c r="P956" s="17">
        <f t="shared" si="56"/>
        <v>258.12</v>
      </c>
      <c r="Q956" s="17">
        <f t="shared" si="57"/>
        <v>92.639999999999986</v>
      </c>
      <c r="R956" s="24">
        <f t="shared" si="58"/>
        <v>0.26411221347930208</v>
      </c>
      <c r="S956" t="s">
        <v>83</v>
      </c>
      <c r="T956" t="s">
        <v>64</v>
      </c>
    </row>
    <row r="957" spans="1:20" hidden="1">
      <c r="A957" t="s">
        <v>1028</v>
      </c>
      <c r="B957" s="5">
        <v>45442</v>
      </c>
      <c r="C957" s="8">
        <f>YEAR(Tabla2[[#This Row],[fecha]])</f>
        <v>2024</v>
      </c>
      <c r="D957" s="8">
        <f>MONTH(Tabla2[[#This Row],[fecha]])</f>
        <v>5</v>
      </c>
      <c r="E957" s="8" t="str">
        <f>TEXT(Tabla2[[#This Row],[fecha]], "mmmm")</f>
        <v>mayo</v>
      </c>
      <c r="F957" s="8" t="str">
        <f>"T"&amp;ROUNDUP(Tabla2[[#This Row],[mes]]/3,0)</f>
        <v>T2</v>
      </c>
      <c r="G957" t="s">
        <v>45</v>
      </c>
      <c r="H957" t="s">
        <v>46</v>
      </c>
      <c r="I957" s="8" t="str">
        <f>IF(Tabla2[[#This Row],[precio_unitario]]&lt;=30,"Económico",IF(Tabla2[[#This Row],[precio_unitario]]&lt;=58.49,"Accesible","Caro"))</f>
        <v>Accesible</v>
      </c>
      <c r="J957" t="s">
        <v>44</v>
      </c>
      <c r="K957">
        <v>3</v>
      </c>
      <c r="L957" s="20">
        <f>INDEX(Tabla3[precio_venta_recomendado], MATCH(Tabla2[[#This Row],[id_producto]],Tabla3[id_producto]),0)</f>
        <v>30.91</v>
      </c>
      <c r="M957" s="19">
        <v>17.079999999999998</v>
      </c>
      <c r="N957" s="11">
        <v>0</v>
      </c>
      <c r="O957" s="17">
        <f t="shared" si="59"/>
        <v>92.73</v>
      </c>
      <c r="P957" s="17">
        <f t="shared" si="56"/>
        <v>51.239999999999995</v>
      </c>
      <c r="Q957" s="17">
        <f t="shared" si="57"/>
        <v>41.490000000000009</v>
      </c>
      <c r="R957" s="24">
        <f t="shared" si="58"/>
        <v>0.44742801682303468</v>
      </c>
      <c r="S957" t="s">
        <v>67</v>
      </c>
      <c r="T957" t="s">
        <v>64</v>
      </c>
    </row>
    <row r="958" spans="1:20" hidden="1">
      <c r="A958" t="s">
        <v>1029</v>
      </c>
      <c r="B958" s="5">
        <v>45294</v>
      </c>
      <c r="C958" s="8">
        <f>YEAR(Tabla2[[#This Row],[fecha]])</f>
        <v>2024</v>
      </c>
      <c r="D958" s="8">
        <f>MONTH(Tabla2[[#This Row],[fecha]])</f>
        <v>1</v>
      </c>
      <c r="E958" s="8" t="str">
        <f>TEXT(Tabla2[[#This Row],[fecha]], "mmmm")</f>
        <v>enero</v>
      </c>
      <c r="F958" s="8" t="str">
        <f>"T"&amp;ROUNDUP(Tabla2[[#This Row],[mes]]/3,0)</f>
        <v>T1</v>
      </c>
      <c r="G958" t="s">
        <v>22</v>
      </c>
      <c r="H958" t="s">
        <v>23</v>
      </c>
      <c r="I958" s="8" t="str">
        <f>IF(Tabla2[[#This Row],[precio_unitario]]&lt;=30,"Económico",IF(Tabla2[[#This Row],[precio_unitario]]&lt;=58.49,"Accesible","Caro"))</f>
        <v>Caro</v>
      </c>
      <c r="J958" t="s">
        <v>17</v>
      </c>
      <c r="K958">
        <v>1</v>
      </c>
      <c r="L958" s="19">
        <v>102.52</v>
      </c>
      <c r="M958" s="19">
        <v>60.05</v>
      </c>
      <c r="N958" s="11">
        <v>0</v>
      </c>
      <c r="O958" s="17">
        <f t="shared" si="59"/>
        <v>102.52</v>
      </c>
      <c r="P958" s="17">
        <f t="shared" si="56"/>
        <v>60.05</v>
      </c>
      <c r="Q958" s="17">
        <f t="shared" si="57"/>
        <v>42.47</v>
      </c>
      <c r="R958" s="24">
        <f t="shared" si="58"/>
        <v>0.41426063207179087</v>
      </c>
      <c r="S958" t="s">
        <v>67</v>
      </c>
      <c r="T958" t="s">
        <v>60</v>
      </c>
    </row>
    <row r="959" spans="1:20" hidden="1">
      <c r="A959" t="s">
        <v>1030</v>
      </c>
      <c r="B959" s="5">
        <v>45943</v>
      </c>
      <c r="C959" s="8">
        <f>YEAR(Tabla2[[#This Row],[fecha]])</f>
        <v>2025</v>
      </c>
      <c r="D959" s="8">
        <f>MONTH(Tabla2[[#This Row],[fecha]])</f>
        <v>10</v>
      </c>
      <c r="E959" s="8" t="str">
        <f>TEXT(Tabla2[[#This Row],[fecha]], "mmmm")</f>
        <v>octubre</v>
      </c>
      <c r="F959" s="8" t="str">
        <f>"T"&amp;ROUNDUP(Tabla2[[#This Row],[mes]]/3,0)</f>
        <v>T4</v>
      </c>
      <c r="G959" t="s">
        <v>40</v>
      </c>
      <c r="H959" t="s">
        <v>41</v>
      </c>
      <c r="I959" s="8" t="str">
        <f>IF(Tabla2[[#This Row],[precio_unitario]]&lt;=30,"Económico",IF(Tabla2[[#This Row],[precio_unitario]]&lt;=58.49,"Accesible","Caro"))</f>
        <v>Caro</v>
      </c>
      <c r="J959" t="s">
        <v>35</v>
      </c>
      <c r="K959">
        <v>1</v>
      </c>
      <c r="L959" s="19">
        <v>81.53</v>
      </c>
      <c r="M959" s="19">
        <v>39.49</v>
      </c>
      <c r="N959" s="13">
        <v>0</v>
      </c>
      <c r="O959" s="17">
        <f t="shared" si="59"/>
        <v>81.53</v>
      </c>
      <c r="P959" s="17">
        <f t="shared" si="56"/>
        <v>39.49</v>
      </c>
      <c r="Q959" s="17">
        <f t="shared" si="57"/>
        <v>42.04</v>
      </c>
      <c r="R959" s="24">
        <f t="shared" si="58"/>
        <v>0.51563841530724885</v>
      </c>
      <c r="S959" t="s">
        <v>540</v>
      </c>
      <c r="T959" t="s">
        <v>64</v>
      </c>
    </row>
    <row r="960" spans="1:20" hidden="1">
      <c r="A960" t="s">
        <v>1031</v>
      </c>
      <c r="B960" s="5">
        <v>45516</v>
      </c>
      <c r="C960" s="8">
        <f>YEAR(Tabla2[[#This Row],[fecha]])</f>
        <v>2024</v>
      </c>
      <c r="D960" s="8">
        <f>MONTH(Tabla2[[#This Row],[fecha]])</f>
        <v>8</v>
      </c>
      <c r="E960" s="8" t="str">
        <f>TEXT(Tabla2[[#This Row],[fecha]], "mmmm")</f>
        <v>agosto</v>
      </c>
      <c r="F960" s="8" t="str">
        <f>"T"&amp;ROUNDUP(Tabla2[[#This Row],[mes]]/3,0)</f>
        <v>T3</v>
      </c>
      <c r="G960" t="s">
        <v>40</v>
      </c>
      <c r="H960" t="s">
        <v>41</v>
      </c>
      <c r="I960" s="8" t="str">
        <f>IF(Tabla2[[#This Row],[precio_unitario]]&lt;=30,"Económico",IF(Tabla2[[#This Row],[precio_unitario]]&lt;=58.49,"Accesible","Caro"))</f>
        <v>Caro</v>
      </c>
      <c r="J960" t="s">
        <v>35</v>
      </c>
      <c r="K960">
        <v>5</v>
      </c>
      <c r="L960" s="19">
        <v>75.25</v>
      </c>
      <c r="M960" s="19">
        <v>40.93</v>
      </c>
      <c r="N960" s="13">
        <v>0</v>
      </c>
      <c r="O960" s="17">
        <f t="shared" si="59"/>
        <v>376.25</v>
      </c>
      <c r="P960" s="17">
        <f t="shared" si="56"/>
        <v>204.65</v>
      </c>
      <c r="Q960" s="17">
        <f t="shared" si="57"/>
        <v>171.6</v>
      </c>
      <c r="R960" s="24">
        <f t="shared" si="58"/>
        <v>0.45607973421926906</v>
      </c>
      <c r="S960" t="s">
        <v>96</v>
      </c>
      <c r="T960" t="s">
        <v>64</v>
      </c>
    </row>
    <row r="961" spans="1:20" hidden="1">
      <c r="A961" t="s">
        <v>1032</v>
      </c>
      <c r="B961" s="5">
        <v>45406</v>
      </c>
      <c r="C961" s="8">
        <f>YEAR(Tabla2[[#This Row],[fecha]])</f>
        <v>2024</v>
      </c>
      <c r="D961" s="8">
        <f>MONTH(Tabla2[[#This Row],[fecha]])</f>
        <v>4</v>
      </c>
      <c r="E961" s="8" t="str">
        <f>TEXT(Tabla2[[#This Row],[fecha]], "mmmm")</f>
        <v>abril</v>
      </c>
      <c r="F961" s="8" t="str">
        <f>"T"&amp;ROUNDUP(Tabla2[[#This Row],[mes]]/3,0)</f>
        <v>T2</v>
      </c>
      <c r="G961" t="s">
        <v>6</v>
      </c>
      <c r="H961" t="s">
        <v>7</v>
      </c>
      <c r="I961" s="8" t="str">
        <f>IF(Tabla2[[#This Row],[precio_unitario]]&lt;=30,"Económico",IF(Tabla2[[#This Row],[precio_unitario]]&lt;=58.49,"Accesible","Caro"))</f>
        <v>Caro</v>
      </c>
      <c r="J961" t="s">
        <v>8</v>
      </c>
      <c r="K961">
        <v>8</v>
      </c>
      <c r="L961" s="19">
        <v>115.31</v>
      </c>
      <c r="M961" s="19">
        <v>81.17</v>
      </c>
      <c r="N961" s="11">
        <v>0</v>
      </c>
      <c r="O961" s="17">
        <f t="shared" si="59"/>
        <v>922.48</v>
      </c>
      <c r="P961" s="17">
        <f t="shared" si="56"/>
        <v>649.36</v>
      </c>
      <c r="Q961" s="17">
        <f t="shared" si="57"/>
        <v>273.12</v>
      </c>
      <c r="R961" s="24">
        <f t="shared" si="58"/>
        <v>0.29607145954383834</v>
      </c>
      <c r="S961" t="s">
        <v>67</v>
      </c>
      <c r="T961" t="s">
        <v>64</v>
      </c>
    </row>
    <row r="962" spans="1:20" hidden="1">
      <c r="A962" t="s">
        <v>1033</v>
      </c>
      <c r="B962" s="5">
        <v>45602</v>
      </c>
      <c r="C962" s="8">
        <f>YEAR(Tabla2[[#This Row],[fecha]])</f>
        <v>2024</v>
      </c>
      <c r="D962" s="8">
        <f>MONTH(Tabla2[[#This Row],[fecha]])</f>
        <v>11</v>
      </c>
      <c r="E962" s="8" t="str">
        <f>TEXT(Tabla2[[#This Row],[fecha]], "mmmm")</f>
        <v>noviembre</v>
      </c>
      <c r="F962" s="8" t="str">
        <f>"T"&amp;ROUNDUP(Tabla2[[#This Row],[mes]]/3,0)</f>
        <v>T4</v>
      </c>
      <c r="G962" t="s">
        <v>33</v>
      </c>
      <c r="H962" t="s">
        <v>34</v>
      </c>
      <c r="I962" s="8" t="str">
        <f>IF(Tabla2[[#This Row],[precio_unitario]]&lt;=30,"Económico",IF(Tabla2[[#This Row],[precio_unitario]]&lt;=58.49,"Accesible","Caro"))</f>
        <v>Caro</v>
      </c>
      <c r="J962" t="s">
        <v>35</v>
      </c>
      <c r="K962">
        <v>1</v>
      </c>
      <c r="L962" s="19">
        <v>70.95</v>
      </c>
      <c r="M962" s="19">
        <v>45.39</v>
      </c>
      <c r="N962" s="11">
        <v>0.1</v>
      </c>
      <c r="O962" s="17">
        <f t="shared" si="59"/>
        <v>63.855000000000004</v>
      </c>
      <c r="P962" s="17">
        <f t="shared" ref="P962:P1025" si="60">M962*K962</f>
        <v>45.39</v>
      </c>
      <c r="Q962" s="17">
        <f t="shared" ref="Q962:Q1025" si="61">O962-P962</f>
        <v>18.465000000000003</v>
      </c>
      <c r="R962" s="24">
        <f t="shared" ref="R962:R1025" si="62">IFERROR(Q962/O962,0)</f>
        <v>0.28917077754287063</v>
      </c>
      <c r="S962" t="s">
        <v>63</v>
      </c>
      <c r="T962" t="s">
        <v>64</v>
      </c>
    </row>
    <row r="963" spans="1:20" hidden="1">
      <c r="A963" t="s">
        <v>1034</v>
      </c>
      <c r="B963" s="5">
        <v>45737</v>
      </c>
      <c r="C963" s="8">
        <f>YEAR(Tabla2[[#This Row],[fecha]])</f>
        <v>2025</v>
      </c>
      <c r="D963" s="8">
        <f>MONTH(Tabla2[[#This Row],[fecha]])</f>
        <v>3</v>
      </c>
      <c r="E963" s="8" t="str">
        <f>TEXT(Tabla2[[#This Row],[fecha]], "mmmm")</f>
        <v>marzo</v>
      </c>
      <c r="F963" s="8" t="str">
        <f>"T"&amp;ROUNDUP(Tabla2[[#This Row],[mes]]/3,0)</f>
        <v>T1</v>
      </c>
      <c r="G963" t="s">
        <v>40</v>
      </c>
      <c r="H963" t="s">
        <v>41</v>
      </c>
      <c r="I963" s="8" t="str">
        <f>IF(Tabla2[[#This Row],[precio_unitario]]&lt;=30,"Económico",IF(Tabla2[[#This Row],[precio_unitario]]&lt;=58.49,"Accesible","Caro"))</f>
        <v>Caro</v>
      </c>
      <c r="J963" t="s">
        <v>35</v>
      </c>
      <c r="K963">
        <v>4</v>
      </c>
      <c r="L963" s="19">
        <v>81.760000000000005</v>
      </c>
      <c r="M963" s="19">
        <v>40.200000000000003</v>
      </c>
      <c r="N963" s="11">
        <v>0</v>
      </c>
      <c r="O963" s="17">
        <f t="shared" ref="O963:O1026" si="63">K963*L963*(1-N963)</f>
        <v>327.04000000000002</v>
      </c>
      <c r="P963" s="17">
        <f t="shared" si="60"/>
        <v>160.80000000000001</v>
      </c>
      <c r="Q963" s="17">
        <f t="shared" si="61"/>
        <v>166.24</v>
      </c>
      <c r="R963" s="24">
        <f t="shared" si="62"/>
        <v>0.5083170254403131</v>
      </c>
      <c r="S963" t="s">
        <v>540</v>
      </c>
      <c r="T963" t="s">
        <v>64</v>
      </c>
    </row>
    <row r="964" spans="1:20" hidden="1">
      <c r="A964" t="s">
        <v>1035</v>
      </c>
      <c r="B964" s="5">
        <v>45578</v>
      </c>
      <c r="C964" s="8">
        <f>YEAR(Tabla2[[#This Row],[fecha]])</f>
        <v>2024</v>
      </c>
      <c r="D964" s="8">
        <f>MONTH(Tabla2[[#This Row],[fecha]])</f>
        <v>10</v>
      </c>
      <c r="E964" s="8" t="str">
        <f>TEXT(Tabla2[[#This Row],[fecha]], "mmmm")</f>
        <v>octubre</v>
      </c>
      <c r="F964" s="8" t="str">
        <f>"T"&amp;ROUNDUP(Tabla2[[#This Row],[mes]]/3,0)</f>
        <v>T4</v>
      </c>
      <c r="G964" t="s">
        <v>45</v>
      </c>
      <c r="H964" t="s">
        <v>46</v>
      </c>
      <c r="I964" s="8" t="str">
        <f>IF(Tabla2[[#This Row],[precio_unitario]]&lt;=30,"Económico",IF(Tabla2[[#This Row],[precio_unitario]]&lt;=58.49,"Accesible","Caro"))</f>
        <v>Económico</v>
      </c>
      <c r="J964" t="s">
        <v>44</v>
      </c>
      <c r="K964">
        <v>4</v>
      </c>
      <c r="L964" s="19">
        <v>28.92</v>
      </c>
      <c r="M964" s="19">
        <v>17.09</v>
      </c>
      <c r="N964" s="11">
        <v>0</v>
      </c>
      <c r="O964" s="17">
        <f t="shared" si="63"/>
        <v>115.68</v>
      </c>
      <c r="P964" s="17">
        <f t="shared" si="60"/>
        <v>68.36</v>
      </c>
      <c r="Q964" s="17">
        <f t="shared" si="61"/>
        <v>47.320000000000007</v>
      </c>
      <c r="R964" s="24">
        <f t="shared" si="62"/>
        <v>0.40905947441217155</v>
      </c>
      <c r="S964" t="s">
        <v>63</v>
      </c>
      <c r="T964" t="s">
        <v>64</v>
      </c>
    </row>
    <row r="965" spans="1:20">
      <c r="A965" t="s">
        <v>1036</v>
      </c>
      <c r="B965" s="5">
        <v>46011</v>
      </c>
      <c r="C965" s="8">
        <f>YEAR(Tabla2[[#This Row],[fecha]])</f>
        <v>2025</v>
      </c>
      <c r="D965" s="8">
        <f>MONTH(Tabla2[[#This Row],[fecha]])</f>
        <v>12</v>
      </c>
      <c r="E965" s="8" t="str">
        <f>TEXT(Tabla2[[#This Row],[fecha]], "mmmm")</f>
        <v>diciembre</v>
      </c>
      <c r="F965" s="8" t="str">
        <f>"T"&amp;ROUNDUP(Tabla2[[#This Row],[mes]]/3,0)</f>
        <v>T4</v>
      </c>
      <c r="G965" t="s">
        <v>22</v>
      </c>
      <c r="H965" t="s">
        <v>23</v>
      </c>
      <c r="I965" s="8" t="str">
        <f>IF(Tabla2[[#This Row],[precio_unitario]]&lt;=30,"Económico",IF(Tabla2[[#This Row],[precio_unitario]]&lt;=58.49,"Accesible","Caro"))</f>
        <v>Caro</v>
      </c>
      <c r="J965" t="s">
        <v>17</v>
      </c>
      <c r="K965">
        <v>1</v>
      </c>
      <c r="L965" s="19">
        <v>100.36</v>
      </c>
      <c r="M965" s="19">
        <v>57.32</v>
      </c>
      <c r="N965" s="11">
        <v>0.08</v>
      </c>
      <c r="O965" s="17">
        <f t="shared" si="63"/>
        <v>92.33120000000001</v>
      </c>
      <c r="P965" s="17">
        <f t="shared" si="60"/>
        <v>57.32</v>
      </c>
      <c r="Q965" s="17">
        <f t="shared" si="61"/>
        <v>35.011200000000009</v>
      </c>
      <c r="R965" s="24">
        <f t="shared" si="62"/>
        <v>0.37919143258183591</v>
      </c>
      <c r="S965" t="s">
        <v>67</v>
      </c>
      <c r="T965" t="s">
        <v>60</v>
      </c>
    </row>
    <row r="966" spans="1:20" hidden="1">
      <c r="A966" t="s">
        <v>1037</v>
      </c>
      <c r="B966" s="5">
        <v>45659</v>
      </c>
      <c r="C966" s="8">
        <f>YEAR(Tabla2[[#This Row],[fecha]])</f>
        <v>2025</v>
      </c>
      <c r="D966" s="8">
        <f>MONTH(Tabla2[[#This Row],[fecha]])</f>
        <v>1</v>
      </c>
      <c r="E966" s="8" t="str">
        <f>TEXT(Tabla2[[#This Row],[fecha]], "mmmm")</f>
        <v>enero</v>
      </c>
      <c r="F966" s="8" t="str">
        <f>"T"&amp;ROUNDUP(Tabla2[[#This Row],[mes]]/3,0)</f>
        <v>T1</v>
      </c>
      <c r="G966" t="s">
        <v>40</v>
      </c>
      <c r="H966" t="s">
        <v>41</v>
      </c>
      <c r="I966" s="8" t="str">
        <f>IF(Tabla2[[#This Row],[precio_unitario]]&lt;=30,"Económico",IF(Tabla2[[#This Row],[precio_unitario]]&lt;=58.49,"Accesible","Caro"))</f>
        <v>Caro</v>
      </c>
      <c r="J966" t="s">
        <v>35</v>
      </c>
      <c r="K966">
        <v>1</v>
      </c>
      <c r="L966" s="19">
        <v>84.99</v>
      </c>
      <c r="M966" s="19">
        <v>39.83</v>
      </c>
      <c r="N966" s="11">
        <v>0.18</v>
      </c>
      <c r="O966" s="17">
        <f t="shared" si="63"/>
        <v>69.691800000000001</v>
      </c>
      <c r="P966" s="17">
        <f t="shared" si="60"/>
        <v>39.83</v>
      </c>
      <c r="Q966" s="17">
        <f t="shared" si="61"/>
        <v>29.861800000000002</v>
      </c>
      <c r="R966" s="24">
        <f t="shared" si="62"/>
        <v>0.42848369535583819</v>
      </c>
      <c r="S966" t="s">
        <v>63</v>
      </c>
      <c r="T966" t="s">
        <v>60</v>
      </c>
    </row>
    <row r="967" spans="1:20" hidden="1">
      <c r="A967" t="s">
        <v>1038</v>
      </c>
      <c r="B967" s="5">
        <v>45861</v>
      </c>
      <c r="C967" s="8">
        <f>YEAR(Tabla2[[#This Row],[fecha]])</f>
        <v>2025</v>
      </c>
      <c r="D967" s="8">
        <f>MONTH(Tabla2[[#This Row],[fecha]])</f>
        <v>7</v>
      </c>
      <c r="E967" s="8" t="str">
        <f>TEXT(Tabla2[[#This Row],[fecha]], "mmmm")</f>
        <v>julio</v>
      </c>
      <c r="F967" s="8" t="str">
        <f>"T"&amp;ROUNDUP(Tabla2[[#This Row],[mes]]/3,0)</f>
        <v>T3</v>
      </c>
      <c r="G967" t="s">
        <v>27</v>
      </c>
      <c r="H967" t="s">
        <v>28</v>
      </c>
      <c r="I967" s="8" t="str">
        <f>IF(Tabla2[[#This Row],[precio_unitario]]&lt;=30,"Económico",IF(Tabla2[[#This Row],[precio_unitario]]&lt;=58.49,"Accesible","Caro"))</f>
        <v>Económico</v>
      </c>
      <c r="J967" t="s">
        <v>26</v>
      </c>
      <c r="K967">
        <v>2</v>
      </c>
      <c r="L967" s="19">
        <v>16.02</v>
      </c>
      <c r="M967" s="19">
        <v>11.95</v>
      </c>
      <c r="N967" s="13">
        <v>0</v>
      </c>
      <c r="O967" s="17">
        <f t="shared" si="63"/>
        <v>32.04</v>
      </c>
      <c r="P967" s="17">
        <f t="shared" si="60"/>
        <v>23.9</v>
      </c>
      <c r="Q967" s="17">
        <f t="shared" si="61"/>
        <v>8.14</v>
      </c>
      <c r="R967" s="24">
        <f t="shared" si="62"/>
        <v>0.2540574282147316</v>
      </c>
      <c r="S967" t="s">
        <v>63</v>
      </c>
      <c r="T967" t="s">
        <v>64</v>
      </c>
    </row>
    <row r="968" spans="1:20">
      <c r="A968" t="s">
        <v>1039</v>
      </c>
      <c r="B968" s="5">
        <v>45678</v>
      </c>
      <c r="C968" s="8">
        <f>YEAR(Tabla2[[#This Row],[fecha]])</f>
        <v>2025</v>
      </c>
      <c r="D968" s="8">
        <f>MONTH(Tabla2[[#This Row],[fecha]])</f>
        <v>1</v>
      </c>
      <c r="E968" s="8" t="str">
        <f>TEXT(Tabla2[[#This Row],[fecha]], "mmmm")</f>
        <v>enero</v>
      </c>
      <c r="F968" s="8" t="str">
        <f>"T"&amp;ROUNDUP(Tabla2[[#This Row],[mes]]/3,0)</f>
        <v>T1</v>
      </c>
      <c r="G968" t="s">
        <v>15</v>
      </c>
      <c r="H968" t="s">
        <v>16</v>
      </c>
      <c r="I968" s="8" t="str">
        <f>IF(Tabla2[[#This Row],[precio_unitario]]&lt;=30,"Económico",IF(Tabla2[[#This Row],[precio_unitario]]&lt;=58.49,"Accesible","Caro"))</f>
        <v>Accesible</v>
      </c>
      <c r="J968" t="s">
        <v>17</v>
      </c>
      <c r="K968">
        <v>5</v>
      </c>
      <c r="L968" s="19">
        <v>56.27</v>
      </c>
      <c r="M968" s="19">
        <v>42.25</v>
      </c>
      <c r="N968" s="11">
        <v>0.2</v>
      </c>
      <c r="O968" s="17">
        <f t="shared" si="63"/>
        <v>225.08000000000004</v>
      </c>
      <c r="P968" s="17">
        <f t="shared" si="60"/>
        <v>211.25</v>
      </c>
      <c r="Q968" s="17">
        <f t="shared" si="61"/>
        <v>13.830000000000041</v>
      </c>
      <c r="R968" s="24">
        <f t="shared" si="62"/>
        <v>6.1444819619690949E-2</v>
      </c>
      <c r="S968" t="s">
        <v>67</v>
      </c>
      <c r="T968" t="s">
        <v>64</v>
      </c>
    </row>
    <row r="969" spans="1:20" hidden="1">
      <c r="A969" t="s">
        <v>1040</v>
      </c>
      <c r="B969" s="5">
        <v>45496</v>
      </c>
      <c r="C969" s="8">
        <f>YEAR(Tabla2[[#This Row],[fecha]])</f>
        <v>2024</v>
      </c>
      <c r="D969" s="8">
        <f>MONTH(Tabla2[[#This Row],[fecha]])</f>
        <v>7</v>
      </c>
      <c r="E969" s="8" t="str">
        <f>TEXT(Tabla2[[#This Row],[fecha]], "mmmm")</f>
        <v>julio</v>
      </c>
      <c r="F969" s="8" t="str">
        <f>"T"&amp;ROUNDUP(Tabla2[[#This Row],[mes]]/3,0)</f>
        <v>T3</v>
      </c>
      <c r="G969" t="s">
        <v>45</v>
      </c>
      <c r="H969" t="s">
        <v>46</v>
      </c>
      <c r="I969" s="8" t="str">
        <f>IF(Tabla2[[#This Row],[precio_unitario]]&lt;=30,"Económico",IF(Tabla2[[#This Row],[precio_unitario]]&lt;=58.49,"Accesible","Caro"))</f>
        <v>Accesible</v>
      </c>
      <c r="J969" t="s">
        <v>44</v>
      </c>
      <c r="K969">
        <v>1</v>
      </c>
      <c r="L969" s="19">
        <v>32.07</v>
      </c>
      <c r="M969" s="19">
        <v>16.78</v>
      </c>
      <c r="N969" s="13">
        <v>0</v>
      </c>
      <c r="O969" s="17">
        <f t="shared" si="63"/>
        <v>32.07</v>
      </c>
      <c r="P969" s="17">
        <f t="shared" si="60"/>
        <v>16.78</v>
      </c>
      <c r="Q969" s="17">
        <f t="shared" si="61"/>
        <v>15.29</v>
      </c>
      <c r="R969" s="24">
        <f t="shared" si="62"/>
        <v>0.47676956657312125</v>
      </c>
      <c r="S969" t="s">
        <v>63</v>
      </c>
      <c r="T969" t="s">
        <v>64</v>
      </c>
    </row>
    <row r="970" spans="1:20" hidden="1">
      <c r="A970" t="s">
        <v>1041</v>
      </c>
      <c r="B970" s="5">
        <v>45582</v>
      </c>
      <c r="C970" s="8">
        <f>YEAR(Tabla2[[#This Row],[fecha]])</f>
        <v>2024</v>
      </c>
      <c r="D970" s="8">
        <f>MONTH(Tabla2[[#This Row],[fecha]])</f>
        <v>10</v>
      </c>
      <c r="E970" s="8" t="str">
        <f>TEXT(Tabla2[[#This Row],[fecha]], "mmmm")</f>
        <v>octubre</v>
      </c>
      <c r="F970" s="8" t="str">
        <f>"T"&amp;ROUNDUP(Tabla2[[#This Row],[mes]]/3,0)</f>
        <v>T4</v>
      </c>
      <c r="G970" t="s">
        <v>42</v>
      </c>
      <c r="H970" t="s">
        <v>43</v>
      </c>
      <c r="I970" s="8" t="str">
        <f>IF(Tabla2[[#This Row],[precio_unitario]]&lt;=30,"Económico",IF(Tabla2[[#This Row],[precio_unitario]]&lt;=58.49,"Accesible","Caro"))</f>
        <v>Accesible</v>
      </c>
      <c r="J970" t="s">
        <v>44</v>
      </c>
      <c r="K970">
        <v>1</v>
      </c>
      <c r="L970" s="19">
        <v>47.82</v>
      </c>
      <c r="M970" s="21">
        <f>INDEX(Tabla3[coste_objetivo], MATCH(Tabla2[[#This Row],[id_producto]], Tabla3[id_producto],0))</f>
        <v>22.69</v>
      </c>
      <c r="N970" s="11">
        <v>0</v>
      </c>
      <c r="O970" s="17">
        <f t="shared" si="63"/>
        <v>47.82</v>
      </c>
      <c r="P970" s="17">
        <f t="shared" si="60"/>
        <v>22.69</v>
      </c>
      <c r="Q970" s="17">
        <f t="shared" si="61"/>
        <v>25.13</v>
      </c>
      <c r="R970" s="24">
        <f t="shared" si="62"/>
        <v>0.52551233793391883</v>
      </c>
      <c r="S970" t="s">
        <v>101</v>
      </c>
      <c r="T970" t="s">
        <v>60</v>
      </c>
    </row>
    <row r="971" spans="1:20">
      <c r="A971" t="s">
        <v>1042</v>
      </c>
      <c r="B971" s="5">
        <v>45960</v>
      </c>
      <c r="C971" s="8">
        <f>YEAR(Tabla2[[#This Row],[fecha]])</f>
        <v>2025</v>
      </c>
      <c r="D971" s="8">
        <f>MONTH(Tabla2[[#This Row],[fecha]])</f>
        <v>10</v>
      </c>
      <c r="E971" s="8" t="str">
        <f>TEXT(Tabla2[[#This Row],[fecha]], "mmmm")</f>
        <v>octubre</v>
      </c>
      <c r="F971" s="8" t="str">
        <f>"T"&amp;ROUNDUP(Tabla2[[#This Row],[mes]]/3,0)</f>
        <v>T4</v>
      </c>
      <c r="G971" t="s">
        <v>15</v>
      </c>
      <c r="H971" t="s">
        <v>16</v>
      </c>
      <c r="I971" s="8" t="str">
        <f>IF(Tabla2[[#This Row],[precio_unitario]]&lt;=30,"Económico",IF(Tabla2[[#This Row],[precio_unitario]]&lt;=58.49,"Accesible","Caro"))</f>
        <v>Caro</v>
      </c>
      <c r="J971" t="s">
        <v>17</v>
      </c>
      <c r="K971">
        <v>1</v>
      </c>
      <c r="L971" s="19">
        <v>58.63</v>
      </c>
      <c r="M971" s="19">
        <v>39.25</v>
      </c>
      <c r="N971" s="13">
        <v>0</v>
      </c>
      <c r="O971" s="17">
        <f t="shared" si="63"/>
        <v>58.63</v>
      </c>
      <c r="P971" s="17">
        <f t="shared" si="60"/>
        <v>39.25</v>
      </c>
      <c r="Q971" s="17">
        <f t="shared" si="61"/>
        <v>19.380000000000003</v>
      </c>
      <c r="R971" s="24">
        <f t="shared" si="62"/>
        <v>0.33054750127920862</v>
      </c>
      <c r="S971" t="s">
        <v>67</v>
      </c>
      <c r="T971" t="s">
        <v>64</v>
      </c>
    </row>
    <row r="972" spans="1:20">
      <c r="A972" t="s">
        <v>1043</v>
      </c>
      <c r="B972" s="5">
        <v>45820</v>
      </c>
      <c r="C972" s="8">
        <f>YEAR(Tabla2[[#This Row],[fecha]])</f>
        <v>2025</v>
      </c>
      <c r="D972" s="8">
        <f>MONTH(Tabla2[[#This Row],[fecha]])</f>
        <v>6</v>
      </c>
      <c r="E972" s="8" t="str">
        <f>TEXT(Tabla2[[#This Row],[fecha]], "mmmm")</f>
        <v>junio</v>
      </c>
      <c r="F972" s="8" t="str">
        <f>"T"&amp;ROUNDUP(Tabla2[[#This Row],[mes]]/3,0)</f>
        <v>T2</v>
      </c>
      <c r="G972" t="s">
        <v>22</v>
      </c>
      <c r="H972" t="s">
        <v>23</v>
      </c>
      <c r="I972" s="8" t="str">
        <f>IF(Tabla2[[#This Row],[precio_unitario]]&lt;=30,"Económico",IF(Tabla2[[#This Row],[precio_unitario]]&lt;=58.49,"Accesible","Caro"))</f>
        <v>Caro</v>
      </c>
      <c r="J972" t="s">
        <v>17</v>
      </c>
      <c r="K972">
        <v>3</v>
      </c>
      <c r="L972" s="19">
        <v>98.22</v>
      </c>
      <c r="M972" s="19">
        <v>56.92</v>
      </c>
      <c r="N972" s="11">
        <v>0.21</v>
      </c>
      <c r="O972" s="17">
        <f t="shared" si="63"/>
        <v>232.78139999999999</v>
      </c>
      <c r="P972" s="17">
        <f t="shared" si="60"/>
        <v>170.76</v>
      </c>
      <c r="Q972" s="17">
        <f t="shared" si="61"/>
        <v>62.0214</v>
      </c>
      <c r="R972" s="24">
        <f t="shared" si="62"/>
        <v>0.26643623588482584</v>
      </c>
      <c r="S972" t="s">
        <v>67</v>
      </c>
      <c r="T972" t="s">
        <v>60</v>
      </c>
    </row>
    <row r="973" spans="1:20" hidden="1">
      <c r="A973" t="s">
        <v>1044</v>
      </c>
      <c r="B973" s="5">
        <v>45718</v>
      </c>
      <c r="C973" s="8">
        <f>YEAR(Tabla2[[#This Row],[fecha]])</f>
        <v>2025</v>
      </c>
      <c r="D973" s="8">
        <f>MONTH(Tabla2[[#This Row],[fecha]])</f>
        <v>3</v>
      </c>
      <c r="E973" s="8" t="str">
        <f>TEXT(Tabla2[[#This Row],[fecha]], "mmmm")</f>
        <v>marzo</v>
      </c>
      <c r="F973" s="8" t="str">
        <f>"T"&amp;ROUNDUP(Tabla2[[#This Row],[mes]]/3,0)</f>
        <v>T1</v>
      </c>
      <c r="G973" t="s">
        <v>33</v>
      </c>
      <c r="H973" t="s">
        <v>34</v>
      </c>
      <c r="I973" s="8" t="str">
        <f>IF(Tabla2[[#This Row],[precio_unitario]]&lt;=30,"Económico",IF(Tabla2[[#This Row],[precio_unitario]]&lt;=58.49,"Accesible","Caro"))</f>
        <v>Caro</v>
      </c>
      <c r="J973" t="s">
        <v>35</v>
      </c>
      <c r="K973">
        <v>5</v>
      </c>
      <c r="L973" s="19">
        <v>80.489999999999995</v>
      </c>
      <c r="M973" s="19">
        <v>49.26</v>
      </c>
      <c r="N973" s="11">
        <v>0</v>
      </c>
      <c r="O973" s="17">
        <f t="shared" si="63"/>
        <v>402.45</v>
      </c>
      <c r="P973" s="17">
        <f t="shared" si="60"/>
        <v>246.29999999999998</v>
      </c>
      <c r="Q973" s="17">
        <f t="shared" si="61"/>
        <v>156.15</v>
      </c>
      <c r="R973" s="24">
        <f t="shared" si="62"/>
        <v>0.38799850913156919</v>
      </c>
      <c r="S973" t="s">
        <v>96</v>
      </c>
      <c r="T973" t="s">
        <v>64</v>
      </c>
    </row>
    <row r="974" spans="1:20">
      <c r="A974" t="s">
        <v>1045</v>
      </c>
      <c r="B974" s="5">
        <v>45992</v>
      </c>
      <c r="C974" s="8">
        <f>YEAR(Tabla2[[#This Row],[fecha]])</f>
        <v>2025</v>
      </c>
      <c r="D974" s="8">
        <f>MONTH(Tabla2[[#This Row],[fecha]])</f>
        <v>12</v>
      </c>
      <c r="E974" s="8" t="str">
        <f>TEXT(Tabla2[[#This Row],[fecha]], "mmmm")</f>
        <v>diciembre</v>
      </c>
      <c r="F974" s="8" t="str">
        <f>"T"&amp;ROUNDUP(Tabla2[[#This Row],[mes]]/3,0)</f>
        <v>T4</v>
      </c>
      <c r="G974" t="s">
        <v>49</v>
      </c>
      <c r="H974" t="s">
        <v>50</v>
      </c>
      <c r="I974" s="8" t="str">
        <f>IF(Tabla2[[#This Row],[precio_unitario]]&lt;=30,"Económico",IF(Tabla2[[#This Row],[precio_unitario]]&lt;=58.49,"Accesible","Caro"))</f>
        <v>Caro</v>
      </c>
      <c r="J974" t="s">
        <v>44</v>
      </c>
      <c r="K974">
        <v>2</v>
      </c>
      <c r="L974" s="19">
        <v>64.650000000000006</v>
      </c>
      <c r="M974" s="19">
        <v>34.32</v>
      </c>
      <c r="N974" s="11">
        <v>0</v>
      </c>
      <c r="O974" s="17">
        <f t="shared" si="63"/>
        <v>129.30000000000001</v>
      </c>
      <c r="P974" s="17">
        <f t="shared" si="60"/>
        <v>68.64</v>
      </c>
      <c r="Q974" s="17">
        <f t="shared" si="61"/>
        <v>60.660000000000011</v>
      </c>
      <c r="R974" s="24">
        <f t="shared" si="62"/>
        <v>0.46914153132250586</v>
      </c>
      <c r="S974" t="s">
        <v>67</v>
      </c>
      <c r="T974" t="s">
        <v>64</v>
      </c>
    </row>
    <row r="975" spans="1:20" hidden="1">
      <c r="A975" t="s">
        <v>1046</v>
      </c>
      <c r="B975" s="5">
        <v>45625</v>
      </c>
      <c r="C975" s="8">
        <f>YEAR(Tabla2[[#This Row],[fecha]])</f>
        <v>2024</v>
      </c>
      <c r="D975" s="8">
        <f>MONTH(Tabla2[[#This Row],[fecha]])</f>
        <v>11</v>
      </c>
      <c r="E975" s="8" t="str">
        <f>TEXT(Tabla2[[#This Row],[fecha]], "mmmm")</f>
        <v>noviembre</v>
      </c>
      <c r="F975" s="8" t="str">
        <f>"T"&amp;ROUNDUP(Tabla2[[#This Row],[mes]]/3,0)</f>
        <v>T4</v>
      </c>
      <c r="G975" t="s">
        <v>38</v>
      </c>
      <c r="H975" t="s">
        <v>39</v>
      </c>
      <c r="I975" s="8" t="str">
        <f>IF(Tabla2[[#This Row],[precio_unitario]]&lt;=30,"Económico",IF(Tabla2[[#This Row],[precio_unitario]]&lt;=58.49,"Accesible","Caro"))</f>
        <v>Caro</v>
      </c>
      <c r="J975" t="s">
        <v>35</v>
      </c>
      <c r="K975">
        <v>1</v>
      </c>
      <c r="L975" s="19">
        <v>72.44</v>
      </c>
      <c r="M975" s="19">
        <v>41.12</v>
      </c>
      <c r="N975" s="11">
        <v>0</v>
      </c>
      <c r="O975" s="17">
        <f t="shared" si="63"/>
        <v>72.44</v>
      </c>
      <c r="P975" s="17">
        <f t="shared" si="60"/>
        <v>41.12</v>
      </c>
      <c r="Q975" s="17">
        <f t="shared" si="61"/>
        <v>31.32</v>
      </c>
      <c r="R975" s="24">
        <f t="shared" si="62"/>
        <v>0.43235781336278301</v>
      </c>
      <c r="S975" t="s">
        <v>83</v>
      </c>
      <c r="T975" t="s">
        <v>64</v>
      </c>
    </row>
    <row r="976" spans="1:20" hidden="1">
      <c r="A976" t="s">
        <v>1047</v>
      </c>
      <c r="B976" s="5">
        <v>45439</v>
      </c>
      <c r="C976" s="8">
        <f>YEAR(Tabla2[[#This Row],[fecha]])</f>
        <v>2024</v>
      </c>
      <c r="D976" s="8">
        <f>MONTH(Tabla2[[#This Row],[fecha]])</f>
        <v>5</v>
      </c>
      <c r="E976" s="8" t="str">
        <f>TEXT(Tabla2[[#This Row],[fecha]], "mmmm")</f>
        <v>mayo</v>
      </c>
      <c r="F976" s="8" t="str">
        <f>"T"&amp;ROUNDUP(Tabla2[[#This Row],[mes]]/3,0)</f>
        <v>T2</v>
      </c>
      <c r="G976" t="s">
        <v>22</v>
      </c>
      <c r="H976" t="s">
        <v>23</v>
      </c>
      <c r="I976" s="8" t="str">
        <f>IF(Tabla2[[#This Row],[precio_unitario]]&lt;=30,"Económico",IF(Tabla2[[#This Row],[precio_unitario]]&lt;=58.49,"Accesible","Caro"))</f>
        <v>Caro</v>
      </c>
      <c r="J976" t="s">
        <v>17</v>
      </c>
      <c r="K976">
        <v>5</v>
      </c>
      <c r="L976" s="19">
        <v>107.36</v>
      </c>
      <c r="M976" s="19">
        <v>59.67</v>
      </c>
      <c r="N976" s="13">
        <v>0</v>
      </c>
      <c r="O976" s="17">
        <f t="shared" si="63"/>
        <v>536.79999999999995</v>
      </c>
      <c r="P976" s="17">
        <f t="shared" si="60"/>
        <v>298.35000000000002</v>
      </c>
      <c r="Q976" s="17">
        <f t="shared" si="61"/>
        <v>238.44999999999993</v>
      </c>
      <c r="R976" s="24">
        <f t="shared" si="62"/>
        <v>0.44420640834575253</v>
      </c>
      <c r="S976" t="s">
        <v>96</v>
      </c>
      <c r="T976" t="s">
        <v>64</v>
      </c>
    </row>
    <row r="977" spans="1:20" hidden="1">
      <c r="A977" t="s">
        <v>1048</v>
      </c>
      <c r="B977" s="5">
        <v>45972</v>
      </c>
      <c r="C977" s="8">
        <f>YEAR(Tabla2[[#This Row],[fecha]])</f>
        <v>2025</v>
      </c>
      <c r="D977" s="8">
        <f>MONTH(Tabla2[[#This Row],[fecha]])</f>
        <v>11</v>
      </c>
      <c r="E977" s="8" t="str">
        <f>TEXT(Tabla2[[#This Row],[fecha]], "mmmm")</f>
        <v>noviembre</v>
      </c>
      <c r="F977" s="8" t="str">
        <f>"T"&amp;ROUNDUP(Tabla2[[#This Row],[mes]]/3,0)</f>
        <v>T4</v>
      </c>
      <c r="G977" t="s">
        <v>45</v>
      </c>
      <c r="H977" t="s">
        <v>46</v>
      </c>
      <c r="I977" s="8" t="str">
        <f>IF(Tabla2[[#This Row],[precio_unitario]]&lt;=30,"Económico",IF(Tabla2[[#This Row],[precio_unitario]]&lt;=58.49,"Accesible","Caro"))</f>
        <v>Accesible</v>
      </c>
      <c r="J977" t="s">
        <v>44</v>
      </c>
      <c r="K977">
        <v>2</v>
      </c>
      <c r="L977" s="19">
        <v>30.92</v>
      </c>
      <c r="M977" s="19">
        <v>17.28</v>
      </c>
      <c r="N977" s="11">
        <v>0</v>
      </c>
      <c r="O977" s="17">
        <f t="shared" si="63"/>
        <v>61.84</v>
      </c>
      <c r="P977" s="17">
        <f t="shared" si="60"/>
        <v>34.56</v>
      </c>
      <c r="Q977" s="17">
        <f t="shared" si="61"/>
        <v>27.28</v>
      </c>
      <c r="R977" s="24">
        <f t="shared" si="62"/>
        <v>0.44113842173350581</v>
      </c>
      <c r="S977" t="s">
        <v>96</v>
      </c>
      <c r="T977" t="s">
        <v>64</v>
      </c>
    </row>
    <row r="978" spans="1:20" hidden="1">
      <c r="A978" t="s">
        <v>1049</v>
      </c>
      <c r="B978" s="5">
        <v>45329</v>
      </c>
      <c r="C978" s="8">
        <f>YEAR(Tabla2[[#This Row],[fecha]])</f>
        <v>2024</v>
      </c>
      <c r="D978" s="8">
        <f>MONTH(Tabla2[[#This Row],[fecha]])</f>
        <v>2</v>
      </c>
      <c r="E978" s="8" t="str">
        <f>TEXT(Tabla2[[#This Row],[fecha]], "mmmm")</f>
        <v>febrero</v>
      </c>
      <c r="F978" s="8" t="str">
        <f>"T"&amp;ROUNDUP(Tabla2[[#This Row],[mes]]/3,0)</f>
        <v>T1</v>
      </c>
      <c r="G978" t="s">
        <v>18</v>
      </c>
      <c r="H978" t="s">
        <v>19</v>
      </c>
      <c r="I978" s="8" t="str">
        <f>IF(Tabla2[[#This Row],[precio_unitario]]&lt;=30,"Económico",IF(Tabla2[[#This Row],[precio_unitario]]&lt;=58.49,"Accesible","Caro"))</f>
        <v>Accesible</v>
      </c>
      <c r="J978" t="s">
        <v>17</v>
      </c>
      <c r="K978">
        <v>3</v>
      </c>
      <c r="L978" s="19">
        <v>50.17</v>
      </c>
      <c r="M978" s="19">
        <v>27.76</v>
      </c>
      <c r="N978" s="11">
        <v>0</v>
      </c>
      <c r="O978" s="17">
        <f t="shared" si="63"/>
        <v>150.51</v>
      </c>
      <c r="P978" s="17">
        <f t="shared" si="60"/>
        <v>83.28</v>
      </c>
      <c r="Q978" s="17">
        <f t="shared" si="61"/>
        <v>67.22999999999999</v>
      </c>
      <c r="R978" s="24">
        <f t="shared" si="62"/>
        <v>0.4466812836356388</v>
      </c>
      <c r="S978" t="s">
        <v>101</v>
      </c>
      <c r="T978" t="s">
        <v>60</v>
      </c>
    </row>
    <row r="979" spans="1:20">
      <c r="A979" t="s">
        <v>1050</v>
      </c>
      <c r="B979" s="5">
        <v>45993</v>
      </c>
      <c r="C979" s="8">
        <f>YEAR(Tabla2[[#This Row],[fecha]])</f>
        <v>2025</v>
      </c>
      <c r="D979" s="8">
        <f>MONTH(Tabla2[[#This Row],[fecha]])</f>
        <v>12</v>
      </c>
      <c r="E979" s="8" t="str">
        <f>TEXT(Tabla2[[#This Row],[fecha]], "mmmm")</f>
        <v>diciembre</v>
      </c>
      <c r="F979" s="8" t="str">
        <f>"T"&amp;ROUNDUP(Tabla2[[#This Row],[mes]]/3,0)</f>
        <v>T4</v>
      </c>
      <c r="G979" t="s">
        <v>22</v>
      </c>
      <c r="H979" t="s">
        <v>23</v>
      </c>
      <c r="I979" s="8" t="str">
        <f>IF(Tabla2[[#This Row],[precio_unitario]]&lt;=30,"Económico",IF(Tabla2[[#This Row],[precio_unitario]]&lt;=58.49,"Accesible","Caro"))</f>
        <v>Caro</v>
      </c>
      <c r="J979" t="s">
        <v>17</v>
      </c>
      <c r="K979">
        <v>1</v>
      </c>
      <c r="L979" s="19">
        <v>107.28</v>
      </c>
      <c r="M979" s="19">
        <v>58.78</v>
      </c>
      <c r="N979" s="11">
        <v>0</v>
      </c>
      <c r="O979" s="17">
        <f t="shared" si="63"/>
        <v>107.28</v>
      </c>
      <c r="P979" s="17">
        <f t="shared" si="60"/>
        <v>58.78</v>
      </c>
      <c r="Q979" s="17">
        <f t="shared" si="61"/>
        <v>48.5</v>
      </c>
      <c r="R979" s="24">
        <f t="shared" si="62"/>
        <v>0.45208799403430278</v>
      </c>
      <c r="S979" t="s">
        <v>67</v>
      </c>
      <c r="T979" t="s">
        <v>64</v>
      </c>
    </row>
    <row r="980" spans="1:20" hidden="1">
      <c r="A980" t="s">
        <v>1051</v>
      </c>
      <c r="B980" s="5">
        <v>45432</v>
      </c>
      <c r="C980" s="8">
        <f>YEAR(Tabla2[[#This Row],[fecha]])</f>
        <v>2024</v>
      </c>
      <c r="D980" s="8">
        <f>MONTH(Tabla2[[#This Row],[fecha]])</f>
        <v>5</v>
      </c>
      <c r="E980" s="8" t="str">
        <f>TEXT(Tabla2[[#This Row],[fecha]], "mmmm")</f>
        <v>mayo</v>
      </c>
      <c r="F980" s="8" t="str">
        <f>"T"&amp;ROUNDUP(Tabla2[[#This Row],[mes]]/3,0)</f>
        <v>T2</v>
      </c>
      <c r="G980" t="s">
        <v>27</v>
      </c>
      <c r="H980" t="s">
        <v>28</v>
      </c>
      <c r="I980" s="8" t="str">
        <f>IF(Tabla2[[#This Row],[precio_unitario]]&lt;=30,"Económico",IF(Tabla2[[#This Row],[precio_unitario]]&lt;=58.49,"Accesible","Caro"))</f>
        <v>Económico</v>
      </c>
      <c r="J980" t="s">
        <v>26</v>
      </c>
      <c r="K980">
        <v>2</v>
      </c>
      <c r="L980" s="19">
        <v>17.170000000000002</v>
      </c>
      <c r="M980" s="19">
        <v>11</v>
      </c>
      <c r="N980" s="11">
        <v>0</v>
      </c>
      <c r="O980" s="17">
        <f t="shared" si="63"/>
        <v>34.340000000000003</v>
      </c>
      <c r="P980" s="17">
        <f t="shared" si="60"/>
        <v>22</v>
      </c>
      <c r="Q980" s="17">
        <f t="shared" si="61"/>
        <v>12.340000000000003</v>
      </c>
      <c r="R980" s="24">
        <f t="shared" si="62"/>
        <v>0.35934769947583001</v>
      </c>
      <c r="S980" t="s">
        <v>101</v>
      </c>
      <c r="T980" t="s">
        <v>64</v>
      </c>
    </row>
    <row r="981" spans="1:20" hidden="1">
      <c r="A981" t="s">
        <v>1052</v>
      </c>
      <c r="B981" s="5">
        <v>45353</v>
      </c>
      <c r="C981" s="8">
        <f>YEAR(Tabla2[[#This Row],[fecha]])</f>
        <v>2024</v>
      </c>
      <c r="D981" s="8">
        <f>MONTH(Tabla2[[#This Row],[fecha]])</f>
        <v>3</v>
      </c>
      <c r="E981" s="8" t="str">
        <f>TEXT(Tabla2[[#This Row],[fecha]], "mmmm")</f>
        <v>marzo</v>
      </c>
      <c r="F981" s="8" t="str">
        <f>"T"&amp;ROUNDUP(Tabla2[[#This Row],[mes]]/3,0)</f>
        <v>T1</v>
      </c>
      <c r="G981" t="s">
        <v>47</v>
      </c>
      <c r="H981" t="s">
        <v>48</v>
      </c>
      <c r="I981" s="8" t="str">
        <f>IF(Tabla2[[#This Row],[precio_unitario]]&lt;=30,"Económico",IF(Tabla2[[#This Row],[precio_unitario]]&lt;=58.49,"Accesible","Caro"))</f>
        <v>Caro</v>
      </c>
      <c r="J981" t="s">
        <v>44</v>
      </c>
      <c r="K981">
        <v>4</v>
      </c>
      <c r="L981" s="19">
        <v>58.75</v>
      </c>
      <c r="M981" s="19">
        <v>31.8</v>
      </c>
      <c r="N981" s="11">
        <v>0</v>
      </c>
      <c r="O981" s="17">
        <f t="shared" si="63"/>
        <v>235</v>
      </c>
      <c r="P981" s="17">
        <f t="shared" si="60"/>
        <v>127.2</v>
      </c>
      <c r="Q981" s="17">
        <f t="shared" si="61"/>
        <v>107.8</v>
      </c>
      <c r="R981" s="24">
        <f t="shared" si="62"/>
        <v>0.45872340425531916</v>
      </c>
      <c r="S981" t="s">
        <v>67</v>
      </c>
      <c r="T981" t="s">
        <v>60</v>
      </c>
    </row>
    <row r="982" spans="1:20" hidden="1">
      <c r="A982" t="s">
        <v>1053</v>
      </c>
      <c r="B982" s="5">
        <v>45682</v>
      </c>
      <c r="C982" s="8">
        <f>YEAR(Tabla2[[#This Row],[fecha]])</f>
        <v>2025</v>
      </c>
      <c r="D982" s="8">
        <f>MONTH(Tabla2[[#This Row],[fecha]])</f>
        <v>1</v>
      </c>
      <c r="E982" s="8" t="str">
        <f>TEXT(Tabla2[[#This Row],[fecha]], "mmmm")</f>
        <v>enero</v>
      </c>
      <c r="F982" s="8" t="str">
        <f>"T"&amp;ROUNDUP(Tabla2[[#This Row],[mes]]/3,0)</f>
        <v>T1</v>
      </c>
      <c r="G982" t="s">
        <v>24</v>
      </c>
      <c r="H982" t="s">
        <v>25</v>
      </c>
      <c r="I982" s="8" t="str">
        <f>IF(Tabla2[[#This Row],[precio_unitario]]&lt;=30,"Económico",IF(Tabla2[[#This Row],[precio_unitario]]&lt;=58.49,"Accesible","Caro"))</f>
        <v>Económico</v>
      </c>
      <c r="J982" t="s">
        <v>26</v>
      </c>
      <c r="K982">
        <v>6</v>
      </c>
      <c r="L982" s="19">
        <v>8.19</v>
      </c>
      <c r="M982" s="19">
        <v>4.3</v>
      </c>
      <c r="N982" s="11">
        <v>0</v>
      </c>
      <c r="O982" s="17">
        <f t="shared" si="63"/>
        <v>49.14</v>
      </c>
      <c r="P982" s="17">
        <f t="shared" si="60"/>
        <v>25.799999999999997</v>
      </c>
      <c r="Q982" s="17">
        <f t="shared" si="61"/>
        <v>23.340000000000003</v>
      </c>
      <c r="R982" s="24">
        <f t="shared" si="62"/>
        <v>0.47496947496947506</v>
      </c>
      <c r="S982" t="s">
        <v>63</v>
      </c>
      <c r="T982" t="s">
        <v>60</v>
      </c>
    </row>
    <row r="983" spans="1:20" hidden="1">
      <c r="A983" t="s">
        <v>1054</v>
      </c>
      <c r="B983" s="5">
        <v>45387</v>
      </c>
      <c r="C983" s="8">
        <f>YEAR(Tabla2[[#This Row],[fecha]])</f>
        <v>2024</v>
      </c>
      <c r="D983" s="8">
        <f>MONTH(Tabla2[[#This Row],[fecha]])</f>
        <v>4</v>
      </c>
      <c r="E983" s="8" t="str">
        <f>TEXT(Tabla2[[#This Row],[fecha]], "mmmm")</f>
        <v>abril</v>
      </c>
      <c r="F983" s="8" t="str">
        <f>"T"&amp;ROUNDUP(Tabla2[[#This Row],[mes]]/3,0)</f>
        <v>T2</v>
      </c>
      <c r="G983" t="s">
        <v>13</v>
      </c>
      <c r="H983" t="s">
        <v>14</v>
      </c>
      <c r="I983" s="8" t="str">
        <f>IF(Tabla2[[#This Row],[precio_unitario]]&lt;=30,"Económico",IF(Tabla2[[#This Row],[precio_unitario]]&lt;=58.49,"Accesible","Caro"))</f>
        <v>Caro</v>
      </c>
      <c r="J983" t="s">
        <v>8</v>
      </c>
      <c r="K983">
        <v>3</v>
      </c>
      <c r="L983" s="19">
        <v>168.56</v>
      </c>
      <c r="M983" s="19">
        <v>105.01</v>
      </c>
      <c r="N983" s="11">
        <v>0</v>
      </c>
      <c r="O983" s="17">
        <f t="shared" si="63"/>
        <v>505.68</v>
      </c>
      <c r="P983" s="17">
        <f t="shared" si="60"/>
        <v>315.03000000000003</v>
      </c>
      <c r="Q983" s="17">
        <f t="shared" si="61"/>
        <v>190.64999999999998</v>
      </c>
      <c r="R983" s="24">
        <f t="shared" si="62"/>
        <v>0.37701708590412902</v>
      </c>
      <c r="S983" t="s">
        <v>63</v>
      </c>
      <c r="T983" t="s">
        <v>64</v>
      </c>
    </row>
    <row r="984" spans="1:20">
      <c r="A984" t="s">
        <v>1055</v>
      </c>
      <c r="B984" s="5">
        <v>45950</v>
      </c>
      <c r="C984" s="8">
        <f>YEAR(Tabla2[[#This Row],[fecha]])</f>
        <v>2025</v>
      </c>
      <c r="D984" s="8">
        <f>MONTH(Tabla2[[#This Row],[fecha]])</f>
        <v>10</v>
      </c>
      <c r="E984" s="8" t="str">
        <f>TEXT(Tabla2[[#This Row],[fecha]], "mmmm")</f>
        <v>octubre</v>
      </c>
      <c r="F984" s="8" t="str">
        <f>"T"&amp;ROUNDUP(Tabla2[[#This Row],[mes]]/3,0)</f>
        <v>T4</v>
      </c>
      <c r="G984" t="s">
        <v>45</v>
      </c>
      <c r="H984" t="s">
        <v>46</v>
      </c>
      <c r="I984" s="8" t="str">
        <f>IF(Tabla2[[#This Row],[precio_unitario]]&lt;=30,"Económico",IF(Tabla2[[#This Row],[precio_unitario]]&lt;=58.49,"Accesible","Caro"))</f>
        <v>Accesible</v>
      </c>
      <c r="J984" t="s">
        <v>44</v>
      </c>
      <c r="K984">
        <v>2</v>
      </c>
      <c r="L984" s="19">
        <v>33.11</v>
      </c>
      <c r="M984" s="19">
        <v>17.18</v>
      </c>
      <c r="N984" s="13">
        <v>0</v>
      </c>
      <c r="O984" s="17">
        <f t="shared" si="63"/>
        <v>66.22</v>
      </c>
      <c r="P984" s="17">
        <f t="shared" si="60"/>
        <v>34.36</v>
      </c>
      <c r="Q984" s="17">
        <f t="shared" si="61"/>
        <v>31.86</v>
      </c>
      <c r="R984" s="24">
        <f t="shared" si="62"/>
        <v>0.48112352763515553</v>
      </c>
      <c r="S984" t="s">
        <v>67</v>
      </c>
      <c r="T984" t="s">
        <v>60</v>
      </c>
    </row>
    <row r="985" spans="1:20" hidden="1">
      <c r="A985" t="s">
        <v>1056</v>
      </c>
      <c r="B985" s="5">
        <v>45802</v>
      </c>
      <c r="C985" s="8">
        <f>YEAR(Tabla2[[#This Row],[fecha]])</f>
        <v>2025</v>
      </c>
      <c r="D985" s="8">
        <f>MONTH(Tabla2[[#This Row],[fecha]])</f>
        <v>5</v>
      </c>
      <c r="E985" s="8" t="str">
        <f>TEXT(Tabla2[[#This Row],[fecha]], "mmmm")</f>
        <v>mayo</v>
      </c>
      <c r="F985" s="8" t="str">
        <f>"T"&amp;ROUNDUP(Tabla2[[#This Row],[mes]]/3,0)</f>
        <v>T2</v>
      </c>
      <c r="G985" t="s">
        <v>20</v>
      </c>
      <c r="H985" t="s">
        <v>21</v>
      </c>
      <c r="I985" s="8" t="str">
        <f>IF(Tabla2[[#This Row],[precio_unitario]]&lt;=30,"Económico",IF(Tabla2[[#This Row],[precio_unitario]]&lt;=58.49,"Accesible","Caro"))</f>
        <v>Económico</v>
      </c>
      <c r="J985" t="s">
        <v>17</v>
      </c>
      <c r="K985">
        <v>1</v>
      </c>
      <c r="L985" s="19">
        <v>18.989999999999998</v>
      </c>
      <c r="M985" s="19">
        <v>13.33</v>
      </c>
      <c r="N985" s="13">
        <v>0</v>
      </c>
      <c r="O985" s="17">
        <f t="shared" si="63"/>
        <v>18.989999999999998</v>
      </c>
      <c r="P985" s="17">
        <f t="shared" si="60"/>
        <v>13.33</v>
      </c>
      <c r="Q985" s="17">
        <f t="shared" si="61"/>
        <v>5.6599999999999984</v>
      </c>
      <c r="R985" s="24">
        <f t="shared" si="62"/>
        <v>0.29805160610847808</v>
      </c>
      <c r="S985" t="s">
        <v>63</v>
      </c>
      <c r="T985" t="s">
        <v>60</v>
      </c>
    </row>
    <row r="986" spans="1:20" hidden="1">
      <c r="A986" t="s">
        <v>1057</v>
      </c>
      <c r="B986" s="5">
        <v>45501</v>
      </c>
      <c r="C986" s="8">
        <f>YEAR(Tabla2[[#This Row],[fecha]])</f>
        <v>2024</v>
      </c>
      <c r="D986" s="8">
        <f>MONTH(Tabla2[[#This Row],[fecha]])</f>
        <v>7</v>
      </c>
      <c r="E986" s="8" t="str">
        <f>TEXT(Tabla2[[#This Row],[fecha]], "mmmm")</f>
        <v>julio</v>
      </c>
      <c r="F986" s="8" t="str">
        <f>"T"&amp;ROUNDUP(Tabla2[[#This Row],[mes]]/3,0)</f>
        <v>T3</v>
      </c>
      <c r="G986" t="s">
        <v>27</v>
      </c>
      <c r="H986" t="s">
        <v>28</v>
      </c>
      <c r="I986" s="8" t="str">
        <f>IF(Tabla2[[#This Row],[precio_unitario]]&lt;=30,"Económico",IF(Tabla2[[#This Row],[precio_unitario]]&lt;=58.49,"Accesible","Caro"))</f>
        <v>Económico</v>
      </c>
      <c r="J986" t="s">
        <v>26</v>
      </c>
      <c r="K986">
        <v>1</v>
      </c>
      <c r="L986" s="19">
        <v>16.02</v>
      </c>
      <c r="M986" s="19">
        <v>11.83</v>
      </c>
      <c r="N986" s="13">
        <v>0</v>
      </c>
      <c r="O986" s="17">
        <f t="shared" si="63"/>
        <v>16.02</v>
      </c>
      <c r="P986" s="17">
        <f t="shared" si="60"/>
        <v>11.83</v>
      </c>
      <c r="Q986" s="17">
        <f t="shared" si="61"/>
        <v>4.1899999999999995</v>
      </c>
      <c r="R986" s="24">
        <f t="shared" si="62"/>
        <v>0.26154806491885141</v>
      </c>
      <c r="S986" t="s">
        <v>101</v>
      </c>
      <c r="T986" t="s">
        <v>64</v>
      </c>
    </row>
    <row r="987" spans="1:20" hidden="1">
      <c r="A987" t="s">
        <v>1058</v>
      </c>
      <c r="B987" s="5">
        <v>45901</v>
      </c>
      <c r="C987" s="8">
        <f>YEAR(Tabla2[[#This Row],[fecha]])</f>
        <v>2025</v>
      </c>
      <c r="D987" s="8">
        <f>MONTH(Tabla2[[#This Row],[fecha]])</f>
        <v>9</v>
      </c>
      <c r="E987" s="8" t="str">
        <f>TEXT(Tabla2[[#This Row],[fecha]], "mmmm")</f>
        <v>septiembre</v>
      </c>
      <c r="F987" s="8" t="str">
        <f>"T"&amp;ROUNDUP(Tabla2[[#This Row],[mes]]/3,0)</f>
        <v>T3</v>
      </c>
      <c r="G987" t="s">
        <v>42</v>
      </c>
      <c r="H987" t="s">
        <v>43</v>
      </c>
      <c r="I987" s="8" t="str">
        <f>IF(Tabla2[[#This Row],[precio_unitario]]&lt;=30,"Económico",IF(Tabla2[[#This Row],[precio_unitario]]&lt;=58.49,"Accesible","Caro"))</f>
        <v>Accesible</v>
      </c>
      <c r="J987" t="s">
        <v>44</v>
      </c>
      <c r="K987">
        <v>2</v>
      </c>
      <c r="L987" s="19">
        <v>48.83</v>
      </c>
      <c r="M987" s="19">
        <v>21.73</v>
      </c>
      <c r="N987" s="11">
        <v>0</v>
      </c>
      <c r="O987" s="17">
        <f t="shared" si="63"/>
        <v>97.66</v>
      </c>
      <c r="P987" s="17">
        <f t="shared" si="60"/>
        <v>43.46</v>
      </c>
      <c r="Q987" s="17">
        <f t="shared" si="61"/>
        <v>54.199999999999996</v>
      </c>
      <c r="R987" s="24">
        <f t="shared" si="62"/>
        <v>0.55498668851116117</v>
      </c>
      <c r="S987" t="s">
        <v>96</v>
      </c>
      <c r="T987" t="s">
        <v>64</v>
      </c>
    </row>
    <row r="988" spans="1:20" hidden="1">
      <c r="A988" t="s">
        <v>1059</v>
      </c>
      <c r="B988" s="5">
        <v>45380</v>
      </c>
      <c r="C988" s="8">
        <f>YEAR(Tabla2[[#This Row],[fecha]])</f>
        <v>2024</v>
      </c>
      <c r="D988" s="8">
        <f>MONTH(Tabla2[[#This Row],[fecha]])</f>
        <v>3</v>
      </c>
      <c r="E988" s="8" t="str">
        <f>TEXT(Tabla2[[#This Row],[fecha]], "mmmm")</f>
        <v>marzo</v>
      </c>
      <c r="F988" s="8" t="str">
        <f>"T"&amp;ROUNDUP(Tabla2[[#This Row],[mes]]/3,0)</f>
        <v>T1</v>
      </c>
      <c r="G988" t="s">
        <v>27</v>
      </c>
      <c r="H988" t="s">
        <v>28</v>
      </c>
      <c r="I988" s="8" t="str">
        <f>IF(Tabla2[[#This Row],[precio_unitario]]&lt;=30,"Económico",IF(Tabla2[[#This Row],[precio_unitario]]&lt;=58.49,"Accesible","Caro"))</f>
        <v>Económico</v>
      </c>
      <c r="J988" t="s">
        <v>26</v>
      </c>
      <c r="K988">
        <v>10</v>
      </c>
      <c r="L988" s="19">
        <v>17.61</v>
      </c>
      <c r="M988" s="19">
        <v>10.87</v>
      </c>
      <c r="N988" s="11">
        <v>0</v>
      </c>
      <c r="O988" s="17">
        <f t="shared" si="63"/>
        <v>176.1</v>
      </c>
      <c r="P988" s="17">
        <f t="shared" si="60"/>
        <v>108.69999999999999</v>
      </c>
      <c r="Q988" s="17">
        <f t="shared" si="61"/>
        <v>67.400000000000006</v>
      </c>
      <c r="R988" s="24">
        <f t="shared" si="62"/>
        <v>0.38273708120386146</v>
      </c>
      <c r="S988" t="s">
        <v>83</v>
      </c>
      <c r="T988" t="s">
        <v>64</v>
      </c>
    </row>
    <row r="989" spans="1:20">
      <c r="A989" t="s">
        <v>1060</v>
      </c>
      <c r="B989" s="5">
        <v>45805</v>
      </c>
      <c r="C989" s="8">
        <f>YEAR(Tabla2[[#This Row],[fecha]])</f>
        <v>2025</v>
      </c>
      <c r="D989" s="8">
        <f>MONTH(Tabla2[[#This Row],[fecha]])</f>
        <v>5</v>
      </c>
      <c r="E989" s="8" t="str">
        <f>TEXT(Tabla2[[#This Row],[fecha]], "mmmm")</f>
        <v>mayo</v>
      </c>
      <c r="F989" s="8" t="str">
        <f>"T"&amp;ROUNDUP(Tabla2[[#This Row],[mes]]/3,0)</f>
        <v>T2</v>
      </c>
      <c r="G989" t="s">
        <v>6</v>
      </c>
      <c r="H989" t="s">
        <v>7</v>
      </c>
      <c r="I989" s="8" t="str">
        <f>IF(Tabla2[[#This Row],[precio_unitario]]&lt;=30,"Económico",IF(Tabla2[[#This Row],[precio_unitario]]&lt;=58.49,"Accesible","Caro"))</f>
        <v>Caro</v>
      </c>
      <c r="J989" t="s">
        <v>8</v>
      </c>
      <c r="K989">
        <v>10</v>
      </c>
      <c r="L989" s="19">
        <v>120.58</v>
      </c>
      <c r="M989" s="19">
        <v>88.27</v>
      </c>
      <c r="N989" s="11">
        <v>0</v>
      </c>
      <c r="O989" s="17">
        <f t="shared" si="63"/>
        <v>1205.8</v>
      </c>
      <c r="P989" s="17">
        <f t="shared" si="60"/>
        <v>882.69999999999993</v>
      </c>
      <c r="Q989" s="17">
        <f t="shared" si="61"/>
        <v>323.10000000000002</v>
      </c>
      <c r="R989" s="24">
        <f t="shared" si="62"/>
        <v>0.26795488472383483</v>
      </c>
      <c r="S989" t="s">
        <v>67</v>
      </c>
      <c r="T989" t="s">
        <v>60</v>
      </c>
    </row>
    <row r="990" spans="1:20">
      <c r="A990" t="s">
        <v>1061</v>
      </c>
      <c r="B990" s="5">
        <v>45726</v>
      </c>
      <c r="C990" s="8">
        <f>YEAR(Tabla2[[#This Row],[fecha]])</f>
        <v>2025</v>
      </c>
      <c r="D990" s="8">
        <f>MONTH(Tabla2[[#This Row],[fecha]])</f>
        <v>3</v>
      </c>
      <c r="E990" s="8" t="str">
        <f>TEXT(Tabla2[[#This Row],[fecha]], "mmmm")</f>
        <v>marzo</v>
      </c>
      <c r="F990" s="8" t="str">
        <f>"T"&amp;ROUNDUP(Tabla2[[#This Row],[mes]]/3,0)</f>
        <v>T1</v>
      </c>
      <c r="G990" t="s">
        <v>40</v>
      </c>
      <c r="H990" t="s">
        <v>41</v>
      </c>
      <c r="I990" s="8" t="str">
        <f>IF(Tabla2[[#This Row],[precio_unitario]]&lt;=30,"Económico",IF(Tabla2[[#This Row],[precio_unitario]]&lt;=58.49,"Accesible","Caro"))</f>
        <v>Caro</v>
      </c>
      <c r="J990" t="s">
        <v>35</v>
      </c>
      <c r="K990">
        <v>2</v>
      </c>
      <c r="L990" s="19">
        <v>76.09</v>
      </c>
      <c r="M990" s="19">
        <v>39.700000000000003</v>
      </c>
      <c r="N990" s="11">
        <v>0.19</v>
      </c>
      <c r="O990" s="17">
        <f t="shared" si="63"/>
        <v>123.26580000000001</v>
      </c>
      <c r="P990" s="17">
        <f t="shared" si="60"/>
        <v>79.400000000000006</v>
      </c>
      <c r="Q990" s="17">
        <f t="shared" si="61"/>
        <v>43.865800000000007</v>
      </c>
      <c r="R990" s="24">
        <f t="shared" si="62"/>
        <v>0.35586350796409061</v>
      </c>
      <c r="S990" t="s">
        <v>67</v>
      </c>
      <c r="T990" t="s">
        <v>64</v>
      </c>
    </row>
    <row r="991" spans="1:20" hidden="1">
      <c r="A991" t="s">
        <v>1062</v>
      </c>
      <c r="B991" s="5">
        <v>45933</v>
      </c>
      <c r="C991" s="8">
        <f>YEAR(Tabla2[[#This Row],[fecha]])</f>
        <v>2025</v>
      </c>
      <c r="D991" s="8">
        <f>MONTH(Tabla2[[#This Row],[fecha]])</f>
        <v>10</v>
      </c>
      <c r="E991" s="8" t="str">
        <f>TEXT(Tabla2[[#This Row],[fecha]], "mmmm")</f>
        <v>octubre</v>
      </c>
      <c r="F991" s="8" t="str">
        <f>"T"&amp;ROUNDUP(Tabla2[[#This Row],[mes]]/3,0)</f>
        <v>T4</v>
      </c>
      <c r="G991" t="s">
        <v>49</v>
      </c>
      <c r="H991" t="s">
        <v>50</v>
      </c>
      <c r="I991" s="8" t="str">
        <f>IF(Tabla2[[#This Row],[precio_unitario]]&lt;=30,"Económico",IF(Tabla2[[#This Row],[precio_unitario]]&lt;=58.49,"Accesible","Caro"))</f>
        <v>Caro</v>
      </c>
      <c r="J991" t="s">
        <v>44</v>
      </c>
      <c r="K991">
        <v>3</v>
      </c>
      <c r="L991" s="19">
        <v>60.67</v>
      </c>
      <c r="M991" s="19">
        <v>34.99</v>
      </c>
      <c r="N991" s="11">
        <v>0</v>
      </c>
      <c r="O991" s="17">
        <f t="shared" si="63"/>
        <v>182.01</v>
      </c>
      <c r="P991" s="17">
        <f t="shared" si="60"/>
        <v>104.97</v>
      </c>
      <c r="Q991" s="17">
        <f t="shared" si="61"/>
        <v>77.039999999999992</v>
      </c>
      <c r="R991" s="24">
        <f t="shared" si="62"/>
        <v>0.42327344651392779</v>
      </c>
      <c r="S991" t="s">
        <v>101</v>
      </c>
      <c r="T991" t="s">
        <v>64</v>
      </c>
    </row>
    <row r="992" spans="1:20" hidden="1">
      <c r="A992" t="s">
        <v>1063</v>
      </c>
      <c r="B992" s="5">
        <v>45947</v>
      </c>
      <c r="C992" s="8">
        <f>YEAR(Tabla2[[#This Row],[fecha]])</f>
        <v>2025</v>
      </c>
      <c r="D992" s="8">
        <f>MONTH(Tabla2[[#This Row],[fecha]])</f>
        <v>10</v>
      </c>
      <c r="E992" s="8" t="str">
        <f>TEXT(Tabla2[[#This Row],[fecha]], "mmmm")</f>
        <v>octubre</v>
      </c>
      <c r="F992" s="8" t="str">
        <f>"T"&amp;ROUNDUP(Tabla2[[#This Row],[mes]]/3,0)</f>
        <v>T4</v>
      </c>
      <c r="G992" t="s">
        <v>42</v>
      </c>
      <c r="H992" t="s">
        <v>43</v>
      </c>
      <c r="I992" s="8" t="str">
        <f>IF(Tabla2[[#This Row],[precio_unitario]]&lt;=30,"Económico",IF(Tabla2[[#This Row],[precio_unitario]]&lt;=58.49,"Accesible","Caro"))</f>
        <v>Accesible</v>
      </c>
      <c r="J992" t="s">
        <v>44</v>
      </c>
      <c r="K992">
        <v>2</v>
      </c>
      <c r="L992" s="19">
        <v>51.73</v>
      </c>
      <c r="M992" s="19">
        <v>22.56</v>
      </c>
      <c r="N992" s="11">
        <v>0</v>
      </c>
      <c r="O992" s="17">
        <f t="shared" si="63"/>
        <v>103.46</v>
      </c>
      <c r="P992" s="17">
        <f t="shared" si="60"/>
        <v>45.12</v>
      </c>
      <c r="Q992" s="17">
        <f t="shared" si="61"/>
        <v>58.339999999999996</v>
      </c>
      <c r="R992" s="24">
        <f t="shared" si="62"/>
        <v>0.56388942586506863</v>
      </c>
      <c r="S992" t="s">
        <v>83</v>
      </c>
      <c r="T992" t="s">
        <v>1064</v>
      </c>
    </row>
    <row r="993" spans="1:20" hidden="1">
      <c r="A993" t="s">
        <v>1065</v>
      </c>
      <c r="B993" s="5">
        <v>45551</v>
      </c>
      <c r="C993" s="8">
        <f>YEAR(Tabla2[[#This Row],[fecha]])</f>
        <v>2024</v>
      </c>
      <c r="D993" s="8">
        <f>MONTH(Tabla2[[#This Row],[fecha]])</f>
        <v>9</v>
      </c>
      <c r="E993" s="8" t="str">
        <f>TEXT(Tabla2[[#This Row],[fecha]], "mmmm")</f>
        <v>septiembre</v>
      </c>
      <c r="F993" s="8" t="str">
        <f>"T"&amp;ROUNDUP(Tabla2[[#This Row],[mes]]/3,0)</f>
        <v>T3</v>
      </c>
      <c r="G993" t="s">
        <v>47</v>
      </c>
      <c r="H993" t="s">
        <v>48</v>
      </c>
      <c r="I993" s="8" t="str">
        <f>IF(Tabla2[[#This Row],[precio_unitario]]&lt;=30,"Económico",IF(Tabla2[[#This Row],[precio_unitario]]&lt;=58.49,"Accesible","Caro"))</f>
        <v>Caro</v>
      </c>
      <c r="J993" t="s">
        <v>44</v>
      </c>
      <c r="K993">
        <v>5</v>
      </c>
      <c r="L993" s="19">
        <v>62.14</v>
      </c>
      <c r="M993" s="19">
        <v>33.799999999999997</v>
      </c>
      <c r="N993" s="11">
        <v>0.15</v>
      </c>
      <c r="O993" s="17">
        <f t="shared" si="63"/>
        <v>264.09499999999997</v>
      </c>
      <c r="P993" s="17">
        <f t="shared" si="60"/>
        <v>169</v>
      </c>
      <c r="Q993" s="17">
        <f t="shared" si="61"/>
        <v>95.09499999999997</v>
      </c>
      <c r="R993" s="24">
        <f t="shared" si="62"/>
        <v>0.36007875953728763</v>
      </c>
      <c r="S993" s="10" t="s">
        <v>2377</v>
      </c>
      <c r="T993" t="s">
        <v>64</v>
      </c>
    </row>
    <row r="994" spans="1:20" hidden="1">
      <c r="A994" t="s">
        <v>1066</v>
      </c>
      <c r="B994" s="5">
        <v>45414</v>
      </c>
      <c r="C994" s="8">
        <f>YEAR(Tabla2[[#This Row],[fecha]])</f>
        <v>2024</v>
      </c>
      <c r="D994" s="8">
        <f>MONTH(Tabla2[[#This Row],[fecha]])</f>
        <v>5</v>
      </c>
      <c r="E994" s="8" t="str">
        <f>TEXT(Tabla2[[#This Row],[fecha]], "mmmm")</f>
        <v>mayo</v>
      </c>
      <c r="F994" s="8" t="str">
        <f>"T"&amp;ROUNDUP(Tabla2[[#This Row],[mes]]/3,0)</f>
        <v>T2</v>
      </c>
      <c r="G994" t="s">
        <v>47</v>
      </c>
      <c r="H994" t="s">
        <v>48</v>
      </c>
      <c r="I994" s="8" t="str">
        <f>IF(Tabla2[[#This Row],[precio_unitario]]&lt;=30,"Económico",IF(Tabla2[[#This Row],[precio_unitario]]&lt;=58.49,"Accesible","Caro"))</f>
        <v>Accesible</v>
      </c>
      <c r="J994" t="s">
        <v>44</v>
      </c>
      <c r="K994">
        <v>5</v>
      </c>
      <c r="L994" s="19">
        <v>57.04</v>
      </c>
      <c r="M994" s="19">
        <v>31.2</v>
      </c>
      <c r="N994" s="11">
        <v>0.15</v>
      </c>
      <c r="O994" s="17">
        <f t="shared" si="63"/>
        <v>242.42</v>
      </c>
      <c r="P994" s="17">
        <f t="shared" si="60"/>
        <v>156</v>
      </c>
      <c r="Q994" s="17">
        <f t="shared" si="61"/>
        <v>86.419999999999987</v>
      </c>
      <c r="R994" s="24">
        <f t="shared" si="62"/>
        <v>0.35648873855292462</v>
      </c>
      <c r="S994" t="s">
        <v>101</v>
      </c>
      <c r="T994" t="s">
        <v>60</v>
      </c>
    </row>
    <row r="995" spans="1:20" hidden="1">
      <c r="A995" t="s">
        <v>1067</v>
      </c>
      <c r="B995" s="5">
        <v>45646</v>
      </c>
      <c r="C995" s="8">
        <f>YEAR(Tabla2[[#This Row],[fecha]])</f>
        <v>2024</v>
      </c>
      <c r="D995" s="8">
        <f>MONTH(Tabla2[[#This Row],[fecha]])</f>
        <v>12</v>
      </c>
      <c r="E995" s="8" t="str">
        <f>TEXT(Tabla2[[#This Row],[fecha]], "mmmm")</f>
        <v>diciembre</v>
      </c>
      <c r="F995" s="8" t="str">
        <f>"T"&amp;ROUNDUP(Tabla2[[#This Row],[mes]]/3,0)</f>
        <v>T4</v>
      </c>
      <c r="G995" t="s">
        <v>9</v>
      </c>
      <c r="H995" t="s">
        <v>10</v>
      </c>
      <c r="I995" s="8" t="str">
        <f>IF(Tabla2[[#This Row],[precio_unitario]]&lt;=30,"Económico",IF(Tabla2[[#This Row],[precio_unitario]]&lt;=58.49,"Accesible","Caro"))</f>
        <v>Caro</v>
      </c>
      <c r="J995" t="s">
        <v>8</v>
      </c>
      <c r="K995">
        <v>4</v>
      </c>
      <c r="L995" s="19">
        <v>68.849999999999994</v>
      </c>
      <c r="M995" s="19">
        <v>47.47</v>
      </c>
      <c r="N995" s="11">
        <v>0</v>
      </c>
      <c r="O995" s="17">
        <f t="shared" si="63"/>
        <v>275.39999999999998</v>
      </c>
      <c r="P995" s="17">
        <f t="shared" si="60"/>
        <v>189.88</v>
      </c>
      <c r="Q995" s="17">
        <f t="shared" si="61"/>
        <v>85.519999999999982</v>
      </c>
      <c r="R995" s="24">
        <f t="shared" si="62"/>
        <v>0.31053013798111834</v>
      </c>
      <c r="S995" t="s">
        <v>101</v>
      </c>
      <c r="T995" t="s">
        <v>64</v>
      </c>
    </row>
    <row r="996" spans="1:20" hidden="1">
      <c r="A996" t="s">
        <v>1068</v>
      </c>
      <c r="B996" s="5">
        <v>45616</v>
      </c>
      <c r="C996" s="8">
        <f>YEAR(Tabla2[[#This Row],[fecha]])</f>
        <v>2024</v>
      </c>
      <c r="D996" s="8">
        <f>MONTH(Tabla2[[#This Row],[fecha]])</f>
        <v>11</v>
      </c>
      <c r="E996" s="8" t="str">
        <f>TEXT(Tabla2[[#This Row],[fecha]], "mmmm")</f>
        <v>noviembre</v>
      </c>
      <c r="F996" s="8" t="str">
        <f>"T"&amp;ROUNDUP(Tabla2[[#This Row],[mes]]/3,0)</f>
        <v>T4</v>
      </c>
      <c r="G996" t="s">
        <v>29</v>
      </c>
      <c r="H996" t="s">
        <v>30</v>
      </c>
      <c r="I996" s="8" t="str">
        <f>IF(Tabla2[[#This Row],[precio_unitario]]&lt;=30,"Económico",IF(Tabla2[[#This Row],[precio_unitario]]&lt;=58.49,"Accesible","Caro"))</f>
        <v>Económico</v>
      </c>
      <c r="J996" t="s">
        <v>26</v>
      </c>
      <c r="K996">
        <v>4</v>
      </c>
      <c r="L996" s="19">
        <v>22.84</v>
      </c>
      <c r="M996" s="19">
        <v>11.72</v>
      </c>
      <c r="N996" s="11">
        <v>0</v>
      </c>
      <c r="O996" s="17">
        <f t="shared" si="63"/>
        <v>91.36</v>
      </c>
      <c r="P996" s="17">
        <f t="shared" si="60"/>
        <v>46.88</v>
      </c>
      <c r="Q996" s="17">
        <f t="shared" si="61"/>
        <v>44.48</v>
      </c>
      <c r="R996" s="24">
        <f t="shared" si="62"/>
        <v>0.48686514886164622</v>
      </c>
      <c r="S996" t="s">
        <v>83</v>
      </c>
      <c r="T996" t="s">
        <v>64</v>
      </c>
    </row>
    <row r="997" spans="1:20" hidden="1">
      <c r="A997" t="s">
        <v>1069</v>
      </c>
      <c r="B997" s="5">
        <v>45572</v>
      </c>
      <c r="C997" s="8">
        <f>YEAR(Tabla2[[#This Row],[fecha]])</f>
        <v>2024</v>
      </c>
      <c r="D997" s="8">
        <f>MONTH(Tabla2[[#This Row],[fecha]])</f>
        <v>10</v>
      </c>
      <c r="E997" s="8" t="str">
        <f>TEXT(Tabla2[[#This Row],[fecha]], "mmmm")</f>
        <v>octubre</v>
      </c>
      <c r="F997" s="8" t="str">
        <f>"T"&amp;ROUNDUP(Tabla2[[#This Row],[mes]]/3,0)</f>
        <v>T4</v>
      </c>
      <c r="G997" t="s">
        <v>27</v>
      </c>
      <c r="H997" t="s">
        <v>28</v>
      </c>
      <c r="I997" s="8" t="str">
        <f>IF(Tabla2[[#This Row],[precio_unitario]]&lt;=30,"Económico",IF(Tabla2[[#This Row],[precio_unitario]]&lt;=58.49,"Accesible","Caro"))</f>
        <v>Económico</v>
      </c>
      <c r="J997" t="s">
        <v>26</v>
      </c>
      <c r="K997">
        <v>2</v>
      </c>
      <c r="L997" s="19">
        <v>17.010000000000002</v>
      </c>
      <c r="M997" s="19">
        <v>11.42</v>
      </c>
      <c r="N997" s="11">
        <v>0</v>
      </c>
      <c r="O997" s="17">
        <f t="shared" si="63"/>
        <v>34.020000000000003</v>
      </c>
      <c r="P997" s="17">
        <f t="shared" si="60"/>
        <v>22.84</v>
      </c>
      <c r="Q997" s="17">
        <f t="shared" si="61"/>
        <v>11.180000000000003</v>
      </c>
      <c r="R997" s="24">
        <f t="shared" si="62"/>
        <v>0.32863021751910648</v>
      </c>
      <c r="S997" t="s">
        <v>67</v>
      </c>
      <c r="T997" t="s">
        <v>64</v>
      </c>
    </row>
    <row r="998" spans="1:20" hidden="1">
      <c r="A998" t="s">
        <v>1070</v>
      </c>
      <c r="B998" s="5">
        <v>45649</v>
      </c>
      <c r="C998" s="8">
        <f>YEAR(Tabla2[[#This Row],[fecha]])</f>
        <v>2024</v>
      </c>
      <c r="D998" s="8">
        <f>MONTH(Tabla2[[#This Row],[fecha]])</f>
        <v>12</v>
      </c>
      <c r="E998" s="8" t="str">
        <f>TEXT(Tabla2[[#This Row],[fecha]], "mmmm")</f>
        <v>diciembre</v>
      </c>
      <c r="F998" s="8" t="str">
        <f>"T"&amp;ROUNDUP(Tabla2[[#This Row],[mes]]/3,0)</f>
        <v>T4</v>
      </c>
      <c r="G998" t="s">
        <v>13</v>
      </c>
      <c r="H998" t="s">
        <v>14</v>
      </c>
      <c r="I998" s="8" t="str">
        <f>IF(Tabla2[[#This Row],[precio_unitario]]&lt;=30,"Económico",IF(Tabla2[[#This Row],[precio_unitario]]&lt;=58.49,"Accesible","Caro"))</f>
        <v>Caro</v>
      </c>
      <c r="J998" t="s">
        <v>8</v>
      </c>
      <c r="K998">
        <v>1</v>
      </c>
      <c r="L998" s="19">
        <v>153.87</v>
      </c>
      <c r="M998" s="19">
        <v>106.24</v>
      </c>
      <c r="N998" s="11">
        <v>0</v>
      </c>
      <c r="O998" s="17">
        <f t="shared" si="63"/>
        <v>153.87</v>
      </c>
      <c r="P998" s="17">
        <f t="shared" si="60"/>
        <v>106.24</v>
      </c>
      <c r="Q998" s="17">
        <f t="shared" si="61"/>
        <v>47.63000000000001</v>
      </c>
      <c r="R998" s="24">
        <f t="shared" si="62"/>
        <v>0.3095470202118672</v>
      </c>
      <c r="S998" s="10" t="s">
        <v>2377</v>
      </c>
      <c r="T998" t="s">
        <v>64</v>
      </c>
    </row>
    <row r="999" spans="1:20" hidden="1">
      <c r="A999" t="s">
        <v>1071</v>
      </c>
      <c r="B999" s="5">
        <v>45404</v>
      </c>
      <c r="C999" s="8">
        <f>YEAR(Tabla2[[#This Row],[fecha]])</f>
        <v>2024</v>
      </c>
      <c r="D999" s="8">
        <f>MONTH(Tabla2[[#This Row],[fecha]])</f>
        <v>4</v>
      </c>
      <c r="E999" s="8" t="str">
        <f>TEXT(Tabla2[[#This Row],[fecha]], "mmmm")</f>
        <v>abril</v>
      </c>
      <c r="F999" s="8" t="str">
        <f>"T"&amp;ROUNDUP(Tabla2[[#This Row],[mes]]/3,0)</f>
        <v>T2</v>
      </c>
      <c r="G999" t="s">
        <v>45</v>
      </c>
      <c r="H999" t="s">
        <v>46</v>
      </c>
      <c r="I999" s="8" t="str">
        <f>IF(Tabla2[[#This Row],[precio_unitario]]&lt;=30,"Económico",IF(Tabla2[[#This Row],[precio_unitario]]&lt;=58.49,"Accesible","Caro"))</f>
        <v>Accesible</v>
      </c>
      <c r="J999" t="s">
        <v>44</v>
      </c>
      <c r="K999">
        <v>3</v>
      </c>
      <c r="L999" s="19">
        <v>30.57</v>
      </c>
      <c r="M999" s="19">
        <v>17.54</v>
      </c>
      <c r="N999" s="11">
        <v>0</v>
      </c>
      <c r="O999" s="17">
        <f t="shared" si="63"/>
        <v>91.710000000000008</v>
      </c>
      <c r="P999" s="17">
        <f t="shared" si="60"/>
        <v>52.62</v>
      </c>
      <c r="Q999" s="17">
        <f t="shared" si="61"/>
        <v>39.090000000000011</v>
      </c>
      <c r="R999" s="24">
        <f t="shared" si="62"/>
        <v>0.42623487078835465</v>
      </c>
      <c r="S999" t="s">
        <v>83</v>
      </c>
      <c r="T999" t="s">
        <v>64</v>
      </c>
    </row>
    <row r="1000" spans="1:20" hidden="1">
      <c r="A1000" t="s">
        <v>1072</v>
      </c>
      <c r="B1000" s="5">
        <v>45477</v>
      </c>
      <c r="C1000" s="8">
        <f>YEAR(Tabla2[[#This Row],[fecha]])</f>
        <v>2024</v>
      </c>
      <c r="D1000" s="8">
        <f>MONTH(Tabla2[[#This Row],[fecha]])</f>
        <v>7</v>
      </c>
      <c r="E1000" s="8" t="str">
        <f>TEXT(Tabla2[[#This Row],[fecha]], "mmmm")</f>
        <v>julio</v>
      </c>
      <c r="F1000" s="8" t="str">
        <f>"T"&amp;ROUNDUP(Tabla2[[#This Row],[mes]]/3,0)</f>
        <v>T3</v>
      </c>
      <c r="G1000" t="s">
        <v>49</v>
      </c>
      <c r="H1000" t="s">
        <v>50</v>
      </c>
      <c r="I1000" s="8" t="str">
        <f>IF(Tabla2[[#This Row],[precio_unitario]]&lt;=30,"Económico",IF(Tabla2[[#This Row],[precio_unitario]]&lt;=58.49,"Accesible","Caro"))</f>
        <v>Caro</v>
      </c>
      <c r="J1000" t="s">
        <v>44</v>
      </c>
      <c r="K1000">
        <v>4</v>
      </c>
      <c r="L1000" s="19">
        <v>63.38</v>
      </c>
      <c r="M1000" s="19">
        <v>33.270000000000003</v>
      </c>
      <c r="N1000" s="11">
        <v>0.28000000000000003</v>
      </c>
      <c r="O1000" s="17">
        <f t="shared" si="63"/>
        <v>182.53440000000001</v>
      </c>
      <c r="P1000" s="17">
        <f t="shared" si="60"/>
        <v>133.08000000000001</v>
      </c>
      <c r="Q1000" s="17">
        <f t="shared" si="61"/>
        <v>49.454399999999993</v>
      </c>
      <c r="R1000" s="24">
        <f t="shared" si="62"/>
        <v>0.27093194488271793</v>
      </c>
      <c r="S1000" t="s">
        <v>83</v>
      </c>
      <c r="T1000" t="s">
        <v>60</v>
      </c>
    </row>
    <row r="1001" spans="1:20" hidden="1">
      <c r="A1001" t="s">
        <v>1073</v>
      </c>
      <c r="B1001" s="5">
        <v>45522</v>
      </c>
      <c r="C1001" s="8">
        <f>YEAR(Tabla2[[#This Row],[fecha]])</f>
        <v>2024</v>
      </c>
      <c r="D1001" s="8">
        <f>MONTH(Tabla2[[#This Row],[fecha]])</f>
        <v>8</v>
      </c>
      <c r="E1001" s="8" t="str">
        <f>TEXT(Tabla2[[#This Row],[fecha]], "mmmm")</f>
        <v>agosto</v>
      </c>
      <c r="F1001" s="8" t="str">
        <f>"T"&amp;ROUNDUP(Tabla2[[#This Row],[mes]]/3,0)</f>
        <v>T3</v>
      </c>
      <c r="G1001" t="s">
        <v>24</v>
      </c>
      <c r="H1001" t="s">
        <v>25</v>
      </c>
      <c r="I1001" s="8" t="str">
        <f>IF(Tabla2[[#This Row],[precio_unitario]]&lt;=30,"Económico",IF(Tabla2[[#This Row],[precio_unitario]]&lt;=58.49,"Accesible","Caro"))</f>
        <v>Económico</v>
      </c>
      <c r="J1001" t="s">
        <v>26</v>
      </c>
      <c r="K1001">
        <v>4</v>
      </c>
      <c r="L1001" s="19">
        <v>7.7</v>
      </c>
      <c r="M1001" s="19">
        <v>4.5199999999999996</v>
      </c>
      <c r="N1001" s="11">
        <v>0</v>
      </c>
      <c r="O1001" s="17">
        <f t="shared" si="63"/>
        <v>30.8</v>
      </c>
      <c r="P1001" s="17">
        <f t="shared" si="60"/>
        <v>18.079999999999998</v>
      </c>
      <c r="Q1001" s="17">
        <f t="shared" si="61"/>
        <v>12.720000000000002</v>
      </c>
      <c r="R1001" s="24">
        <f t="shared" si="62"/>
        <v>0.41298701298701307</v>
      </c>
      <c r="S1001" t="s">
        <v>67</v>
      </c>
      <c r="T1001" t="s">
        <v>64</v>
      </c>
    </row>
    <row r="1002" spans="1:20" hidden="1">
      <c r="A1002" t="s">
        <v>1074</v>
      </c>
      <c r="B1002" s="5">
        <v>46013</v>
      </c>
      <c r="C1002" s="8">
        <f>YEAR(Tabla2[[#This Row],[fecha]])</f>
        <v>2025</v>
      </c>
      <c r="D1002" s="8">
        <f>MONTH(Tabla2[[#This Row],[fecha]])</f>
        <v>12</v>
      </c>
      <c r="E1002" s="8" t="str">
        <f>TEXT(Tabla2[[#This Row],[fecha]], "mmmm")</f>
        <v>diciembre</v>
      </c>
      <c r="F1002" s="8" t="str">
        <f>"T"&amp;ROUNDUP(Tabla2[[#This Row],[mes]]/3,0)</f>
        <v>T4</v>
      </c>
      <c r="G1002" t="s">
        <v>6</v>
      </c>
      <c r="H1002" t="s">
        <v>7</v>
      </c>
      <c r="I1002" s="8" t="str">
        <f>IF(Tabla2[[#This Row],[precio_unitario]]&lt;=30,"Económico",IF(Tabla2[[#This Row],[precio_unitario]]&lt;=58.49,"Accesible","Caro"))</f>
        <v>Caro</v>
      </c>
      <c r="J1002" t="s">
        <v>8</v>
      </c>
      <c r="K1002">
        <v>5</v>
      </c>
      <c r="L1002" s="19">
        <v>116.79</v>
      </c>
      <c r="M1002" s="19">
        <v>88.15</v>
      </c>
      <c r="N1002" s="13">
        <v>0</v>
      </c>
      <c r="O1002" s="17">
        <f t="shared" si="63"/>
        <v>583.95000000000005</v>
      </c>
      <c r="P1002" s="17">
        <f t="shared" si="60"/>
        <v>440.75</v>
      </c>
      <c r="Q1002" s="17">
        <f t="shared" si="61"/>
        <v>143.20000000000005</v>
      </c>
      <c r="R1002" s="24">
        <f t="shared" si="62"/>
        <v>0.24522647486942381</v>
      </c>
      <c r="S1002" t="s">
        <v>96</v>
      </c>
      <c r="T1002" t="s">
        <v>64</v>
      </c>
    </row>
    <row r="1003" spans="1:20" hidden="1">
      <c r="A1003" t="s">
        <v>1075</v>
      </c>
      <c r="B1003" s="5">
        <v>45336</v>
      </c>
      <c r="C1003" s="8">
        <f>YEAR(Tabla2[[#This Row],[fecha]])</f>
        <v>2024</v>
      </c>
      <c r="D1003" s="8">
        <f>MONTH(Tabla2[[#This Row],[fecha]])</f>
        <v>2</v>
      </c>
      <c r="E1003" s="8" t="str">
        <f>TEXT(Tabla2[[#This Row],[fecha]], "mmmm")</f>
        <v>febrero</v>
      </c>
      <c r="F1003" s="8" t="str">
        <f>"T"&amp;ROUNDUP(Tabla2[[#This Row],[mes]]/3,0)</f>
        <v>T1</v>
      </c>
      <c r="G1003" t="s">
        <v>11</v>
      </c>
      <c r="H1003" t="s">
        <v>12</v>
      </c>
      <c r="I1003" s="8" t="str">
        <f>IF(Tabla2[[#This Row],[precio_unitario]]&lt;=30,"Económico",IF(Tabla2[[#This Row],[precio_unitario]]&lt;=58.49,"Accesible","Caro"))</f>
        <v>Caro</v>
      </c>
      <c r="J1003" t="s">
        <v>8</v>
      </c>
      <c r="K1003">
        <v>3</v>
      </c>
      <c r="L1003" s="19">
        <v>179.74</v>
      </c>
      <c r="M1003" s="19">
        <v>97.36</v>
      </c>
      <c r="N1003" s="11">
        <v>0</v>
      </c>
      <c r="O1003" s="17">
        <f t="shared" si="63"/>
        <v>539.22</v>
      </c>
      <c r="P1003" s="17">
        <f t="shared" si="60"/>
        <v>292.08</v>
      </c>
      <c r="Q1003" s="17">
        <f t="shared" si="61"/>
        <v>247.14000000000004</v>
      </c>
      <c r="R1003" s="24">
        <f t="shared" si="62"/>
        <v>0.45832869700678763</v>
      </c>
      <c r="S1003" t="s">
        <v>96</v>
      </c>
      <c r="T1003" t="s">
        <v>60</v>
      </c>
    </row>
    <row r="1004" spans="1:20" hidden="1">
      <c r="A1004" t="s">
        <v>1076</v>
      </c>
      <c r="B1004" s="5">
        <v>45934</v>
      </c>
      <c r="C1004" s="8">
        <f>YEAR(Tabla2[[#This Row],[fecha]])</f>
        <v>2025</v>
      </c>
      <c r="D1004" s="8">
        <f>MONTH(Tabla2[[#This Row],[fecha]])</f>
        <v>10</v>
      </c>
      <c r="E1004" s="8" t="str">
        <f>TEXT(Tabla2[[#This Row],[fecha]], "mmmm")</f>
        <v>octubre</v>
      </c>
      <c r="F1004" s="8" t="str">
        <f>"T"&amp;ROUNDUP(Tabla2[[#This Row],[mes]]/3,0)</f>
        <v>T4</v>
      </c>
      <c r="G1004" t="s">
        <v>40</v>
      </c>
      <c r="H1004" t="s">
        <v>41</v>
      </c>
      <c r="I1004" s="8" t="str">
        <f>IF(Tabla2[[#This Row],[precio_unitario]]&lt;=30,"Económico",IF(Tabla2[[#This Row],[precio_unitario]]&lt;=58.49,"Accesible","Caro"))</f>
        <v>Caro</v>
      </c>
      <c r="J1004" t="s">
        <v>35</v>
      </c>
      <c r="K1004">
        <v>1</v>
      </c>
      <c r="L1004" s="19">
        <v>82.75</v>
      </c>
      <c r="M1004" s="19">
        <v>40.619999999999997</v>
      </c>
      <c r="N1004" s="11">
        <v>0</v>
      </c>
      <c r="O1004" s="17">
        <f t="shared" si="63"/>
        <v>82.75</v>
      </c>
      <c r="P1004" s="17">
        <f t="shared" si="60"/>
        <v>40.619999999999997</v>
      </c>
      <c r="Q1004" s="17">
        <f t="shared" si="61"/>
        <v>42.13</v>
      </c>
      <c r="R1004" s="24">
        <f t="shared" si="62"/>
        <v>0.50912386706948642</v>
      </c>
      <c r="S1004" t="s">
        <v>540</v>
      </c>
      <c r="T1004" t="s">
        <v>64</v>
      </c>
    </row>
    <row r="1005" spans="1:20" hidden="1">
      <c r="A1005" t="s">
        <v>1077</v>
      </c>
      <c r="B1005" s="5">
        <v>45800</v>
      </c>
      <c r="C1005" s="8">
        <f>YEAR(Tabla2[[#This Row],[fecha]])</f>
        <v>2025</v>
      </c>
      <c r="D1005" s="8">
        <f>MONTH(Tabla2[[#This Row],[fecha]])</f>
        <v>5</v>
      </c>
      <c r="E1005" s="8" t="str">
        <f>TEXT(Tabla2[[#This Row],[fecha]], "mmmm")</f>
        <v>mayo</v>
      </c>
      <c r="F1005" s="8" t="str">
        <f>"T"&amp;ROUNDUP(Tabla2[[#This Row],[mes]]/3,0)</f>
        <v>T2</v>
      </c>
      <c r="G1005" t="s">
        <v>9</v>
      </c>
      <c r="H1005" t="s">
        <v>10</v>
      </c>
      <c r="I1005" s="8" t="str">
        <f>IF(Tabla2[[#This Row],[precio_unitario]]&lt;=30,"Económico",IF(Tabla2[[#This Row],[precio_unitario]]&lt;=58.49,"Accesible","Caro"))</f>
        <v>Caro</v>
      </c>
      <c r="J1005" t="s">
        <v>8</v>
      </c>
      <c r="K1005">
        <v>4</v>
      </c>
      <c r="L1005" s="19">
        <v>69.260000000000005</v>
      </c>
      <c r="M1005" s="19">
        <v>45.98</v>
      </c>
      <c r="N1005" s="11">
        <v>0</v>
      </c>
      <c r="O1005" s="17">
        <f t="shared" si="63"/>
        <v>277.04000000000002</v>
      </c>
      <c r="P1005" s="17">
        <f t="shared" si="60"/>
        <v>183.92</v>
      </c>
      <c r="Q1005" s="17">
        <f t="shared" si="61"/>
        <v>93.120000000000033</v>
      </c>
      <c r="R1005" s="24">
        <f t="shared" si="62"/>
        <v>0.33612474732890568</v>
      </c>
      <c r="S1005" t="s">
        <v>101</v>
      </c>
      <c r="T1005" t="s">
        <v>60</v>
      </c>
    </row>
    <row r="1006" spans="1:20" hidden="1">
      <c r="A1006" t="s">
        <v>1078</v>
      </c>
      <c r="B1006" s="5">
        <v>45568</v>
      </c>
      <c r="C1006" s="8">
        <f>YEAR(Tabla2[[#This Row],[fecha]])</f>
        <v>2024</v>
      </c>
      <c r="D1006" s="8">
        <f>MONTH(Tabla2[[#This Row],[fecha]])</f>
        <v>10</v>
      </c>
      <c r="E1006" s="8" t="str">
        <f>TEXT(Tabla2[[#This Row],[fecha]], "mmmm")</f>
        <v>octubre</v>
      </c>
      <c r="F1006" s="8" t="str">
        <f>"T"&amp;ROUNDUP(Tabla2[[#This Row],[mes]]/3,0)</f>
        <v>T4</v>
      </c>
      <c r="G1006" t="s">
        <v>33</v>
      </c>
      <c r="H1006" t="s">
        <v>34</v>
      </c>
      <c r="I1006" s="8" t="str">
        <f>IF(Tabla2[[#This Row],[precio_unitario]]&lt;=30,"Económico",IF(Tabla2[[#This Row],[precio_unitario]]&lt;=58.49,"Accesible","Caro"))</f>
        <v>Caro</v>
      </c>
      <c r="J1006" t="s">
        <v>35</v>
      </c>
      <c r="K1006">
        <v>1</v>
      </c>
      <c r="L1006" s="19">
        <v>80.23</v>
      </c>
      <c r="M1006" s="19">
        <v>45.52</v>
      </c>
      <c r="N1006" s="13">
        <v>0</v>
      </c>
      <c r="O1006" s="17">
        <f t="shared" si="63"/>
        <v>80.23</v>
      </c>
      <c r="P1006" s="17">
        <f t="shared" si="60"/>
        <v>45.52</v>
      </c>
      <c r="Q1006" s="17">
        <f t="shared" si="61"/>
        <v>34.71</v>
      </c>
      <c r="R1006" s="24">
        <f t="shared" si="62"/>
        <v>0.43263118534214134</v>
      </c>
      <c r="S1006" t="s">
        <v>67</v>
      </c>
      <c r="T1006" t="s">
        <v>60</v>
      </c>
    </row>
    <row r="1007" spans="1:20" hidden="1">
      <c r="A1007" t="s">
        <v>1079</v>
      </c>
      <c r="B1007" s="5">
        <v>45414</v>
      </c>
      <c r="C1007" s="8">
        <f>YEAR(Tabla2[[#This Row],[fecha]])</f>
        <v>2024</v>
      </c>
      <c r="D1007" s="8">
        <f>MONTH(Tabla2[[#This Row],[fecha]])</f>
        <v>5</v>
      </c>
      <c r="E1007" s="8" t="str">
        <f>TEXT(Tabla2[[#This Row],[fecha]], "mmmm")</f>
        <v>mayo</v>
      </c>
      <c r="F1007" s="8" t="str">
        <f>"T"&amp;ROUNDUP(Tabla2[[#This Row],[mes]]/3,0)</f>
        <v>T2</v>
      </c>
      <c r="G1007" t="s">
        <v>18</v>
      </c>
      <c r="H1007" t="s">
        <v>19</v>
      </c>
      <c r="I1007" s="8" t="str">
        <f>IF(Tabla2[[#This Row],[precio_unitario]]&lt;=30,"Económico",IF(Tabla2[[#This Row],[precio_unitario]]&lt;=58.49,"Accesible","Caro"))</f>
        <v>Accesible</v>
      </c>
      <c r="J1007" t="s">
        <v>17</v>
      </c>
      <c r="K1007">
        <v>1</v>
      </c>
      <c r="L1007" s="19">
        <v>45.57</v>
      </c>
      <c r="M1007" s="19">
        <v>26.68</v>
      </c>
      <c r="N1007" s="11">
        <v>0</v>
      </c>
      <c r="O1007" s="17">
        <f t="shared" si="63"/>
        <v>45.57</v>
      </c>
      <c r="P1007" s="17">
        <f t="shared" si="60"/>
        <v>26.68</v>
      </c>
      <c r="Q1007" s="17">
        <f t="shared" si="61"/>
        <v>18.89</v>
      </c>
      <c r="R1007" s="24">
        <f t="shared" si="62"/>
        <v>0.41452710116304586</v>
      </c>
      <c r="S1007" t="s">
        <v>67</v>
      </c>
      <c r="T1007" t="s">
        <v>60</v>
      </c>
    </row>
    <row r="1008" spans="1:20" hidden="1">
      <c r="A1008" t="s">
        <v>1080</v>
      </c>
      <c r="B1008" s="5">
        <v>45982</v>
      </c>
      <c r="C1008" s="8">
        <f>YEAR(Tabla2[[#This Row],[fecha]])</f>
        <v>2025</v>
      </c>
      <c r="D1008" s="8">
        <f>MONTH(Tabla2[[#This Row],[fecha]])</f>
        <v>11</v>
      </c>
      <c r="E1008" s="8" t="str">
        <f>TEXT(Tabla2[[#This Row],[fecha]], "mmmm")</f>
        <v>noviembre</v>
      </c>
      <c r="F1008" s="8" t="str">
        <f>"T"&amp;ROUNDUP(Tabla2[[#This Row],[mes]]/3,0)</f>
        <v>T4</v>
      </c>
      <c r="G1008" t="s">
        <v>38</v>
      </c>
      <c r="H1008" t="s">
        <v>39</v>
      </c>
      <c r="I1008" s="8" t="str">
        <f>IF(Tabla2[[#This Row],[precio_unitario]]&lt;=30,"Económico",IF(Tabla2[[#This Row],[precio_unitario]]&lt;=58.49,"Accesible","Caro"))</f>
        <v>Caro</v>
      </c>
      <c r="J1008" t="s">
        <v>35</v>
      </c>
      <c r="K1008">
        <v>3</v>
      </c>
      <c r="L1008" s="19">
        <v>78.61</v>
      </c>
      <c r="M1008" s="19">
        <v>42.43</v>
      </c>
      <c r="N1008" s="11">
        <v>0</v>
      </c>
      <c r="O1008" s="17">
        <f t="shared" si="63"/>
        <v>235.82999999999998</v>
      </c>
      <c r="P1008" s="17">
        <f t="shared" si="60"/>
        <v>127.28999999999999</v>
      </c>
      <c r="Q1008" s="17">
        <f t="shared" si="61"/>
        <v>108.53999999999999</v>
      </c>
      <c r="R1008" s="24">
        <f t="shared" si="62"/>
        <v>0.46024678794046558</v>
      </c>
      <c r="S1008" t="s">
        <v>540</v>
      </c>
      <c r="T1008" t="s">
        <v>60</v>
      </c>
    </row>
    <row r="1009" spans="1:20" hidden="1">
      <c r="A1009" t="s">
        <v>1081</v>
      </c>
      <c r="B1009" s="5">
        <v>45478</v>
      </c>
      <c r="C1009" s="8">
        <f>YEAR(Tabla2[[#This Row],[fecha]])</f>
        <v>2024</v>
      </c>
      <c r="D1009" s="8">
        <f>MONTH(Tabla2[[#This Row],[fecha]])</f>
        <v>7</v>
      </c>
      <c r="E1009" s="8" t="str">
        <f>TEXT(Tabla2[[#This Row],[fecha]], "mmmm")</f>
        <v>julio</v>
      </c>
      <c r="F1009" s="8" t="str">
        <f>"T"&amp;ROUNDUP(Tabla2[[#This Row],[mes]]/3,0)</f>
        <v>T3</v>
      </c>
      <c r="G1009" t="s">
        <v>15</v>
      </c>
      <c r="H1009" t="s">
        <v>16</v>
      </c>
      <c r="I1009" s="8" t="str">
        <f>IF(Tabla2[[#This Row],[precio_unitario]]&lt;=30,"Económico",IF(Tabla2[[#This Row],[precio_unitario]]&lt;=58.49,"Accesible","Caro"))</f>
        <v>Caro</v>
      </c>
      <c r="J1009" t="s">
        <v>17</v>
      </c>
      <c r="K1009">
        <v>6</v>
      </c>
      <c r="L1009" s="19">
        <v>63.22</v>
      </c>
      <c r="M1009" s="19">
        <v>39.36</v>
      </c>
      <c r="N1009" s="11">
        <v>0.15</v>
      </c>
      <c r="O1009" s="17">
        <f t="shared" si="63"/>
        <v>322.42199999999997</v>
      </c>
      <c r="P1009" s="17">
        <f t="shared" si="60"/>
        <v>236.16</v>
      </c>
      <c r="Q1009" s="17">
        <f t="shared" si="61"/>
        <v>86.261999999999972</v>
      </c>
      <c r="R1009" s="24">
        <f t="shared" si="62"/>
        <v>0.2675437780300351</v>
      </c>
      <c r="S1009" t="s">
        <v>540</v>
      </c>
      <c r="T1009" t="s">
        <v>60</v>
      </c>
    </row>
    <row r="1010" spans="1:20" hidden="1">
      <c r="A1010" t="s">
        <v>1082</v>
      </c>
      <c r="B1010" s="5">
        <v>45971</v>
      </c>
      <c r="C1010" s="8">
        <f>YEAR(Tabla2[[#This Row],[fecha]])</f>
        <v>2025</v>
      </c>
      <c r="D1010" s="8">
        <f>MONTH(Tabla2[[#This Row],[fecha]])</f>
        <v>11</v>
      </c>
      <c r="E1010" s="8" t="str">
        <f>TEXT(Tabla2[[#This Row],[fecha]], "mmmm")</f>
        <v>noviembre</v>
      </c>
      <c r="F1010" s="8" t="str">
        <f>"T"&amp;ROUNDUP(Tabla2[[#This Row],[mes]]/3,0)</f>
        <v>T4</v>
      </c>
      <c r="G1010" t="s">
        <v>29</v>
      </c>
      <c r="H1010" t="s">
        <v>30</v>
      </c>
      <c r="I1010" s="8" t="str">
        <f>IF(Tabla2[[#This Row],[precio_unitario]]&lt;=30,"Económico",IF(Tabla2[[#This Row],[precio_unitario]]&lt;=58.49,"Accesible","Caro"))</f>
        <v>Económico</v>
      </c>
      <c r="J1010" t="s">
        <v>26</v>
      </c>
      <c r="K1010">
        <v>3</v>
      </c>
      <c r="L1010" s="19">
        <v>21.73</v>
      </c>
      <c r="M1010" s="19">
        <v>11.53</v>
      </c>
      <c r="N1010" s="11">
        <v>0</v>
      </c>
      <c r="O1010" s="17">
        <f t="shared" si="63"/>
        <v>65.19</v>
      </c>
      <c r="P1010" s="17">
        <f t="shared" si="60"/>
        <v>34.589999999999996</v>
      </c>
      <c r="Q1010" s="17">
        <f t="shared" si="61"/>
        <v>30.6</v>
      </c>
      <c r="R1010" s="24">
        <f t="shared" si="62"/>
        <v>0.46939714680165673</v>
      </c>
      <c r="S1010" t="s">
        <v>96</v>
      </c>
      <c r="T1010" t="s">
        <v>60</v>
      </c>
    </row>
    <row r="1011" spans="1:20" hidden="1">
      <c r="A1011" t="s">
        <v>1083</v>
      </c>
      <c r="B1011" s="5">
        <v>45313</v>
      </c>
      <c r="C1011" s="8">
        <f>YEAR(Tabla2[[#This Row],[fecha]])</f>
        <v>2024</v>
      </c>
      <c r="D1011" s="8">
        <f>MONTH(Tabla2[[#This Row],[fecha]])</f>
        <v>1</v>
      </c>
      <c r="E1011" s="8" t="str">
        <f>TEXT(Tabla2[[#This Row],[fecha]], "mmmm")</f>
        <v>enero</v>
      </c>
      <c r="F1011" s="8" t="str">
        <f>"T"&amp;ROUNDUP(Tabla2[[#This Row],[mes]]/3,0)</f>
        <v>T1</v>
      </c>
      <c r="G1011" t="s">
        <v>22</v>
      </c>
      <c r="H1011" t="s">
        <v>23</v>
      </c>
      <c r="I1011" s="8" t="str">
        <f>IF(Tabla2[[#This Row],[precio_unitario]]&lt;=30,"Económico",IF(Tabla2[[#This Row],[precio_unitario]]&lt;=58.49,"Accesible","Caro"))</f>
        <v>Caro</v>
      </c>
      <c r="J1011" t="s">
        <v>17</v>
      </c>
      <c r="K1011">
        <v>4</v>
      </c>
      <c r="L1011" s="19">
        <v>105.63</v>
      </c>
      <c r="M1011" s="21">
        <f>INDEX(Tabla3[coste_objetivo], MATCH(Tabla2[[#This Row],[id_producto]], Tabla3[id_producto],0))</f>
        <v>57.47</v>
      </c>
      <c r="N1011" s="11">
        <v>0</v>
      </c>
      <c r="O1011" s="17">
        <f t="shared" si="63"/>
        <v>422.52</v>
      </c>
      <c r="P1011" s="17">
        <f t="shared" si="60"/>
        <v>229.88</v>
      </c>
      <c r="Q1011" s="17">
        <f t="shared" si="61"/>
        <v>192.64</v>
      </c>
      <c r="R1011" s="24">
        <f t="shared" si="62"/>
        <v>0.45593108018555334</v>
      </c>
      <c r="S1011" t="s">
        <v>101</v>
      </c>
      <c r="T1011" t="s">
        <v>60</v>
      </c>
    </row>
    <row r="1012" spans="1:20">
      <c r="A1012" t="s">
        <v>1084</v>
      </c>
      <c r="B1012" s="5">
        <v>45967</v>
      </c>
      <c r="C1012" s="8">
        <f>YEAR(Tabla2[[#This Row],[fecha]])</f>
        <v>2025</v>
      </c>
      <c r="D1012" s="8">
        <f>MONTH(Tabla2[[#This Row],[fecha]])</f>
        <v>11</v>
      </c>
      <c r="E1012" s="8" t="str">
        <f>TEXT(Tabla2[[#This Row],[fecha]], "mmmm")</f>
        <v>noviembre</v>
      </c>
      <c r="F1012" s="8" t="str">
        <f>"T"&amp;ROUNDUP(Tabla2[[#This Row],[mes]]/3,0)</f>
        <v>T4</v>
      </c>
      <c r="G1012" t="s">
        <v>38</v>
      </c>
      <c r="H1012" t="s">
        <v>39</v>
      </c>
      <c r="I1012" s="8" t="str">
        <f>IF(Tabla2[[#This Row],[precio_unitario]]&lt;=30,"Económico",IF(Tabla2[[#This Row],[precio_unitario]]&lt;=58.49,"Accesible","Caro"))</f>
        <v>Caro</v>
      </c>
      <c r="J1012" t="s">
        <v>35</v>
      </c>
      <c r="K1012">
        <v>1</v>
      </c>
      <c r="L1012" s="19">
        <v>79.349999999999994</v>
      </c>
      <c r="M1012" s="21">
        <f>INDEX(Tabla3[coste_objetivo], MATCH(Tabla2[[#This Row],[id_producto]], Tabla3[id_producto],0))</f>
        <v>42.79</v>
      </c>
      <c r="N1012" s="11">
        <v>0.15</v>
      </c>
      <c r="O1012" s="17">
        <f t="shared" si="63"/>
        <v>67.447499999999991</v>
      </c>
      <c r="P1012" s="17">
        <f t="shared" si="60"/>
        <v>42.79</v>
      </c>
      <c r="Q1012" s="17">
        <f t="shared" si="61"/>
        <v>24.657499999999992</v>
      </c>
      <c r="R1012" s="24">
        <f t="shared" si="62"/>
        <v>0.36558063679157854</v>
      </c>
      <c r="S1012" t="s">
        <v>67</v>
      </c>
      <c r="T1012" t="s">
        <v>64</v>
      </c>
    </row>
    <row r="1013" spans="1:20" hidden="1">
      <c r="A1013" t="s">
        <v>1085</v>
      </c>
      <c r="B1013" s="5">
        <v>45356</v>
      </c>
      <c r="C1013" s="8">
        <f>YEAR(Tabla2[[#This Row],[fecha]])</f>
        <v>2024</v>
      </c>
      <c r="D1013" s="8">
        <f>MONTH(Tabla2[[#This Row],[fecha]])</f>
        <v>3</v>
      </c>
      <c r="E1013" s="8" t="str">
        <f>TEXT(Tabla2[[#This Row],[fecha]], "mmmm")</f>
        <v>marzo</v>
      </c>
      <c r="F1013" s="8" t="str">
        <f>"T"&amp;ROUNDUP(Tabla2[[#This Row],[mes]]/3,0)</f>
        <v>T1</v>
      </c>
      <c r="G1013" t="s">
        <v>27</v>
      </c>
      <c r="H1013" t="s">
        <v>28</v>
      </c>
      <c r="I1013" s="8" t="str">
        <f>IF(Tabla2[[#This Row],[precio_unitario]]&lt;=30,"Económico",IF(Tabla2[[#This Row],[precio_unitario]]&lt;=58.49,"Accesible","Caro"))</f>
        <v>Económico</v>
      </c>
      <c r="J1013" t="s">
        <v>26</v>
      </c>
      <c r="K1013">
        <v>2</v>
      </c>
      <c r="L1013" s="19">
        <v>15.04</v>
      </c>
      <c r="M1013" s="19">
        <v>11.76</v>
      </c>
      <c r="N1013" s="13">
        <v>0</v>
      </c>
      <c r="O1013" s="17">
        <f t="shared" si="63"/>
        <v>30.08</v>
      </c>
      <c r="P1013" s="17">
        <f t="shared" si="60"/>
        <v>23.52</v>
      </c>
      <c r="Q1013" s="17">
        <f t="shared" si="61"/>
        <v>6.5599999999999987</v>
      </c>
      <c r="R1013" s="24">
        <f t="shared" si="62"/>
        <v>0.21808510638297871</v>
      </c>
      <c r="S1013" t="s">
        <v>63</v>
      </c>
      <c r="T1013" t="s">
        <v>64</v>
      </c>
    </row>
    <row r="1014" spans="1:20" hidden="1">
      <c r="A1014" t="s">
        <v>1086</v>
      </c>
      <c r="B1014" s="5">
        <v>45528</v>
      </c>
      <c r="C1014" s="8">
        <f>YEAR(Tabla2[[#This Row],[fecha]])</f>
        <v>2024</v>
      </c>
      <c r="D1014" s="8">
        <f>MONTH(Tabla2[[#This Row],[fecha]])</f>
        <v>8</v>
      </c>
      <c r="E1014" s="8" t="str">
        <f>TEXT(Tabla2[[#This Row],[fecha]], "mmmm")</f>
        <v>agosto</v>
      </c>
      <c r="F1014" s="8" t="str">
        <f>"T"&amp;ROUNDUP(Tabla2[[#This Row],[mes]]/3,0)</f>
        <v>T3</v>
      </c>
      <c r="G1014" t="s">
        <v>42</v>
      </c>
      <c r="H1014" t="s">
        <v>43</v>
      </c>
      <c r="I1014" s="8" t="str">
        <f>IF(Tabla2[[#This Row],[precio_unitario]]&lt;=30,"Económico",IF(Tabla2[[#This Row],[precio_unitario]]&lt;=58.49,"Accesible","Caro"))</f>
        <v>Accesible</v>
      </c>
      <c r="J1014" t="s">
        <v>44</v>
      </c>
      <c r="K1014">
        <v>1</v>
      </c>
      <c r="L1014" s="19">
        <v>51.6</v>
      </c>
      <c r="M1014" s="19">
        <v>21.64</v>
      </c>
      <c r="N1014" s="11">
        <v>0</v>
      </c>
      <c r="O1014" s="17">
        <f t="shared" si="63"/>
        <v>51.6</v>
      </c>
      <c r="P1014" s="17">
        <f t="shared" si="60"/>
        <v>21.64</v>
      </c>
      <c r="Q1014" s="17">
        <f t="shared" si="61"/>
        <v>29.96</v>
      </c>
      <c r="R1014" s="24">
        <f t="shared" si="62"/>
        <v>0.58062015503875974</v>
      </c>
      <c r="S1014" s="10" t="s">
        <v>2377</v>
      </c>
      <c r="T1014" t="s">
        <v>64</v>
      </c>
    </row>
    <row r="1015" spans="1:20" hidden="1">
      <c r="A1015" t="s">
        <v>1087</v>
      </c>
      <c r="B1015" s="5">
        <v>45845</v>
      </c>
      <c r="C1015" s="8">
        <f>YEAR(Tabla2[[#This Row],[fecha]])</f>
        <v>2025</v>
      </c>
      <c r="D1015" s="8">
        <f>MONTH(Tabla2[[#This Row],[fecha]])</f>
        <v>7</v>
      </c>
      <c r="E1015" s="8" t="str">
        <f>TEXT(Tabla2[[#This Row],[fecha]], "mmmm")</f>
        <v>julio</v>
      </c>
      <c r="F1015" s="8" t="str">
        <f>"T"&amp;ROUNDUP(Tabla2[[#This Row],[mes]]/3,0)</f>
        <v>T3</v>
      </c>
      <c r="G1015" t="s">
        <v>33</v>
      </c>
      <c r="H1015" t="s">
        <v>34</v>
      </c>
      <c r="I1015" s="8" t="str">
        <f>IF(Tabla2[[#This Row],[precio_unitario]]&lt;=30,"Económico",IF(Tabla2[[#This Row],[precio_unitario]]&lt;=58.49,"Accesible","Caro"))</f>
        <v>Caro</v>
      </c>
      <c r="J1015" t="s">
        <v>35</v>
      </c>
      <c r="K1015">
        <v>6</v>
      </c>
      <c r="L1015" s="19">
        <v>78.67</v>
      </c>
      <c r="M1015" s="19">
        <v>48.62</v>
      </c>
      <c r="N1015" s="11">
        <v>0</v>
      </c>
      <c r="O1015" s="17">
        <f t="shared" si="63"/>
        <v>472.02</v>
      </c>
      <c r="P1015" s="17">
        <f t="shared" si="60"/>
        <v>291.71999999999997</v>
      </c>
      <c r="Q1015" s="17">
        <f t="shared" si="61"/>
        <v>180.3</v>
      </c>
      <c r="R1015" s="24">
        <f t="shared" si="62"/>
        <v>0.38197534002796496</v>
      </c>
      <c r="S1015" t="s">
        <v>96</v>
      </c>
      <c r="T1015" t="s">
        <v>60</v>
      </c>
    </row>
    <row r="1016" spans="1:20" hidden="1">
      <c r="A1016" t="s">
        <v>1088</v>
      </c>
      <c r="B1016" s="5">
        <v>45294</v>
      </c>
      <c r="C1016" s="8">
        <f>YEAR(Tabla2[[#This Row],[fecha]])</f>
        <v>2024</v>
      </c>
      <c r="D1016" s="8">
        <f>MONTH(Tabla2[[#This Row],[fecha]])</f>
        <v>1</v>
      </c>
      <c r="E1016" s="8" t="str">
        <f>TEXT(Tabla2[[#This Row],[fecha]], "mmmm")</f>
        <v>enero</v>
      </c>
      <c r="F1016" s="8" t="str">
        <f>"T"&amp;ROUNDUP(Tabla2[[#This Row],[mes]]/3,0)</f>
        <v>T1</v>
      </c>
      <c r="G1016" t="s">
        <v>33</v>
      </c>
      <c r="H1016" t="s">
        <v>34</v>
      </c>
      <c r="I1016" s="8" t="str">
        <f>IF(Tabla2[[#This Row],[precio_unitario]]&lt;=30,"Económico",IF(Tabla2[[#This Row],[precio_unitario]]&lt;=58.49,"Accesible","Caro"))</f>
        <v>Caro</v>
      </c>
      <c r="J1016" t="s">
        <v>35</v>
      </c>
      <c r="K1016">
        <v>6</v>
      </c>
      <c r="L1016" s="19">
        <v>80.75</v>
      </c>
      <c r="M1016" s="19">
        <v>45.9</v>
      </c>
      <c r="N1016" s="11">
        <v>0</v>
      </c>
      <c r="O1016" s="17">
        <f t="shared" si="63"/>
        <v>484.5</v>
      </c>
      <c r="P1016" s="17">
        <f t="shared" si="60"/>
        <v>275.39999999999998</v>
      </c>
      <c r="Q1016" s="17">
        <f t="shared" si="61"/>
        <v>209.10000000000002</v>
      </c>
      <c r="R1016" s="24">
        <f t="shared" si="62"/>
        <v>0.43157894736842112</v>
      </c>
      <c r="S1016" t="s">
        <v>67</v>
      </c>
      <c r="T1016" t="s">
        <v>64</v>
      </c>
    </row>
    <row r="1017" spans="1:20" hidden="1">
      <c r="A1017" t="s">
        <v>1089</v>
      </c>
      <c r="B1017" s="5">
        <v>45351</v>
      </c>
      <c r="C1017" s="8">
        <f>YEAR(Tabla2[[#This Row],[fecha]])</f>
        <v>2024</v>
      </c>
      <c r="D1017" s="8">
        <f>MONTH(Tabla2[[#This Row],[fecha]])</f>
        <v>2</v>
      </c>
      <c r="E1017" s="8" t="str">
        <f>TEXT(Tabla2[[#This Row],[fecha]], "mmmm")</f>
        <v>febrero</v>
      </c>
      <c r="F1017" s="8" t="str">
        <f>"T"&amp;ROUNDUP(Tabla2[[#This Row],[mes]]/3,0)</f>
        <v>T1</v>
      </c>
      <c r="G1017" t="s">
        <v>18</v>
      </c>
      <c r="H1017" t="s">
        <v>19</v>
      </c>
      <c r="I1017" s="8" t="str">
        <f>IF(Tabla2[[#This Row],[precio_unitario]]&lt;=30,"Económico",IF(Tabla2[[#This Row],[precio_unitario]]&lt;=58.49,"Accesible","Caro"))</f>
        <v>Accesible</v>
      </c>
      <c r="J1017" t="s">
        <v>17</v>
      </c>
      <c r="K1017">
        <v>1</v>
      </c>
      <c r="L1017" s="19">
        <v>46.53</v>
      </c>
      <c r="M1017" s="19">
        <v>26.42</v>
      </c>
      <c r="N1017" s="11">
        <v>0</v>
      </c>
      <c r="O1017" s="17">
        <f t="shared" si="63"/>
        <v>46.53</v>
      </c>
      <c r="P1017" s="17">
        <f t="shared" si="60"/>
        <v>26.42</v>
      </c>
      <c r="Q1017" s="17">
        <f t="shared" si="61"/>
        <v>20.11</v>
      </c>
      <c r="R1017" s="24">
        <f t="shared" si="62"/>
        <v>0.43219428325811304</v>
      </c>
      <c r="S1017" t="s">
        <v>96</v>
      </c>
      <c r="T1017" t="s">
        <v>64</v>
      </c>
    </row>
    <row r="1018" spans="1:20" hidden="1">
      <c r="A1018" t="s">
        <v>1090</v>
      </c>
      <c r="B1018" s="5">
        <v>45343</v>
      </c>
      <c r="C1018" s="8">
        <f>YEAR(Tabla2[[#This Row],[fecha]])</f>
        <v>2024</v>
      </c>
      <c r="D1018" s="8">
        <f>MONTH(Tabla2[[#This Row],[fecha]])</f>
        <v>2</v>
      </c>
      <c r="E1018" s="8" t="str">
        <f>TEXT(Tabla2[[#This Row],[fecha]], "mmmm")</f>
        <v>febrero</v>
      </c>
      <c r="F1018" s="8" t="str">
        <f>"T"&amp;ROUNDUP(Tabla2[[#This Row],[mes]]/3,0)</f>
        <v>T1</v>
      </c>
      <c r="G1018" t="s">
        <v>15</v>
      </c>
      <c r="H1018" t="s">
        <v>16</v>
      </c>
      <c r="I1018" s="8" t="str">
        <f>IF(Tabla2[[#This Row],[precio_unitario]]&lt;=30,"Económico",IF(Tabla2[[#This Row],[precio_unitario]]&lt;=58.49,"Accesible","Caro"))</f>
        <v>Accesible</v>
      </c>
      <c r="J1018" t="s">
        <v>17</v>
      </c>
      <c r="K1018">
        <v>3</v>
      </c>
      <c r="L1018" s="19">
        <v>57.58</v>
      </c>
      <c r="M1018" s="19">
        <v>39.78</v>
      </c>
      <c r="N1018" s="13">
        <v>0</v>
      </c>
      <c r="O1018" s="17">
        <f t="shared" si="63"/>
        <v>172.74</v>
      </c>
      <c r="P1018" s="17">
        <f t="shared" si="60"/>
        <v>119.34</v>
      </c>
      <c r="Q1018" s="17">
        <f t="shared" si="61"/>
        <v>53.400000000000006</v>
      </c>
      <c r="R1018" s="24">
        <f t="shared" si="62"/>
        <v>0.3091351163598472</v>
      </c>
      <c r="S1018" t="s">
        <v>63</v>
      </c>
      <c r="T1018" t="s">
        <v>60</v>
      </c>
    </row>
    <row r="1019" spans="1:20" hidden="1">
      <c r="A1019" t="s">
        <v>1091</v>
      </c>
      <c r="B1019" s="5">
        <v>45484</v>
      </c>
      <c r="C1019" s="8">
        <f>YEAR(Tabla2[[#This Row],[fecha]])</f>
        <v>2024</v>
      </c>
      <c r="D1019" s="8">
        <f>MONTH(Tabla2[[#This Row],[fecha]])</f>
        <v>7</v>
      </c>
      <c r="E1019" s="8" t="str">
        <f>TEXT(Tabla2[[#This Row],[fecha]], "mmmm")</f>
        <v>julio</v>
      </c>
      <c r="F1019" s="8" t="str">
        <f>"T"&amp;ROUNDUP(Tabla2[[#This Row],[mes]]/3,0)</f>
        <v>T3</v>
      </c>
      <c r="G1019" t="s">
        <v>11</v>
      </c>
      <c r="H1019" t="s">
        <v>12</v>
      </c>
      <c r="I1019" s="8" t="str">
        <f>IF(Tabla2[[#This Row],[precio_unitario]]&lt;=30,"Económico",IF(Tabla2[[#This Row],[precio_unitario]]&lt;=58.49,"Accesible","Caro"))</f>
        <v>Caro</v>
      </c>
      <c r="J1019" t="s">
        <v>8</v>
      </c>
      <c r="K1019">
        <v>1</v>
      </c>
      <c r="L1019" s="19">
        <v>171.7</v>
      </c>
      <c r="M1019" s="19">
        <v>98.49</v>
      </c>
      <c r="N1019" s="11">
        <v>0.12</v>
      </c>
      <c r="O1019" s="17">
        <f t="shared" si="63"/>
        <v>151.096</v>
      </c>
      <c r="P1019" s="17">
        <f t="shared" si="60"/>
        <v>98.49</v>
      </c>
      <c r="Q1019" s="17">
        <f t="shared" si="61"/>
        <v>52.606000000000009</v>
      </c>
      <c r="R1019" s="24">
        <f t="shared" si="62"/>
        <v>0.34816275745221587</v>
      </c>
      <c r="S1019" t="s">
        <v>96</v>
      </c>
      <c r="T1019" t="s">
        <v>64</v>
      </c>
    </row>
    <row r="1020" spans="1:20" hidden="1">
      <c r="A1020" t="s">
        <v>1092</v>
      </c>
      <c r="B1020" s="5">
        <v>45458</v>
      </c>
      <c r="C1020" s="8">
        <f>YEAR(Tabla2[[#This Row],[fecha]])</f>
        <v>2024</v>
      </c>
      <c r="D1020" s="8">
        <f>MONTH(Tabla2[[#This Row],[fecha]])</f>
        <v>6</v>
      </c>
      <c r="E1020" s="8" t="str">
        <f>TEXT(Tabla2[[#This Row],[fecha]], "mmmm")</f>
        <v>junio</v>
      </c>
      <c r="F1020" s="8" t="str">
        <f>"T"&amp;ROUNDUP(Tabla2[[#This Row],[mes]]/3,0)</f>
        <v>T2</v>
      </c>
      <c r="G1020" t="s">
        <v>18</v>
      </c>
      <c r="H1020" t="s">
        <v>19</v>
      </c>
      <c r="I1020" s="8" t="str">
        <f>IF(Tabla2[[#This Row],[precio_unitario]]&lt;=30,"Económico",IF(Tabla2[[#This Row],[precio_unitario]]&lt;=58.49,"Accesible","Caro"))</f>
        <v>Accesible</v>
      </c>
      <c r="J1020" t="s">
        <v>17</v>
      </c>
      <c r="K1020">
        <v>1</v>
      </c>
      <c r="L1020" s="19">
        <v>47.42</v>
      </c>
      <c r="M1020" s="19">
        <v>27.4</v>
      </c>
      <c r="N1020" s="11">
        <v>0</v>
      </c>
      <c r="O1020" s="17">
        <f t="shared" si="63"/>
        <v>47.42</v>
      </c>
      <c r="P1020" s="17">
        <f t="shared" si="60"/>
        <v>27.4</v>
      </c>
      <c r="Q1020" s="17">
        <f t="shared" si="61"/>
        <v>20.020000000000003</v>
      </c>
      <c r="R1020" s="24">
        <f t="shared" si="62"/>
        <v>0.42218473218051461</v>
      </c>
      <c r="S1020" t="s">
        <v>67</v>
      </c>
      <c r="T1020" t="s">
        <v>60</v>
      </c>
    </row>
    <row r="1021" spans="1:20" hidden="1">
      <c r="A1021" t="s">
        <v>1093</v>
      </c>
      <c r="B1021" s="5">
        <v>45506</v>
      </c>
      <c r="C1021" s="8">
        <f>YEAR(Tabla2[[#This Row],[fecha]])</f>
        <v>2024</v>
      </c>
      <c r="D1021" s="8">
        <f>MONTH(Tabla2[[#This Row],[fecha]])</f>
        <v>8</v>
      </c>
      <c r="E1021" s="8" t="str">
        <f>TEXT(Tabla2[[#This Row],[fecha]], "mmmm")</f>
        <v>agosto</v>
      </c>
      <c r="F1021" s="8" t="str">
        <f>"T"&amp;ROUNDUP(Tabla2[[#This Row],[mes]]/3,0)</f>
        <v>T3</v>
      </c>
      <c r="G1021" t="s">
        <v>18</v>
      </c>
      <c r="H1021" t="s">
        <v>19</v>
      </c>
      <c r="I1021" s="8" t="str">
        <f>IF(Tabla2[[#This Row],[precio_unitario]]&lt;=30,"Económico",IF(Tabla2[[#This Row],[precio_unitario]]&lt;=58.49,"Accesible","Caro"))</f>
        <v>Accesible</v>
      </c>
      <c r="J1021" t="s">
        <v>17</v>
      </c>
      <c r="K1021">
        <v>4</v>
      </c>
      <c r="L1021" s="19">
        <v>48.61</v>
      </c>
      <c r="M1021" s="19">
        <v>27.38</v>
      </c>
      <c r="N1021" s="11">
        <v>0.17</v>
      </c>
      <c r="O1021" s="17">
        <f t="shared" si="63"/>
        <v>161.3852</v>
      </c>
      <c r="P1021" s="17">
        <f t="shared" si="60"/>
        <v>109.52</v>
      </c>
      <c r="Q1021" s="17">
        <f t="shared" si="61"/>
        <v>51.865200000000002</v>
      </c>
      <c r="R1021" s="24">
        <f t="shared" si="62"/>
        <v>0.32137519425573102</v>
      </c>
      <c r="S1021" t="s">
        <v>83</v>
      </c>
      <c r="T1021" t="s">
        <v>64</v>
      </c>
    </row>
    <row r="1022" spans="1:20" hidden="1">
      <c r="A1022" t="s">
        <v>1094</v>
      </c>
      <c r="B1022" s="5">
        <v>45570</v>
      </c>
      <c r="C1022" s="8">
        <f>YEAR(Tabla2[[#This Row],[fecha]])</f>
        <v>2024</v>
      </c>
      <c r="D1022" s="8">
        <f>MONTH(Tabla2[[#This Row],[fecha]])</f>
        <v>10</v>
      </c>
      <c r="E1022" s="8" t="str">
        <f>TEXT(Tabla2[[#This Row],[fecha]], "mmmm")</f>
        <v>octubre</v>
      </c>
      <c r="F1022" s="8" t="str">
        <f>"T"&amp;ROUNDUP(Tabla2[[#This Row],[mes]]/3,0)</f>
        <v>T4</v>
      </c>
      <c r="G1022" t="s">
        <v>33</v>
      </c>
      <c r="H1022" t="s">
        <v>34</v>
      </c>
      <c r="I1022" s="8" t="str">
        <f>IF(Tabla2[[#This Row],[precio_unitario]]&lt;=30,"Económico",IF(Tabla2[[#This Row],[precio_unitario]]&lt;=58.49,"Accesible","Caro"))</f>
        <v>Caro</v>
      </c>
      <c r="J1022" t="s">
        <v>35</v>
      </c>
      <c r="K1022">
        <v>2</v>
      </c>
      <c r="L1022" s="19">
        <v>76.56</v>
      </c>
      <c r="M1022" s="19">
        <v>48.62</v>
      </c>
      <c r="N1022" s="11">
        <v>0.16</v>
      </c>
      <c r="O1022" s="17">
        <f t="shared" si="63"/>
        <v>128.6208</v>
      </c>
      <c r="P1022" s="17">
        <f t="shared" si="60"/>
        <v>97.24</v>
      </c>
      <c r="Q1022" s="17">
        <f t="shared" si="61"/>
        <v>31.380800000000008</v>
      </c>
      <c r="R1022" s="24">
        <f t="shared" si="62"/>
        <v>0.24397920087575264</v>
      </c>
      <c r="S1022" t="s">
        <v>101</v>
      </c>
      <c r="T1022" t="s">
        <v>64</v>
      </c>
    </row>
    <row r="1023" spans="1:20" hidden="1">
      <c r="A1023" t="s">
        <v>1095</v>
      </c>
      <c r="B1023" s="5">
        <v>45411</v>
      </c>
      <c r="C1023" s="8">
        <f>YEAR(Tabla2[[#This Row],[fecha]])</f>
        <v>2024</v>
      </c>
      <c r="D1023" s="8">
        <f>MONTH(Tabla2[[#This Row],[fecha]])</f>
        <v>4</v>
      </c>
      <c r="E1023" s="8" t="str">
        <f>TEXT(Tabla2[[#This Row],[fecha]], "mmmm")</f>
        <v>abril</v>
      </c>
      <c r="F1023" s="8" t="str">
        <f>"T"&amp;ROUNDUP(Tabla2[[#This Row],[mes]]/3,0)</f>
        <v>T2</v>
      </c>
      <c r="G1023" t="s">
        <v>36</v>
      </c>
      <c r="H1023" t="s">
        <v>37</v>
      </c>
      <c r="I1023" s="8" t="str">
        <f>IF(Tabla2[[#This Row],[precio_unitario]]&lt;=30,"Económico",IF(Tabla2[[#This Row],[precio_unitario]]&lt;=58.49,"Accesible","Caro"))</f>
        <v>Económico</v>
      </c>
      <c r="J1023" t="s">
        <v>35</v>
      </c>
      <c r="K1023">
        <v>1</v>
      </c>
      <c r="L1023" s="19">
        <v>13.91</v>
      </c>
      <c r="M1023" s="19">
        <v>9.92</v>
      </c>
      <c r="N1023" s="11">
        <v>0</v>
      </c>
      <c r="O1023" s="17">
        <f t="shared" si="63"/>
        <v>13.91</v>
      </c>
      <c r="P1023" s="17">
        <f t="shared" si="60"/>
        <v>9.92</v>
      </c>
      <c r="Q1023" s="17">
        <f t="shared" si="61"/>
        <v>3.99</v>
      </c>
      <c r="R1023" s="24">
        <f t="shared" si="62"/>
        <v>0.28684399712437098</v>
      </c>
      <c r="S1023" t="s">
        <v>540</v>
      </c>
      <c r="T1023" t="s">
        <v>64</v>
      </c>
    </row>
    <row r="1024" spans="1:20" hidden="1">
      <c r="A1024" t="s">
        <v>1096</v>
      </c>
      <c r="B1024" s="5">
        <v>45338</v>
      </c>
      <c r="C1024" s="8">
        <f>YEAR(Tabla2[[#This Row],[fecha]])</f>
        <v>2024</v>
      </c>
      <c r="D1024" s="8">
        <f>MONTH(Tabla2[[#This Row],[fecha]])</f>
        <v>2</v>
      </c>
      <c r="E1024" s="8" t="str">
        <f>TEXT(Tabla2[[#This Row],[fecha]], "mmmm")</f>
        <v>febrero</v>
      </c>
      <c r="F1024" s="8" t="str">
        <f>"T"&amp;ROUNDUP(Tabla2[[#This Row],[mes]]/3,0)</f>
        <v>T1</v>
      </c>
      <c r="G1024" t="s">
        <v>38</v>
      </c>
      <c r="H1024" t="s">
        <v>39</v>
      </c>
      <c r="I1024" s="8" t="str">
        <f>IF(Tabla2[[#This Row],[precio_unitario]]&lt;=30,"Económico",IF(Tabla2[[#This Row],[precio_unitario]]&lt;=58.49,"Accesible","Caro"))</f>
        <v>Caro</v>
      </c>
      <c r="J1024" t="s">
        <v>35</v>
      </c>
      <c r="K1024">
        <v>3</v>
      </c>
      <c r="L1024" s="19">
        <v>81.09</v>
      </c>
      <c r="M1024" s="19">
        <v>44.1</v>
      </c>
      <c r="N1024" s="11">
        <v>0</v>
      </c>
      <c r="O1024" s="17">
        <f t="shared" si="63"/>
        <v>243.27</v>
      </c>
      <c r="P1024" s="17">
        <f t="shared" si="60"/>
        <v>132.30000000000001</v>
      </c>
      <c r="Q1024" s="17">
        <f t="shared" si="61"/>
        <v>110.97</v>
      </c>
      <c r="R1024" s="24">
        <f t="shared" si="62"/>
        <v>0.45615982241953384</v>
      </c>
      <c r="S1024" t="s">
        <v>540</v>
      </c>
      <c r="T1024" t="s">
        <v>60</v>
      </c>
    </row>
    <row r="1025" spans="1:20" hidden="1">
      <c r="A1025" t="s">
        <v>1097</v>
      </c>
      <c r="B1025" s="5">
        <v>45926</v>
      </c>
      <c r="C1025" s="8">
        <f>YEAR(Tabla2[[#This Row],[fecha]])</f>
        <v>2025</v>
      </c>
      <c r="D1025" s="8">
        <f>MONTH(Tabla2[[#This Row],[fecha]])</f>
        <v>9</v>
      </c>
      <c r="E1025" s="8" t="str">
        <f>TEXT(Tabla2[[#This Row],[fecha]], "mmmm")</f>
        <v>septiembre</v>
      </c>
      <c r="F1025" s="8" t="str">
        <f>"T"&amp;ROUNDUP(Tabla2[[#This Row],[mes]]/3,0)</f>
        <v>T3</v>
      </c>
      <c r="G1025" t="s">
        <v>13</v>
      </c>
      <c r="H1025" t="s">
        <v>14</v>
      </c>
      <c r="I1025" s="8" t="str">
        <f>IF(Tabla2[[#This Row],[precio_unitario]]&lt;=30,"Económico",IF(Tabla2[[#This Row],[precio_unitario]]&lt;=58.49,"Accesible","Caro"))</f>
        <v>Caro</v>
      </c>
      <c r="J1025" t="s">
        <v>8</v>
      </c>
      <c r="K1025">
        <v>1</v>
      </c>
      <c r="L1025" s="19">
        <v>156.44999999999999</v>
      </c>
      <c r="M1025" s="19">
        <v>105.25</v>
      </c>
      <c r="N1025" s="11">
        <v>0.13</v>
      </c>
      <c r="O1025" s="17">
        <f t="shared" si="63"/>
        <v>136.11149999999998</v>
      </c>
      <c r="P1025" s="17">
        <f t="shared" si="60"/>
        <v>105.25</v>
      </c>
      <c r="Q1025" s="17">
        <f t="shared" si="61"/>
        <v>30.861499999999978</v>
      </c>
      <c r="R1025" s="24">
        <f t="shared" si="62"/>
        <v>0.2267369032006846</v>
      </c>
      <c r="S1025" s="10" t="s">
        <v>2377</v>
      </c>
      <c r="T1025" t="s">
        <v>60</v>
      </c>
    </row>
    <row r="1026" spans="1:20" hidden="1">
      <c r="A1026" t="s">
        <v>1098</v>
      </c>
      <c r="B1026" s="5">
        <v>45424</v>
      </c>
      <c r="C1026" s="8">
        <f>YEAR(Tabla2[[#This Row],[fecha]])</f>
        <v>2024</v>
      </c>
      <c r="D1026" s="8">
        <f>MONTH(Tabla2[[#This Row],[fecha]])</f>
        <v>5</v>
      </c>
      <c r="E1026" s="8" t="str">
        <f>TEXT(Tabla2[[#This Row],[fecha]], "mmmm")</f>
        <v>mayo</v>
      </c>
      <c r="F1026" s="8" t="str">
        <f>"T"&amp;ROUNDUP(Tabla2[[#This Row],[mes]]/3,0)</f>
        <v>T2</v>
      </c>
      <c r="G1026" t="s">
        <v>15</v>
      </c>
      <c r="H1026" t="s">
        <v>16</v>
      </c>
      <c r="I1026" s="8" t="str">
        <f>IF(Tabla2[[#This Row],[precio_unitario]]&lt;=30,"Económico",IF(Tabla2[[#This Row],[precio_unitario]]&lt;=58.49,"Accesible","Caro"))</f>
        <v>Caro</v>
      </c>
      <c r="J1026" t="s">
        <v>17</v>
      </c>
      <c r="K1026">
        <v>3</v>
      </c>
      <c r="L1026" s="19">
        <v>62.44</v>
      </c>
      <c r="M1026" s="19">
        <v>41.3</v>
      </c>
      <c r="N1026" s="11">
        <v>0</v>
      </c>
      <c r="O1026" s="17">
        <f t="shared" si="63"/>
        <v>187.32</v>
      </c>
      <c r="P1026" s="17">
        <f t="shared" ref="P1026:P1089" si="64">M1026*K1026</f>
        <v>123.89999999999999</v>
      </c>
      <c r="Q1026" s="17">
        <f t="shared" ref="Q1026:Q1089" si="65">O1026-P1026</f>
        <v>63.42</v>
      </c>
      <c r="R1026" s="24">
        <f t="shared" ref="R1026:R1089" si="66">IFERROR(Q1026/O1026,0)</f>
        <v>0.3385650224215247</v>
      </c>
      <c r="S1026" t="s">
        <v>67</v>
      </c>
      <c r="T1026" t="s">
        <v>64</v>
      </c>
    </row>
    <row r="1027" spans="1:20" hidden="1">
      <c r="A1027" t="s">
        <v>1099</v>
      </c>
      <c r="B1027" s="5">
        <v>45602</v>
      </c>
      <c r="C1027" s="8">
        <f>YEAR(Tabla2[[#This Row],[fecha]])</f>
        <v>2024</v>
      </c>
      <c r="D1027" s="8">
        <f>MONTH(Tabla2[[#This Row],[fecha]])</f>
        <v>11</v>
      </c>
      <c r="E1027" s="8" t="str">
        <f>TEXT(Tabla2[[#This Row],[fecha]], "mmmm")</f>
        <v>noviembre</v>
      </c>
      <c r="F1027" s="8" t="str">
        <f>"T"&amp;ROUNDUP(Tabla2[[#This Row],[mes]]/3,0)</f>
        <v>T4</v>
      </c>
      <c r="G1027" t="s">
        <v>15</v>
      </c>
      <c r="H1027" t="s">
        <v>16</v>
      </c>
      <c r="I1027" s="8" t="str">
        <f>IF(Tabla2[[#This Row],[precio_unitario]]&lt;=30,"Económico",IF(Tabla2[[#This Row],[precio_unitario]]&lt;=58.49,"Accesible","Caro"))</f>
        <v>Caro</v>
      </c>
      <c r="J1027" t="s">
        <v>17</v>
      </c>
      <c r="K1027">
        <v>1</v>
      </c>
      <c r="L1027" s="19">
        <v>62.22</v>
      </c>
      <c r="M1027" s="19">
        <v>42.38</v>
      </c>
      <c r="N1027" s="11">
        <v>0.22</v>
      </c>
      <c r="O1027" s="17">
        <f t="shared" ref="O1027:O1090" si="67">K1027*L1027*(1-N1027)</f>
        <v>48.531599999999997</v>
      </c>
      <c r="P1027" s="17">
        <f t="shared" si="64"/>
        <v>42.38</v>
      </c>
      <c r="Q1027" s="17">
        <f t="shared" si="65"/>
        <v>6.1515999999999948</v>
      </c>
      <c r="R1027" s="24">
        <f t="shared" si="66"/>
        <v>0.12675452694739087</v>
      </c>
      <c r="S1027" s="10" t="s">
        <v>2377</v>
      </c>
      <c r="T1027" t="s">
        <v>60</v>
      </c>
    </row>
    <row r="1028" spans="1:20" hidden="1">
      <c r="A1028" t="s">
        <v>1100</v>
      </c>
      <c r="B1028" s="5">
        <v>46016</v>
      </c>
      <c r="C1028" s="8">
        <f>YEAR(Tabla2[[#This Row],[fecha]])</f>
        <v>2025</v>
      </c>
      <c r="D1028" s="8">
        <f>MONTH(Tabla2[[#This Row],[fecha]])</f>
        <v>12</v>
      </c>
      <c r="E1028" s="8" t="str">
        <f>TEXT(Tabla2[[#This Row],[fecha]], "mmmm")</f>
        <v>diciembre</v>
      </c>
      <c r="F1028" s="8" t="str">
        <f>"T"&amp;ROUNDUP(Tabla2[[#This Row],[mes]]/3,0)</f>
        <v>T4</v>
      </c>
      <c r="G1028" t="s">
        <v>24</v>
      </c>
      <c r="H1028" t="s">
        <v>25</v>
      </c>
      <c r="I1028" s="8" t="str">
        <f>IF(Tabla2[[#This Row],[precio_unitario]]&lt;=30,"Económico",IF(Tabla2[[#This Row],[precio_unitario]]&lt;=58.49,"Accesible","Caro"))</f>
        <v>Económico</v>
      </c>
      <c r="J1028" t="s">
        <v>26</v>
      </c>
      <c r="K1028">
        <v>2</v>
      </c>
      <c r="L1028" s="19">
        <v>7.24</v>
      </c>
      <c r="M1028" s="19">
        <v>4.4000000000000004</v>
      </c>
      <c r="N1028" s="11">
        <v>0</v>
      </c>
      <c r="O1028" s="17">
        <f t="shared" si="67"/>
        <v>14.48</v>
      </c>
      <c r="P1028" s="17">
        <f t="shared" si="64"/>
        <v>8.8000000000000007</v>
      </c>
      <c r="Q1028" s="17">
        <f t="shared" si="65"/>
        <v>5.68</v>
      </c>
      <c r="R1028" s="24">
        <f t="shared" si="66"/>
        <v>0.39226519337016569</v>
      </c>
      <c r="S1028" t="s">
        <v>540</v>
      </c>
      <c r="T1028" t="s">
        <v>60</v>
      </c>
    </row>
    <row r="1029" spans="1:20" hidden="1">
      <c r="A1029" t="s">
        <v>1101</v>
      </c>
      <c r="B1029" s="5">
        <v>45558</v>
      </c>
      <c r="C1029" s="8">
        <f>YEAR(Tabla2[[#This Row],[fecha]])</f>
        <v>2024</v>
      </c>
      <c r="D1029" s="8">
        <f>MONTH(Tabla2[[#This Row],[fecha]])</f>
        <v>9</v>
      </c>
      <c r="E1029" s="8" t="str">
        <f>TEXT(Tabla2[[#This Row],[fecha]], "mmmm")</f>
        <v>septiembre</v>
      </c>
      <c r="F1029" s="8" t="str">
        <f>"T"&amp;ROUNDUP(Tabla2[[#This Row],[mes]]/3,0)</f>
        <v>T3</v>
      </c>
      <c r="G1029" t="s">
        <v>47</v>
      </c>
      <c r="H1029" t="s">
        <v>48</v>
      </c>
      <c r="I1029" s="8" t="str">
        <f>IF(Tabla2[[#This Row],[precio_unitario]]&lt;=30,"Económico",IF(Tabla2[[#This Row],[precio_unitario]]&lt;=58.49,"Accesible","Caro"))</f>
        <v>Accesible</v>
      </c>
      <c r="J1029" t="s">
        <v>44</v>
      </c>
      <c r="K1029">
        <v>4</v>
      </c>
      <c r="L1029" s="19">
        <v>55.45</v>
      </c>
      <c r="M1029" s="19">
        <v>32.700000000000003</v>
      </c>
      <c r="N1029" s="11">
        <v>0</v>
      </c>
      <c r="O1029" s="17">
        <f t="shared" si="67"/>
        <v>221.8</v>
      </c>
      <c r="P1029" s="17">
        <f t="shared" si="64"/>
        <v>130.80000000000001</v>
      </c>
      <c r="Q1029" s="17">
        <f t="shared" si="65"/>
        <v>91</v>
      </c>
      <c r="R1029" s="24">
        <f t="shared" si="66"/>
        <v>0.41027953110910731</v>
      </c>
      <c r="S1029" t="s">
        <v>67</v>
      </c>
      <c r="T1029" t="s">
        <v>64</v>
      </c>
    </row>
    <row r="1030" spans="1:20" hidden="1">
      <c r="A1030" t="s">
        <v>1102</v>
      </c>
      <c r="B1030" s="5">
        <v>45335</v>
      </c>
      <c r="C1030" s="8">
        <f>YEAR(Tabla2[[#This Row],[fecha]])</f>
        <v>2024</v>
      </c>
      <c r="D1030" s="8">
        <f>MONTH(Tabla2[[#This Row],[fecha]])</f>
        <v>2</v>
      </c>
      <c r="E1030" s="8" t="str">
        <f>TEXT(Tabla2[[#This Row],[fecha]], "mmmm")</f>
        <v>febrero</v>
      </c>
      <c r="F1030" s="8" t="str">
        <f>"T"&amp;ROUNDUP(Tabla2[[#This Row],[mes]]/3,0)</f>
        <v>T1</v>
      </c>
      <c r="G1030" t="s">
        <v>42</v>
      </c>
      <c r="H1030" t="s">
        <v>43</v>
      </c>
      <c r="I1030" s="8" t="str">
        <f>IF(Tabla2[[#This Row],[precio_unitario]]&lt;=30,"Económico",IF(Tabla2[[#This Row],[precio_unitario]]&lt;=58.49,"Accesible","Caro"))</f>
        <v>Accesible</v>
      </c>
      <c r="J1030" t="s">
        <v>44</v>
      </c>
      <c r="K1030">
        <v>1</v>
      </c>
      <c r="L1030" s="19">
        <v>48.01</v>
      </c>
      <c r="M1030" s="19">
        <v>23.75</v>
      </c>
      <c r="N1030" s="11">
        <v>0</v>
      </c>
      <c r="O1030" s="17">
        <f t="shared" si="67"/>
        <v>48.01</v>
      </c>
      <c r="P1030" s="17">
        <f t="shared" si="64"/>
        <v>23.75</v>
      </c>
      <c r="Q1030" s="17">
        <f t="shared" si="65"/>
        <v>24.259999999999998</v>
      </c>
      <c r="R1030" s="24">
        <f t="shared" si="66"/>
        <v>0.50531139345969589</v>
      </c>
      <c r="S1030" t="s">
        <v>540</v>
      </c>
      <c r="T1030" t="s">
        <v>496</v>
      </c>
    </row>
    <row r="1031" spans="1:20" hidden="1">
      <c r="A1031" t="s">
        <v>1103</v>
      </c>
      <c r="B1031" s="5">
        <v>45535</v>
      </c>
      <c r="C1031" s="8">
        <f>YEAR(Tabla2[[#This Row],[fecha]])</f>
        <v>2024</v>
      </c>
      <c r="D1031" s="8">
        <f>MONTH(Tabla2[[#This Row],[fecha]])</f>
        <v>8</v>
      </c>
      <c r="E1031" s="8" t="str">
        <f>TEXT(Tabla2[[#This Row],[fecha]], "mmmm")</f>
        <v>agosto</v>
      </c>
      <c r="F1031" s="8" t="str">
        <f>"T"&amp;ROUNDUP(Tabla2[[#This Row],[mes]]/3,0)</f>
        <v>T3</v>
      </c>
      <c r="G1031" t="s">
        <v>38</v>
      </c>
      <c r="H1031" t="s">
        <v>39</v>
      </c>
      <c r="I1031" s="8" t="str">
        <f>IF(Tabla2[[#This Row],[precio_unitario]]&lt;=30,"Económico",IF(Tabla2[[#This Row],[precio_unitario]]&lt;=58.49,"Accesible","Caro"))</f>
        <v>Caro</v>
      </c>
      <c r="J1031" t="s">
        <v>35</v>
      </c>
      <c r="K1031">
        <v>7</v>
      </c>
      <c r="L1031" s="19">
        <v>72.64</v>
      </c>
      <c r="M1031" s="19">
        <v>41.72</v>
      </c>
      <c r="N1031" s="11">
        <v>0</v>
      </c>
      <c r="O1031" s="17">
        <f t="shared" si="67"/>
        <v>508.48</v>
      </c>
      <c r="P1031" s="17">
        <f t="shared" si="64"/>
        <v>292.03999999999996</v>
      </c>
      <c r="Q1031" s="17">
        <f t="shared" si="65"/>
        <v>216.44000000000005</v>
      </c>
      <c r="R1031" s="24">
        <f t="shared" si="66"/>
        <v>0.42566079295154197</v>
      </c>
      <c r="S1031" s="10" t="s">
        <v>2377</v>
      </c>
      <c r="T1031" t="s">
        <v>60</v>
      </c>
    </row>
    <row r="1032" spans="1:20">
      <c r="A1032" t="s">
        <v>1104</v>
      </c>
      <c r="B1032" s="5">
        <v>45811</v>
      </c>
      <c r="C1032" s="8">
        <f>YEAR(Tabla2[[#This Row],[fecha]])</f>
        <v>2025</v>
      </c>
      <c r="D1032" s="8">
        <f>MONTH(Tabla2[[#This Row],[fecha]])</f>
        <v>6</v>
      </c>
      <c r="E1032" s="8" t="str">
        <f>TEXT(Tabla2[[#This Row],[fecha]], "mmmm")</f>
        <v>junio</v>
      </c>
      <c r="F1032" s="8" t="str">
        <f>"T"&amp;ROUNDUP(Tabla2[[#This Row],[mes]]/3,0)</f>
        <v>T2</v>
      </c>
      <c r="G1032" t="s">
        <v>22</v>
      </c>
      <c r="H1032" t="s">
        <v>23</v>
      </c>
      <c r="I1032" s="8" t="str">
        <f>IF(Tabla2[[#This Row],[precio_unitario]]&lt;=30,"Económico",IF(Tabla2[[#This Row],[precio_unitario]]&lt;=58.49,"Accesible","Caro"))</f>
        <v>Caro</v>
      </c>
      <c r="J1032" t="s">
        <v>17</v>
      </c>
      <c r="K1032">
        <v>1</v>
      </c>
      <c r="L1032" s="19">
        <v>104.15</v>
      </c>
      <c r="M1032" s="19">
        <v>55.54</v>
      </c>
      <c r="N1032" s="11">
        <v>0.13</v>
      </c>
      <c r="O1032" s="17">
        <f t="shared" si="67"/>
        <v>90.610500000000002</v>
      </c>
      <c r="P1032" s="17">
        <f t="shared" si="64"/>
        <v>55.54</v>
      </c>
      <c r="Q1032" s="17">
        <f t="shared" si="65"/>
        <v>35.070500000000003</v>
      </c>
      <c r="R1032" s="24">
        <f t="shared" si="66"/>
        <v>0.38704675506701763</v>
      </c>
      <c r="S1032" t="s">
        <v>67</v>
      </c>
      <c r="T1032" t="s">
        <v>64</v>
      </c>
    </row>
    <row r="1033" spans="1:20" hidden="1">
      <c r="A1033" t="s">
        <v>1105</v>
      </c>
      <c r="B1033" s="5">
        <v>45396</v>
      </c>
      <c r="C1033" s="8">
        <f>YEAR(Tabla2[[#This Row],[fecha]])</f>
        <v>2024</v>
      </c>
      <c r="D1033" s="8">
        <f>MONTH(Tabla2[[#This Row],[fecha]])</f>
        <v>4</v>
      </c>
      <c r="E1033" s="8" t="str">
        <f>TEXT(Tabla2[[#This Row],[fecha]], "mmmm")</f>
        <v>abril</v>
      </c>
      <c r="F1033" s="8" t="str">
        <f>"T"&amp;ROUNDUP(Tabla2[[#This Row],[mes]]/3,0)</f>
        <v>T2</v>
      </c>
      <c r="G1033" t="s">
        <v>42</v>
      </c>
      <c r="H1033" t="s">
        <v>43</v>
      </c>
      <c r="I1033" s="8" t="str">
        <f>IF(Tabla2[[#This Row],[precio_unitario]]&lt;=30,"Económico",IF(Tabla2[[#This Row],[precio_unitario]]&lt;=58.49,"Accesible","Caro"))</f>
        <v>Accesible</v>
      </c>
      <c r="J1033" t="s">
        <v>44</v>
      </c>
      <c r="K1033">
        <v>1</v>
      </c>
      <c r="L1033" s="19">
        <v>45.57</v>
      </c>
      <c r="M1033" s="19">
        <v>22.99</v>
      </c>
      <c r="N1033" s="11">
        <v>0</v>
      </c>
      <c r="O1033" s="17">
        <f t="shared" si="67"/>
        <v>45.57</v>
      </c>
      <c r="P1033" s="17">
        <f t="shared" si="64"/>
        <v>22.99</v>
      </c>
      <c r="Q1033" s="17">
        <f t="shared" si="65"/>
        <v>22.580000000000002</v>
      </c>
      <c r="R1033" s="24">
        <f t="shared" si="66"/>
        <v>0.49550142637700245</v>
      </c>
      <c r="S1033" t="s">
        <v>540</v>
      </c>
      <c r="T1033" t="s">
        <v>64</v>
      </c>
    </row>
    <row r="1034" spans="1:20" hidden="1">
      <c r="A1034" t="s">
        <v>1106</v>
      </c>
      <c r="B1034" s="5">
        <v>45461</v>
      </c>
      <c r="C1034" s="8">
        <f>YEAR(Tabla2[[#This Row],[fecha]])</f>
        <v>2024</v>
      </c>
      <c r="D1034" s="8">
        <f>MONTH(Tabla2[[#This Row],[fecha]])</f>
        <v>6</v>
      </c>
      <c r="E1034" s="8" t="str">
        <f>TEXT(Tabla2[[#This Row],[fecha]], "mmmm")</f>
        <v>junio</v>
      </c>
      <c r="F1034" s="8" t="str">
        <f>"T"&amp;ROUNDUP(Tabla2[[#This Row],[mes]]/3,0)</f>
        <v>T2</v>
      </c>
      <c r="G1034" t="s">
        <v>49</v>
      </c>
      <c r="H1034" t="s">
        <v>50</v>
      </c>
      <c r="I1034" s="8" t="str">
        <f>IF(Tabla2[[#This Row],[precio_unitario]]&lt;=30,"Económico",IF(Tabla2[[#This Row],[precio_unitario]]&lt;=58.49,"Accesible","Caro"))</f>
        <v>Caro</v>
      </c>
      <c r="J1034" t="s">
        <v>44</v>
      </c>
      <c r="K1034">
        <v>2</v>
      </c>
      <c r="L1034" s="19">
        <v>64.849999999999994</v>
      </c>
      <c r="M1034" s="19">
        <v>34.15</v>
      </c>
      <c r="N1034" s="11">
        <v>0</v>
      </c>
      <c r="O1034" s="17">
        <f t="shared" si="67"/>
        <v>129.69999999999999</v>
      </c>
      <c r="P1034" s="17">
        <f t="shared" si="64"/>
        <v>68.3</v>
      </c>
      <c r="Q1034" s="17">
        <f t="shared" si="65"/>
        <v>61.399999999999991</v>
      </c>
      <c r="R1034" s="24">
        <f t="shared" si="66"/>
        <v>0.4734001542020046</v>
      </c>
      <c r="S1034" t="s">
        <v>63</v>
      </c>
      <c r="T1034" t="s">
        <v>60</v>
      </c>
    </row>
    <row r="1035" spans="1:20" hidden="1">
      <c r="A1035" t="s">
        <v>1107</v>
      </c>
      <c r="B1035" s="5">
        <v>46006</v>
      </c>
      <c r="C1035" s="8">
        <f>YEAR(Tabla2[[#This Row],[fecha]])</f>
        <v>2025</v>
      </c>
      <c r="D1035" s="8">
        <f>MONTH(Tabla2[[#This Row],[fecha]])</f>
        <v>12</v>
      </c>
      <c r="E1035" s="8" t="str">
        <f>TEXT(Tabla2[[#This Row],[fecha]], "mmmm")</f>
        <v>diciembre</v>
      </c>
      <c r="F1035" s="8" t="str">
        <f>"T"&amp;ROUNDUP(Tabla2[[#This Row],[mes]]/3,0)</f>
        <v>T4</v>
      </c>
      <c r="G1035" t="s">
        <v>49</v>
      </c>
      <c r="H1035" t="s">
        <v>50</v>
      </c>
      <c r="I1035" s="8" t="str">
        <f>IF(Tabla2[[#This Row],[precio_unitario]]&lt;=30,"Económico",IF(Tabla2[[#This Row],[precio_unitario]]&lt;=58.49,"Accesible","Caro"))</f>
        <v>Caro</v>
      </c>
      <c r="J1035" t="s">
        <v>44</v>
      </c>
      <c r="K1035">
        <v>1</v>
      </c>
      <c r="L1035" s="19">
        <v>64.760000000000005</v>
      </c>
      <c r="M1035" s="19">
        <v>35.369999999999997</v>
      </c>
      <c r="N1035" s="11">
        <v>0</v>
      </c>
      <c r="O1035" s="17">
        <f t="shared" si="67"/>
        <v>64.760000000000005</v>
      </c>
      <c r="P1035" s="17">
        <f t="shared" si="64"/>
        <v>35.369999999999997</v>
      </c>
      <c r="Q1035" s="17">
        <f t="shared" si="65"/>
        <v>29.390000000000008</v>
      </c>
      <c r="R1035" s="24">
        <f t="shared" si="66"/>
        <v>0.45382952439777646</v>
      </c>
      <c r="S1035" t="s">
        <v>101</v>
      </c>
      <c r="T1035" t="s">
        <v>60</v>
      </c>
    </row>
    <row r="1036" spans="1:20" hidden="1">
      <c r="A1036" t="s">
        <v>1108</v>
      </c>
      <c r="B1036" s="5">
        <v>45717</v>
      </c>
      <c r="C1036" s="8">
        <f>YEAR(Tabla2[[#This Row],[fecha]])</f>
        <v>2025</v>
      </c>
      <c r="D1036" s="8">
        <f>MONTH(Tabla2[[#This Row],[fecha]])</f>
        <v>3</v>
      </c>
      <c r="E1036" s="8" t="str">
        <f>TEXT(Tabla2[[#This Row],[fecha]], "mmmm")</f>
        <v>marzo</v>
      </c>
      <c r="F1036" s="8" t="str">
        <f>"T"&amp;ROUNDUP(Tabla2[[#This Row],[mes]]/3,0)</f>
        <v>T1</v>
      </c>
      <c r="G1036" t="s">
        <v>42</v>
      </c>
      <c r="H1036" t="s">
        <v>43</v>
      </c>
      <c r="I1036" s="8" t="str">
        <f>IF(Tabla2[[#This Row],[precio_unitario]]&lt;=30,"Económico",IF(Tabla2[[#This Row],[precio_unitario]]&lt;=58.49,"Accesible","Caro"))</f>
        <v>Accesible</v>
      </c>
      <c r="J1036" t="s">
        <v>44</v>
      </c>
      <c r="K1036">
        <v>4</v>
      </c>
      <c r="L1036" s="19">
        <v>46.59</v>
      </c>
      <c r="M1036" s="19">
        <v>21.75</v>
      </c>
      <c r="N1036" s="13">
        <v>0</v>
      </c>
      <c r="O1036" s="17">
        <f t="shared" si="67"/>
        <v>186.36</v>
      </c>
      <c r="P1036" s="17">
        <f t="shared" si="64"/>
        <v>87</v>
      </c>
      <c r="Q1036" s="17">
        <f t="shared" si="65"/>
        <v>99.360000000000014</v>
      </c>
      <c r="R1036" s="24">
        <f t="shared" si="66"/>
        <v>0.53316162266580813</v>
      </c>
      <c r="S1036" t="s">
        <v>540</v>
      </c>
      <c r="T1036" t="s">
        <v>60</v>
      </c>
    </row>
    <row r="1037" spans="1:20" hidden="1">
      <c r="A1037" t="s">
        <v>1109</v>
      </c>
      <c r="B1037" s="5">
        <v>45345</v>
      </c>
      <c r="C1037" s="8">
        <f>YEAR(Tabla2[[#This Row],[fecha]])</f>
        <v>2024</v>
      </c>
      <c r="D1037" s="8">
        <f>MONTH(Tabla2[[#This Row],[fecha]])</f>
        <v>2</v>
      </c>
      <c r="E1037" s="8" t="str">
        <f>TEXT(Tabla2[[#This Row],[fecha]], "mmmm")</f>
        <v>febrero</v>
      </c>
      <c r="F1037" s="8" t="str">
        <f>"T"&amp;ROUNDUP(Tabla2[[#This Row],[mes]]/3,0)</f>
        <v>T1</v>
      </c>
      <c r="G1037" t="s">
        <v>31</v>
      </c>
      <c r="H1037" t="s">
        <v>32</v>
      </c>
      <c r="I1037" s="8" t="str">
        <f>IF(Tabla2[[#This Row],[precio_unitario]]&lt;=30,"Económico",IF(Tabla2[[#This Row],[precio_unitario]]&lt;=58.49,"Accesible","Caro"))</f>
        <v>Económico</v>
      </c>
      <c r="J1037" t="s">
        <v>26</v>
      </c>
      <c r="K1037">
        <v>1</v>
      </c>
      <c r="L1037" s="19">
        <v>8.7200000000000006</v>
      </c>
      <c r="M1037" s="19">
        <v>5.97</v>
      </c>
      <c r="N1037" s="11">
        <v>0</v>
      </c>
      <c r="O1037" s="17">
        <f t="shared" si="67"/>
        <v>8.7200000000000006</v>
      </c>
      <c r="P1037" s="17">
        <f t="shared" si="64"/>
        <v>5.97</v>
      </c>
      <c r="Q1037" s="17">
        <f t="shared" si="65"/>
        <v>2.7500000000000009</v>
      </c>
      <c r="R1037" s="24">
        <f t="shared" si="66"/>
        <v>0.3153669724770643</v>
      </c>
      <c r="S1037" t="s">
        <v>63</v>
      </c>
      <c r="T1037" t="s">
        <v>64</v>
      </c>
    </row>
    <row r="1038" spans="1:20" hidden="1">
      <c r="A1038" t="s">
        <v>1110</v>
      </c>
      <c r="B1038" s="5">
        <v>45489</v>
      </c>
      <c r="C1038" s="8">
        <f>YEAR(Tabla2[[#This Row],[fecha]])</f>
        <v>2024</v>
      </c>
      <c r="D1038" s="8">
        <f>MONTH(Tabla2[[#This Row],[fecha]])</f>
        <v>7</v>
      </c>
      <c r="E1038" s="8" t="str">
        <f>TEXT(Tabla2[[#This Row],[fecha]], "mmmm")</f>
        <v>julio</v>
      </c>
      <c r="F1038" s="8" t="str">
        <f>"T"&amp;ROUNDUP(Tabla2[[#This Row],[mes]]/3,0)</f>
        <v>T3</v>
      </c>
      <c r="G1038" t="s">
        <v>22</v>
      </c>
      <c r="H1038" t="s">
        <v>23</v>
      </c>
      <c r="I1038" s="8" t="str">
        <f>IF(Tabla2[[#This Row],[precio_unitario]]&lt;=30,"Económico",IF(Tabla2[[#This Row],[precio_unitario]]&lt;=58.49,"Accesible","Caro"))</f>
        <v>Caro</v>
      </c>
      <c r="J1038" t="s">
        <v>17</v>
      </c>
      <c r="K1038">
        <v>1</v>
      </c>
      <c r="L1038" s="19">
        <v>104.13</v>
      </c>
      <c r="M1038" s="19">
        <v>55.36</v>
      </c>
      <c r="N1038" s="11">
        <v>0</v>
      </c>
      <c r="O1038" s="17">
        <f t="shared" si="67"/>
        <v>104.13</v>
      </c>
      <c r="P1038" s="17">
        <f t="shared" si="64"/>
        <v>55.36</v>
      </c>
      <c r="Q1038" s="17">
        <f t="shared" si="65"/>
        <v>48.769999999999996</v>
      </c>
      <c r="R1038" s="24">
        <f t="shared" si="66"/>
        <v>0.46835686161528856</v>
      </c>
      <c r="S1038" t="s">
        <v>96</v>
      </c>
      <c r="T1038" t="s">
        <v>60</v>
      </c>
    </row>
    <row r="1039" spans="1:20" hidden="1">
      <c r="A1039" t="s">
        <v>1111</v>
      </c>
      <c r="B1039" s="5">
        <v>45453</v>
      </c>
      <c r="C1039" s="8">
        <f>YEAR(Tabla2[[#This Row],[fecha]])</f>
        <v>2024</v>
      </c>
      <c r="D1039" s="8">
        <f>MONTH(Tabla2[[#This Row],[fecha]])</f>
        <v>6</v>
      </c>
      <c r="E1039" s="8" t="str">
        <f>TEXT(Tabla2[[#This Row],[fecha]], "mmmm")</f>
        <v>junio</v>
      </c>
      <c r="F1039" s="8" t="str">
        <f>"T"&amp;ROUNDUP(Tabla2[[#This Row],[mes]]/3,0)</f>
        <v>T2</v>
      </c>
      <c r="G1039" t="s">
        <v>18</v>
      </c>
      <c r="H1039" t="s">
        <v>19</v>
      </c>
      <c r="I1039" s="8" t="str">
        <f>IF(Tabla2[[#This Row],[precio_unitario]]&lt;=30,"Económico",IF(Tabla2[[#This Row],[precio_unitario]]&lt;=58.49,"Accesible","Caro"))</f>
        <v>Accesible</v>
      </c>
      <c r="J1039" t="s">
        <v>17</v>
      </c>
      <c r="K1039">
        <v>4</v>
      </c>
      <c r="L1039" s="19">
        <v>48.81</v>
      </c>
      <c r="M1039" s="19">
        <v>26.02</v>
      </c>
      <c r="N1039" s="11">
        <v>0</v>
      </c>
      <c r="O1039" s="17">
        <f t="shared" si="67"/>
        <v>195.24</v>
      </c>
      <c r="P1039" s="17">
        <f t="shared" si="64"/>
        <v>104.08</v>
      </c>
      <c r="Q1039" s="17">
        <f t="shared" si="65"/>
        <v>91.160000000000011</v>
      </c>
      <c r="R1039" s="24">
        <f t="shared" si="66"/>
        <v>0.46691251792665439</v>
      </c>
      <c r="S1039" s="10" t="s">
        <v>2377</v>
      </c>
      <c r="T1039" t="s">
        <v>60</v>
      </c>
    </row>
    <row r="1040" spans="1:20" hidden="1">
      <c r="A1040" t="s">
        <v>1112</v>
      </c>
      <c r="B1040" s="5">
        <v>45319</v>
      </c>
      <c r="C1040" s="8">
        <f>YEAR(Tabla2[[#This Row],[fecha]])</f>
        <v>2024</v>
      </c>
      <c r="D1040" s="8">
        <f>MONTH(Tabla2[[#This Row],[fecha]])</f>
        <v>1</v>
      </c>
      <c r="E1040" s="8" t="str">
        <f>TEXT(Tabla2[[#This Row],[fecha]], "mmmm")</f>
        <v>enero</v>
      </c>
      <c r="F1040" s="8" t="str">
        <f>"T"&amp;ROUNDUP(Tabla2[[#This Row],[mes]]/3,0)</f>
        <v>T1</v>
      </c>
      <c r="G1040" t="s">
        <v>20</v>
      </c>
      <c r="H1040" t="s">
        <v>21</v>
      </c>
      <c r="I1040" s="8" t="str">
        <f>IF(Tabla2[[#This Row],[precio_unitario]]&lt;=30,"Económico",IF(Tabla2[[#This Row],[precio_unitario]]&lt;=58.49,"Accesible","Caro"))</f>
        <v>Económico</v>
      </c>
      <c r="J1040" t="s">
        <v>17</v>
      </c>
      <c r="K1040">
        <v>4</v>
      </c>
      <c r="L1040" s="19">
        <v>20.25</v>
      </c>
      <c r="M1040" s="19">
        <v>13.27</v>
      </c>
      <c r="N1040" s="11">
        <v>0.13</v>
      </c>
      <c r="O1040" s="17">
        <f t="shared" si="67"/>
        <v>70.47</v>
      </c>
      <c r="P1040" s="17">
        <f t="shared" si="64"/>
        <v>53.08</v>
      </c>
      <c r="Q1040" s="17">
        <f t="shared" si="65"/>
        <v>17.39</v>
      </c>
      <c r="R1040" s="24">
        <f t="shared" si="66"/>
        <v>0.24677167589044985</v>
      </c>
      <c r="S1040" t="s">
        <v>67</v>
      </c>
      <c r="T1040" t="s">
        <v>64</v>
      </c>
    </row>
    <row r="1041" spans="1:20">
      <c r="A1041" t="s">
        <v>1113</v>
      </c>
      <c r="B1041" s="5">
        <v>45892</v>
      </c>
      <c r="C1041" s="8">
        <f>YEAR(Tabla2[[#This Row],[fecha]])</f>
        <v>2025</v>
      </c>
      <c r="D1041" s="8">
        <f>MONTH(Tabla2[[#This Row],[fecha]])</f>
        <v>8</v>
      </c>
      <c r="E1041" s="8" t="str">
        <f>TEXT(Tabla2[[#This Row],[fecha]], "mmmm")</f>
        <v>agosto</v>
      </c>
      <c r="F1041" s="8" t="str">
        <f>"T"&amp;ROUNDUP(Tabla2[[#This Row],[mes]]/3,0)</f>
        <v>T3</v>
      </c>
      <c r="G1041" t="s">
        <v>49</v>
      </c>
      <c r="H1041" t="s">
        <v>50</v>
      </c>
      <c r="I1041" s="8" t="str">
        <f>IF(Tabla2[[#This Row],[precio_unitario]]&lt;=30,"Económico",IF(Tabla2[[#This Row],[precio_unitario]]&lt;=58.49,"Accesible","Caro"))</f>
        <v>Caro</v>
      </c>
      <c r="J1041" t="s">
        <v>44</v>
      </c>
      <c r="K1041">
        <v>4</v>
      </c>
      <c r="L1041" s="19">
        <v>59.06</v>
      </c>
      <c r="M1041" s="19">
        <v>35.21</v>
      </c>
      <c r="N1041" s="11">
        <v>0.08</v>
      </c>
      <c r="O1041" s="17">
        <f t="shared" si="67"/>
        <v>217.34080000000003</v>
      </c>
      <c r="P1041" s="17">
        <f t="shared" si="64"/>
        <v>140.84</v>
      </c>
      <c r="Q1041" s="17">
        <f t="shared" si="65"/>
        <v>76.500800000000027</v>
      </c>
      <c r="R1041" s="24">
        <f t="shared" si="66"/>
        <v>0.35198545326050157</v>
      </c>
      <c r="S1041" t="s">
        <v>67</v>
      </c>
      <c r="T1041" t="s">
        <v>60</v>
      </c>
    </row>
    <row r="1042" spans="1:20" hidden="1">
      <c r="A1042" t="s">
        <v>1114</v>
      </c>
      <c r="B1042" s="5">
        <v>45945</v>
      </c>
      <c r="C1042" s="8">
        <f>YEAR(Tabla2[[#This Row],[fecha]])</f>
        <v>2025</v>
      </c>
      <c r="D1042" s="8">
        <f>MONTH(Tabla2[[#This Row],[fecha]])</f>
        <v>10</v>
      </c>
      <c r="E1042" s="8" t="str">
        <f>TEXT(Tabla2[[#This Row],[fecha]], "mmmm")</f>
        <v>octubre</v>
      </c>
      <c r="F1042" s="8" t="str">
        <f>"T"&amp;ROUNDUP(Tabla2[[#This Row],[mes]]/3,0)</f>
        <v>T4</v>
      </c>
      <c r="G1042" t="s">
        <v>24</v>
      </c>
      <c r="H1042" t="s">
        <v>25</v>
      </c>
      <c r="I1042" s="8" t="str">
        <f>IF(Tabla2[[#This Row],[precio_unitario]]&lt;=30,"Económico",IF(Tabla2[[#This Row],[precio_unitario]]&lt;=58.49,"Accesible","Caro"))</f>
        <v>Económico</v>
      </c>
      <c r="J1042" t="s">
        <v>26</v>
      </c>
      <c r="K1042">
        <v>6</v>
      </c>
      <c r="L1042" s="19">
        <v>7.93</v>
      </c>
      <c r="M1042" s="19">
        <v>4.37</v>
      </c>
      <c r="N1042" s="13">
        <v>0</v>
      </c>
      <c r="O1042" s="17">
        <f t="shared" si="67"/>
        <v>47.58</v>
      </c>
      <c r="P1042" s="17">
        <f t="shared" si="64"/>
        <v>26.22</v>
      </c>
      <c r="Q1042" s="17">
        <f t="shared" si="65"/>
        <v>21.36</v>
      </c>
      <c r="R1042" s="24">
        <f t="shared" si="66"/>
        <v>0.4489281210592686</v>
      </c>
      <c r="S1042" t="s">
        <v>540</v>
      </c>
      <c r="T1042" t="s">
        <v>64</v>
      </c>
    </row>
    <row r="1043" spans="1:20" hidden="1">
      <c r="A1043" t="s">
        <v>1115</v>
      </c>
      <c r="B1043" s="5">
        <v>45922</v>
      </c>
      <c r="C1043" s="8">
        <f>YEAR(Tabla2[[#This Row],[fecha]])</f>
        <v>2025</v>
      </c>
      <c r="D1043" s="8">
        <f>MONTH(Tabla2[[#This Row],[fecha]])</f>
        <v>9</v>
      </c>
      <c r="E1043" s="8" t="str">
        <f>TEXT(Tabla2[[#This Row],[fecha]], "mmmm")</f>
        <v>septiembre</v>
      </c>
      <c r="F1043" s="8" t="str">
        <f>"T"&amp;ROUNDUP(Tabla2[[#This Row],[mes]]/3,0)</f>
        <v>T3</v>
      </c>
      <c r="G1043" t="s">
        <v>24</v>
      </c>
      <c r="H1043" t="s">
        <v>25</v>
      </c>
      <c r="I1043" s="8" t="str">
        <f>IF(Tabla2[[#This Row],[precio_unitario]]&lt;=30,"Económico",IF(Tabla2[[#This Row],[precio_unitario]]&lt;=58.49,"Accesible","Caro"))</f>
        <v>Económico</v>
      </c>
      <c r="J1043" t="s">
        <v>26</v>
      </c>
      <c r="K1043">
        <v>3</v>
      </c>
      <c r="L1043" s="19">
        <v>8.14</v>
      </c>
      <c r="M1043" s="19">
        <v>4.22</v>
      </c>
      <c r="N1043" s="11">
        <v>0</v>
      </c>
      <c r="O1043" s="17">
        <f t="shared" si="67"/>
        <v>24.42</v>
      </c>
      <c r="P1043" s="17">
        <f t="shared" si="64"/>
        <v>12.66</v>
      </c>
      <c r="Q1043" s="17">
        <f t="shared" si="65"/>
        <v>11.760000000000002</v>
      </c>
      <c r="R1043" s="24">
        <f t="shared" si="66"/>
        <v>0.48157248157248161</v>
      </c>
      <c r="S1043" t="s">
        <v>63</v>
      </c>
      <c r="T1043" t="s">
        <v>64</v>
      </c>
    </row>
    <row r="1044" spans="1:20" hidden="1">
      <c r="A1044" t="s">
        <v>1116</v>
      </c>
      <c r="B1044" s="5">
        <v>45345</v>
      </c>
      <c r="C1044" s="8">
        <f>YEAR(Tabla2[[#This Row],[fecha]])</f>
        <v>2024</v>
      </c>
      <c r="D1044" s="8">
        <f>MONTH(Tabla2[[#This Row],[fecha]])</f>
        <v>2</v>
      </c>
      <c r="E1044" s="8" t="str">
        <f>TEXT(Tabla2[[#This Row],[fecha]], "mmmm")</f>
        <v>febrero</v>
      </c>
      <c r="F1044" s="8" t="str">
        <f>"T"&amp;ROUNDUP(Tabla2[[#This Row],[mes]]/3,0)</f>
        <v>T1</v>
      </c>
      <c r="G1044" t="s">
        <v>47</v>
      </c>
      <c r="H1044" t="s">
        <v>48</v>
      </c>
      <c r="I1044" s="8" t="str">
        <f>IF(Tabla2[[#This Row],[precio_unitario]]&lt;=30,"Económico",IF(Tabla2[[#This Row],[precio_unitario]]&lt;=58.49,"Accesible","Caro"))</f>
        <v>Caro</v>
      </c>
      <c r="J1044" t="s">
        <v>44</v>
      </c>
      <c r="K1044">
        <v>1</v>
      </c>
      <c r="L1044" s="19">
        <v>63.42</v>
      </c>
      <c r="M1044" s="19">
        <v>33.200000000000003</v>
      </c>
      <c r="N1044" s="11">
        <v>0</v>
      </c>
      <c r="O1044" s="17">
        <f t="shared" si="67"/>
        <v>63.42</v>
      </c>
      <c r="P1044" s="17">
        <f t="shared" si="64"/>
        <v>33.200000000000003</v>
      </c>
      <c r="Q1044" s="17">
        <f t="shared" si="65"/>
        <v>30.22</v>
      </c>
      <c r="R1044" s="24">
        <f t="shared" si="66"/>
        <v>0.47650583412172814</v>
      </c>
      <c r="S1044" t="s">
        <v>67</v>
      </c>
      <c r="T1044" t="s">
        <v>64</v>
      </c>
    </row>
    <row r="1045" spans="1:20" hidden="1">
      <c r="A1045" t="s">
        <v>1117</v>
      </c>
      <c r="B1045" s="5">
        <v>45419</v>
      </c>
      <c r="C1045" s="8">
        <f>YEAR(Tabla2[[#This Row],[fecha]])</f>
        <v>2024</v>
      </c>
      <c r="D1045" s="8">
        <f>MONTH(Tabla2[[#This Row],[fecha]])</f>
        <v>5</v>
      </c>
      <c r="E1045" s="8" t="str">
        <f>TEXT(Tabla2[[#This Row],[fecha]], "mmmm")</f>
        <v>mayo</v>
      </c>
      <c r="F1045" s="8" t="str">
        <f>"T"&amp;ROUNDUP(Tabla2[[#This Row],[mes]]/3,0)</f>
        <v>T2</v>
      </c>
      <c r="G1045" t="s">
        <v>9</v>
      </c>
      <c r="H1045" t="s">
        <v>10</v>
      </c>
      <c r="I1045" s="8" t="str">
        <f>IF(Tabla2[[#This Row],[precio_unitario]]&lt;=30,"Económico",IF(Tabla2[[#This Row],[precio_unitario]]&lt;=58.49,"Accesible","Caro"))</f>
        <v>Caro</v>
      </c>
      <c r="J1045" t="s">
        <v>8</v>
      </c>
      <c r="K1045">
        <v>1</v>
      </c>
      <c r="L1045" s="19">
        <v>70.56</v>
      </c>
      <c r="M1045" s="19">
        <v>49.34</v>
      </c>
      <c r="N1045" s="11">
        <v>0</v>
      </c>
      <c r="O1045" s="17">
        <f t="shared" si="67"/>
        <v>70.56</v>
      </c>
      <c r="P1045" s="17">
        <f t="shared" si="64"/>
        <v>49.34</v>
      </c>
      <c r="Q1045" s="17">
        <f t="shared" si="65"/>
        <v>21.22</v>
      </c>
      <c r="R1045" s="24">
        <f t="shared" si="66"/>
        <v>0.30073696145124712</v>
      </c>
      <c r="S1045" t="s">
        <v>540</v>
      </c>
      <c r="T1045" t="s">
        <v>60</v>
      </c>
    </row>
    <row r="1046" spans="1:20" hidden="1">
      <c r="A1046" t="s">
        <v>1118</v>
      </c>
      <c r="B1046" s="5">
        <v>45632</v>
      </c>
      <c r="C1046" s="8">
        <f>YEAR(Tabla2[[#This Row],[fecha]])</f>
        <v>2024</v>
      </c>
      <c r="D1046" s="8">
        <f>MONTH(Tabla2[[#This Row],[fecha]])</f>
        <v>12</v>
      </c>
      <c r="E1046" s="8" t="str">
        <f>TEXT(Tabla2[[#This Row],[fecha]], "mmmm")</f>
        <v>diciembre</v>
      </c>
      <c r="F1046" s="8" t="str">
        <f>"T"&amp;ROUNDUP(Tabla2[[#This Row],[mes]]/3,0)</f>
        <v>T4</v>
      </c>
      <c r="G1046" t="s">
        <v>15</v>
      </c>
      <c r="H1046" t="s">
        <v>16</v>
      </c>
      <c r="I1046" s="8" t="str">
        <f>IF(Tabla2[[#This Row],[precio_unitario]]&lt;=30,"Económico",IF(Tabla2[[#This Row],[precio_unitario]]&lt;=58.49,"Accesible","Caro"))</f>
        <v>Caro</v>
      </c>
      <c r="J1046" t="s">
        <v>17</v>
      </c>
      <c r="K1046">
        <v>2</v>
      </c>
      <c r="L1046" s="19">
        <v>61.39</v>
      </c>
      <c r="M1046" s="19">
        <v>42.77</v>
      </c>
      <c r="N1046" s="11">
        <v>0</v>
      </c>
      <c r="O1046" s="17">
        <f t="shared" si="67"/>
        <v>122.78</v>
      </c>
      <c r="P1046" s="17">
        <f t="shared" si="64"/>
        <v>85.54</v>
      </c>
      <c r="Q1046" s="17">
        <f t="shared" si="65"/>
        <v>37.239999999999995</v>
      </c>
      <c r="R1046" s="24">
        <f t="shared" si="66"/>
        <v>0.30330672748004556</v>
      </c>
      <c r="S1046" t="s">
        <v>101</v>
      </c>
      <c r="T1046" t="s">
        <v>64</v>
      </c>
    </row>
    <row r="1047" spans="1:20" hidden="1">
      <c r="A1047" t="s">
        <v>1119</v>
      </c>
      <c r="B1047" s="5">
        <v>45520</v>
      </c>
      <c r="C1047" s="8">
        <f>YEAR(Tabla2[[#This Row],[fecha]])</f>
        <v>2024</v>
      </c>
      <c r="D1047" s="8">
        <f>MONTH(Tabla2[[#This Row],[fecha]])</f>
        <v>8</v>
      </c>
      <c r="E1047" s="8" t="str">
        <f>TEXT(Tabla2[[#This Row],[fecha]], "mmmm")</f>
        <v>agosto</v>
      </c>
      <c r="F1047" s="8" t="str">
        <f>"T"&amp;ROUNDUP(Tabla2[[#This Row],[mes]]/3,0)</f>
        <v>T3</v>
      </c>
      <c r="G1047" t="s">
        <v>22</v>
      </c>
      <c r="H1047" t="s">
        <v>23</v>
      </c>
      <c r="I1047" s="8" t="str">
        <f>IF(Tabla2[[#This Row],[precio_unitario]]&lt;=30,"Económico",IF(Tabla2[[#This Row],[precio_unitario]]&lt;=58.49,"Accesible","Caro"))</f>
        <v>Caro</v>
      </c>
      <c r="J1047" t="s">
        <v>17</v>
      </c>
      <c r="K1047">
        <v>1</v>
      </c>
      <c r="L1047" s="19">
        <v>104.13</v>
      </c>
      <c r="M1047" s="19">
        <v>55.68</v>
      </c>
      <c r="N1047" s="11">
        <v>0</v>
      </c>
      <c r="O1047" s="17">
        <f t="shared" si="67"/>
        <v>104.13</v>
      </c>
      <c r="P1047" s="17">
        <f t="shared" si="64"/>
        <v>55.68</v>
      </c>
      <c r="Q1047" s="17">
        <f t="shared" si="65"/>
        <v>48.449999999999996</v>
      </c>
      <c r="R1047" s="24">
        <f t="shared" si="66"/>
        <v>0.46528377989052144</v>
      </c>
      <c r="S1047" t="s">
        <v>67</v>
      </c>
      <c r="T1047" t="s">
        <v>60</v>
      </c>
    </row>
    <row r="1048" spans="1:20">
      <c r="A1048" t="s">
        <v>1120</v>
      </c>
      <c r="B1048" s="5">
        <v>45783</v>
      </c>
      <c r="C1048" s="8">
        <f>YEAR(Tabla2[[#This Row],[fecha]])</f>
        <v>2025</v>
      </c>
      <c r="D1048" s="8">
        <f>MONTH(Tabla2[[#This Row],[fecha]])</f>
        <v>5</v>
      </c>
      <c r="E1048" s="8" t="str">
        <f>TEXT(Tabla2[[#This Row],[fecha]], "mmmm")</f>
        <v>mayo</v>
      </c>
      <c r="F1048" s="8" t="str">
        <f>"T"&amp;ROUNDUP(Tabla2[[#This Row],[mes]]/3,0)</f>
        <v>T2</v>
      </c>
      <c r="G1048" t="s">
        <v>47</v>
      </c>
      <c r="H1048" t="s">
        <v>48</v>
      </c>
      <c r="I1048" s="8" t="str">
        <f>IF(Tabla2[[#This Row],[precio_unitario]]&lt;=30,"Económico",IF(Tabla2[[#This Row],[precio_unitario]]&lt;=58.49,"Accesible","Caro"))</f>
        <v>Caro</v>
      </c>
      <c r="J1048" t="s">
        <v>44</v>
      </c>
      <c r="K1048">
        <v>3</v>
      </c>
      <c r="L1048" s="19">
        <v>58.79</v>
      </c>
      <c r="M1048" s="19">
        <v>32.909999999999997</v>
      </c>
      <c r="N1048" s="11">
        <v>7.0000000000000007E-2</v>
      </c>
      <c r="O1048" s="17">
        <f t="shared" si="67"/>
        <v>164.0241</v>
      </c>
      <c r="P1048" s="17">
        <f t="shared" si="64"/>
        <v>98.72999999999999</v>
      </c>
      <c r="Q1048" s="17">
        <f t="shared" si="65"/>
        <v>65.294100000000014</v>
      </c>
      <c r="R1048" s="24">
        <f t="shared" si="66"/>
        <v>0.39807625830594412</v>
      </c>
      <c r="S1048" t="s">
        <v>67</v>
      </c>
      <c r="T1048" t="s">
        <v>64</v>
      </c>
    </row>
    <row r="1049" spans="1:20" hidden="1">
      <c r="A1049" t="s">
        <v>1121</v>
      </c>
      <c r="B1049" s="5">
        <v>45481</v>
      </c>
      <c r="C1049" s="8">
        <f>YEAR(Tabla2[[#This Row],[fecha]])</f>
        <v>2024</v>
      </c>
      <c r="D1049" s="8">
        <f>MONTH(Tabla2[[#This Row],[fecha]])</f>
        <v>7</v>
      </c>
      <c r="E1049" s="8" t="str">
        <f>TEXT(Tabla2[[#This Row],[fecha]], "mmmm")</f>
        <v>julio</v>
      </c>
      <c r="F1049" s="8" t="str">
        <f>"T"&amp;ROUNDUP(Tabla2[[#This Row],[mes]]/3,0)</f>
        <v>T3</v>
      </c>
      <c r="G1049" t="s">
        <v>45</v>
      </c>
      <c r="H1049" t="s">
        <v>46</v>
      </c>
      <c r="I1049" s="8" t="str">
        <f>IF(Tabla2[[#This Row],[precio_unitario]]&lt;=30,"Económico",IF(Tabla2[[#This Row],[precio_unitario]]&lt;=58.49,"Accesible","Caro"))</f>
        <v>Accesible</v>
      </c>
      <c r="J1049" t="s">
        <v>44</v>
      </c>
      <c r="K1049">
        <v>2</v>
      </c>
      <c r="L1049" s="19">
        <v>32.31</v>
      </c>
      <c r="M1049" s="19">
        <v>17.36</v>
      </c>
      <c r="N1049" s="13">
        <v>0</v>
      </c>
      <c r="O1049" s="17">
        <f t="shared" si="67"/>
        <v>64.62</v>
      </c>
      <c r="P1049" s="17">
        <f t="shared" si="64"/>
        <v>34.72</v>
      </c>
      <c r="Q1049" s="17">
        <f t="shared" si="65"/>
        <v>29.900000000000006</v>
      </c>
      <c r="R1049" s="24">
        <f t="shared" si="66"/>
        <v>0.46270504487774688</v>
      </c>
      <c r="S1049" t="s">
        <v>540</v>
      </c>
      <c r="T1049" t="s">
        <v>64</v>
      </c>
    </row>
    <row r="1050" spans="1:20" hidden="1">
      <c r="A1050" t="s">
        <v>1122</v>
      </c>
      <c r="B1050" s="5">
        <v>45463</v>
      </c>
      <c r="C1050" s="8">
        <f>YEAR(Tabla2[[#This Row],[fecha]])</f>
        <v>2024</v>
      </c>
      <c r="D1050" s="8">
        <f>MONTH(Tabla2[[#This Row],[fecha]])</f>
        <v>6</v>
      </c>
      <c r="E1050" s="8" t="str">
        <f>TEXT(Tabla2[[#This Row],[fecha]], "mmmm")</f>
        <v>junio</v>
      </c>
      <c r="F1050" s="8" t="str">
        <f>"T"&amp;ROUNDUP(Tabla2[[#This Row],[mes]]/3,0)</f>
        <v>T2</v>
      </c>
      <c r="G1050" t="s">
        <v>45</v>
      </c>
      <c r="H1050" t="s">
        <v>46</v>
      </c>
      <c r="I1050" s="8" t="str">
        <f>IF(Tabla2[[#This Row],[precio_unitario]]&lt;=30,"Económico",IF(Tabla2[[#This Row],[precio_unitario]]&lt;=58.49,"Accesible","Caro"))</f>
        <v>Accesible</v>
      </c>
      <c r="J1050" t="s">
        <v>44</v>
      </c>
      <c r="K1050">
        <v>1</v>
      </c>
      <c r="L1050" s="19">
        <v>32.479999999999997</v>
      </c>
      <c r="M1050" s="19">
        <v>16.82</v>
      </c>
      <c r="N1050" s="11">
        <v>0</v>
      </c>
      <c r="O1050" s="17">
        <f t="shared" si="67"/>
        <v>32.479999999999997</v>
      </c>
      <c r="P1050" s="17">
        <f t="shared" si="64"/>
        <v>16.82</v>
      </c>
      <c r="Q1050" s="17">
        <f t="shared" si="65"/>
        <v>15.659999999999997</v>
      </c>
      <c r="R1050" s="24">
        <f t="shared" si="66"/>
        <v>0.4821428571428571</v>
      </c>
      <c r="S1050" t="s">
        <v>83</v>
      </c>
      <c r="T1050" t="s">
        <v>64</v>
      </c>
    </row>
    <row r="1051" spans="1:20" hidden="1">
      <c r="A1051" t="s">
        <v>1123</v>
      </c>
      <c r="B1051" s="5">
        <v>45748</v>
      </c>
      <c r="C1051" s="8">
        <f>YEAR(Tabla2[[#This Row],[fecha]])</f>
        <v>2025</v>
      </c>
      <c r="D1051" s="8">
        <f>MONTH(Tabla2[[#This Row],[fecha]])</f>
        <v>4</v>
      </c>
      <c r="E1051" s="8" t="str">
        <f>TEXT(Tabla2[[#This Row],[fecha]], "mmmm")</f>
        <v>abril</v>
      </c>
      <c r="F1051" s="8" t="str">
        <f>"T"&amp;ROUNDUP(Tabla2[[#This Row],[mes]]/3,0)</f>
        <v>T2</v>
      </c>
      <c r="G1051" t="s">
        <v>33</v>
      </c>
      <c r="H1051" t="s">
        <v>34</v>
      </c>
      <c r="I1051" s="8" t="str">
        <f>IF(Tabla2[[#This Row],[precio_unitario]]&lt;=30,"Económico",IF(Tabla2[[#This Row],[precio_unitario]]&lt;=58.49,"Accesible","Caro"))</f>
        <v>Caro</v>
      </c>
      <c r="J1051" t="s">
        <v>35</v>
      </c>
      <c r="K1051">
        <v>1</v>
      </c>
      <c r="L1051" s="19">
        <v>80.33</v>
      </c>
      <c r="M1051" s="19">
        <v>45.94</v>
      </c>
      <c r="N1051" s="11">
        <v>0</v>
      </c>
      <c r="O1051" s="17">
        <f t="shared" si="67"/>
        <v>80.33</v>
      </c>
      <c r="P1051" s="17">
        <f t="shared" si="64"/>
        <v>45.94</v>
      </c>
      <c r="Q1051" s="17">
        <f t="shared" si="65"/>
        <v>34.39</v>
      </c>
      <c r="R1051" s="24">
        <f t="shared" si="66"/>
        <v>0.42810905016805678</v>
      </c>
      <c r="S1051" t="s">
        <v>63</v>
      </c>
      <c r="T1051" t="s">
        <v>64</v>
      </c>
    </row>
    <row r="1052" spans="1:20" hidden="1">
      <c r="A1052" t="s">
        <v>1124</v>
      </c>
      <c r="B1052" s="5">
        <v>45386</v>
      </c>
      <c r="C1052" s="8">
        <f>YEAR(Tabla2[[#This Row],[fecha]])</f>
        <v>2024</v>
      </c>
      <c r="D1052" s="8">
        <f>MONTH(Tabla2[[#This Row],[fecha]])</f>
        <v>4</v>
      </c>
      <c r="E1052" s="8" t="str">
        <f>TEXT(Tabla2[[#This Row],[fecha]], "mmmm")</f>
        <v>abril</v>
      </c>
      <c r="F1052" s="8" t="str">
        <f>"T"&amp;ROUNDUP(Tabla2[[#This Row],[mes]]/3,0)</f>
        <v>T2</v>
      </c>
      <c r="G1052" t="s">
        <v>33</v>
      </c>
      <c r="H1052" t="s">
        <v>34</v>
      </c>
      <c r="I1052" s="8" t="str">
        <f>IF(Tabla2[[#This Row],[precio_unitario]]&lt;=30,"Económico",IF(Tabla2[[#This Row],[precio_unitario]]&lt;=58.49,"Accesible","Caro"))</f>
        <v>Caro</v>
      </c>
      <c r="J1052" t="s">
        <v>35</v>
      </c>
      <c r="K1052">
        <v>1</v>
      </c>
      <c r="L1052" s="19">
        <v>72.67</v>
      </c>
      <c r="M1052" s="19">
        <v>48.95</v>
      </c>
      <c r="N1052" s="11">
        <v>0</v>
      </c>
      <c r="O1052" s="17">
        <f t="shared" si="67"/>
        <v>72.67</v>
      </c>
      <c r="P1052" s="17">
        <f t="shared" si="64"/>
        <v>48.95</v>
      </c>
      <c r="Q1052" s="17">
        <f t="shared" si="65"/>
        <v>23.72</v>
      </c>
      <c r="R1052" s="24">
        <f t="shared" si="66"/>
        <v>0.3264070455483693</v>
      </c>
      <c r="S1052" t="s">
        <v>540</v>
      </c>
      <c r="T1052" t="s">
        <v>60</v>
      </c>
    </row>
    <row r="1053" spans="1:20">
      <c r="A1053" t="s">
        <v>1125</v>
      </c>
      <c r="B1053" s="5">
        <v>45871</v>
      </c>
      <c r="C1053" s="8">
        <f>YEAR(Tabla2[[#This Row],[fecha]])</f>
        <v>2025</v>
      </c>
      <c r="D1053" s="8">
        <f>MONTH(Tabla2[[#This Row],[fecha]])</f>
        <v>8</v>
      </c>
      <c r="E1053" s="8" t="str">
        <f>TEXT(Tabla2[[#This Row],[fecha]], "mmmm")</f>
        <v>agosto</v>
      </c>
      <c r="F1053" s="8" t="str">
        <f>"T"&amp;ROUNDUP(Tabla2[[#This Row],[mes]]/3,0)</f>
        <v>T3</v>
      </c>
      <c r="G1053" t="s">
        <v>33</v>
      </c>
      <c r="H1053" t="s">
        <v>34</v>
      </c>
      <c r="I1053" s="8" t="str">
        <f>IF(Tabla2[[#This Row],[precio_unitario]]&lt;=30,"Económico",IF(Tabla2[[#This Row],[precio_unitario]]&lt;=58.49,"Accesible","Caro"))</f>
        <v>Caro</v>
      </c>
      <c r="J1053" t="s">
        <v>35</v>
      </c>
      <c r="K1053">
        <v>3</v>
      </c>
      <c r="L1053" s="19">
        <v>70.97</v>
      </c>
      <c r="M1053" s="19">
        <v>49.16</v>
      </c>
      <c r="N1053" s="11">
        <v>0</v>
      </c>
      <c r="O1053" s="17">
        <f t="shared" si="67"/>
        <v>212.91</v>
      </c>
      <c r="P1053" s="17">
        <f t="shared" si="64"/>
        <v>147.47999999999999</v>
      </c>
      <c r="Q1053" s="17">
        <f t="shared" si="65"/>
        <v>65.430000000000007</v>
      </c>
      <c r="R1053" s="24">
        <f t="shared" si="66"/>
        <v>0.30731294913343671</v>
      </c>
      <c r="S1053" t="s">
        <v>67</v>
      </c>
      <c r="T1053" t="s">
        <v>64</v>
      </c>
    </row>
    <row r="1054" spans="1:20" hidden="1">
      <c r="A1054" t="s">
        <v>1126</v>
      </c>
      <c r="B1054" s="5">
        <v>45870</v>
      </c>
      <c r="C1054" s="8">
        <f>YEAR(Tabla2[[#This Row],[fecha]])</f>
        <v>2025</v>
      </c>
      <c r="D1054" s="8">
        <f>MONTH(Tabla2[[#This Row],[fecha]])</f>
        <v>8</v>
      </c>
      <c r="E1054" s="8" t="str">
        <f>TEXT(Tabla2[[#This Row],[fecha]], "mmmm")</f>
        <v>agosto</v>
      </c>
      <c r="F1054" s="8" t="str">
        <f>"T"&amp;ROUNDUP(Tabla2[[#This Row],[mes]]/3,0)</f>
        <v>T3</v>
      </c>
      <c r="G1054" t="s">
        <v>11</v>
      </c>
      <c r="H1054" t="s">
        <v>12</v>
      </c>
      <c r="I1054" s="8" t="str">
        <f>IF(Tabla2[[#This Row],[precio_unitario]]&lt;=30,"Económico",IF(Tabla2[[#This Row],[precio_unitario]]&lt;=58.49,"Accesible","Caro"))</f>
        <v>Caro</v>
      </c>
      <c r="J1054" t="s">
        <v>8</v>
      </c>
      <c r="K1054">
        <v>1</v>
      </c>
      <c r="L1054" s="19">
        <v>167.22</v>
      </c>
      <c r="M1054" s="19">
        <v>93.6</v>
      </c>
      <c r="N1054" s="11">
        <v>0.15</v>
      </c>
      <c r="O1054" s="17">
        <f t="shared" si="67"/>
        <v>142.137</v>
      </c>
      <c r="P1054" s="17">
        <f t="shared" si="64"/>
        <v>93.6</v>
      </c>
      <c r="Q1054" s="17">
        <f t="shared" si="65"/>
        <v>48.537000000000006</v>
      </c>
      <c r="R1054" s="24">
        <f t="shared" si="66"/>
        <v>0.34148040271006147</v>
      </c>
      <c r="S1054" s="10" t="s">
        <v>2377</v>
      </c>
      <c r="T1054" t="s">
        <v>60</v>
      </c>
    </row>
    <row r="1055" spans="1:20" hidden="1">
      <c r="A1055" t="s">
        <v>1127</v>
      </c>
      <c r="B1055" s="5">
        <v>45440</v>
      </c>
      <c r="C1055" s="8">
        <f>YEAR(Tabla2[[#This Row],[fecha]])</f>
        <v>2024</v>
      </c>
      <c r="D1055" s="8">
        <f>MONTH(Tabla2[[#This Row],[fecha]])</f>
        <v>5</v>
      </c>
      <c r="E1055" s="8" t="str">
        <f>TEXT(Tabla2[[#This Row],[fecha]], "mmmm")</f>
        <v>mayo</v>
      </c>
      <c r="F1055" s="8" t="str">
        <f>"T"&amp;ROUNDUP(Tabla2[[#This Row],[mes]]/3,0)</f>
        <v>T2</v>
      </c>
      <c r="G1055" t="s">
        <v>36</v>
      </c>
      <c r="H1055" t="s">
        <v>37</v>
      </c>
      <c r="I1055" s="8" t="str">
        <f>IF(Tabla2[[#This Row],[precio_unitario]]&lt;=30,"Económico",IF(Tabla2[[#This Row],[precio_unitario]]&lt;=58.49,"Accesible","Caro"))</f>
        <v>Económico</v>
      </c>
      <c r="J1055" t="s">
        <v>35</v>
      </c>
      <c r="K1055">
        <v>1</v>
      </c>
      <c r="L1055" s="19">
        <v>13.07</v>
      </c>
      <c r="M1055" s="19">
        <v>9.26</v>
      </c>
      <c r="N1055" s="11">
        <v>0</v>
      </c>
      <c r="O1055" s="17">
        <f t="shared" si="67"/>
        <v>13.07</v>
      </c>
      <c r="P1055" s="17">
        <f t="shared" si="64"/>
        <v>9.26</v>
      </c>
      <c r="Q1055" s="17">
        <f t="shared" si="65"/>
        <v>3.8100000000000005</v>
      </c>
      <c r="R1055" s="24">
        <f t="shared" si="66"/>
        <v>0.29150726855394038</v>
      </c>
      <c r="S1055" t="s">
        <v>67</v>
      </c>
      <c r="T1055" t="s">
        <v>60</v>
      </c>
    </row>
    <row r="1056" spans="1:20">
      <c r="A1056" t="s">
        <v>1128</v>
      </c>
      <c r="B1056" s="5">
        <v>45697</v>
      </c>
      <c r="C1056" s="8">
        <f>YEAR(Tabla2[[#This Row],[fecha]])</f>
        <v>2025</v>
      </c>
      <c r="D1056" s="8">
        <f>MONTH(Tabla2[[#This Row],[fecha]])</f>
        <v>2</v>
      </c>
      <c r="E1056" s="8" t="str">
        <f>TEXT(Tabla2[[#This Row],[fecha]], "mmmm")</f>
        <v>febrero</v>
      </c>
      <c r="F1056" s="8" t="str">
        <f>"T"&amp;ROUNDUP(Tabla2[[#This Row],[mes]]/3,0)</f>
        <v>T1</v>
      </c>
      <c r="G1056" t="s">
        <v>27</v>
      </c>
      <c r="H1056" t="s">
        <v>28</v>
      </c>
      <c r="I1056" s="8" t="str">
        <f>IF(Tabla2[[#This Row],[precio_unitario]]&lt;=30,"Económico",IF(Tabla2[[#This Row],[precio_unitario]]&lt;=58.49,"Accesible","Caro"))</f>
        <v>Económico</v>
      </c>
      <c r="J1056" t="s">
        <v>26</v>
      </c>
      <c r="K1056">
        <v>1</v>
      </c>
      <c r="L1056" s="19">
        <v>16.309999999999999</v>
      </c>
      <c r="M1056" s="19">
        <v>11.4</v>
      </c>
      <c r="N1056" s="11">
        <v>0</v>
      </c>
      <c r="O1056" s="17">
        <f t="shared" si="67"/>
        <v>16.309999999999999</v>
      </c>
      <c r="P1056" s="17">
        <f t="shared" si="64"/>
        <v>11.4</v>
      </c>
      <c r="Q1056" s="17">
        <f t="shared" si="65"/>
        <v>4.9099999999999984</v>
      </c>
      <c r="R1056" s="24">
        <f t="shared" si="66"/>
        <v>0.30104230533415077</v>
      </c>
      <c r="S1056" t="s">
        <v>67</v>
      </c>
      <c r="T1056" t="s">
        <v>60</v>
      </c>
    </row>
    <row r="1057" spans="1:20" hidden="1">
      <c r="A1057" t="s">
        <v>1129</v>
      </c>
      <c r="B1057" s="5">
        <v>45314</v>
      </c>
      <c r="C1057" s="8">
        <f>YEAR(Tabla2[[#This Row],[fecha]])</f>
        <v>2024</v>
      </c>
      <c r="D1057" s="8">
        <f>MONTH(Tabla2[[#This Row],[fecha]])</f>
        <v>1</v>
      </c>
      <c r="E1057" s="8" t="str">
        <f>TEXT(Tabla2[[#This Row],[fecha]], "mmmm")</f>
        <v>enero</v>
      </c>
      <c r="F1057" s="8" t="str">
        <f>"T"&amp;ROUNDUP(Tabla2[[#This Row],[mes]]/3,0)</f>
        <v>T1</v>
      </c>
      <c r="G1057" t="s">
        <v>20</v>
      </c>
      <c r="H1057" t="s">
        <v>21</v>
      </c>
      <c r="I1057" s="8" t="str">
        <f>IF(Tabla2[[#This Row],[precio_unitario]]&lt;=30,"Económico",IF(Tabla2[[#This Row],[precio_unitario]]&lt;=58.49,"Accesible","Caro"))</f>
        <v>Económico</v>
      </c>
      <c r="J1057" t="s">
        <v>17</v>
      </c>
      <c r="K1057">
        <v>1</v>
      </c>
      <c r="L1057" s="19">
        <v>18.7</v>
      </c>
      <c r="M1057" s="19">
        <v>13.1</v>
      </c>
      <c r="N1057" s="11">
        <v>0</v>
      </c>
      <c r="O1057" s="17">
        <f t="shared" si="67"/>
        <v>18.7</v>
      </c>
      <c r="P1057" s="17">
        <f t="shared" si="64"/>
        <v>13.1</v>
      </c>
      <c r="Q1057" s="17">
        <f t="shared" si="65"/>
        <v>5.6</v>
      </c>
      <c r="R1057" s="24">
        <f t="shared" si="66"/>
        <v>0.29946524064171121</v>
      </c>
      <c r="S1057" t="s">
        <v>67</v>
      </c>
      <c r="T1057" t="s">
        <v>60</v>
      </c>
    </row>
    <row r="1058" spans="1:20">
      <c r="A1058" t="s">
        <v>1130</v>
      </c>
      <c r="B1058" s="5">
        <v>45993</v>
      </c>
      <c r="C1058" s="8">
        <f>YEAR(Tabla2[[#This Row],[fecha]])</f>
        <v>2025</v>
      </c>
      <c r="D1058" s="8">
        <f>MONTH(Tabla2[[#This Row],[fecha]])</f>
        <v>12</v>
      </c>
      <c r="E1058" s="8" t="str">
        <f>TEXT(Tabla2[[#This Row],[fecha]], "mmmm")</f>
        <v>diciembre</v>
      </c>
      <c r="F1058" s="8" t="str">
        <f>"T"&amp;ROUNDUP(Tabla2[[#This Row],[mes]]/3,0)</f>
        <v>T4</v>
      </c>
      <c r="G1058" t="s">
        <v>20</v>
      </c>
      <c r="H1058" t="s">
        <v>21</v>
      </c>
      <c r="I1058" s="8" t="str">
        <f>IF(Tabla2[[#This Row],[precio_unitario]]&lt;=30,"Económico",IF(Tabla2[[#This Row],[precio_unitario]]&lt;=58.49,"Accesible","Caro"))</f>
        <v>Económico</v>
      </c>
      <c r="J1058" t="s">
        <v>17</v>
      </c>
      <c r="K1058">
        <v>2</v>
      </c>
      <c r="L1058" s="19">
        <v>19.420000000000002</v>
      </c>
      <c r="M1058" s="19">
        <v>12.48</v>
      </c>
      <c r="N1058" s="11">
        <v>0</v>
      </c>
      <c r="O1058" s="17">
        <f t="shared" si="67"/>
        <v>38.840000000000003</v>
      </c>
      <c r="P1058" s="17">
        <f t="shared" si="64"/>
        <v>24.96</v>
      </c>
      <c r="Q1058" s="17">
        <f t="shared" si="65"/>
        <v>13.880000000000003</v>
      </c>
      <c r="R1058" s="24">
        <f t="shared" si="66"/>
        <v>0.35736354273944393</v>
      </c>
      <c r="S1058" t="s">
        <v>67</v>
      </c>
      <c r="T1058" t="s">
        <v>64</v>
      </c>
    </row>
    <row r="1059" spans="1:20" hidden="1">
      <c r="A1059" t="s">
        <v>1131</v>
      </c>
      <c r="B1059" s="5">
        <v>45841</v>
      </c>
      <c r="C1059" s="8">
        <f>YEAR(Tabla2[[#This Row],[fecha]])</f>
        <v>2025</v>
      </c>
      <c r="D1059" s="8">
        <f>MONTH(Tabla2[[#This Row],[fecha]])</f>
        <v>7</v>
      </c>
      <c r="E1059" s="8" t="str">
        <f>TEXT(Tabla2[[#This Row],[fecha]], "mmmm")</f>
        <v>julio</v>
      </c>
      <c r="F1059" s="8" t="str">
        <f>"T"&amp;ROUNDUP(Tabla2[[#This Row],[mes]]/3,0)</f>
        <v>T3</v>
      </c>
      <c r="G1059" t="s">
        <v>27</v>
      </c>
      <c r="H1059" t="s">
        <v>28</v>
      </c>
      <c r="I1059" s="8" t="str">
        <f>IF(Tabla2[[#This Row],[precio_unitario]]&lt;=30,"Económico",IF(Tabla2[[#This Row],[precio_unitario]]&lt;=58.49,"Accesible","Caro"))</f>
        <v>Económico</v>
      </c>
      <c r="J1059" t="s">
        <v>26</v>
      </c>
      <c r="K1059">
        <v>1</v>
      </c>
      <c r="L1059" s="19">
        <v>15.39</v>
      </c>
      <c r="M1059" s="21">
        <f>INDEX(Tabla3[coste_objetivo], MATCH(Tabla2[[#This Row],[id_producto]], Tabla3[id_producto],0))</f>
        <v>11.44</v>
      </c>
      <c r="N1059" s="11">
        <v>0</v>
      </c>
      <c r="O1059" s="17">
        <f t="shared" si="67"/>
        <v>15.39</v>
      </c>
      <c r="P1059" s="17">
        <f t="shared" si="64"/>
        <v>11.44</v>
      </c>
      <c r="Q1059" s="17">
        <f t="shared" si="65"/>
        <v>3.9500000000000011</v>
      </c>
      <c r="R1059" s="24">
        <f t="shared" si="66"/>
        <v>0.25666016894087074</v>
      </c>
      <c r="S1059" t="s">
        <v>63</v>
      </c>
      <c r="T1059" t="s">
        <v>60</v>
      </c>
    </row>
    <row r="1060" spans="1:20">
      <c r="A1060" t="s">
        <v>1132</v>
      </c>
      <c r="B1060" s="5">
        <v>45738</v>
      </c>
      <c r="C1060" s="8">
        <f>YEAR(Tabla2[[#This Row],[fecha]])</f>
        <v>2025</v>
      </c>
      <c r="D1060" s="8">
        <f>MONTH(Tabla2[[#This Row],[fecha]])</f>
        <v>3</v>
      </c>
      <c r="E1060" s="8" t="str">
        <f>TEXT(Tabla2[[#This Row],[fecha]], "mmmm")</f>
        <v>marzo</v>
      </c>
      <c r="F1060" s="8" t="str">
        <f>"T"&amp;ROUNDUP(Tabla2[[#This Row],[mes]]/3,0)</f>
        <v>T1</v>
      </c>
      <c r="G1060" t="s">
        <v>9</v>
      </c>
      <c r="H1060" t="s">
        <v>10</v>
      </c>
      <c r="I1060" s="8" t="str">
        <f>IF(Tabla2[[#This Row],[precio_unitario]]&lt;=30,"Económico",IF(Tabla2[[#This Row],[precio_unitario]]&lt;=58.49,"Accesible","Caro"))</f>
        <v>Caro</v>
      </c>
      <c r="J1060" t="s">
        <v>8</v>
      </c>
      <c r="K1060">
        <v>3</v>
      </c>
      <c r="L1060" s="19">
        <v>72.83</v>
      </c>
      <c r="M1060" s="21">
        <f>INDEX(Tabla3[coste_objetivo], MATCH(Tabla2[[#This Row],[id_producto]], Tabla3[id_producto],0))</f>
        <v>47.23</v>
      </c>
      <c r="N1060" s="11">
        <v>0.13</v>
      </c>
      <c r="O1060" s="17">
        <f t="shared" si="67"/>
        <v>190.08629999999999</v>
      </c>
      <c r="P1060" s="17">
        <f t="shared" si="64"/>
        <v>141.69</v>
      </c>
      <c r="Q1060" s="17">
        <f t="shared" si="65"/>
        <v>48.396299999999997</v>
      </c>
      <c r="R1060" s="24">
        <f t="shared" si="66"/>
        <v>0.25460172563725003</v>
      </c>
      <c r="S1060" t="s">
        <v>67</v>
      </c>
      <c r="T1060" t="s">
        <v>64</v>
      </c>
    </row>
    <row r="1061" spans="1:20" hidden="1">
      <c r="A1061" t="s">
        <v>1133</v>
      </c>
      <c r="B1061" s="5">
        <v>45697</v>
      </c>
      <c r="C1061" s="8">
        <f>YEAR(Tabla2[[#This Row],[fecha]])</f>
        <v>2025</v>
      </c>
      <c r="D1061" s="8">
        <f>MONTH(Tabla2[[#This Row],[fecha]])</f>
        <v>2</v>
      </c>
      <c r="E1061" s="8" t="str">
        <f>TEXT(Tabla2[[#This Row],[fecha]], "mmmm")</f>
        <v>febrero</v>
      </c>
      <c r="F1061" s="8" t="str">
        <f>"T"&amp;ROUNDUP(Tabla2[[#This Row],[mes]]/3,0)</f>
        <v>T1</v>
      </c>
      <c r="G1061" t="s">
        <v>9</v>
      </c>
      <c r="H1061" t="s">
        <v>10</v>
      </c>
      <c r="I1061" s="8" t="str">
        <f>IF(Tabla2[[#This Row],[precio_unitario]]&lt;=30,"Económico",IF(Tabla2[[#This Row],[precio_unitario]]&lt;=58.49,"Accesible","Caro"))</f>
        <v>Caro</v>
      </c>
      <c r="J1061" t="s">
        <v>8</v>
      </c>
      <c r="K1061">
        <v>1</v>
      </c>
      <c r="L1061" s="19">
        <v>78.77</v>
      </c>
      <c r="M1061" s="19">
        <v>49.11</v>
      </c>
      <c r="N1061" s="11">
        <v>0.25</v>
      </c>
      <c r="O1061" s="17">
        <f t="shared" si="67"/>
        <v>59.077500000000001</v>
      </c>
      <c r="P1061" s="17">
        <f t="shared" si="64"/>
        <v>49.11</v>
      </c>
      <c r="Q1061" s="17">
        <f t="shared" si="65"/>
        <v>9.9675000000000011</v>
      </c>
      <c r="R1061" s="24">
        <f t="shared" si="66"/>
        <v>0.16871905547797386</v>
      </c>
      <c r="S1061" t="s">
        <v>96</v>
      </c>
      <c r="T1061" t="s">
        <v>60</v>
      </c>
    </row>
    <row r="1062" spans="1:20" hidden="1">
      <c r="A1062" t="s">
        <v>1134</v>
      </c>
      <c r="B1062" s="5">
        <v>45475</v>
      </c>
      <c r="C1062" s="8">
        <f>YEAR(Tabla2[[#This Row],[fecha]])</f>
        <v>2024</v>
      </c>
      <c r="D1062" s="8">
        <f>MONTH(Tabla2[[#This Row],[fecha]])</f>
        <v>7</v>
      </c>
      <c r="E1062" s="8" t="str">
        <f>TEXT(Tabla2[[#This Row],[fecha]], "mmmm")</f>
        <v>julio</v>
      </c>
      <c r="F1062" s="8" t="str">
        <f>"T"&amp;ROUNDUP(Tabla2[[#This Row],[mes]]/3,0)</f>
        <v>T3</v>
      </c>
      <c r="G1062" t="s">
        <v>13</v>
      </c>
      <c r="H1062" t="s">
        <v>14</v>
      </c>
      <c r="I1062" s="8" t="str">
        <f>IF(Tabla2[[#This Row],[precio_unitario]]&lt;=30,"Económico",IF(Tabla2[[#This Row],[precio_unitario]]&lt;=58.49,"Accesible","Caro"))</f>
        <v>Caro</v>
      </c>
      <c r="J1062" t="s">
        <v>8</v>
      </c>
      <c r="K1062">
        <v>2</v>
      </c>
      <c r="L1062" s="19">
        <v>152.76</v>
      </c>
      <c r="M1062" s="21">
        <f>INDEX(Tabla3[coste_objetivo], MATCH(Tabla2[[#This Row],[id_producto]], Tabla3[id_producto],0))</f>
        <v>110.03</v>
      </c>
      <c r="N1062" s="11">
        <v>0</v>
      </c>
      <c r="O1062" s="17">
        <f t="shared" si="67"/>
        <v>305.52</v>
      </c>
      <c r="P1062" s="17">
        <f t="shared" si="64"/>
        <v>220.06</v>
      </c>
      <c r="Q1062" s="17">
        <f t="shared" si="65"/>
        <v>85.45999999999998</v>
      </c>
      <c r="R1062" s="24">
        <f t="shared" si="66"/>
        <v>0.27971982194291695</v>
      </c>
      <c r="S1062" t="s">
        <v>101</v>
      </c>
      <c r="T1062" t="s">
        <v>64</v>
      </c>
    </row>
    <row r="1063" spans="1:20" hidden="1">
      <c r="A1063" t="s">
        <v>1135</v>
      </c>
      <c r="B1063" s="5">
        <v>45662</v>
      </c>
      <c r="C1063" s="8">
        <f>YEAR(Tabla2[[#This Row],[fecha]])</f>
        <v>2025</v>
      </c>
      <c r="D1063" s="8">
        <f>MONTH(Tabla2[[#This Row],[fecha]])</f>
        <v>1</v>
      </c>
      <c r="E1063" s="8" t="str">
        <f>TEXT(Tabla2[[#This Row],[fecha]], "mmmm")</f>
        <v>enero</v>
      </c>
      <c r="F1063" s="8" t="str">
        <f>"T"&amp;ROUNDUP(Tabla2[[#This Row],[mes]]/3,0)</f>
        <v>T1</v>
      </c>
      <c r="G1063" t="s">
        <v>49</v>
      </c>
      <c r="H1063" t="s">
        <v>50</v>
      </c>
      <c r="I1063" s="8" t="str">
        <f>IF(Tabla2[[#This Row],[precio_unitario]]&lt;=30,"Económico",IF(Tabla2[[#This Row],[precio_unitario]]&lt;=58.49,"Accesible","Caro"))</f>
        <v>Caro</v>
      </c>
      <c r="J1063" t="s">
        <v>44</v>
      </c>
      <c r="K1063">
        <v>3</v>
      </c>
      <c r="L1063" s="19">
        <v>60.91</v>
      </c>
      <c r="M1063" s="19">
        <v>32.15</v>
      </c>
      <c r="N1063" s="13">
        <v>0</v>
      </c>
      <c r="O1063" s="17">
        <f t="shared" si="67"/>
        <v>182.73</v>
      </c>
      <c r="P1063" s="17">
        <f t="shared" si="64"/>
        <v>96.449999999999989</v>
      </c>
      <c r="Q1063" s="17">
        <f t="shared" si="65"/>
        <v>86.28</v>
      </c>
      <c r="R1063" s="24">
        <f t="shared" si="66"/>
        <v>0.47217205713347565</v>
      </c>
      <c r="S1063" t="s">
        <v>83</v>
      </c>
      <c r="T1063" t="s">
        <v>64</v>
      </c>
    </row>
    <row r="1064" spans="1:20" hidden="1">
      <c r="A1064" t="s">
        <v>1136</v>
      </c>
      <c r="B1064" s="5">
        <v>45394</v>
      </c>
      <c r="C1064" s="8">
        <f>YEAR(Tabla2[[#This Row],[fecha]])</f>
        <v>2024</v>
      </c>
      <c r="D1064" s="8">
        <f>MONTH(Tabla2[[#This Row],[fecha]])</f>
        <v>4</v>
      </c>
      <c r="E1064" s="8" t="str">
        <f>TEXT(Tabla2[[#This Row],[fecha]], "mmmm")</f>
        <v>abril</v>
      </c>
      <c r="F1064" s="8" t="str">
        <f>"T"&amp;ROUNDUP(Tabla2[[#This Row],[mes]]/3,0)</f>
        <v>T2</v>
      </c>
      <c r="G1064" t="s">
        <v>29</v>
      </c>
      <c r="H1064" t="s">
        <v>30</v>
      </c>
      <c r="I1064" s="8" t="str">
        <f>IF(Tabla2[[#This Row],[precio_unitario]]&lt;=30,"Económico",IF(Tabla2[[#This Row],[precio_unitario]]&lt;=58.49,"Accesible","Caro"))</f>
        <v>Económico</v>
      </c>
      <c r="J1064" t="s">
        <v>26</v>
      </c>
      <c r="K1064">
        <v>2</v>
      </c>
      <c r="L1064" s="19">
        <v>21.02</v>
      </c>
      <c r="M1064" s="19">
        <v>11.35</v>
      </c>
      <c r="N1064" s="11">
        <v>0</v>
      </c>
      <c r="O1064" s="17">
        <f t="shared" si="67"/>
        <v>42.04</v>
      </c>
      <c r="P1064" s="17">
        <f t="shared" si="64"/>
        <v>22.7</v>
      </c>
      <c r="Q1064" s="17">
        <f t="shared" si="65"/>
        <v>19.34</v>
      </c>
      <c r="R1064" s="24">
        <f t="shared" si="66"/>
        <v>0.46003805899143674</v>
      </c>
      <c r="S1064" t="s">
        <v>67</v>
      </c>
      <c r="T1064" t="s">
        <v>64</v>
      </c>
    </row>
    <row r="1065" spans="1:20" hidden="1">
      <c r="A1065" t="s">
        <v>1137</v>
      </c>
      <c r="B1065" s="5">
        <v>45731</v>
      </c>
      <c r="C1065" s="8">
        <f>YEAR(Tabla2[[#This Row],[fecha]])</f>
        <v>2025</v>
      </c>
      <c r="D1065" s="8">
        <f>MONTH(Tabla2[[#This Row],[fecha]])</f>
        <v>3</v>
      </c>
      <c r="E1065" s="8" t="str">
        <f>TEXT(Tabla2[[#This Row],[fecha]], "mmmm")</f>
        <v>marzo</v>
      </c>
      <c r="F1065" s="8" t="str">
        <f>"T"&amp;ROUNDUP(Tabla2[[#This Row],[mes]]/3,0)</f>
        <v>T1</v>
      </c>
      <c r="G1065" t="s">
        <v>29</v>
      </c>
      <c r="H1065" t="s">
        <v>30</v>
      </c>
      <c r="I1065" s="8" t="str">
        <f>IF(Tabla2[[#This Row],[precio_unitario]]&lt;=30,"Económico",IF(Tabla2[[#This Row],[precio_unitario]]&lt;=58.49,"Accesible","Caro"))</f>
        <v>Económico</v>
      </c>
      <c r="J1065" t="s">
        <v>26</v>
      </c>
      <c r="K1065">
        <v>2</v>
      </c>
      <c r="L1065" s="19">
        <v>21.46</v>
      </c>
      <c r="M1065" s="19">
        <v>11.7</v>
      </c>
      <c r="N1065" s="11">
        <v>0</v>
      </c>
      <c r="O1065" s="17">
        <f t="shared" si="67"/>
        <v>42.92</v>
      </c>
      <c r="P1065" s="17">
        <f t="shared" si="64"/>
        <v>23.4</v>
      </c>
      <c r="Q1065" s="17">
        <f t="shared" si="65"/>
        <v>19.520000000000003</v>
      </c>
      <c r="R1065" s="24">
        <f t="shared" si="66"/>
        <v>0.45479962721342038</v>
      </c>
      <c r="S1065" t="s">
        <v>101</v>
      </c>
      <c r="T1065" t="s">
        <v>64</v>
      </c>
    </row>
    <row r="1066" spans="1:20" hidden="1">
      <c r="A1066" t="s">
        <v>1101</v>
      </c>
      <c r="B1066" s="5">
        <v>45558</v>
      </c>
      <c r="C1066" s="8">
        <f>YEAR(Tabla2[[#This Row],[fecha]])</f>
        <v>2024</v>
      </c>
      <c r="D1066" s="8">
        <f>MONTH(Tabla2[[#This Row],[fecha]])</f>
        <v>9</v>
      </c>
      <c r="E1066" s="8" t="str">
        <f>TEXT(Tabla2[[#This Row],[fecha]], "mmmm")</f>
        <v>septiembre</v>
      </c>
      <c r="F1066" s="8" t="str">
        <f>"T"&amp;ROUNDUP(Tabla2[[#This Row],[mes]]/3,0)</f>
        <v>T3</v>
      </c>
      <c r="G1066" t="s">
        <v>47</v>
      </c>
      <c r="H1066" t="s">
        <v>48</v>
      </c>
      <c r="I1066" s="8" t="str">
        <f>IF(Tabla2[[#This Row],[precio_unitario]]&lt;=30,"Económico",IF(Tabla2[[#This Row],[precio_unitario]]&lt;=58.49,"Accesible","Caro"))</f>
        <v>Accesible</v>
      </c>
      <c r="J1066" t="s">
        <v>44</v>
      </c>
      <c r="K1066">
        <v>4</v>
      </c>
      <c r="L1066" s="19">
        <v>55.45</v>
      </c>
      <c r="M1066" s="19">
        <v>32.700000000000003</v>
      </c>
      <c r="N1066" s="11">
        <v>0</v>
      </c>
      <c r="O1066" s="17">
        <f t="shared" si="67"/>
        <v>221.8</v>
      </c>
      <c r="P1066" s="17">
        <f t="shared" si="64"/>
        <v>130.80000000000001</v>
      </c>
      <c r="Q1066" s="17">
        <f t="shared" si="65"/>
        <v>91</v>
      </c>
      <c r="R1066" s="24">
        <f t="shared" si="66"/>
        <v>0.41027953110910731</v>
      </c>
      <c r="S1066" t="s">
        <v>67</v>
      </c>
      <c r="T1066" t="s">
        <v>64</v>
      </c>
    </row>
    <row r="1067" spans="1:20" hidden="1">
      <c r="A1067" t="s">
        <v>1138</v>
      </c>
      <c r="B1067" s="5">
        <v>45304</v>
      </c>
      <c r="C1067" s="8">
        <f>YEAR(Tabla2[[#This Row],[fecha]])</f>
        <v>2024</v>
      </c>
      <c r="D1067" s="8">
        <f>MONTH(Tabla2[[#This Row],[fecha]])</f>
        <v>1</v>
      </c>
      <c r="E1067" s="8" t="str">
        <f>TEXT(Tabla2[[#This Row],[fecha]], "mmmm")</f>
        <v>enero</v>
      </c>
      <c r="F1067" s="8" t="str">
        <f>"T"&amp;ROUNDUP(Tabla2[[#This Row],[mes]]/3,0)</f>
        <v>T1</v>
      </c>
      <c r="G1067" t="s">
        <v>11</v>
      </c>
      <c r="H1067" t="s">
        <v>12</v>
      </c>
      <c r="I1067" s="8" t="str">
        <f>IF(Tabla2[[#This Row],[precio_unitario]]&lt;=30,"Económico",IF(Tabla2[[#This Row],[precio_unitario]]&lt;=58.49,"Accesible","Caro"))</f>
        <v>Caro</v>
      </c>
      <c r="J1067" t="s">
        <v>8</v>
      </c>
      <c r="K1067">
        <v>5</v>
      </c>
      <c r="L1067" s="20">
        <f>INDEX(Tabla3[precio_venta_recomendado], MATCH(Tabla2[[#This Row],[id_producto]], Tabla3[id_producto], 0))</f>
        <v>177.72</v>
      </c>
      <c r="M1067" s="19">
        <v>91.85</v>
      </c>
      <c r="N1067" s="11">
        <v>0.2</v>
      </c>
      <c r="O1067" s="17">
        <f t="shared" si="67"/>
        <v>710.88000000000011</v>
      </c>
      <c r="P1067" s="17">
        <f t="shared" si="64"/>
        <v>459.25</v>
      </c>
      <c r="Q1067" s="17">
        <f t="shared" si="65"/>
        <v>251.63000000000011</v>
      </c>
      <c r="R1067" s="24">
        <f t="shared" si="66"/>
        <v>0.3539697276614901</v>
      </c>
      <c r="S1067" t="s">
        <v>540</v>
      </c>
      <c r="T1067" t="s">
        <v>64</v>
      </c>
    </row>
    <row r="1068" spans="1:20" hidden="1">
      <c r="A1068" t="s">
        <v>1139</v>
      </c>
      <c r="B1068" s="5">
        <v>45774</v>
      </c>
      <c r="C1068" s="8">
        <f>YEAR(Tabla2[[#This Row],[fecha]])</f>
        <v>2025</v>
      </c>
      <c r="D1068" s="8">
        <f>MONTH(Tabla2[[#This Row],[fecha]])</f>
        <v>4</v>
      </c>
      <c r="E1068" s="8" t="str">
        <f>TEXT(Tabla2[[#This Row],[fecha]], "mmmm")</f>
        <v>abril</v>
      </c>
      <c r="F1068" s="8" t="str">
        <f>"T"&amp;ROUNDUP(Tabla2[[#This Row],[mes]]/3,0)</f>
        <v>T2</v>
      </c>
      <c r="G1068" t="s">
        <v>6</v>
      </c>
      <c r="H1068" t="s">
        <v>7</v>
      </c>
      <c r="I1068" s="8" t="str">
        <f>IF(Tabla2[[#This Row],[precio_unitario]]&lt;=30,"Económico",IF(Tabla2[[#This Row],[precio_unitario]]&lt;=58.49,"Accesible","Caro"))</f>
        <v>Caro</v>
      </c>
      <c r="J1068" t="s">
        <v>8</v>
      </c>
      <c r="K1068">
        <v>3</v>
      </c>
      <c r="L1068" s="19">
        <v>129.52000000000001</v>
      </c>
      <c r="M1068" s="19">
        <v>86.42</v>
      </c>
      <c r="N1068" s="11">
        <v>0</v>
      </c>
      <c r="O1068" s="17">
        <f t="shared" si="67"/>
        <v>388.56000000000006</v>
      </c>
      <c r="P1068" s="17">
        <f t="shared" si="64"/>
        <v>259.26</v>
      </c>
      <c r="Q1068" s="17">
        <f t="shared" si="65"/>
        <v>129.30000000000007</v>
      </c>
      <c r="R1068" s="24">
        <f t="shared" si="66"/>
        <v>0.33276714021000631</v>
      </c>
      <c r="S1068" t="s">
        <v>101</v>
      </c>
      <c r="T1068" t="s">
        <v>64</v>
      </c>
    </row>
    <row r="1069" spans="1:20">
      <c r="A1069" t="s">
        <v>1140</v>
      </c>
      <c r="B1069" s="5">
        <v>45698</v>
      </c>
      <c r="C1069" s="8">
        <f>YEAR(Tabla2[[#This Row],[fecha]])</f>
        <v>2025</v>
      </c>
      <c r="D1069" s="8">
        <f>MONTH(Tabla2[[#This Row],[fecha]])</f>
        <v>2</v>
      </c>
      <c r="E1069" s="8" t="str">
        <f>TEXT(Tabla2[[#This Row],[fecha]], "mmmm")</f>
        <v>febrero</v>
      </c>
      <c r="F1069" s="8" t="str">
        <f>"T"&amp;ROUNDUP(Tabla2[[#This Row],[mes]]/3,0)</f>
        <v>T1</v>
      </c>
      <c r="G1069" t="s">
        <v>20</v>
      </c>
      <c r="H1069" t="s">
        <v>21</v>
      </c>
      <c r="I1069" s="8" t="str">
        <f>IF(Tabla2[[#This Row],[precio_unitario]]&lt;=30,"Económico",IF(Tabla2[[#This Row],[precio_unitario]]&lt;=58.49,"Accesible","Caro"))</f>
        <v>Económico</v>
      </c>
      <c r="J1069" t="s">
        <v>17</v>
      </c>
      <c r="K1069">
        <v>5</v>
      </c>
      <c r="L1069" s="19">
        <v>20.39</v>
      </c>
      <c r="M1069" s="21">
        <f>INDEX(Tabla3[coste_objetivo], MATCH(Tabla2[[#This Row],[id_producto]], Tabla3[id_producto],0))</f>
        <v>12.9</v>
      </c>
      <c r="N1069" s="11">
        <v>0</v>
      </c>
      <c r="O1069" s="17">
        <f t="shared" si="67"/>
        <v>101.95</v>
      </c>
      <c r="P1069" s="17">
        <f t="shared" si="64"/>
        <v>64.5</v>
      </c>
      <c r="Q1069" s="17">
        <f t="shared" si="65"/>
        <v>37.450000000000003</v>
      </c>
      <c r="R1069" s="24">
        <f t="shared" si="66"/>
        <v>0.36733692986758215</v>
      </c>
      <c r="S1069" t="s">
        <v>67</v>
      </c>
      <c r="T1069" t="s">
        <v>60</v>
      </c>
    </row>
    <row r="1070" spans="1:20" hidden="1">
      <c r="A1070" t="s">
        <v>1141</v>
      </c>
      <c r="B1070" s="5">
        <v>45299</v>
      </c>
      <c r="C1070" s="8">
        <f>YEAR(Tabla2[[#This Row],[fecha]])</f>
        <v>2024</v>
      </c>
      <c r="D1070" s="8">
        <f>MONTH(Tabla2[[#This Row],[fecha]])</f>
        <v>1</v>
      </c>
      <c r="E1070" s="8" t="str">
        <f>TEXT(Tabla2[[#This Row],[fecha]], "mmmm")</f>
        <v>enero</v>
      </c>
      <c r="F1070" s="8" t="str">
        <f>"T"&amp;ROUNDUP(Tabla2[[#This Row],[mes]]/3,0)</f>
        <v>T1</v>
      </c>
      <c r="G1070" t="s">
        <v>33</v>
      </c>
      <c r="H1070" t="s">
        <v>34</v>
      </c>
      <c r="I1070" s="8" t="str">
        <f>IF(Tabla2[[#This Row],[precio_unitario]]&lt;=30,"Económico",IF(Tabla2[[#This Row],[precio_unitario]]&lt;=58.49,"Accesible","Caro"))</f>
        <v>Caro</v>
      </c>
      <c r="J1070" t="s">
        <v>35</v>
      </c>
      <c r="K1070">
        <v>3</v>
      </c>
      <c r="L1070" s="19">
        <v>78.760000000000005</v>
      </c>
      <c r="M1070" s="19">
        <v>46.7</v>
      </c>
      <c r="N1070" s="11">
        <v>0</v>
      </c>
      <c r="O1070" s="17">
        <f t="shared" si="67"/>
        <v>236.28000000000003</v>
      </c>
      <c r="P1070" s="17">
        <f t="shared" si="64"/>
        <v>140.10000000000002</v>
      </c>
      <c r="Q1070" s="17">
        <f t="shared" si="65"/>
        <v>96.18</v>
      </c>
      <c r="R1070" s="24">
        <f t="shared" si="66"/>
        <v>0.40705942102590142</v>
      </c>
      <c r="S1070" t="s">
        <v>101</v>
      </c>
      <c r="T1070" t="s">
        <v>64</v>
      </c>
    </row>
    <row r="1071" spans="1:20">
      <c r="A1071" t="s">
        <v>1142</v>
      </c>
      <c r="B1071" s="5">
        <v>45759</v>
      </c>
      <c r="C1071" s="8">
        <f>YEAR(Tabla2[[#This Row],[fecha]])</f>
        <v>2025</v>
      </c>
      <c r="D1071" s="8">
        <f>MONTH(Tabla2[[#This Row],[fecha]])</f>
        <v>4</v>
      </c>
      <c r="E1071" s="8" t="str">
        <f>TEXT(Tabla2[[#This Row],[fecha]], "mmmm")</f>
        <v>abril</v>
      </c>
      <c r="F1071" s="8" t="str">
        <f>"T"&amp;ROUNDUP(Tabla2[[#This Row],[mes]]/3,0)</f>
        <v>T2</v>
      </c>
      <c r="G1071" t="s">
        <v>13</v>
      </c>
      <c r="H1071" t="s">
        <v>14</v>
      </c>
      <c r="I1071" s="8" t="str">
        <f>IF(Tabla2[[#This Row],[precio_unitario]]&lt;=30,"Económico",IF(Tabla2[[#This Row],[precio_unitario]]&lt;=58.49,"Accesible","Caro"))</f>
        <v>Caro</v>
      </c>
      <c r="J1071" t="s">
        <v>8</v>
      </c>
      <c r="K1071">
        <v>1</v>
      </c>
      <c r="L1071" s="19">
        <v>153.9</v>
      </c>
      <c r="M1071" s="19">
        <v>114.45</v>
      </c>
      <c r="N1071" s="11">
        <v>0</v>
      </c>
      <c r="O1071" s="17">
        <f t="shared" si="67"/>
        <v>153.9</v>
      </c>
      <c r="P1071" s="17">
        <f t="shared" si="64"/>
        <v>114.45</v>
      </c>
      <c r="Q1071" s="17">
        <f t="shared" si="65"/>
        <v>39.450000000000003</v>
      </c>
      <c r="R1071" s="24">
        <f t="shared" si="66"/>
        <v>0.25633528265107214</v>
      </c>
      <c r="S1071" t="s">
        <v>67</v>
      </c>
      <c r="T1071" t="s">
        <v>64</v>
      </c>
    </row>
    <row r="1072" spans="1:20">
      <c r="A1072" t="s">
        <v>1143</v>
      </c>
      <c r="B1072" s="5">
        <v>45951</v>
      </c>
      <c r="C1072" s="8">
        <f>YEAR(Tabla2[[#This Row],[fecha]])</f>
        <v>2025</v>
      </c>
      <c r="D1072" s="8">
        <f>MONTH(Tabla2[[#This Row],[fecha]])</f>
        <v>10</v>
      </c>
      <c r="E1072" s="8" t="str">
        <f>TEXT(Tabla2[[#This Row],[fecha]], "mmmm")</f>
        <v>octubre</v>
      </c>
      <c r="F1072" s="8" t="str">
        <f>"T"&amp;ROUNDUP(Tabla2[[#This Row],[mes]]/3,0)</f>
        <v>T4</v>
      </c>
      <c r="G1072" t="s">
        <v>9</v>
      </c>
      <c r="H1072" t="s">
        <v>10</v>
      </c>
      <c r="I1072" s="8" t="str">
        <f>IF(Tabla2[[#This Row],[precio_unitario]]&lt;=30,"Económico",IF(Tabla2[[#This Row],[precio_unitario]]&lt;=58.49,"Accesible","Caro"))</f>
        <v>Caro</v>
      </c>
      <c r="J1072" t="s">
        <v>8</v>
      </c>
      <c r="K1072">
        <v>3</v>
      </c>
      <c r="L1072" s="19">
        <v>68.56</v>
      </c>
      <c r="M1072" s="19">
        <v>48.26</v>
      </c>
      <c r="N1072" s="11">
        <v>7.0000000000000007E-2</v>
      </c>
      <c r="O1072" s="17">
        <f t="shared" si="67"/>
        <v>191.2824</v>
      </c>
      <c r="P1072" s="17">
        <f t="shared" si="64"/>
        <v>144.78</v>
      </c>
      <c r="Q1072" s="17">
        <f t="shared" si="65"/>
        <v>46.502399999999994</v>
      </c>
      <c r="R1072" s="24">
        <f t="shared" si="66"/>
        <v>0.24310861846149984</v>
      </c>
      <c r="S1072" t="s">
        <v>67</v>
      </c>
      <c r="T1072" t="s">
        <v>64</v>
      </c>
    </row>
    <row r="1073" spans="1:20" hidden="1">
      <c r="A1073" t="s">
        <v>1144</v>
      </c>
      <c r="B1073" s="5">
        <v>46021</v>
      </c>
      <c r="C1073" s="8">
        <f>YEAR(Tabla2[[#This Row],[fecha]])</f>
        <v>2025</v>
      </c>
      <c r="D1073" s="8">
        <f>MONTH(Tabla2[[#This Row],[fecha]])</f>
        <v>12</v>
      </c>
      <c r="E1073" s="8" t="str">
        <f>TEXT(Tabla2[[#This Row],[fecha]], "mmmm")</f>
        <v>diciembre</v>
      </c>
      <c r="F1073" s="8" t="str">
        <f>"T"&amp;ROUNDUP(Tabla2[[#This Row],[mes]]/3,0)</f>
        <v>T4</v>
      </c>
      <c r="G1073" t="s">
        <v>22</v>
      </c>
      <c r="H1073" t="s">
        <v>23</v>
      </c>
      <c r="I1073" s="8" t="str">
        <f>IF(Tabla2[[#This Row],[precio_unitario]]&lt;=30,"Económico",IF(Tabla2[[#This Row],[precio_unitario]]&lt;=58.49,"Accesible","Caro"))</f>
        <v>Caro</v>
      </c>
      <c r="J1073" t="s">
        <v>17</v>
      </c>
      <c r="K1073">
        <v>5</v>
      </c>
      <c r="L1073" s="19">
        <v>102.01</v>
      </c>
      <c r="M1073" s="19">
        <v>56.66</v>
      </c>
      <c r="N1073" s="11">
        <v>0</v>
      </c>
      <c r="O1073" s="17">
        <f t="shared" si="67"/>
        <v>510.05</v>
      </c>
      <c r="P1073" s="17">
        <f t="shared" si="64"/>
        <v>283.29999999999995</v>
      </c>
      <c r="Q1073" s="17">
        <f t="shared" si="65"/>
        <v>226.75000000000006</v>
      </c>
      <c r="R1073" s="24">
        <f t="shared" si="66"/>
        <v>0.44456425840603875</v>
      </c>
      <c r="S1073" t="s">
        <v>63</v>
      </c>
      <c r="T1073" t="s">
        <v>64</v>
      </c>
    </row>
    <row r="1074" spans="1:20" hidden="1">
      <c r="A1074" t="s">
        <v>1145</v>
      </c>
      <c r="B1074" s="5">
        <v>45777</v>
      </c>
      <c r="C1074" s="8">
        <f>YEAR(Tabla2[[#This Row],[fecha]])</f>
        <v>2025</v>
      </c>
      <c r="D1074" s="8">
        <f>MONTH(Tabla2[[#This Row],[fecha]])</f>
        <v>4</v>
      </c>
      <c r="E1074" s="8" t="str">
        <f>TEXT(Tabla2[[#This Row],[fecha]], "mmmm")</f>
        <v>abril</v>
      </c>
      <c r="F1074" s="8" t="str">
        <f>"T"&amp;ROUNDUP(Tabla2[[#This Row],[mes]]/3,0)</f>
        <v>T2</v>
      </c>
      <c r="G1074" t="s">
        <v>42</v>
      </c>
      <c r="H1074" t="s">
        <v>43</v>
      </c>
      <c r="I1074" s="8" t="str">
        <f>IF(Tabla2[[#This Row],[precio_unitario]]&lt;=30,"Económico",IF(Tabla2[[#This Row],[precio_unitario]]&lt;=58.49,"Accesible","Caro"))</f>
        <v>Accesible</v>
      </c>
      <c r="J1074" t="s">
        <v>44</v>
      </c>
      <c r="K1074">
        <v>7</v>
      </c>
      <c r="L1074" s="19">
        <v>48.17</v>
      </c>
      <c r="M1074" s="19">
        <v>21.95</v>
      </c>
      <c r="N1074" s="11">
        <v>0</v>
      </c>
      <c r="O1074" s="17">
        <f t="shared" si="67"/>
        <v>337.19</v>
      </c>
      <c r="P1074" s="17">
        <f t="shared" si="64"/>
        <v>153.65</v>
      </c>
      <c r="Q1074" s="17">
        <f t="shared" si="65"/>
        <v>183.54</v>
      </c>
      <c r="R1074" s="24">
        <f t="shared" si="66"/>
        <v>0.54432219223583145</v>
      </c>
      <c r="S1074" t="s">
        <v>540</v>
      </c>
      <c r="T1074" t="s">
        <v>64</v>
      </c>
    </row>
    <row r="1075" spans="1:20" hidden="1">
      <c r="A1075" t="s">
        <v>1146</v>
      </c>
      <c r="B1075" s="5">
        <v>45403</v>
      </c>
      <c r="C1075" s="8">
        <f>YEAR(Tabla2[[#This Row],[fecha]])</f>
        <v>2024</v>
      </c>
      <c r="D1075" s="8">
        <f>MONTH(Tabla2[[#This Row],[fecha]])</f>
        <v>4</v>
      </c>
      <c r="E1075" s="8" t="str">
        <f>TEXT(Tabla2[[#This Row],[fecha]], "mmmm")</f>
        <v>abril</v>
      </c>
      <c r="F1075" s="8" t="str">
        <f>"T"&amp;ROUNDUP(Tabla2[[#This Row],[mes]]/3,0)</f>
        <v>T2</v>
      </c>
      <c r="G1075" t="s">
        <v>47</v>
      </c>
      <c r="H1075" t="s">
        <v>48</v>
      </c>
      <c r="I1075" s="8" t="str">
        <f>IF(Tabla2[[#This Row],[precio_unitario]]&lt;=30,"Económico",IF(Tabla2[[#This Row],[precio_unitario]]&lt;=58.49,"Accesible","Caro"))</f>
        <v>Caro</v>
      </c>
      <c r="J1075" t="s">
        <v>44</v>
      </c>
      <c r="K1075">
        <v>2</v>
      </c>
      <c r="L1075" s="19">
        <v>59.76</v>
      </c>
      <c r="M1075" s="19">
        <v>34.200000000000003</v>
      </c>
      <c r="N1075" s="11">
        <v>0.13</v>
      </c>
      <c r="O1075" s="17">
        <f t="shared" si="67"/>
        <v>103.9824</v>
      </c>
      <c r="P1075" s="17">
        <f t="shared" si="64"/>
        <v>68.400000000000006</v>
      </c>
      <c r="Q1075" s="17">
        <f t="shared" si="65"/>
        <v>35.582399999999993</v>
      </c>
      <c r="R1075" s="24">
        <f t="shared" si="66"/>
        <v>0.34219637169367118</v>
      </c>
      <c r="S1075" t="s">
        <v>67</v>
      </c>
      <c r="T1075" t="s">
        <v>60</v>
      </c>
    </row>
    <row r="1076" spans="1:20" hidden="1">
      <c r="A1076" t="s">
        <v>1147</v>
      </c>
      <c r="B1076" s="5">
        <v>45631</v>
      </c>
      <c r="C1076" s="8">
        <f>YEAR(Tabla2[[#This Row],[fecha]])</f>
        <v>2024</v>
      </c>
      <c r="D1076" s="8">
        <f>MONTH(Tabla2[[#This Row],[fecha]])</f>
        <v>12</v>
      </c>
      <c r="E1076" s="8" t="str">
        <f>TEXT(Tabla2[[#This Row],[fecha]], "mmmm")</f>
        <v>diciembre</v>
      </c>
      <c r="F1076" s="8" t="str">
        <f>"T"&amp;ROUNDUP(Tabla2[[#This Row],[mes]]/3,0)</f>
        <v>T4</v>
      </c>
      <c r="G1076" t="s">
        <v>15</v>
      </c>
      <c r="H1076" t="s">
        <v>16</v>
      </c>
      <c r="I1076" s="8" t="str">
        <f>IF(Tabla2[[#This Row],[precio_unitario]]&lt;=30,"Económico",IF(Tabla2[[#This Row],[precio_unitario]]&lt;=58.49,"Accesible","Caro"))</f>
        <v>Caro</v>
      </c>
      <c r="J1076" t="s">
        <v>17</v>
      </c>
      <c r="K1076">
        <v>5</v>
      </c>
      <c r="L1076" s="19">
        <v>60.67</v>
      </c>
      <c r="M1076" s="19">
        <v>40.090000000000003</v>
      </c>
      <c r="N1076" s="11">
        <v>0</v>
      </c>
      <c r="O1076" s="17">
        <f t="shared" si="67"/>
        <v>303.35000000000002</v>
      </c>
      <c r="P1076" s="17">
        <f t="shared" si="64"/>
        <v>200.45000000000002</v>
      </c>
      <c r="Q1076" s="17">
        <f t="shared" si="65"/>
        <v>102.9</v>
      </c>
      <c r="R1076" s="24">
        <f t="shared" si="66"/>
        <v>0.33921213120158233</v>
      </c>
      <c r="S1076" t="s">
        <v>67</v>
      </c>
      <c r="T1076" t="s">
        <v>64</v>
      </c>
    </row>
    <row r="1077" spans="1:20" hidden="1">
      <c r="A1077" t="s">
        <v>1148</v>
      </c>
      <c r="B1077" s="5">
        <v>45366</v>
      </c>
      <c r="C1077" s="8">
        <f>YEAR(Tabla2[[#This Row],[fecha]])</f>
        <v>2024</v>
      </c>
      <c r="D1077" s="8">
        <f>MONTH(Tabla2[[#This Row],[fecha]])</f>
        <v>3</v>
      </c>
      <c r="E1077" s="8" t="str">
        <f>TEXT(Tabla2[[#This Row],[fecha]], "mmmm")</f>
        <v>marzo</v>
      </c>
      <c r="F1077" s="8" t="str">
        <f>"T"&amp;ROUNDUP(Tabla2[[#This Row],[mes]]/3,0)</f>
        <v>T1</v>
      </c>
      <c r="G1077" t="s">
        <v>20</v>
      </c>
      <c r="H1077" t="s">
        <v>21</v>
      </c>
      <c r="I1077" s="8" t="str">
        <f>IF(Tabla2[[#This Row],[precio_unitario]]&lt;=30,"Económico",IF(Tabla2[[#This Row],[precio_unitario]]&lt;=58.49,"Accesible","Caro"))</f>
        <v>Económico</v>
      </c>
      <c r="J1077" t="s">
        <v>17</v>
      </c>
      <c r="K1077">
        <v>1</v>
      </c>
      <c r="L1077" s="19">
        <v>19.11</v>
      </c>
      <c r="M1077" s="19">
        <v>12.93</v>
      </c>
      <c r="N1077" s="11">
        <v>0</v>
      </c>
      <c r="O1077" s="17">
        <f t="shared" si="67"/>
        <v>19.11</v>
      </c>
      <c r="P1077" s="17">
        <f t="shared" si="64"/>
        <v>12.93</v>
      </c>
      <c r="Q1077" s="17">
        <f t="shared" si="65"/>
        <v>6.18</v>
      </c>
      <c r="R1077" s="24">
        <f t="shared" si="66"/>
        <v>0.32339089481946626</v>
      </c>
      <c r="S1077" t="s">
        <v>67</v>
      </c>
      <c r="T1077" t="s">
        <v>60</v>
      </c>
    </row>
    <row r="1078" spans="1:20" hidden="1">
      <c r="A1078" t="s">
        <v>1149</v>
      </c>
      <c r="B1078" s="5">
        <v>45976</v>
      </c>
      <c r="C1078" s="8">
        <f>YEAR(Tabla2[[#This Row],[fecha]])</f>
        <v>2025</v>
      </c>
      <c r="D1078" s="8">
        <f>MONTH(Tabla2[[#This Row],[fecha]])</f>
        <v>11</v>
      </c>
      <c r="E1078" s="8" t="str">
        <f>TEXT(Tabla2[[#This Row],[fecha]], "mmmm")</f>
        <v>noviembre</v>
      </c>
      <c r="F1078" s="8" t="str">
        <f>"T"&amp;ROUNDUP(Tabla2[[#This Row],[mes]]/3,0)</f>
        <v>T4</v>
      </c>
      <c r="G1078" t="s">
        <v>6</v>
      </c>
      <c r="H1078" t="s">
        <v>7</v>
      </c>
      <c r="I1078" s="8" t="str">
        <f>IF(Tabla2[[#This Row],[precio_unitario]]&lt;=30,"Económico",IF(Tabla2[[#This Row],[precio_unitario]]&lt;=58.49,"Accesible","Caro"))</f>
        <v>Caro</v>
      </c>
      <c r="J1078" t="s">
        <v>8</v>
      </c>
      <c r="K1078">
        <v>2</v>
      </c>
      <c r="L1078" s="19">
        <v>118.04</v>
      </c>
      <c r="M1078" s="19">
        <v>87.47</v>
      </c>
      <c r="N1078" s="13">
        <v>0</v>
      </c>
      <c r="O1078" s="17">
        <f t="shared" si="67"/>
        <v>236.08</v>
      </c>
      <c r="P1078" s="17">
        <f t="shared" si="64"/>
        <v>174.94</v>
      </c>
      <c r="Q1078" s="17">
        <f t="shared" si="65"/>
        <v>61.140000000000015</v>
      </c>
      <c r="R1078" s="24">
        <f t="shared" si="66"/>
        <v>0.25898000677736366</v>
      </c>
      <c r="S1078" t="s">
        <v>540</v>
      </c>
      <c r="T1078" t="s">
        <v>60</v>
      </c>
    </row>
    <row r="1079" spans="1:20" hidden="1">
      <c r="A1079" t="s">
        <v>1150</v>
      </c>
      <c r="B1079" s="5">
        <v>45884</v>
      </c>
      <c r="C1079" s="8">
        <f>YEAR(Tabla2[[#This Row],[fecha]])</f>
        <v>2025</v>
      </c>
      <c r="D1079" s="8">
        <f>MONTH(Tabla2[[#This Row],[fecha]])</f>
        <v>8</v>
      </c>
      <c r="E1079" s="8" t="str">
        <f>TEXT(Tabla2[[#This Row],[fecha]], "mmmm")</f>
        <v>agosto</v>
      </c>
      <c r="F1079" s="8" t="str">
        <f>"T"&amp;ROUNDUP(Tabla2[[#This Row],[mes]]/3,0)</f>
        <v>T3</v>
      </c>
      <c r="G1079" t="s">
        <v>40</v>
      </c>
      <c r="H1079" t="s">
        <v>41</v>
      </c>
      <c r="I1079" s="8" t="str">
        <f>IF(Tabla2[[#This Row],[precio_unitario]]&lt;=30,"Económico",IF(Tabla2[[#This Row],[precio_unitario]]&lt;=58.49,"Accesible","Caro"))</f>
        <v>Caro</v>
      </c>
      <c r="J1079" t="s">
        <v>35</v>
      </c>
      <c r="K1079">
        <v>1</v>
      </c>
      <c r="L1079" s="19">
        <v>78.69</v>
      </c>
      <c r="M1079" s="19">
        <v>41.38</v>
      </c>
      <c r="N1079" s="11">
        <v>0</v>
      </c>
      <c r="O1079" s="17">
        <f t="shared" si="67"/>
        <v>78.69</v>
      </c>
      <c r="P1079" s="17">
        <f t="shared" si="64"/>
        <v>41.38</v>
      </c>
      <c r="Q1079" s="17">
        <f t="shared" si="65"/>
        <v>37.309999999999995</v>
      </c>
      <c r="R1079" s="24">
        <f t="shared" si="66"/>
        <v>0.47413902655991863</v>
      </c>
      <c r="S1079" t="s">
        <v>83</v>
      </c>
      <c r="T1079" t="s">
        <v>64</v>
      </c>
    </row>
    <row r="1080" spans="1:20" hidden="1">
      <c r="A1080" t="s">
        <v>1151</v>
      </c>
      <c r="B1080" s="5">
        <v>45350</v>
      </c>
      <c r="C1080" s="8">
        <f>YEAR(Tabla2[[#This Row],[fecha]])</f>
        <v>2024</v>
      </c>
      <c r="D1080" s="8">
        <f>MONTH(Tabla2[[#This Row],[fecha]])</f>
        <v>2</v>
      </c>
      <c r="E1080" s="8" t="str">
        <f>TEXT(Tabla2[[#This Row],[fecha]], "mmmm")</f>
        <v>febrero</v>
      </c>
      <c r="F1080" s="8" t="str">
        <f>"T"&amp;ROUNDUP(Tabla2[[#This Row],[mes]]/3,0)</f>
        <v>T1</v>
      </c>
      <c r="G1080" t="s">
        <v>18</v>
      </c>
      <c r="H1080" t="s">
        <v>19</v>
      </c>
      <c r="I1080" s="8" t="str">
        <f>IF(Tabla2[[#This Row],[precio_unitario]]&lt;=30,"Económico",IF(Tabla2[[#This Row],[precio_unitario]]&lt;=58.49,"Accesible","Caro"))</f>
        <v>Accesible</v>
      </c>
      <c r="J1080" t="s">
        <v>17</v>
      </c>
      <c r="K1080">
        <v>2</v>
      </c>
      <c r="L1080" s="19">
        <v>46.91</v>
      </c>
      <c r="M1080" s="19">
        <v>27.52</v>
      </c>
      <c r="N1080" s="11">
        <v>0</v>
      </c>
      <c r="O1080" s="17">
        <f t="shared" si="67"/>
        <v>93.82</v>
      </c>
      <c r="P1080" s="17">
        <f t="shared" si="64"/>
        <v>55.04</v>
      </c>
      <c r="Q1080" s="17">
        <f t="shared" si="65"/>
        <v>38.779999999999994</v>
      </c>
      <c r="R1080" s="24">
        <f t="shared" si="66"/>
        <v>0.41334470262204215</v>
      </c>
      <c r="S1080" t="s">
        <v>83</v>
      </c>
      <c r="T1080" t="s">
        <v>64</v>
      </c>
    </row>
    <row r="1081" spans="1:20" hidden="1">
      <c r="A1081" t="s">
        <v>1152</v>
      </c>
      <c r="B1081" s="5">
        <v>46004</v>
      </c>
      <c r="C1081" s="8">
        <f>YEAR(Tabla2[[#This Row],[fecha]])</f>
        <v>2025</v>
      </c>
      <c r="D1081" s="8">
        <f>MONTH(Tabla2[[#This Row],[fecha]])</f>
        <v>12</v>
      </c>
      <c r="E1081" s="8" t="str">
        <f>TEXT(Tabla2[[#This Row],[fecha]], "mmmm")</f>
        <v>diciembre</v>
      </c>
      <c r="F1081" s="8" t="str">
        <f>"T"&amp;ROUNDUP(Tabla2[[#This Row],[mes]]/3,0)</f>
        <v>T4</v>
      </c>
      <c r="G1081" t="s">
        <v>6</v>
      </c>
      <c r="H1081" t="s">
        <v>7</v>
      </c>
      <c r="I1081" s="8" t="str">
        <f>IF(Tabla2[[#This Row],[precio_unitario]]&lt;=30,"Económico",IF(Tabla2[[#This Row],[precio_unitario]]&lt;=58.49,"Accesible","Caro"))</f>
        <v>Caro</v>
      </c>
      <c r="J1081" t="s">
        <v>8</v>
      </c>
      <c r="K1081">
        <v>2</v>
      </c>
      <c r="L1081" s="19">
        <v>118.72</v>
      </c>
      <c r="M1081" s="19">
        <v>80.92</v>
      </c>
      <c r="N1081" s="13">
        <v>0</v>
      </c>
      <c r="O1081" s="17">
        <f t="shared" si="67"/>
        <v>237.44</v>
      </c>
      <c r="P1081" s="17">
        <f t="shared" si="64"/>
        <v>161.84</v>
      </c>
      <c r="Q1081" s="17">
        <f t="shared" si="65"/>
        <v>75.599999999999994</v>
      </c>
      <c r="R1081" s="24">
        <f t="shared" si="66"/>
        <v>0.3183962264150943</v>
      </c>
      <c r="S1081" t="s">
        <v>540</v>
      </c>
      <c r="T1081" t="s">
        <v>60</v>
      </c>
    </row>
    <row r="1082" spans="1:20" hidden="1">
      <c r="A1082" t="s">
        <v>258</v>
      </c>
      <c r="B1082" s="5">
        <v>45718</v>
      </c>
      <c r="C1082" s="8">
        <f>YEAR(Tabla2[[#This Row],[fecha]])</f>
        <v>2025</v>
      </c>
      <c r="D1082" s="8">
        <f>MONTH(Tabla2[[#This Row],[fecha]])</f>
        <v>3</v>
      </c>
      <c r="E1082" s="8" t="str">
        <f>TEXT(Tabla2[[#This Row],[fecha]], "mmmm")</f>
        <v>marzo</v>
      </c>
      <c r="F1082" s="8" t="str">
        <f>"T"&amp;ROUNDUP(Tabla2[[#This Row],[mes]]/3,0)</f>
        <v>T1</v>
      </c>
      <c r="G1082" t="s">
        <v>13</v>
      </c>
      <c r="H1082" t="s">
        <v>14</v>
      </c>
      <c r="I1082" s="8" t="str">
        <f>IF(Tabla2[[#This Row],[precio_unitario]]&lt;=30,"Económico",IF(Tabla2[[#This Row],[precio_unitario]]&lt;=58.49,"Accesible","Caro"))</f>
        <v>Caro</v>
      </c>
      <c r="J1082" t="s">
        <v>8</v>
      </c>
      <c r="K1082">
        <v>5</v>
      </c>
      <c r="L1082" s="19">
        <v>149.56</v>
      </c>
      <c r="M1082" s="21">
        <f>INDEX(Tabla3[coste_objetivo], MATCH(Tabla2[[#This Row],[id_producto]], Tabla3[id_producto],0))</f>
        <v>110.03</v>
      </c>
      <c r="N1082" s="11">
        <v>0</v>
      </c>
      <c r="O1082" s="17">
        <f t="shared" si="67"/>
        <v>747.8</v>
      </c>
      <c r="P1082" s="17">
        <f t="shared" si="64"/>
        <v>550.15</v>
      </c>
      <c r="Q1082" s="17">
        <f t="shared" si="65"/>
        <v>197.64999999999998</v>
      </c>
      <c r="R1082" s="24">
        <f t="shared" si="66"/>
        <v>0.26430863867344206</v>
      </c>
      <c r="S1082" t="s">
        <v>83</v>
      </c>
      <c r="T1082" t="s">
        <v>64</v>
      </c>
    </row>
    <row r="1083" spans="1:20" hidden="1">
      <c r="A1083" t="s">
        <v>1153</v>
      </c>
      <c r="B1083" s="5">
        <v>45610</v>
      </c>
      <c r="C1083" s="8">
        <f>YEAR(Tabla2[[#This Row],[fecha]])</f>
        <v>2024</v>
      </c>
      <c r="D1083" s="8">
        <f>MONTH(Tabla2[[#This Row],[fecha]])</f>
        <v>11</v>
      </c>
      <c r="E1083" s="8" t="str">
        <f>TEXT(Tabla2[[#This Row],[fecha]], "mmmm")</f>
        <v>noviembre</v>
      </c>
      <c r="F1083" s="8" t="str">
        <f>"T"&amp;ROUNDUP(Tabla2[[#This Row],[mes]]/3,0)</f>
        <v>T4</v>
      </c>
      <c r="G1083" t="s">
        <v>33</v>
      </c>
      <c r="H1083" t="s">
        <v>34</v>
      </c>
      <c r="I1083" s="8" t="str">
        <f>IF(Tabla2[[#This Row],[precio_unitario]]&lt;=30,"Económico",IF(Tabla2[[#This Row],[precio_unitario]]&lt;=58.49,"Accesible","Caro"))</f>
        <v>Caro</v>
      </c>
      <c r="J1083" t="s">
        <v>35</v>
      </c>
      <c r="K1083">
        <v>2</v>
      </c>
      <c r="L1083" s="19">
        <v>74.31</v>
      </c>
      <c r="M1083" s="19">
        <v>46.1</v>
      </c>
      <c r="N1083" s="11">
        <v>0</v>
      </c>
      <c r="O1083" s="17">
        <f t="shared" si="67"/>
        <v>148.62</v>
      </c>
      <c r="P1083" s="17">
        <f t="shared" si="64"/>
        <v>92.2</v>
      </c>
      <c r="Q1083" s="17">
        <f t="shared" si="65"/>
        <v>56.42</v>
      </c>
      <c r="R1083" s="24">
        <f t="shared" si="66"/>
        <v>0.37962589153545956</v>
      </c>
      <c r="S1083" t="s">
        <v>63</v>
      </c>
      <c r="T1083" t="s">
        <v>60</v>
      </c>
    </row>
    <row r="1084" spans="1:20">
      <c r="A1084" t="s">
        <v>1154</v>
      </c>
      <c r="B1084" s="5">
        <v>46012</v>
      </c>
      <c r="C1084" s="8">
        <f>YEAR(Tabla2[[#This Row],[fecha]])</f>
        <v>2025</v>
      </c>
      <c r="D1084" s="8">
        <f>MONTH(Tabla2[[#This Row],[fecha]])</f>
        <v>12</v>
      </c>
      <c r="E1084" s="8" t="str">
        <f>TEXT(Tabla2[[#This Row],[fecha]], "mmmm")</f>
        <v>diciembre</v>
      </c>
      <c r="F1084" s="8" t="str">
        <f>"T"&amp;ROUNDUP(Tabla2[[#This Row],[mes]]/3,0)</f>
        <v>T4</v>
      </c>
      <c r="G1084" t="s">
        <v>42</v>
      </c>
      <c r="H1084" t="s">
        <v>43</v>
      </c>
      <c r="I1084" s="8" t="str">
        <f>IF(Tabla2[[#This Row],[precio_unitario]]&lt;=30,"Económico",IF(Tabla2[[#This Row],[precio_unitario]]&lt;=58.49,"Accesible","Caro"))</f>
        <v>Accesible</v>
      </c>
      <c r="J1084" t="s">
        <v>44</v>
      </c>
      <c r="K1084">
        <v>1</v>
      </c>
      <c r="L1084" s="19">
        <v>52.51</v>
      </c>
      <c r="M1084" s="19">
        <v>22.01</v>
      </c>
      <c r="N1084" s="13">
        <v>0</v>
      </c>
      <c r="O1084" s="17">
        <f t="shared" si="67"/>
        <v>52.51</v>
      </c>
      <c r="P1084" s="17">
        <f t="shared" si="64"/>
        <v>22.01</v>
      </c>
      <c r="Q1084" s="17">
        <f t="shared" si="65"/>
        <v>30.499999999999996</v>
      </c>
      <c r="R1084" s="24">
        <f t="shared" si="66"/>
        <v>0.58084174442963243</v>
      </c>
      <c r="S1084" t="s">
        <v>67</v>
      </c>
      <c r="T1084" t="s">
        <v>64</v>
      </c>
    </row>
    <row r="1085" spans="1:20" hidden="1">
      <c r="A1085" t="s">
        <v>1155</v>
      </c>
      <c r="B1085" s="5">
        <v>45522</v>
      </c>
      <c r="C1085" s="8">
        <f>YEAR(Tabla2[[#This Row],[fecha]])</f>
        <v>2024</v>
      </c>
      <c r="D1085" s="8">
        <f>MONTH(Tabla2[[#This Row],[fecha]])</f>
        <v>8</v>
      </c>
      <c r="E1085" s="8" t="str">
        <f>TEXT(Tabla2[[#This Row],[fecha]], "mmmm")</f>
        <v>agosto</v>
      </c>
      <c r="F1085" s="8" t="str">
        <f>"T"&amp;ROUNDUP(Tabla2[[#This Row],[mes]]/3,0)</f>
        <v>T3</v>
      </c>
      <c r="G1085" t="s">
        <v>15</v>
      </c>
      <c r="H1085" t="s">
        <v>16</v>
      </c>
      <c r="I1085" s="8" t="str">
        <f>IF(Tabla2[[#This Row],[precio_unitario]]&lt;=30,"Económico",IF(Tabla2[[#This Row],[precio_unitario]]&lt;=58.49,"Accesible","Caro"))</f>
        <v>Caro</v>
      </c>
      <c r="J1085" t="s">
        <v>17</v>
      </c>
      <c r="K1085">
        <v>5</v>
      </c>
      <c r="L1085" s="19">
        <v>60.77</v>
      </c>
      <c r="M1085" s="19">
        <v>40.14</v>
      </c>
      <c r="N1085" s="11">
        <v>0</v>
      </c>
      <c r="O1085" s="17">
        <f t="shared" si="67"/>
        <v>303.85000000000002</v>
      </c>
      <c r="P1085" s="17">
        <f t="shared" si="64"/>
        <v>200.7</v>
      </c>
      <c r="Q1085" s="17">
        <f t="shared" si="65"/>
        <v>103.15000000000003</v>
      </c>
      <c r="R1085" s="24">
        <f t="shared" si="66"/>
        <v>0.33947671548461422</v>
      </c>
      <c r="S1085" t="s">
        <v>83</v>
      </c>
      <c r="T1085" t="s">
        <v>64</v>
      </c>
    </row>
    <row r="1086" spans="1:20" hidden="1">
      <c r="A1086" t="s">
        <v>1156</v>
      </c>
      <c r="B1086" s="5">
        <v>45533</v>
      </c>
      <c r="C1086" s="8">
        <f>YEAR(Tabla2[[#This Row],[fecha]])</f>
        <v>2024</v>
      </c>
      <c r="D1086" s="8">
        <f>MONTH(Tabla2[[#This Row],[fecha]])</f>
        <v>8</v>
      </c>
      <c r="E1086" s="8" t="str">
        <f>TEXT(Tabla2[[#This Row],[fecha]], "mmmm")</f>
        <v>agosto</v>
      </c>
      <c r="F1086" s="8" t="str">
        <f>"T"&amp;ROUNDUP(Tabla2[[#This Row],[mes]]/3,0)</f>
        <v>T3</v>
      </c>
      <c r="G1086" t="s">
        <v>15</v>
      </c>
      <c r="H1086" t="s">
        <v>16</v>
      </c>
      <c r="I1086" s="8" t="str">
        <f>IF(Tabla2[[#This Row],[precio_unitario]]&lt;=30,"Económico",IF(Tabla2[[#This Row],[precio_unitario]]&lt;=58.49,"Accesible","Caro"))</f>
        <v>Caro</v>
      </c>
      <c r="J1086" t="s">
        <v>17</v>
      </c>
      <c r="K1086">
        <v>1</v>
      </c>
      <c r="L1086" s="19">
        <v>62.14</v>
      </c>
      <c r="M1086" s="19">
        <v>39.42</v>
      </c>
      <c r="N1086" s="11">
        <v>0</v>
      </c>
      <c r="O1086" s="17">
        <f t="shared" si="67"/>
        <v>62.14</v>
      </c>
      <c r="P1086" s="17">
        <f t="shared" si="64"/>
        <v>39.42</v>
      </c>
      <c r="Q1086" s="17">
        <f t="shared" si="65"/>
        <v>22.72</v>
      </c>
      <c r="R1086" s="24">
        <f t="shared" si="66"/>
        <v>0.36562600579336979</v>
      </c>
      <c r="S1086" t="s">
        <v>67</v>
      </c>
      <c r="T1086" t="s">
        <v>60</v>
      </c>
    </row>
    <row r="1087" spans="1:20">
      <c r="A1087" t="s">
        <v>1157</v>
      </c>
      <c r="B1087" s="5">
        <v>45980</v>
      </c>
      <c r="C1087" s="8">
        <f>YEAR(Tabla2[[#This Row],[fecha]])</f>
        <v>2025</v>
      </c>
      <c r="D1087" s="8">
        <f>MONTH(Tabla2[[#This Row],[fecha]])</f>
        <v>11</v>
      </c>
      <c r="E1087" s="8" t="str">
        <f>TEXT(Tabla2[[#This Row],[fecha]], "mmmm")</f>
        <v>noviembre</v>
      </c>
      <c r="F1087" s="8" t="str">
        <f>"T"&amp;ROUNDUP(Tabla2[[#This Row],[mes]]/3,0)</f>
        <v>T4</v>
      </c>
      <c r="G1087" t="s">
        <v>18</v>
      </c>
      <c r="H1087" t="s">
        <v>19</v>
      </c>
      <c r="I1087" s="8" t="str">
        <f>IF(Tabla2[[#This Row],[precio_unitario]]&lt;=30,"Económico",IF(Tabla2[[#This Row],[precio_unitario]]&lt;=58.49,"Accesible","Caro"))</f>
        <v>Accesible</v>
      </c>
      <c r="J1087" t="s">
        <v>17</v>
      </c>
      <c r="K1087">
        <v>5</v>
      </c>
      <c r="L1087" s="19">
        <v>47.18</v>
      </c>
      <c r="M1087" s="19">
        <v>27.87</v>
      </c>
      <c r="N1087" s="11">
        <v>0</v>
      </c>
      <c r="O1087" s="17">
        <f t="shared" si="67"/>
        <v>235.9</v>
      </c>
      <c r="P1087" s="17">
        <f t="shared" si="64"/>
        <v>139.35</v>
      </c>
      <c r="Q1087" s="17">
        <f t="shared" si="65"/>
        <v>96.550000000000011</v>
      </c>
      <c r="R1087" s="24">
        <f t="shared" si="66"/>
        <v>0.40928359474353543</v>
      </c>
      <c r="S1087" t="s">
        <v>67</v>
      </c>
      <c r="T1087" t="s">
        <v>64</v>
      </c>
    </row>
    <row r="1088" spans="1:20" hidden="1">
      <c r="A1088" t="s">
        <v>1158</v>
      </c>
      <c r="B1088" s="5">
        <v>45518</v>
      </c>
      <c r="C1088" s="8">
        <f>YEAR(Tabla2[[#This Row],[fecha]])</f>
        <v>2024</v>
      </c>
      <c r="D1088" s="8">
        <f>MONTH(Tabla2[[#This Row],[fecha]])</f>
        <v>8</v>
      </c>
      <c r="E1088" s="8" t="str">
        <f>TEXT(Tabla2[[#This Row],[fecha]], "mmmm")</f>
        <v>agosto</v>
      </c>
      <c r="F1088" s="8" t="str">
        <f>"T"&amp;ROUNDUP(Tabla2[[#This Row],[mes]]/3,0)</f>
        <v>T3</v>
      </c>
      <c r="G1088" t="s">
        <v>49</v>
      </c>
      <c r="H1088" t="s">
        <v>50</v>
      </c>
      <c r="I1088" s="8" t="str">
        <f>IF(Tabla2[[#This Row],[precio_unitario]]&lt;=30,"Económico",IF(Tabla2[[#This Row],[precio_unitario]]&lt;=58.49,"Accesible","Caro"))</f>
        <v>Caro</v>
      </c>
      <c r="J1088" t="s">
        <v>44</v>
      </c>
      <c r="K1088">
        <v>1</v>
      </c>
      <c r="L1088" s="19">
        <v>61.34</v>
      </c>
      <c r="M1088" s="19">
        <v>33.5</v>
      </c>
      <c r="N1088" s="11">
        <v>0</v>
      </c>
      <c r="O1088" s="17">
        <f t="shared" si="67"/>
        <v>61.34</v>
      </c>
      <c r="P1088" s="17">
        <f t="shared" si="64"/>
        <v>33.5</v>
      </c>
      <c r="Q1088" s="17">
        <f t="shared" si="65"/>
        <v>27.840000000000003</v>
      </c>
      <c r="R1088" s="24">
        <f t="shared" si="66"/>
        <v>0.45386371046625368</v>
      </c>
      <c r="S1088" t="s">
        <v>67</v>
      </c>
      <c r="T1088" t="s">
        <v>60</v>
      </c>
    </row>
    <row r="1089" spans="1:20" hidden="1">
      <c r="A1089" t="s">
        <v>1159</v>
      </c>
      <c r="B1089" s="5">
        <v>45519</v>
      </c>
      <c r="C1089" s="8">
        <f>YEAR(Tabla2[[#This Row],[fecha]])</f>
        <v>2024</v>
      </c>
      <c r="D1089" s="8">
        <f>MONTH(Tabla2[[#This Row],[fecha]])</f>
        <v>8</v>
      </c>
      <c r="E1089" s="8" t="str">
        <f>TEXT(Tabla2[[#This Row],[fecha]], "mmmm")</f>
        <v>agosto</v>
      </c>
      <c r="F1089" s="8" t="str">
        <f>"T"&amp;ROUNDUP(Tabla2[[#This Row],[mes]]/3,0)</f>
        <v>T3</v>
      </c>
      <c r="G1089" t="s">
        <v>11</v>
      </c>
      <c r="H1089" t="s">
        <v>12</v>
      </c>
      <c r="I1089" s="8" t="str">
        <f>IF(Tabla2[[#This Row],[precio_unitario]]&lt;=30,"Económico",IF(Tabla2[[#This Row],[precio_unitario]]&lt;=58.49,"Accesible","Caro"))</f>
        <v>Caro</v>
      </c>
      <c r="J1089" t="s">
        <v>8</v>
      </c>
      <c r="K1089">
        <v>3</v>
      </c>
      <c r="L1089" s="20">
        <f>INDEX(Tabla3[precio_venta_recomendado], MATCH(Tabla2[[#This Row],[id_producto]], Tabla3[id_producto], 0))</f>
        <v>177.72</v>
      </c>
      <c r="M1089" s="19">
        <v>94.31</v>
      </c>
      <c r="N1089" s="11">
        <v>0</v>
      </c>
      <c r="O1089" s="17">
        <f t="shared" si="67"/>
        <v>533.16</v>
      </c>
      <c r="P1089" s="17">
        <f t="shared" si="64"/>
        <v>282.93</v>
      </c>
      <c r="Q1089" s="17">
        <f t="shared" si="65"/>
        <v>250.22999999999996</v>
      </c>
      <c r="R1089" s="24">
        <f t="shared" si="66"/>
        <v>0.46933378347963084</v>
      </c>
      <c r="S1089" t="s">
        <v>63</v>
      </c>
      <c r="T1089" t="s">
        <v>201</v>
      </c>
    </row>
    <row r="1090" spans="1:20">
      <c r="A1090" t="s">
        <v>1160</v>
      </c>
      <c r="B1090" s="5">
        <v>46007</v>
      </c>
      <c r="C1090" s="8">
        <f>YEAR(Tabla2[[#This Row],[fecha]])</f>
        <v>2025</v>
      </c>
      <c r="D1090" s="8">
        <f>MONTH(Tabla2[[#This Row],[fecha]])</f>
        <v>12</v>
      </c>
      <c r="E1090" s="8" t="str">
        <f>TEXT(Tabla2[[#This Row],[fecha]], "mmmm")</f>
        <v>diciembre</v>
      </c>
      <c r="F1090" s="8" t="str">
        <f>"T"&amp;ROUNDUP(Tabla2[[#This Row],[mes]]/3,0)</f>
        <v>T4</v>
      </c>
      <c r="G1090" t="s">
        <v>18</v>
      </c>
      <c r="H1090" t="s">
        <v>19</v>
      </c>
      <c r="I1090" s="8" t="str">
        <f>IF(Tabla2[[#This Row],[precio_unitario]]&lt;=30,"Económico",IF(Tabla2[[#This Row],[precio_unitario]]&lt;=58.49,"Accesible","Caro"))</f>
        <v>Accesible</v>
      </c>
      <c r="J1090" t="s">
        <v>17</v>
      </c>
      <c r="K1090">
        <v>2</v>
      </c>
      <c r="L1090" s="19">
        <v>47.08</v>
      </c>
      <c r="M1090" s="19">
        <v>26.17</v>
      </c>
      <c r="N1090" s="11">
        <v>0</v>
      </c>
      <c r="O1090" s="17">
        <f t="shared" si="67"/>
        <v>94.16</v>
      </c>
      <c r="P1090" s="17">
        <f t="shared" ref="P1090:P1153" si="68">M1090*K1090</f>
        <v>52.34</v>
      </c>
      <c r="Q1090" s="17">
        <f t="shared" ref="Q1090:Q1153" si="69">O1090-P1090</f>
        <v>41.819999999999993</v>
      </c>
      <c r="R1090" s="24">
        <f t="shared" ref="R1090:R1153" si="70">IFERROR(Q1090/O1090,0)</f>
        <v>0.44413763806287165</v>
      </c>
      <c r="S1090" t="s">
        <v>67</v>
      </c>
      <c r="T1090" t="s">
        <v>60</v>
      </c>
    </row>
    <row r="1091" spans="1:20" hidden="1">
      <c r="A1091" t="s">
        <v>1161</v>
      </c>
      <c r="B1091" s="5">
        <v>45727</v>
      </c>
      <c r="C1091" s="8">
        <f>YEAR(Tabla2[[#This Row],[fecha]])</f>
        <v>2025</v>
      </c>
      <c r="D1091" s="8">
        <f>MONTH(Tabla2[[#This Row],[fecha]])</f>
        <v>3</v>
      </c>
      <c r="E1091" s="8" t="str">
        <f>TEXT(Tabla2[[#This Row],[fecha]], "mmmm")</f>
        <v>marzo</v>
      </c>
      <c r="F1091" s="8" t="str">
        <f>"T"&amp;ROUNDUP(Tabla2[[#This Row],[mes]]/3,0)</f>
        <v>T1</v>
      </c>
      <c r="G1091" t="s">
        <v>20</v>
      </c>
      <c r="H1091" t="s">
        <v>21</v>
      </c>
      <c r="I1091" s="8" t="str">
        <f>IF(Tabla2[[#This Row],[precio_unitario]]&lt;=30,"Económico",IF(Tabla2[[#This Row],[precio_unitario]]&lt;=58.49,"Accesible","Caro"))</f>
        <v>Económico</v>
      </c>
      <c r="J1091" t="s">
        <v>17</v>
      </c>
      <c r="K1091">
        <v>3</v>
      </c>
      <c r="L1091" s="19">
        <v>19.920000000000002</v>
      </c>
      <c r="M1091" s="19">
        <v>12.36</v>
      </c>
      <c r="N1091" s="11">
        <v>0</v>
      </c>
      <c r="O1091" s="17">
        <f t="shared" ref="O1091:O1154" si="71">K1091*L1091*(1-N1091)</f>
        <v>59.760000000000005</v>
      </c>
      <c r="P1091" s="17">
        <f t="shared" si="68"/>
        <v>37.08</v>
      </c>
      <c r="Q1091" s="17">
        <f t="shared" si="69"/>
        <v>22.680000000000007</v>
      </c>
      <c r="R1091" s="24">
        <f t="shared" si="70"/>
        <v>0.37951807228915668</v>
      </c>
      <c r="S1091" t="s">
        <v>540</v>
      </c>
      <c r="T1091" t="s">
        <v>64</v>
      </c>
    </row>
    <row r="1092" spans="1:20">
      <c r="A1092" t="s">
        <v>1162</v>
      </c>
      <c r="B1092" s="5">
        <v>45687</v>
      </c>
      <c r="C1092" s="8">
        <f>YEAR(Tabla2[[#This Row],[fecha]])</f>
        <v>2025</v>
      </c>
      <c r="D1092" s="8">
        <f>MONTH(Tabla2[[#This Row],[fecha]])</f>
        <v>1</v>
      </c>
      <c r="E1092" s="8" t="str">
        <f>TEXT(Tabla2[[#This Row],[fecha]], "mmmm")</f>
        <v>enero</v>
      </c>
      <c r="F1092" s="8" t="str">
        <f>"T"&amp;ROUNDUP(Tabla2[[#This Row],[mes]]/3,0)</f>
        <v>T1</v>
      </c>
      <c r="G1092" t="s">
        <v>6</v>
      </c>
      <c r="H1092" t="s">
        <v>7</v>
      </c>
      <c r="I1092" s="8" t="str">
        <f>IF(Tabla2[[#This Row],[precio_unitario]]&lt;=30,"Económico",IF(Tabla2[[#This Row],[precio_unitario]]&lt;=58.49,"Accesible","Caro"))</f>
        <v>Caro</v>
      </c>
      <c r="J1092" t="s">
        <v>8</v>
      </c>
      <c r="K1092">
        <v>2</v>
      </c>
      <c r="L1092" s="19">
        <v>114.37</v>
      </c>
      <c r="M1092" s="19">
        <v>81.569999999999993</v>
      </c>
      <c r="N1092" s="11">
        <v>0.27</v>
      </c>
      <c r="O1092" s="17">
        <f t="shared" si="71"/>
        <v>166.9802</v>
      </c>
      <c r="P1092" s="17">
        <f t="shared" si="68"/>
        <v>163.13999999999999</v>
      </c>
      <c r="Q1092" s="17">
        <f t="shared" si="69"/>
        <v>3.84020000000001</v>
      </c>
      <c r="R1092" s="24">
        <f t="shared" si="70"/>
        <v>2.2997936282265864E-2</v>
      </c>
      <c r="S1092" t="s">
        <v>67</v>
      </c>
      <c r="T1092" t="s">
        <v>64</v>
      </c>
    </row>
    <row r="1093" spans="1:20" hidden="1">
      <c r="A1093" t="s">
        <v>1163</v>
      </c>
      <c r="B1093" s="5">
        <v>45914</v>
      </c>
      <c r="C1093" s="8">
        <f>YEAR(Tabla2[[#This Row],[fecha]])</f>
        <v>2025</v>
      </c>
      <c r="D1093" s="8">
        <f>MONTH(Tabla2[[#This Row],[fecha]])</f>
        <v>9</v>
      </c>
      <c r="E1093" s="8" t="str">
        <f>TEXT(Tabla2[[#This Row],[fecha]], "mmmm")</f>
        <v>septiembre</v>
      </c>
      <c r="F1093" s="8" t="str">
        <f>"T"&amp;ROUNDUP(Tabla2[[#This Row],[mes]]/3,0)</f>
        <v>T3</v>
      </c>
      <c r="G1093" t="s">
        <v>49</v>
      </c>
      <c r="H1093" t="s">
        <v>50</v>
      </c>
      <c r="I1093" s="8" t="str">
        <f>IF(Tabla2[[#This Row],[precio_unitario]]&lt;=30,"Económico",IF(Tabla2[[#This Row],[precio_unitario]]&lt;=58.49,"Accesible","Caro"))</f>
        <v>Accesible</v>
      </c>
      <c r="J1093" t="s">
        <v>44</v>
      </c>
      <c r="K1093">
        <v>2</v>
      </c>
      <c r="L1093" s="19">
        <v>56.11</v>
      </c>
      <c r="M1093" s="19">
        <v>33.4</v>
      </c>
      <c r="N1093" s="11">
        <v>0</v>
      </c>
      <c r="O1093" s="17">
        <f t="shared" si="71"/>
        <v>112.22</v>
      </c>
      <c r="P1093" s="17">
        <f t="shared" si="68"/>
        <v>66.8</v>
      </c>
      <c r="Q1093" s="17">
        <f t="shared" si="69"/>
        <v>45.42</v>
      </c>
      <c r="R1093" s="24">
        <f t="shared" si="70"/>
        <v>0.40474068793441459</v>
      </c>
      <c r="S1093" t="s">
        <v>83</v>
      </c>
      <c r="T1093" t="s">
        <v>60</v>
      </c>
    </row>
    <row r="1094" spans="1:20">
      <c r="A1094" t="s">
        <v>1164</v>
      </c>
      <c r="B1094" s="5">
        <v>45671</v>
      </c>
      <c r="C1094" s="8">
        <f>YEAR(Tabla2[[#This Row],[fecha]])</f>
        <v>2025</v>
      </c>
      <c r="D1094" s="8">
        <f>MONTH(Tabla2[[#This Row],[fecha]])</f>
        <v>1</v>
      </c>
      <c r="E1094" s="8" t="str">
        <f>TEXT(Tabla2[[#This Row],[fecha]], "mmmm")</f>
        <v>enero</v>
      </c>
      <c r="F1094" s="8" t="str">
        <f>"T"&amp;ROUNDUP(Tabla2[[#This Row],[mes]]/3,0)</f>
        <v>T1</v>
      </c>
      <c r="G1094" t="s">
        <v>38</v>
      </c>
      <c r="H1094" t="s">
        <v>39</v>
      </c>
      <c r="I1094" s="8" t="str">
        <f>IF(Tabla2[[#This Row],[precio_unitario]]&lt;=30,"Económico",IF(Tabla2[[#This Row],[precio_unitario]]&lt;=58.49,"Accesible","Caro"))</f>
        <v>Caro</v>
      </c>
      <c r="J1094" t="s">
        <v>35</v>
      </c>
      <c r="K1094">
        <v>1</v>
      </c>
      <c r="L1094" s="19">
        <v>79.959999999999994</v>
      </c>
      <c r="M1094" s="19">
        <v>43.23</v>
      </c>
      <c r="N1094" s="11">
        <v>0</v>
      </c>
      <c r="O1094" s="17">
        <f t="shared" si="71"/>
        <v>79.959999999999994</v>
      </c>
      <c r="P1094" s="17">
        <f t="shared" si="68"/>
        <v>43.23</v>
      </c>
      <c r="Q1094" s="17">
        <f t="shared" si="69"/>
        <v>36.729999999999997</v>
      </c>
      <c r="R1094" s="24">
        <f t="shared" si="70"/>
        <v>0.4593546773386693</v>
      </c>
      <c r="S1094" t="s">
        <v>67</v>
      </c>
      <c r="T1094" t="s">
        <v>64</v>
      </c>
    </row>
    <row r="1095" spans="1:20">
      <c r="A1095" t="s">
        <v>1165</v>
      </c>
      <c r="B1095" s="5">
        <v>45776</v>
      </c>
      <c r="C1095" s="8">
        <f>YEAR(Tabla2[[#This Row],[fecha]])</f>
        <v>2025</v>
      </c>
      <c r="D1095" s="8">
        <f>MONTH(Tabla2[[#This Row],[fecha]])</f>
        <v>4</v>
      </c>
      <c r="E1095" s="8" t="str">
        <f>TEXT(Tabla2[[#This Row],[fecha]], "mmmm")</f>
        <v>abril</v>
      </c>
      <c r="F1095" s="8" t="str">
        <f>"T"&amp;ROUNDUP(Tabla2[[#This Row],[mes]]/3,0)</f>
        <v>T2</v>
      </c>
      <c r="G1095" t="s">
        <v>45</v>
      </c>
      <c r="H1095" t="s">
        <v>46</v>
      </c>
      <c r="I1095" s="8" t="str">
        <f>IF(Tabla2[[#This Row],[precio_unitario]]&lt;=30,"Económico",IF(Tabla2[[#This Row],[precio_unitario]]&lt;=58.49,"Accesible","Caro"))</f>
        <v>Accesible</v>
      </c>
      <c r="J1095" t="s">
        <v>44</v>
      </c>
      <c r="K1095">
        <v>1</v>
      </c>
      <c r="L1095" s="19">
        <v>32.299999999999997</v>
      </c>
      <c r="M1095" s="19">
        <v>17.940000000000001</v>
      </c>
      <c r="N1095" s="13">
        <v>0</v>
      </c>
      <c r="O1095" s="17">
        <f t="shared" si="71"/>
        <v>32.299999999999997</v>
      </c>
      <c r="P1095" s="17">
        <f t="shared" si="68"/>
        <v>17.940000000000001</v>
      </c>
      <c r="Q1095" s="17">
        <f t="shared" si="69"/>
        <v>14.359999999999996</v>
      </c>
      <c r="R1095" s="24">
        <f t="shared" si="70"/>
        <v>0.44458204334365314</v>
      </c>
      <c r="S1095" t="s">
        <v>67</v>
      </c>
      <c r="T1095" t="s">
        <v>64</v>
      </c>
    </row>
    <row r="1096" spans="1:20" hidden="1">
      <c r="A1096" t="s">
        <v>1166</v>
      </c>
      <c r="B1096" s="5">
        <v>45513</v>
      </c>
      <c r="C1096" s="8">
        <f>YEAR(Tabla2[[#This Row],[fecha]])</f>
        <v>2024</v>
      </c>
      <c r="D1096" s="8">
        <f>MONTH(Tabla2[[#This Row],[fecha]])</f>
        <v>8</v>
      </c>
      <c r="E1096" s="8" t="str">
        <f>TEXT(Tabla2[[#This Row],[fecha]], "mmmm")</f>
        <v>agosto</v>
      </c>
      <c r="F1096" s="8" t="str">
        <f>"T"&amp;ROUNDUP(Tabla2[[#This Row],[mes]]/3,0)</f>
        <v>T3</v>
      </c>
      <c r="G1096" t="s">
        <v>9</v>
      </c>
      <c r="H1096" t="s">
        <v>10</v>
      </c>
      <c r="I1096" s="8" t="str">
        <f>IF(Tabla2[[#This Row],[precio_unitario]]&lt;=30,"Económico",IF(Tabla2[[#This Row],[precio_unitario]]&lt;=58.49,"Accesible","Caro"))</f>
        <v>Caro</v>
      </c>
      <c r="J1096" t="s">
        <v>8</v>
      </c>
      <c r="K1096">
        <v>6</v>
      </c>
      <c r="L1096" s="19">
        <v>71.400000000000006</v>
      </c>
      <c r="M1096" s="19">
        <v>45.21</v>
      </c>
      <c r="N1096" s="11">
        <v>0</v>
      </c>
      <c r="O1096" s="17">
        <f t="shared" si="71"/>
        <v>428.40000000000003</v>
      </c>
      <c r="P1096" s="17">
        <f t="shared" si="68"/>
        <v>271.26</v>
      </c>
      <c r="Q1096" s="17">
        <f t="shared" si="69"/>
        <v>157.14000000000004</v>
      </c>
      <c r="R1096" s="24">
        <f t="shared" si="70"/>
        <v>0.36680672268907571</v>
      </c>
      <c r="S1096" t="s">
        <v>67</v>
      </c>
      <c r="T1096" t="s">
        <v>60</v>
      </c>
    </row>
    <row r="1097" spans="1:20" hidden="1">
      <c r="A1097" t="s">
        <v>1167</v>
      </c>
      <c r="B1097" s="5">
        <v>45318</v>
      </c>
      <c r="C1097" s="8">
        <f>YEAR(Tabla2[[#This Row],[fecha]])</f>
        <v>2024</v>
      </c>
      <c r="D1097" s="8">
        <f>MONTH(Tabla2[[#This Row],[fecha]])</f>
        <v>1</v>
      </c>
      <c r="E1097" s="8" t="str">
        <f>TEXT(Tabla2[[#This Row],[fecha]], "mmmm")</f>
        <v>enero</v>
      </c>
      <c r="F1097" s="8" t="str">
        <f>"T"&amp;ROUNDUP(Tabla2[[#This Row],[mes]]/3,0)</f>
        <v>T1</v>
      </c>
      <c r="G1097" t="s">
        <v>6</v>
      </c>
      <c r="H1097" t="s">
        <v>7</v>
      </c>
      <c r="I1097" s="8" t="str">
        <f>IF(Tabla2[[#This Row],[precio_unitario]]&lt;=30,"Económico",IF(Tabla2[[#This Row],[precio_unitario]]&lt;=58.49,"Accesible","Caro"))</f>
        <v>Caro</v>
      </c>
      <c r="J1097" t="s">
        <v>8</v>
      </c>
      <c r="K1097">
        <v>5</v>
      </c>
      <c r="L1097" s="19">
        <v>130.62</v>
      </c>
      <c r="M1097" s="19">
        <v>85.18</v>
      </c>
      <c r="N1097" s="13">
        <v>0</v>
      </c>
      <c r="O1097" s="17">
        <f t="shared" si="71"/>
        <v>653.1</v>
      </c>
      <c r="P1097" s="17">
        <f t="shared" si="68"/>
        <v>425.90000000000003</v>
      </c>
      <c r="Q1097" s="17">
        <f t="shared" si="69"/>
        <v>227.2</v>
      </c>
      <c r="R1097" s="24">
        <f t="shared" si="70"/>
        <v>0.34787934466391057</v>
      </c>
      <c r="S1097" t="s">
        <v>101</v>
      </c>
      <c r="T1097" t="s">
        <v>60</v>
      </c>
    </row>
    <row r="1098" spans="1:20" hidden="1">
      <c r="A1098" t="s">
        <v>1168</v>
      </c>
      <c r="B1098" s="5">
        <v>45692</v>
      </c>
      <c r="C1098" s="8">
        <f>YEAR(Tabla2[[#This Row],[fecha]])</f>
        <v>2025</v>
      </c>
      <c r="D1098" s="8">
        <f>MONTH(Tabla2[[#This Row],[fecha]])</f>
        <v>2</v>
      </c>
      <c r="E1098" s="8" t="str">
        <f>TEXT(Tabla2[[#This Row],[fecha]], "mmmm")</f>
        <v>febrero</v>
      </c>
      <c r="F1098" s="8" t="str">
        <f>"T"&amp;ROUNDUP(Tabla2[[#This Row],[mes]]/3,0)</f>
        <v>T1</v>
      </c>
      <c r="G1098" t="s">
        <v>29</v>
      </c>
      <c r="H1098" t="s">
        <v>30</v>
      </c>
      <c r="I1098" s="8" t="str">
        <f>IF(Tabla2[[#This Row],[precio_unitario]]&lt;=30,"Económico",IF(Tabla2[[#This Row],[precio_unitario]]&lt;=58.49,"Accesible","Caro"))</f>
        <v>Económico</v>
      </c>
      <c r="J1098" t="s">
        <v>26</v>
      </c>
      <c r="K1098">
        <v>2</v>
      </c>
      <c r="L1098" s="19">
        <v>20.14</v>
      </c>
      <c r="M1098" s="19">
        <v>11.75</v>
      </c>
      <c r="N1098" s="11">
        <v>0.2</v>
      </c>
      <c r="O1098" s="17">
        <f t="shared" si="71"/>
        <v>32.224000000000004</v>
      </c>
      <c r="P1098" s="17">
        <f t="shared" si="68"/>
        <v>23.5</v>
      </c>
      <c r="Q1098" s="17">
        <f t="shared" si="69"/>
        <v>8.7240000000000038</v>
      </c>
      <c r="R1098" s="24">
        <f t="shared" si="70"/>
        <v>0.27072989076464754</v>
      </c>
      <c r="S1098" t="s">
        <v>63</v>
      </c>
      <c r="T1098" t="s">
        <v>64</v>
      </c>
    </row>
    <row r="1099" spans="1:20" hidden="1">
      <c r="A1099" t="s">
        <v>1169</v>
      </c>
      <c r="B1099" s="5">
        <v>45353</v>
      </c>
      <c r="C1099" s="8">
        <f>YEAR(Tabla2[[#This Row],[fecha]])</f>
        <v>2024</v>
      </c>
      <c r="D1099" s="8">
        <f>MONTH(Tabla2[[#This Row],[fecha]])</f>
        <v>3</v>
      </c>
      <c r="E1099" s="8" t="str">
        <f>TEXT(Tabla2[[#This Row],[fecha]], "mmmm")</f>
        <v>marzo</v>
      </c>
      <c r="F1099" s="8" t="str">
        <f>"T"&amp;ROUNDUP(Tabla2[[#This Row],[mes]]/3,0)</f>
        <v>T1</v>
      </c>
      <c r="G1099" t="s">
        <v>9</v>
      </c>
      <c r="H1099" t="s">
        <v>10</v>
      </c>
      <c r="I1099" s="8" t="str">
        <f>IF(Tabla2[[#This Row],[precio_unitario]]&lt;=30,"Económico",IF(Tabla2[[#This Row],[precio_unitario]]&lt;=58.49,"Accesible","Caro"))</f>
        <v>Caro</v>
      </c>
      <c r="J1099" t="s">
        <v>8</v>
      </c>
      <c r="K1099">
        <v>3</v>
      </c>
      <c r="L1099" s="19">
        <v>73.66</v>
      </c>
      <c r="M1099" s="19">
        <v>46.36</v>
      </c>
      <c r="N1099" s="11">
        <v>0</v>
      </c>
      <c r="O1099" s="17">
        <f t="shared" si="71"/>
        <v>220.98</v>
      </c>
      <c r="P1099" s="17">
        <f t="shared" si="68"/>
        <v>139.07999999999998</v>
      </c>
      <c r="Q1099" s="17">
        <f t="shared" si="69"/>
        <v>81.900000000000006</v>
      </c>
      <c r="R1099" s="24">
        <f t="shared" si="70"/>
        <v>0.37062177572631011</v>
      </c>
      <c r="S1099" t="s">
        <v>67</v>
      </c>
      <c r="T1099" t="s">
        <v>60</v>
      </c>
    </row>
    <row r="1100" spans="1:20">
      <c r="A1100" t="s">
        <v>1170</v>
      </c>
      <c r="B1100" s="5">
        <v>45976</v>
      </c>
      <c r="C1100" s="8">
        <f>YEAR(Tabla2[[#This Row],[fecha]])</f>
        <v>2025</v>
      </c>
      <c r="D1100" s="8">
        <f>MONTH(Tabla2[[#This Row],[fecha]])</f>
        <v>11</v>
      </c>
      <c r="E1100" s="8" t="str">
        <f>TEXT(Tabla2[[#This Row],[fecha]], "mmmm")</f>
        <v>noviembre</v>
      </c>
      <c r="F1100" s="8" t="str">
        <f>"T"&amp;ROUNDUP(Tabla2[[#This Row],[mes]]/3,0)</f>
        <v>T4</v>
      </c>
      <c r="G1100" t="s">
        <v>6</v>
      </c>
      <c r="H1100" t="s">
        <v>7</v>
      </c>
      <c r="I1100" s="8" t="str">
        <f>IF(Tabla2[[#This Row],[precio_unitario]]&lt;=30,"Económico",IF(Tabla2[[#This Row],[precio_unitario]]&lt;=58.49,"Accesible","Caro"))</f>
        <v>Caro</v>
      </c>
      <c r="J1100" t="s">
        <v>8</v>
      </c>
      <c r="K1100">
        <v>2</v>
      </c>
      <c r="L1100" s="19">
        <v>118.1</v>
      </c>
      <c r="M1100" s="19">
        <v>84.95</v>
      </c>
      <c r="N1100" s="11">
        <v>0</v>
      </c>
      <c r="O1100" s="17">
        <f t="shared" si="71"/>
        <v>236.2</v>
      </c>
      <c r="P1100" s="17">
        <f t="shared" si="68"/>
        <v>169.9</v>
      </c>
      <c r="Q1100" s="17">
        <f t="shared" si="69"/>
        <v>66.299999999999983</v>
      </c>
      <c r="R1100" s="24">
        <f t="shared" si="70"/>
        <v>0.28069432684165957</v>
      </c>
      <c r="S1100" t="s">
        <v>67</v>
      </c>
      <c r="T1100" t="s">
        <v>60</v>
      </c>
    </row>
    <row r="1101" spans="1:20" hidden="1">
      <c r="A1101" t="s">
        <v>1171</v>
      </c>
      <c r="B1101" s="5">
        <v>45405</v>
      </c>
      <c r="C1101" s="8">
        <f>YEAR(Tabla2[[#This Row],[fecha]])</f>
        <v>2024</v>
      </c>
      <c r="D1101" s="8">
        <f>MONTH(Tabla2[[#This Row],[fecha]])</f>
        <v>4</v>
      </c>
      <c r="E1101" s="8" t="str">
        <f>TEXT(Tabla2[[#This Row],[fecha]], "mmmm")</f>
        <v>abril</v>
      </c>
      <c r="F1101" s="8" t="str">
        <f>"T"&amp;ROUNDUP(Tabla2[[#This Row],[mes]]/3,0)</f>
        <v>T2</v>
      </c>
      <c r="G1101" t="s">
        <v>6</v>
      </c>
      <c r="H1101" t="s">
        <v>7</v>
      </c>
      <c r="I1101" s="8" t="str">
        <f>IF(Tabla2[[#This Row],[precio_unitario]]&lt;=30,"Económico",IF(Tabla2[[#This Row],[precio_unitario]]&lt;=58.49,"Accesible","Caro"))</f>
        <v>Caro</v>
      </c>
      <c r="J1101" t="s">
        <v>8</v>
      </c>
      <c r="K1101">
        <v>1</v>
      </c>
      <c r="L1101" s="19">
        <v>114.81</v>
      </c>
      <c r="M1101" s="19">
        <v>81.84</v>
      </c>
      <c r="N1101" s="13">
        <v>0</v>
      </c>
      <c r="O1101" s="17">
        <f t="shared" si="71"/>
        <v>114.81</v>
      </c>
      <c r="P1101" s="17">
        <f t="shared" si="68"/>
        <v>81.84</v>
      </c>
      <c r="Q1101" s="17">
        <f t="shared" si="69"/>
        <v>32.97</v>
      </c>
      <c r="R1101" s="24">
        <f t="shared" si="70"/>
        <v>0.28717010713352492</v>
      </c>
      <c r="S1101" t="s">
        <v>67</v>
      </c>
      <c r="T1101" t="s">
        <v>60</v>
      </c>
    </row>
    <row r="1102" spans="1:20" hidden="1">
      <c r="A1102" t="s">
        <v>1172</v>
      </c>
      <c r="B1102" s="5">
        <v>45363</v>
      </c>
      <c r="C1102" s="8">
        <f>YEAR(Tabla2[[#This Row],[fecha]])</f>
        <v>2024</v>
      </c>
      <c r="D1102" s="8">
        <f>MONTH(Tabla2[[#This Row],[fecha]])</f>
        <v>3</v>
      </c>
      <c r="E1102" s="8" t="str">
        <f>TEXT(Tabla2[[#This Row],[fecha]], "mmmm")</f>
        <v>marzo</v>
      </c>
      <c r="F1102" s="8" t="str">
        <f>"T"&amp;ROUNDUP(Tabla2[[#This Row],[mes]]/3,0)</f>
        <v>T1</v>
      </c>
      <c r="G1102" t="s">
        <v>9</v>
      </c>
      <c r="H1102" t="s">
        <v>10</v>
      </c>
      <c r="I1102" s="8" t="str">
        <f>IF(Tabla2[[#This Row],[precio_unitario]]&lt;=30,"Económico",IF(Tabla2[[#This Row],[precio_unitario]]&lt;=58.49,"Accesible","Caro"))</f>
        <v>Caro</v>
      </c>
      <c r="J1102" t="s">
        <v>8</v>
      </c>
      <c r="K1102">
        <v>1</v>
      </c>
      <c r="L1102" s="19">
        <v>78.83</v>
      </c>
      <c r="M1102" s="19">
        <v>48.11</v>
      </c>
      <c r="N1102" s="11">
        <v>0.27</v>
      </c>
      <c r="O1102" s="17">
        <f t="shared" si="71"/>
        <v>57.545899999999996</v>
      </c>
      <c r="P1102" s="17">
        <f t="shared" si="68"/>
        <v>48.11</v>
      </c>
      <c r="Q1102" s="17">
        <f t="shared" si="69"/>
        <v>9.4358999999999966</v>
      </c>
      <c r="R1102" s="24">
        <f t="shared" si="70"/>
        <v>0.16397171649066219</v>
      </c>
      <c r="S1102" t="s">
        <v>67</v>
      </c>
      <c r="T1102" t="s">
        <v>64</v>
      </c>
    </row>
    <row r="1103" spans="1:20" hidden="1">
      <c r="A1103" t="s">
        <v>1173</v>
      </c>
      <c r="B1103" s="5">
        <v>45706</v>
      </c>
      <c r="C1103" s="8">
        <f>YEAR(Tabla2[[#This Row],[fecha]])</f>
        <v>2025</v>
      </c>
      <c r="D1103" s="8">
        <f>MONTH(Tabla2[[#This Row],[fecha]])</f>
        <v>2</v>
      </c>
      <c r="E1103" s="8" t="str">
        <f>TEXT(Tabla2[[#This Row],[fecha]], "mmmm")</f>
        <v>febrero</v>
      </c>
      <c r="F1103" s="8" t="str">
        <f>"T"&amp;ROUNDUP(Tabla2[[#This Row],[mes]]/3,0)</f>
        <v>T1</v>
      </c>
      <c r="G1103" t="s">
        <v>24</v>
      </c>
      <c r="H1103" t="s">
        <v>25</v>
      </c>
      <c r="I1103" s="8" t="str">
        <f>IF(Tabla2[[#This Row],[precio_unitario]]&lt;=30,"Económico",IF(Tabla2[[#This Row],[precio_unitario]]&lt;=58.49,"Accesible","Caro"))</f>
        <v>Económico</v>
      </c>
      <c r="J1103" t="s">
        <v>26</v>
      </c>
      <c r="K1103">
        <v>2</v>
      </c>
      <c r="L1103" s="19">
        <v>7.29</v>
      </c>
      <c r="M1103" s="19">
        <v>4.28</v>
      </c>
      <c r="N1103" s="13">
        <v>0</v>
      </c>
      <c r="O1103" s="17">
        <f t="shared" si="71"/>
        <v>14.58</v>
      </c>
      <c r="P1103" s="17">
        <f t="shared" si="68"/>
        <v>8.56</v>
      </c>
      <c r="Q1103" s="17">
        <f t="shared" si="69"/>
        <v>6.02</v>
      </c>
      <c r="R1103" s="24">
        <f t="shared" si="70"/>
        <v>0.41289437585733879</v>
      </c>
      <c r="S1103" t="s">
        <v>96</v>
      </c>
      <c r="T1103" t="s">
        <v>64</v>
      </c>
    </row>
    <row r="1104" spans="1:20" hidden="1">
      <c r="A1104" t="s">
        <v>1174</v>
      </c>
      <c r="B1104" s="5">
        <v>45696</v>
      </c>
      <c r="C1104" s="8">
        <f>YEAR(Tabla2[[#This Row],[fecha]])</f>
        <v>2025</v>
      </c>
      <c r="D1104" s="8">
        <f>MONTH(Tabla2[[#This Row],[fecha]])</f>
        <v>2</v>
      </c>
      <c r="E1104" s="8" t="str">
        <f>TEXT(Tabla2[[#This Row],[fecha]], "mmmm")</f>
        <v>febrero</v>
      </c>
      <c r="F1104" s="8" t="str">
        <f>"T"&amp;ROUNDUP(Tabla2[[#This Row],[mes]]/3,0)</f>
        <v>T1</v>
      </c>
      <c r="G1104" t="s">
        <v>40</v>
      </c>
      <c r="H1104" t="s">
        <v>41</v>
      </c>
      <c r="I1104" s="8" t="str">
        <f>IF(Tabla2[[#This Row],[precio_unitario]]&lt;=30,"Económico",IF(Tabla2[[#This Row],[precio_unitario]]&lt;=58.49,"Accesible","Caro"))</f>
        <v>Caro</v>
      </c>
      <c r="J1104" t="s">
        <v>35</v>
      </c>
      <c r="K1104">
        <v>5</v>
      </c>
      <c r="L1104" s="19">
        <v>73.77</v>
      </c>
      <c r="M1104" s="19">
        <v>42.02</v>
      </c>
      <c r="N1104" s="11">
        <v>0</v>
      </c>
      <c r="O1104" s="17">
        <f t="shared" si="71"/>
        <v>368.84999999999997</v>
      </c>
      <c r="P1104" s="17">
        <f t="shared" si="68"/>
        <v>210.10000000000002</v>
      </c>
      <c r="Q1104" s="17">
        <f t="shared" si="69"/>
        <v>158.74999999999994</v>
      </c>
      <c r="R1104" s="24">
        <f t="shared" si="70"/>
        <v>0.43039175816727654</v>
      </c>
      <c r="S1104" t="s">
        <v>540</v>
      </c>
      <c r="T1104" t="s">
        <v>64</v>
      </c>
    </row>
    <row r="1105" spans="1:20" hidden="1">
      <c r="A1105" t="s">
        <v>1175</v>
      </c>
      <c r="B1105" s="5">
        <v>45652</v>
      </c>
      <c r="C1105" s="8">
        <f>YEAR(Tabla2[[#This Row],[fecha]])</f>
        <v>2024</v>
      </c>
      <c r="D1105" s="8">
        <f>MONTH(Tabla2[[#This Row],[fecha]])</f>
        <v>12</v>
      </c>
      <c r="E1105" s="8" t="str">
        <f>TEXT(Tabla2[[#This Row],[fecha]], "mmmm")</f>
        <v>diciembre</v>
      </c>
      <c r="F1105" s="8" t="str">
        <f>"T"&amp;ROUNDUP(Tabla2[[#This Row],[mes]]/3,0)</f>
        <v>T4</v>
      </c>
      <c r="G1105" t="s">
        <v>42</v>
      </c>
      <c r="H1105" t="s">
        <v>43</v>
      </c>
      <c r="I1105" s="8" t="str">
        <f>IF(Tabla2[[#This Row],[precio_unitario]]&lt;=30,"Económico",IF(Tabla2[[#This Row],[precio_unitario]]&lt;=58.49,"Accesible","Caro"))</f>
        <v>Accesible</v>
      </c>
      <c r="J1105" t="s">
        <v>44</v>
      </c>
      <c r="K1105">
        <v>7</v>
      </c>
      <c r="L1105" s="19">
        <v>46.85</v>
      </c>
      <c r="M1105" s="19">
        <v>22.11</v>
      </c>
      <c r="N1105" s="11">
        <v>0.14000000000000001</v>
      </c>
      <c r="O1105" s="17">
        <f t="shared" si="71"/>
        <v>282.03699999999998</v>
      </c>
      <c r="P1105" s="17">
        <f t="shared" si="68"/>
        <v>154.76999999999998</v>
      </c>
      <c r="Q1105" s="17">
        <f t="shared" si="69"/>
        <v>127.267</v>
      </c>
      <c r="R1105" s="24">
        <f t="shared" si="70"/>
        <v>0.45124221290114419</v>
      </c>
      <c r="S1105" t="s">
        <v>540</v>
      </c>
      <c r="T1105" t="s">
        <v>60</v>
      </c>
    </row>
    <row r="1106" spans="1:20" hidden="1">
      <c r="A1106" t="s">
        <v>1176</v>
      </c>
      <c r="B1106" s="5">
        <v>45525</v>
      </c>
      <c r="C1106" s="8">
        <f>YEAR(Tabla2[[#This Row],[fecha]])</f>
        <v>2024</v>
      </c>
      <c r="D1106" s="8">
        <f>MONTH(Tabla2[[#This Row],[fecha]])</f>
        <v>8</v>
      </c>
      <c r="E1106" s="8" t="str">
        <f>TEXT(Tabla2[[#This Row],[fecha]], "mmmm")</f>
        <v>agosto</v>
      </c>
      <c r="F1106" s="8" t="str">
        <f>"T"&amp;ROUNDUP(Tabla2[[#This Row],[mes]]/3,0)</f>
        <v>T3</v>
      </c>
      <c r="G1106" t="s">
        <v>29</v>
      </c>
      <c r="H1106" t="s">
        <v>30</v>
      </c>
      <c r="I1106" s="8" t="str">
        <f>IF(Tabla2[[#This Row],[precio_unitario]]&lt;=30,"Económico",IF(Tabla2[[#This Row],[precio_unitario]]&lt;=58.49,"Accesible","Caro"))</f>
        <v>Económico</v>
      </c>
      <c r="J1106" t="s">
        <v>26</v>
      </c>
      <c r="K1106">
        <v>11</v>
      </c>
      <c r="L1106" s="19">
        <v>20.81</v>
      </c>
      <c r="M1106" s="19">
        <v>11.87</v>
      </c>
      <c r="N1106" s="11">
        <v>0</v>
      </c>
      <c r="O1106" s="17">
        <f t="shared" si="71"/>
        <v>228.91</v>
      </c>
      <c r="P1106" s="17">
        <f t="shared" si="68"/>
        <v>130.57</v>
      </c>
      <c r="Q1106" s="17">
        <f t="shared" si="69"/>
        <v>98.34</v>
      </c>
      <c r="R1106" s="24">
        <f t="shared" si="70"/>
        <v>0.42960115329168669</v>
      </c>
      <c r="S1106" t="s">
        <v>540</v>
      </c>
      <c r="T1106" t="s">
        <v>64</v>
      </c>
    </row>
    <row r="1107" spans="1:20" hidden="1">
      <c r="A1107" t="s">
        <v>1177</v>
      </c>
      <c r="B1107" s="5">
        <v>45989</v>
      </c>
      <c r="C1107" s="8">
        <f>YEAR(Tabla2[[#This Row],[fecha]])</f>
        <v>2025</v>
      </c>
      <c r="D1107" s="8">
        <f>MONTH(Tabla2[[#This Row],[fecha]])</f>
        <v>11</v>
      </c>
      <c r="E1107" s="8" t="str">
        <f>TEXT(Tabla2[[#This Row],[fecha]], "mmmm")</f>
        <v>noviembre</v>
      </c>
      <c r="F1107" s="8" t="str">
        <f>"T"&amp;ROUNDUP(Tabla2[[#This Row],[mes]]/3,0)</f>
        <v>T4</v>
      </c>
      <c r="G1107" t="s">
        <v>20</v>
      </c>
      <c r="H1107" t="s">
        <v>21</v>
      </c>
      <c r="I1107" s="8" t="str">
        <f>IF(Tabla2[[#This Row],[precio_unitario]]&lt;=30,"Económico",IF(Tabla2[[#This Row],[precio_unitario]]&lt;=58.49,"Accesible","Caro"))</f>
        <v>Económico</v>
      </c>
      <c r="J1107" t="s">
        <v>17</v>
      </c>
      <c r="K1107">
        <v>1</v>
      </c>
      <c r="L1107" s="19">
        <v>19.899999999999999</v>
      </c>
      <c r="M1107" s="19">
        <v>13.2</v>
      </c>
      <c r="N1107" s="11">
        <v>0</v>
      </c>
      <c r="O1107" s="17">
        <f t="shared" si="71"/>
        <v>19.899999999999999</v>
      </c>
      <c r="P1107" s="17">
        <f t="shared" si="68"/>
        <v>13.2</v>
      </c>
      <c r="Q1107" s="17">
        <f t="shared" si="69"/>
        <v>6.6999999999999993</v>
      </c>
      <c r="R1107" s="24">
        <f t="shared" si="70"/>
        <v>0.33668341708542715</v>
      </c>
      <c r="S1107" t="s">
        <v>83</v>
      </c>
      <c r="T1107" t="s">
        <v>64</v>
      </c>
    </row>
    <row r="1108" spans="1:20" hidden="1">
      <c r="A1108" t="s">
        <v>1178</v>
      </c>
      <c r="B1108" s="5">
        <v>45507</v>
      </c>
      <c r="C1108" s="8">
        <f>YEAR(Tabla2[[#This Row],[fecha]])</f>
        <v>2024</v>
      </c>
      <c r="D1108" s="8">
        <f>MONTH(Tabla2[[#This Row],[fecha]])</f>
        <v>8</v>
      </c>
      <c r="E1108" s="8" t="str">
        <f>TEXT(Tabla2[[#This Row],[fecha]], "mmmm")</f>
        <v>agosto</v>
      </c>
      <c r="F1108" s="8" t="str">
        <f>"T"&amp;ROUNDUP(Tabla2[[#This Row],[mes]]/3,0)</f>
        <v>T3</v>
      </c>
      <c r="G1108" t="s">
        <v>18</v>
      </c>
      <c r="H1108" t="s">
        <v>19</v>
      </c>
      <c r="I1108" s="8" t="str">
        <f>IF(Tabla2[[#This Row],[precio_unitario]]&lt;=30,"Económico",IF(Tabla2[[#This Row],[precio_unitario]]&lt;=58.49,"Accesible","Caro"))</f>
        <v>Accesible</v>
      </c>
      <c r="J1108" t="s">
        <v>17</v>
      </c>
      <c r="K1108">
        <v>6</v>
      </c>
      <c r="L1108" s="19">
        <v>44.23</v>
      </c>
      <c r="M1108" s="19">
        <v>27.77</v>
      </c>
      <c r="N1108" s="11">
        <v>0</v>
      </c>
      <c r="O1108" s="17">
        <f t="shared" si="71"/>
        <v>265.38</v>
      </c>
      <c r="P1108" s="17">
        <f t="shared" si="68"/>
        <v>166.62</v>
      </c>
      <c r="Q1108" s="17">
        <f t="shared" si="69"/>
        <v>98.759999999999991</v>
      </c>
      <c r="R1108" s="24">
        <f t="shared" si="70"/>
        <v>0.3721456025322179</v>
      </c>
      <c r="S1108" t="s">
        <v>96</v>
      </c>
      <c r="T1108" t="s">
        <v>64</v>
      </c>
    </row>
    <row r="1109" spans="1:20" hidden="1">
      <c r="A1109" t="s">
        <v>1179</v>
      </c>
      <c r="B1109" s="5">
        <v>45665</v>
      </c>
      <c r="C1109" s="8">
        <f>YEAR(Tabla2[[#This Row],[fecha]])</f>
        <v>2025</v>
      </c>
      <c r="D1109" s="8">
        <f>MONTH(Tabla2[[#This Row],[fecha]])</f>
        <v>1</v>
      </c>
      <c r="E1109" s="8" t="str">
        <f>TEXT(Tabla2[[#This Row],[fecha]], "mmmm")</f>
        <v>enero</v>
      </c>
      <c r="F1109" s="8" t="str">
        <f>"T"&amp;ROUNDUP(Tabla2[[#This Row],[mes]]/3,0)</f>
        <v>T1</v>
      </c>
      <c r="G1109" t="s">
        <v>18</v>
      </c>
      <c r="H1109" t="s">
        <v>19</v>
      </c>
      <c r="I1109" s="8" t="str">
        <f>IF(Tabla2[[#This Row],[precio_unitario]]&lt;=30,"Económico",IF(Tabla2[[#This Row],[precio_unitario]]&lt;=58.49,"Accesible","Caro"))</f>
        <v>Accesible</v>
      </c>
      <c r="J1109" t="s">
        <v>17</v>
      </c>
      <c r="K1109">
        <v>1</v>
      </c>
      <c r="L1109" s="19">
        <v>49.83</v>
      </c>
      <c r="M1109" s="19">
        <v>26.6</v>
      </c>
      <c r="N1109" s="11">
        <v>0</v>
      </c>
      <c r="O1109" s="17">
        <f t="shared" si="71"/>
        <v>49.83</v>
      </c>
      <c r="P1109" s="17">
        <f t="shared" si="68"/>
        <v>26.6</v>
      </c>
      <c r="Q1109" s="17">
        <f t="shared" si="69"/>
        <v>23.229999999999997</v>
      </c>
      <c r="R1109" s="24">
        <f t="shared" si="70"/>
        <v>0.46618502909893633</v>
      </c>
      <c r="S1109" t="s">
        <v>96</v>
      </c>
      <c r="T1109" t="s">
        <v>60</v>
      </c>
    </row>
    <row r="1110" spans="1:20" hidden="1">
      <c r="A1110" t="s">
        <v>1180</v>
      </c>
      <c r="B1110" s="5">
        <v>45418</v>
      </c>
      <c r="C1110" s="8">
        <f>YEAR(Tabla2[[#This Row],[fecha]])</f>
        <v>2024</v>
      </c>
      <c r="D1110" s="8">
        <f>MONTH(Tabla2[[#This Row],[fecha]])</f>
        <v>5</v>
      </c>
      <c r="E1110" s="8" t="str">
        <f>TEXT(Tabla2[[#This Row],[fecha]], "mmmm")</f>
        <v>mayo</v>
      </c>
      <c r="F1110" s="8" t="str">
        <f>"T"&amp;ROUNDUP(Tabla2[[#This Row],[mes]]/3,0)</f>
        <v>T2</v>
      </c>
      <c r="G1110" t="s">
        <v>15</v>
      </c>
      <c r="H1110" t="s">
        <v>16</v>
      </c>
      <c r="I1110" s="8" t="str">
        <f>IF(Tabla2[[#This Row],[precio_unitario]]&lt;=30,"Económico",IF(Tabla2[[#This Row],[precio_unitario]]&lt;=58.49,"Accesible","Caro"))</f>
        <v>Caro</v>
      </c>
      <c r="J1110" t="s">
        <v>17</v>
      </c>
      <c r="K1110">
        <v>2</v>
      </c>
      <c r="L1110" s="19">
        <v>58.8</v>
      </c>
      <c r="M1110" s="19">
        <v>41.66</v>
      </c>
      <c r="N1110" s="11">
        <v>0</v>
      </c>
      <c r="O1110" s="17">
        <f t="shared" si="71"/>
        <v>117.6</v>
      </c>
      <c r="P1110" s="17">
        <f t="shared" si="68"/>
        <v>83.32</v>
      </c>
      <c r="Q1110" s="17">
        <f t="shared" si="69"/>
        <v>34.28</v>
      </c>
      <c r="R1110" s="24">
        <f t="shared" si="70"/>
        <v>0.29149659863945582</v>
      </c>
      <c r="S1110" t="s">
        <v>101</v>
      </c>
      <c r="T1110" t="s">
        <v>64</v>
      </c>
    </row>
    <row r="1111" spans="1:20" hidden="1">
      <c r="A1111" t="s">
        <v>1181</v>
      </c>
      <c r="B1111" s="5">
        <v>45998</v>
      </c>
      <c r="C1111" s="8">
        <f>YEAR(Tabla2[[#This Row],[fecha]])</f>
        <v>2025</v>
      </c>
      <c r="D1111" s="8">
        <f>MONTH(Tabla2[[#This Row],[fecha]])</f>
        <v>12</v>
      </c>
      <c r="E1111" s="8" t="str">
        <f>TEXT(Tabla2[[#This Row],[fecha]], "mmmm")</f>
        <v>diciembre</v>
      </c>
      <c r="F1111" s="8" t="str">
        <f>"T"&amp;ROUNDUP(Tabla2[[#This Row],[mes]]/3,0)</f>
        <v>T4</v>
      </c>
      <c r="G1111" t="s">
        <v>20</v>
      </c>
      <c r="H1111" t="s">
        <v>21</v>
      </c>
      <c r="I1111" s="8" t="str">
        <f>IF(Tabla2[[#This Row],[precio_unitario]]&lt;=30,"Económico",IF(Tabla2[[#This Row],[precio_unitario]]&lt;=58.49,"Accesible","Caro"))</f>
        <v>Económico</v>
      </c>
      <c r="J1111" t="s">
        <v>17</v>
      </c>
      <c r="K1111">
        <v>2</v>
      </c>
      <c r="L1111" s="19">
        <v>20.79</v>
      </c>
      <c r="M1111" s="19">
        <v>12.61</v>
      </c>
      <c r="N1111" s="11">
        <v>0.22</v>
      </c>
      <c r="O1111" s="17">
        <f t="shared" si="71"/>
        <v>32.432400000000001</v>
      </c>
      <c r="P1111" s="17">
        <f t="shared" si="68"/>
        <v>25.22</v>
      </c>
      <c r="Q1111" s="17">
        <f t="shared" si="69"/>
        <v>7.2124000000000024</v>
      </c>
      <c r="R1111" s="24">
        <f t="shared" si="70"/>
        <v>0.22238255571588911</v>
      </c>
      <c r="S1111" t="s">
        <v>83</v>
      </c>
      <c r="T1111" t="s">
        <v>60</v>
      </c>
    </row>
    <row r="1112" spans="1:20">
      <c r="A1112" t="s">
        <v>1182</v>
      </c>
      <c r="B1112" s="5">
        <v>45848</v>
      </c>
      <c r="C1112" s="8">
        <f>YEAR(Tabla2[[#This Row],[fecha]])</f>
        <v>2025</v>
      </c>
      <c r="D1112" s="8">
        <f>MONTH(Tabla2[[#This Row],[fecha]])</f>
        <v>7</v>
      </c>
      <c r="E1112" s="8" t="str">
        <f>TEXT(Tabla2[[#This Row],[fecha]], "mmmm")</f>
        <v>julio</v>
      </c>
      <c r="F1112" s="8" t="str">
        <f>"T"&amp;ROUNDUP(Tabla2[[#This Row],[mes]]/3,0)</f>
        <v>T3</v>
      </c>
      <c r="G1112" t="s">
        <v>36</v>
      </c>
      <c r="H1112" t="s">
        <v>37</v>
      </c>
      <c r="I1112" s="8" t="str">
        <f>IF(Tabla2[[#This Row],[precio_unitario]]&lt;=30,"Económico",IF(Tabla2[[#This Row],[precio_unitario]]&lt;=58.49,"Accesible","Caro"))</f>
        <v>Económico</v>
      </c>
      <c r="J1112" t="s">
        <v>35</v>
      </c>
      <c r="K1112">
        <v>5</v>
      </c>
      <c r="L1112" s="19">
        <v>14.3</v>
      </c>
      <c r="M1112" s="19">
        <v>9.98</v>
      </c>
      <c r="N1112" s="11">
        <v>0.11</v>
      </c>
      <c r="O1112" s="17">
        <f t="shared" si="71"/>
        <v>63.634999999999998</v>
      </c>
      <c r="P1112" s="17">
        <f t="shared" si="68"/>
        <v>49.900000000000006</v>
      </c>
      <c r="Q1112" s="17">
        <f t="shared" si="69"/>
        <v>13.734999999999992</v>
      </c>
      <c r="R1112" s="24">
        <f t="shared" si="70"/>
        <v>0.21584033943584494</v>
      </c>
      <c r="S1112" t="s">
        <v>67</v>
      </c>
      <c r="T1112" t="s">
        <v>64</v>
      </c>
    </row>
    <row r="1113" spans="1:20" hidden="1">
      <c r="A1113" t="s">
        <v>1183</v>
      </c>
      <c r="B1113" s="5">
        <v>45442</v>
      </c>
      <c r="C1113" s="8">
        <f>YEAR(Tabla2[[#This Row],[fecha]])</f>
        <v>2024</v>
      </c>
      <c r="D1113" s="8">
        <f>MONTH(Tabla2[[#This Row],[fecha]])</f>
        <v>5</v>
      </c>
      <c r="E1113" s="8" t="str">
        <f>TEXT(Tabla2[[#This Row],[fecha]], "mmmm")</f>
        <v>mayo</v>
      </c>
      <c r="F1113" s="8" t="str">
        <f>"T"&amp;ROUNDUP(Tabla2[[#This Row],[mes]]/3,0)</f>
        <v>T2</v>
      </c>
      <c r="G1113" t="s">
        <v>15</v>
      </c>
      <c r="H1113" t="s">
        <v>16</v>
      </c>
      <c r="I1113" s="8" t="str">
        <f>IF(Tabla2[[#This Row],[precio_unitario]]&lt;=30,"Económico",IF(Tabla2[[#This Row],[precio_unitario]]&lt;=58.49,"Accesible","Caro"))</f>
        <v>Caro</v>
      </c>
      <c r="J1113" t="s">
        <v>17</v>
      </c>
      <c r="K1113">
        <v>1</v>
      </c>
      <c r="L1113" s="19">
        <v>63.02</v>
      </c>
      <c r="M1113" s="19">
        <v>41.51</v>
      </c>
      <c r="N1113" s="13">
        <v>0</v>
      </c>
      <c r="O1113" s="17">
        <f t="shared" si="71"/>
        <v>63.02</v>
      </c>
      <c r="P1113" s="17">
        <f t="shared" si="68"/>
        <v>41.51</v>
      </c>
      <c r="Q1113" s="17">
        <f t="shared" si="69"/>
        <v>21.510000000000005</v>
      </c>
      <c r="R1113" s="24">
        <f t="shared" si="70"/>
        <v>0.34132021580450655</v>
      </c>
      <c r="S1113" t="s">
        <v>83</v>
      </c>
      <c r="T1113" t="s">
        <v>64</v>
      </c>
    </row>
    <row r="1114" spans="1:20" hidden="1">
      <c r="A1114" t="s">
        <v>1184</v>
      </c>
      <c r="B1114" s="5">
        <v>45441</v>
      </c>
      <c r="C1114" s="8">
        <f>YEAR(Tabla2[[#This Row],[fecha]])</f>
        <v>2024</v>
      </c>
      <c r="D1114" s="8">
        <f>MONTH(Tabla2[[#This Row],[fecha]])</f>
        <v>5</v>
      </c>
      <c r="E1114" s="8" t="str">
        <f>TEXT(Tabla2[[#This Row],[fecha]], "mmmm")</f>
        <v>mayo</v>
      </c>
      <c r="F1114" s="8" t="str">
        <f>"T"&amp;ROUNDUP(Tabla2[[#This Row],[mes]]/3,0)</f>
        <v>T2</v>
      </c>
      <c r="G1114" t="s">
        <v>29</v>
      </c>
      <c r="H1114" t="s">
        <v>30</v>
      </c>
      <c r="I1114" s="8" t="str">
        <f>IF(Tabla2[[#This Row],[precio_unitario]]&lt;=30,"Económico",IF(Tabla2[[#This Row],[precio_unitario]]&lt;=58.49,"Accesible","Caro"))</f>
        <v>Económico</v>
      </c>
      <c r="J1114" t="s">
        <v>26</v>
      </c>
      <c r="K1114">
        <v>1</v>
      </c>
      <c r="L1114" s="19">
        <v>20.46</v>
      </c>
      <c r="M1114" s="21">
        <f>INDEX(Tabla3[coste_objetivo], MATCH(Tabla2[[#This Row],[id_producto]], Tabla3[id_producto],0))</f>
        <v>11.4</v>
      </c>
      <c r="N1114" s="11">
        <v>0</v>
      </c>
      <c r="O1114" s="17">
        <f t="shared" si="71"/>
        <v>20.46</v>
      </c>
      <c r="P1114" s="17">
        <f t="shared" si="68"/>
        <v>11.4</v>
      </c>
      <c r="Q1114" s="17">
        <f t="shared" si="69"/>
        <v>9.06</v>
      </c>
      <c r="R1114" s="24">
        <f t="shared" si="70"/>
        <v>0.44281524926686217</v>
      </c>
      <c r="S1114" t="s">
        <v>96</v>
      </c>
      <c r="T1114" t="s">
        <v>64</v>
      </c>
    </row>
    <row r="1115" spans="1:20">
      <c r="A1115" t="s">
        <v>1185</v>
      </c>
      <c r="B1115" s="5">
        <v>45841</v>
      </c>
      <c r="C1115" s="8">
        <f>YEAR(Tabla2[[#This Row],[fecha]])</f>
        <v>2025</v>
      </c>
      <c r="D1115" s="8">
        <f>MONTH(Tabla2[[#This Row],[fecha]])</f>
        <v>7</v>
      </c>
      <c r="E1115" s="8" t="str">
        <f>TEXT(Tabla2[[#This Row],[fecha]], "mmmm")</f>
        <v>julio</v>
      </c>
      <c r="F1115" s="8" t="str">
        <f>"T"&amp;ROUNDUP(Tabla2[[#This Row],[mes]]/3,0)</f>
        <v>T3</v>
      </c>
      <c r="G1115" t="s">
        <v>15</v>
      </c>
      <c r="H1115" t="s">
        <v>16</v>
      </c>
      <c r="I1115" s="8" t="str">
        <f>IF(Tabla2[[#This Row],[precio_unitario]]&lt;=30,"Económico",IF(Tabla2[[#This Row],[precio_unitario]]&lt;=58.49,"Accesible","Caro"))</f>
        <v>Caro</v>
      </c>
      <c r="J1115" t="s">
        <v>17</v>
      </c>
      <c r="K1115">
        <v>6</v>
      </c>
      <c r="L1115" s="19">
        <v>61.04</v>
      </c>
      <c r="M1115" s="19">
        <v>40.39</v>
      </c>
      <c r="N1115" s="11">
        <v>0</v>
      </c>
      <c r="O1115" s="17">
        <f t="shared" si="71"/>
        <v>366.24</v>
      </c>
      <c r="P1115" s="17">
        <f t="shared" si="68"/>
        <v>242.34</v>
      </c>
      <c r="Q1115" s="17">
        <f t="shared" si="69"/>
        <v>123.9</v>
      </c>
      <c r="R1115" s="24">
        <f t="shared" si="70"/>
        <v>0.33830275229357798</v>
      </c>
      <c r="S1115" t="s">
        <v>67</v>
      </c>
      <c r="T1115" t="s">
        <v>64</v>
      </c>
    </row>
    <row r="1116" spans="1:20">
      <c r="A1116" t="s">
        <v>1186</v>
      </c>
      <c r="B1116" s="5">
        <v>45894</v>
      </c>
      <c r="C1116" s="8">
        <f>YEAR(Tabla2[[#This Row],[fecha]])</f>
        <v>2025</v>
      </c>
      <c r="D1116" s="8">
        <f>MONTH(Tabla2[[#This Row],[fecha]])</f>
        <v>8</v>
      </c>
      <c r="E1116" s="8" t="str">
        <f>TEXT(Tabla2[[#This Row],[fecha]], "mmmm")</f>
        <v>agosto</v>
      </c>
      <c r="F1116" s="8" t="str">
        <f>"T"&amp;ROUNDUP(Tabla2[[#This Row],[mes]]/3,0)</f>
        <v>T3</v>
      </c>
      <c r="G1116" t="s">
        <v>33</v>
      </c>
      <c r="H1116" t="s">
        <v>34</v>
      </c>
      <c r="I1116" s="8" t="str">
        <f>IF(Tabla2[[#This Row],[precio_unitario]]&lt;=30,"Económico",IF(Tabla2[[#This Row],[precio_unitario]]&lt;=58.49,"Accesible","Caro"))</f>
        <v>Caro</v>
      </c>
      <c r="J1116" t="s">
        <v>35</v>
      </c>
      <c r="K1116">
        <v>1</v>
      </c>
      <c r="L1116" s="19">
        <v>80.55</v>
      </c>
      <c r="M1116" s="19">
        <v>46.84</v>
      </c>
      <c r="N1116" s="11">
        <v>0</v>
      </c>
      <c r="O1116" s="17">
        <f t="shared" si="71"/>
        <v>80.55</v>
      </c>
      <c r="P1116" s="17">
        <f t="shared" si="68"/>
        <v>46.84</v>
      </c>
      <c r="Q1116" s="17">
        <f t="shared" si="69"/>
        <v>33.709999999999994</v>
      </c>
      <c r="R1116" s="24">
        <f t="shared" si="70"/>
        <v>0.41849782743637487</v>
      </c>
      <c r="S1116" t="s">
        <v>67</v>
      </c>
      <c r="T1116" t="s">
        <v>64</v>
      </c>
    </row>
    <row r="1117" spans="1:20">
      <c r="A1117" t="s">
        <v>1187</v>
      </c>
      <c r="B1117" s="5">
        <v>45797</v>
      </c>
      <c r="C1117" s="8">
        <f>YEAR(Tabla2[[#This Row],[fecha]])</f>
        <v>2025</v>
      </c>
      <c r="D1117" s="8">
        <f>MONTH(Tabla2[[#This Row],[fecha]])</f>
        <v>5</v>
      </c>
      <c r="E1117" s="8" t="str">
        <f>TEXT(Tabla2[[#This Row],[fecha]], "mmmm")</f>
        <v>mayo</v>
      </c>
      <c r="F1117" s="8" t="str">
        <f>"T"&amp;ROUNDUP(Tabla2[[#This Row],[mes]]/3,0)</f>
        <v>T2</v>
      </c>
      <c r="G1117" t="s">
        <v>13</v>
      </c>
      <c r="H1117" t="s">
        <v>14</v>
      </c>
      <c r="I1117" s="8" t="str">
        <f>IF(Tabla2[[#This Row],[precio_unitario]]&lt;=30,"Económico",IF(Tabla2[[#This Row],[precio_unitario]]&lt;=58.49,"Accesible","Caro"))</f>
        <v>Caro</v>
      </c>
      <c r="J1117" t="s">
        <v>8</v>
      </c>
      <c r="K1117">
        <v>11</v>
      </c>
      <c r="L1117" s="19">
        <v>168.24</v>
      </c>
      <c r="M1117" s="19">
        <v>107.28</v>
      </c>
      <c r="N1117" s="11">
        <v>0</v>
      </c>
      <c r="O1117" s="17">
        <f t="shared" si="71"/>
        <v>1850.64</v>
      </c>
      <c r="P1117" s="17">
        <f t="shared" si="68"/>
        <v>1180.08</v>
      </c>
      <c r="Q1117" s="17">
        <f t="shared" si="69"/>
        <v>670.56000000000017</v>
      </c>
      <c r="R1117" s="24">
        <f t="shared" si="70"/>
        <v>0.36233951497860206</v>
      </c>
      <c r="S1117" t="s">
        <v>67</v>
      </c>
      <c r="T1117" t="s">
        <v>60</v>
      </c>
    </row>
    <row r="1118" spans="1:20" hidden="1">
      <c r="A1118" t="s">
        <v>1188</v>
      </c>
      <c r="B1118" s="5">
        <v>45479</v>
      </c>
      <c r="C1118" s="8">
        <f>YEAR(Tabla2[[#This Row],[fecha]])</f>
        <v>2024</v>
      </c>
      <c r="D1118" s="8">
        <f>MONTH(Tabla2[[#This Row],[fecha]])</f>
        <v>7</v>
      </c>
      <c r="E1118" s="8" t="str">
        <f>TEXT(Tabla2[[#This Row],[fecha]], "mmmm")</f>
        <v>julio</v>
      </c>
      <c r="F1118" s="8" t="str">
        <f>"T"&amp;ROUNDUP(Tabla2[[#This Row],[mes]]/3,0)</f>
        <v>T3</v>
      </c>
      <c r="G1118" t="s">
        <v>38</v>
      </c>
      <c r="H1118" t="s">
        <v>39</v>
      </c>
      <c r="I1118" s="8" t="str">
        <f>IF(Tabla2[[#This Row],[precio_unitario]]&lt;=30,"Económico",IF(Tabla2[[#This Row],[precio_unitario]]&lt;=58.49,"Accesible","Caro"))</f>
        <v>Caro</v>
      </c>
      <c r="J1118" t="s">
        <v>35</v>
      </c>
      <c r="K1118">
        <v>2</v>
      </c>
      <c r="L1118" s="19">
        <v>83.43</v>
      </c>
      <c r="M1118" s="19">
        <v>42.88</v>
      </c>
      <c r="N1118" s="11">
        <v>0</v>
      </c>
      <c r="O1118" s="17">
        <f t="shared" si="71"/>
        <v>166.86</v>
      </c>
      <c r="P1118" s="17">
        <f t="shared" si="68"/>
        <v>85.76</v>
      </c>
      <c r="Q1118" s="17">
        <f t="shared" si="69"/>
        <v>81.100000000000009</v>
      </c>
      <c r="R1118" s="24">
        <f t="shared" si="70"/>
        <v>0.48603619801030806</v>
      </c>
      <c r="S1118" t="s">
        <v>540</v>
      </c>
      <c r="T1118" t="s">
        <v>496</v>
      </c>
    </row>
    <row r="1119" spans="1:20" hidden="1">
      <c r="A1119" t="s">
        <v>1189</v>
      </c>
      <c r="B1119" s="5">
        <v>45383</v>
      </c>
      <c r="C1119" s="8">
        <f>YEAR(Tabla2[[#This Row],[fecha]])</f>
        <v>2024</v>
      </c>
      <c r="D1119" s="8">
        <f>MONTH(Tabla2[[#This Row],[fecha]])</f>
        <v>4</v>
      </c>
      <c r="E1119" s="8" t="str">
        <f>TEXT(Tabla2[[#This Row],[fecha]], "mmmm")</f>
        <v>abril</v>
      </c>
      <c r="F1119" s="8" t="str">
        <f>"T"&amp;ROUNDUP(Tabla2[[#This Row],[mes]]/3,0)</f>
        <v>T2</v>
      </c>
      <c r="G1119" t="s">
        <v>38</v>
      </c>
      <c r="H1119" t="s">
        <v>39</v>
      </c>
      <c r="I1119" s="8" t="str">
        <f>IF(Tabla2[[#This Row],[precio_unitario]]&lt;=30,"Económico",IF(Tabla2[[#This Row],[precio_unitario]]&lt;=58.49,"Accesible","Caro"))</f>
        <v>Caro</v>
      </c>
      <c r="J1119" t="s">
        <v>35</v>
      </c>
      <c r="K1119">
        <v>3</v>
      </c>
      <c r="L1119" s="19">
        <v>76.36</v>
      </c>
      <c r="M1119" s="19">
        <v>44.72</v>
      </c>
      <c r="N1119" s="11">
        <v>0</v>
      </c>
      <c r="O1119" s="17">
        <f t="shared" si="71"/>
        <v>229.07999999999998</v>
      </c>
      <c r="P1119" s="17">
        <f t="shared" si="68"/>
        <v>134.16</v>
      </c>
      <c r="Q1119" s="17">
        <f t="shared" si="69"/>
        <v>94.919999999999987</v>
      </c>
      <c r="R1119" s="24">
        <f t="shared" si="70"/>
        <v>0.41435306443163955</v>
      </c>
      <c r="S1119" t="s">
        <v>96</v>
      </c>
      <c r="T1119" t="s">
        <v>60</v>
      </c>
    </row>
    <row r="1120" spans="1:20" hidden="1">
      <c r="A1120" t="s">
        <v>1190</v>
      </c>
      <c r="B1120" s="5">
        <v>45700</v>
      </c>
      <c r="C1120" s="8">
        <f>YEAR(Tabla2[[#This Row],[fecha]])</f>
        <v>2025</v>
      </c>
      <c r="D1120" s="8">
        <f>MONTH(Tabla2[[#This Row],[fecha]])</f>
        <v>2</v>
      </c>
      <c r="E1120" s="8" t="str">
        <f>TEXT(Tabla2[[#This Row],[fecha]], "mmmm")</f>
        <v>febrero</v>
      </c>
      <c r="F1120" s="8" t="str">
        <f>"T"&amp;ROUNDUP(Tabla2[[#This Row],[mes]]/3,0)</f>
        <v>T1</v>
      </c>
      <c r="G1120" t="s">
        <v>47</v>
      </c>
      <c r="H1120" t="s">
        <v>48</v>
      </c>
      <c r="I1120" s="8" t="str">
        <f>IF(Tabla2[[#This Row],[precio_unitario]]&lt;=30,"Económico",IF(Tabla2[[#This Row],[precio_unitario]]&lt;=58.49,"Accesible","Caro"))</f>
        <v>Accesible</v>
      </c>
      <c r="J1120" t="s">
        <v>44</v>
      </c>
      <c r="K1120">
        <v>9</v>
      </c>
      <c r="L1120" s="19">
        <v>57.98</v>
      </c>
      <c r="M1120" s="19">
        <v>32.58</v>
      </c>
      <c r="N1120" s="13">
        <v>0</v>
      </c>
      <c r="O1120" s="17">
        <f t="shared" si="71"/>
        <v>521.81999999999994</v>
      </c>
      <c r="P1120" s="17">
        <f t="shared" si="68"/>
        <v>293.21999999999997</v>
      </c>
      <c r="Q1120" s="17">
        <f t="shared" si="69"/>
        <v>228.59999999999997</v>
      </c>
      <c r="R1120" s="24">
        <f t="shared" si="70"/>
        <v>0.43808209727492237</v>
      </c>
      <c r="S1120" t="s">
        <v>96</v>
      </c>
      <c r="T1120" t="s">
        <v>60</v>
      </c>
    </row>
    <row r="1121" spans="1:20">
      <c r="A1121" t="s">
        <v>1191</v>
      </c>
      <c r="B1121" s="5">
        <v>45818</v>
      </c>
      <c r="C1121" s="8">
        <f>YEAR(Tabla2[[#This Row],[fecha]])</f>
        <v>2025</v>
      </c>
      <c r="D1121" s="8">
        <f>MONTH(Tabla2[[#This Row],[fecha]])</f>
        <v>6</v>
      </c>
      <c r="E1121" s="8" t="str">
        <f>TEXT(Tabla2[[#This Row],[fecha]], "mmmm")</f>
        <v>junio</v>
      </c>
      <c r="F1121" s="8" t="str">
        <f>"T"&amp;ROUNDUP(Tabla2[[#This Row],[mes]]/3,0)</f>
        <v>T2</v>
      </c>
      <c r="G1121" t="s">
        <v>13</v>
      </c>
      <c r="H1121" t="s">
        <v>14</v>
      </c>
      <c r="I1121" s="8" t="str">
        <f>IF(Tabla2[[#This Row],[precio_unitario]]&lt;=30,"Económico",IF(Tabla2[[#This Row],[precio_unitario]]&lt;=58.49,"Accesible","Caro"))</f>
        <v>Caro</v>
      </c>
      <c r="J1121" t="s">
        <v>8</v>
      </c>
      <c r="K1121">
        <v>3</v>
      </c>
      <c r="L1121" s="19">
        <v>153.46</v>
      </c>
      <c r="M1121" s="19">
        <v>106.88</v>
      </c>
      <c r="N1121" s="11">
        <v>0</v>
      </c>
      <c r="O1121" s="17">
        <f t="shared" si="71"/>
        <v>460.38</v>
      </c>
      <c r="P1121" s="17">
        <f t="shared" si="68"/>
        <v>320.64</v>
      </c>
      <c r="Q1121" s="17">
        <f t="shared" si="69"/>
        <v>139.74</v>
      </c>
      <c r="R1121" s="24">
        <f t="shared" si="70"/>
        <v>0.30353186498110257</v>
      </c>
      <c r="S1121" t="s">
        <v>67</v>
      </c>
      <c r="T1121" t="s">
        <v>64</v>
      </c>
    </row>
    <row r="1122" spans="1:20" hidden="1">
      <c r="A1122" t="s">
        <v>1192</v>
      </c>
      <c r="B1122" s="5">
        <v>45471</v>
      </c>
      <c r="C1122" s="8">
        <f>YEAR(Tabla2[[#This Row],[fecha]])</f>
        <v>2024</v>
      </c>
      <c r="D1122" s="8">
        <f>MONTH(Tabla2[[#This Row],[fecha]])</f>
        <v>6</v>
      </c>
      <c r="E1122" s="8" t="str">
        <f>TEXT(Tabla2[[#This Row],[fecha]], "mmmm")</f>
        <v>junio</v>
      </c>
      <c r="F1122" s="8" t="str">
        <f>"T"&amp;ROUNDUP(Tabla2[[#This Row],[mes]]/3,0)</f>
        <v>T2</v>
      </c>
      <c r="G1122" t="s">
        <v>36</v>
      </c>
      <c r="H1122" t="s">
        <v>37</v>
      </c>
      <c r="I1122" s="8" t="str">
        <f>IF(Tabla2[[#This Row],[precio_unitario]]&lt;=30,"Económico",IF(Tabla2[[#This Row],[precio_unitario]]&lt;=58.49,"Accesible","Caro"))</f>
        <v>Económico</v>
      </c>
      <c r="J1122" t="s">
        <v>35</v>
      </c>
      <c r="K1122">
        <v>1</v>
      </c>
      <c r="L1122" s="19">
        <v>14.47</v>
      </c>
      <c r="M1122" s="19">
        <v>9.44</v>
      </c>
      <c r="N1122" s="11">
        <v>0</v>
      </c>
      <c r="O1122" s="17">
        <f t="shared" si="71"/>
        <v>14.47</v>
      </c>
      <c r="P1122" s="17">
        <f t="shared" si="68"/>
        <v>9.44</v>
      </c>
      <c r="Q1122" s="17">
        <f t="shared" si="69"/>
        <v>5.0300000000000011</v>
      </c>
      <c r="R1122" s="24">
        <f t="shared" si="70"/>
        <v>0.34761575673807887</v>
      </c>
      <c r="S1122" t="s">
        <v>67</v>
      </c>
      <c r="T1122" t="s">
        <v>133</v>
      </c>
    </row>
    <row r="1123" spans="1:20" hidden="1">
      <c r="A1123" t="s">
        <v>1193</v>
      </c>
      <c r="B1123" s="5">
        <v>45822</v>
      </c>
      <c r="C1123" s="8">
        <f>YEAR(Tabla2[[#This Row],[fecha]])</f>
        <v>2025</v>
      </c>
      <c r="D1123" s="8">
        <f>MONTH(Tabla2[[#This Row],[fecha]])</f>
        <v>6</v>
      </c>
      <c r="E1123" s="8" t="str">
        <f>TEXT(Tabla2[[#This Row],[fecha]], "mmmm")</f>
        <v>junio</v>
      </c>
      <c r="F1123" s="8" t="str">
        <f>"T"&amp;ROUNDUP(Tabla2[[#This Row],[mes]]/3,0)</f>
        <v>T2</v>
      </c>
      <c r="G1123" t="s">
        <v>22</v>
      </c>
      <c r="H1123" t="s">
        <v>23</v>
      </c>
      <c r="I1123" s="8" t="str">
        <f>IF(Tabla2[[#This Row],[precio_unitario]]&lt;=30,"Económico",IF(Tabla2[[#This Row],[precio_unitario]]&lt;=58.49,"Accesible","Caro"))</f>
        <v>Caro</v>
      </c>
      <c r="J1123" t="s">
        <v>17</v>
      </c>
      <c r="K1123">
        <v>2</v>
      </c>
      <c r="L1123" s="19">
        <v>105.86</v>
      </c>
      <c r="M1123" s="19">
        <v>55.23</v>
      </c>
      <c r="N1123" s="11">
        <v>0</v>
      </c>
      <c r="O1123" s="17">
        <f t="shared" si="71"/>
        <v>211.72</v>
      </c>
      <c r="P1123" s="17">
        <f t="shared" si="68"/>
        <v>110.46</v>
      </c>
      <c r="Q1123" s="17">
        <f t="shared" si="69"/>
        <v>101.26</v>
      </c>
      <c r="R1123" s="24">
        <f t="shared" si="70"/>
        <v>0.47827319100699039</v>
      </c>
      <c r="S1123" t="s">
        <v>101</v>
      </c>
      <c r="T1123" t="s">
        <v>64</v>
      </c>
    </row>
    <row r="1124" spans="1:20" hidden="1">
      <c r="A1124" t="s">
        <v>1194</v>
      </c>
      <c r="B1124" s="5">
        <v>45327</v>
      </c>
      <c r="C1124" s="8">
        <f>YEAR(Tabla2[[#This Row],[fecha]])</f>
        <v>2024</v>
      </c>
      <c r="D1124" s="8">
        <f>MONTH(Tabla2[[#This Row],[fecha]])</f>
        <v>2</v>
      </c>
      <c r="E1124" s="8" t="str">
        <f>TEXT(Tabla2[[#This Row],[fecha]], "mmmm")</f>
        <v>febrero</v>
      </c>
      <c r="F1124" s="8" t="str">
        <f>"T"&amp;ROUNDUP(Tabla2[[#This Row],[mes]]/3,0)</f>
        <v>T1</v>
      </c>
      <c r="G1124" t="s">
        <v>36</v>
      </c>
      <c r="H1124" t="s">
        <v>37</v>
      </c>
      <c r="I1124" s="8" t="str">
        <f>IF(Tabla2[[#This Row],[precio_unitario]]&lt;=30,"Económico",IF(Tabla2[[#This Row],[precio_unitario]]&lt;=58.49,"Accesible","Caro"))</f>
        <v>Económico</v>
      </c>
      <c r="J1124" t="s">
        <v>35</v>
      </c>
      <c r="K1124">
        <v>3</v>
      </c>
      <c r="L1124" s="19">
        <v>13.7</v>
      </c>
      <c r="M1124" s="21">
        <f>INDEX(Tabla3[coste_objetivo], MATCH(Tabla2[[#This Row],[id_producto]], Tabla3[id_producto],0))</f>
        <v>9.58</v>
      </c>
      <c r="N1124" s="11">
        <v>0</v>
      </c>
      <c r="O1124" s="17">
        <f t="shared" si="71"/>
        <v>41.099999999999994</v>
      </c>
      <c r="P1124" s="17">
        <f t="shared" si="68"/>
        <v>28.740000000000002</v>
      </c>
      <c r="Q1124" s="17">
        <f t="shared" si="69"/>
        <v>12.359999999999992</v>
      </c>
      <c r="R1124" s="24">
        <f t="shared" si="70"/>
        <v>0.30072992700729911</v>
      </c>
      <c r="S1124" t="s">
        <v>63</v>
      </c>
      <c r="T1124" t="s">
        <v>64</v>
      </c>
    </row>
    <row r="1125" spans="1:20" hidden="1">
      <c r="A1125" t="s">
        <v>1195</v>
      </c>
      <c r="B1125" s="5">
        <v>45784</v>
      </c>
      <c r="C1125" s="8">
        <f>YEAR(Tabla2[[#This Row],[fecha]])</f>
        <v>2025</v>
      </c>
      <c r="D1125" s="8">
        <f>MONTH(Tabla2[[#This Row],[fecha]])</f>
        <v>5</v>
      </c>
      <c r="E1125" s="8" t="str">
        <f>TEXT(Tabla2[[#This Row],[fecha]], "mmmm")</f>
        <v>mayo</v>
      </c>
      <c r="F1125" s="8" t="str">
        <f>"T"&amp;ROUNDUP(Tabla2[[#This Row],[mes]]/3,0)</f>
        <v>T2</v>
      </c>
      <c r="G1125" t="s">
        <v>33</v>
      </c>
      <c r="H1125" t="s">
        <v>34</v>
      </c>
      <c r="I1125" s="8" t="str">
        <f>IF(Tabla2[[#This Row],[precio_unitario]]&lt;=30,"Económico",IF(Tabla2[[#This Row],[precio_unitario]]&lt;=58.49,"Accesible","Caro"))</f>
        <v>Caro</v>
      </c>
      <c r="J1125" t="s">
        <v>35</v>
      </c>
      <c r="K1125">
        <v>1</v>
      </c>
      <c r="L1125" s="19">
        <v>72.790000000000006</v>
      </c>
      <c r="M1125" s="19">
        <v>48.07</v>
      </c>
      <c r="N1125" s="11">
        <v>0</v>
      </c>
      <c r="O1125" s="17">
        <f t="shared" si="71"/>
        <v>72.790000000000006</v>
      </c>
      <c r="P1125" s="17">
        <f t="shared" si="68"/>
        <v>48.07</v>
      </c>
      <c r="Q1125" s="17">
        <f t="shared" si="69"/>
        <v>24.720000000000006</v>
      </c>
      <c r="R1125" s="24">
        <f t="shared" si="70"/>
        <v>0.33960708888583602</v>
      </c>
      <c r="S1125" t="s">
        <v>63</v>
      </c>
      <c r="T1125" t="s">
        <v>64</v>
      </c>
    </row>
    <row r="1126" spans="1:20" hidden="1">
      <c r="A1126" t="s">
        <v>1196</v>
      </c>
      <c r="B1126" s="5">
        <v>45456</v>
      </c>
      <c r="C1126" s="8">
        <f>YEAR(Tabla2[[#This Row],[fecha]])</f>
        <v>2024</v>
      </c>
      <c r="D1126" s="8">
        <f>MONTH(Tabla2[[#This Row],[fecha]])</f>
        <v>6</v>
      </c>
      <c r="E1126" s="8" t="str">
        <f>TEXT(Tabla2[[#This Row],[fecha]], "mmmm")</f>
        <v>junio</v>
      </c>
      <c r="F1126" s="8" t="str">
        <f>"T"&amp;ROUNDUP(Tabla2[[#This Row],[mes]]/3,0)</f>
        <v>T2</v>
      </c>
      <c r="G1126" t="s">
        <v>6</v>
      </c>
      <c r="H1126" t="s">
        <v>7</v>
      </c>
      <c r="I1126" s="8" t="str">
        <f>IF(Tabla2[[#This Row],[precio_unitario]]&lt;=30,"Económico",IF(Tabla2[[#This Row],[precio_unitario]]&lt;=58.49,"Accesible","Caro"))</f>
        <v>Caro</v>
      </c>
      <c r="J1126" t="s">
        <v>8</v>
      </c>
      <c r="K1126">
        <v>2</v>
      </c>
      <c r="L1126" s="19">
        <v>126.47</v>
      </c>
      <c r="M1126" s="19">
        <v>85.71</v>
      </c>
      <c r="N1126" s="11">
        <v>0</v>
      </c>
      <c r="O1126" s="17">
        <f t="shared" si="71"/>
        <v>252.94</v>
      </c>
      <c r="P1126" s="17">
        <f t="shared" si="68"/>
        <v>171.42</v>
      </c>
      <c r="Q1126" s="17">
        <f t="shared" si="69"/>
        <v>81.52000000000001</v>
      </c>
      <c r="R1126" s="24">
        <f t="shared" si="70"/>
        <v>0.32228987111567964</v>
      </c>
      <c r="S1126" t="s">
        <v>101</v>
      </c>
      <c r="T1126" t="s">
        <v>60</v>
      </c>
    </row>
    <row r="1127" spans="1:20">
      <c r="A1127" t="s">
        <v>1197</v>
      </c>
      <c r="B1127" s="5">
        <v>45707</v>
      </c>
      <c r="C1127" s="8">
        <f>YEAR(Tabla2[[#This Row],[fecha]])</f>
        <v>2025</v>
      </c>
      <c r="D1127" s="8">
        <f>MONTH(Tabla2[[#This Row],[fecha]])</f>
        <v>2</v>
      </c>
      <c r="E1127" s="8" t="str">
        <f>TEXT(Tabla2[[#This Row],[fecha]], "mmmm")</f>
        <v>febrero</v>
      </c>
      <c r="F1127" s="8" t="str">
        <f>"T"&amp;ROUNDUP(Tabla2[[#This Row],[mes]]/3,0)</f>
        <v>T1</v>
      </c>
      <c r="G1127" t="s">
        <v>42</v>
      </c>
      <c r="H1127" t="s">
        <v>43</v>
      </c>
      <c r="I1127" s="8" t="str">
        <f>IF(Tabla2[[#This Row],[precio_unitario]]&lt;=30,"Económico",IF(Tabla2[[#This Row],[precio_unitario]]&lt;=58.49,"Accesible","Caro"))</f>
        <v>Accesible</v>
      </c>
      <c r="J1127" t="s">
        <v>44</v>
      </c>
      <c r="K1127">
        <v>2</v>
      </c>
      <c r="L1127" s="19">
        <v>52.75</v>
      </c>
      <c r="M1127" s="19">
        <v>22.02</v>
      </c>
      <c r="N1127" s="11">
        <v>0</v>
      </c>
      <c r="O1127" s="17">
        <f t="shared" si="71"/>
        <v>105.5</v>
      </c>
      <c r="P1127" s="17">
        <f t="shared" si="68"/>
        <v>44.04</v>
      </c>
      <c r="Q1127" s="17">
        <f t="shared" si="69"/>
        <v>61.46</v>
      </c>
      <c r="R1127" s="24">
        <f t="shared" si="70"/>
        <v>0.58255924170616113</v>
      </c>
      <c r="S1127" t="s">
        <v>67</v>
      </c>
      <c r="T1127" t="s">
        <v>60</v>
      </c>
    </row>
    <row r="1128" spans="1:20" hidden="1">
      <c r="A1128" t="s">
        <v>1198</v>
      </c>
      <c r="B1128" s="5">
        <v>45599</v>
      </c>
      <c r="C1128" s="8">
        <f>YEAR(Tabla2[[#This Row],[fecha]])</f>
        <v>2024</v>
      </c>
      <c r="D1128" s="8">
        <f>MONTH(Tabla2[[#This Row],[fecha]])</f>
        <v>11</v>
      </c>
      <c r="E1128" s="8" t="str">
        <f>TEXT(Tabla2[[#This Row],[fecha]], "mmmm")</f>
        <v>noviembre</v>
      </c>
      <c r="F1128" s="8" t="str">
        <f>"T"&amp;ROUNDUP(Tabla2[[#This Row],[mes]]/3,0)</f>
        <v>T4</v>
      </c>
      <c r="G1128" t="s">
        <v>38</v>
      </c>
      <c r="H1128" t="s">
        <v>39</v>
      </c>
      <c r="I1128" s="8" t="str">
        <f>IF(Tabla2[[#This Row],[precio_unitario]]&lt;=30,"Económico",IF(Tabla2[[#This Row],[precio_unitario]]&lt;=58.49,"Accesible","Caro"))</f>
        <v>Caro</v>
      </c>
      <c r="J1128" t="s">
        <v>35</v>
      </c>
      <c r="K1128">
        <v>1</v>
      </c>
      <c r="L1128" s="19">
        <v>82.65</v>
      </c>
      <c r="M1128" s="19">
        <v>43.47</v>
      </c>
      <c r="N1128" s="11">
        <v>0</v>
      </c>
      <c r="O1128" s="17">
        <f t="shared" si="71"/>
        <v>82.65</v>
      </c>
      <c r="P1128" s="17">
        <f t="shared" si="68"/>
        <v>43.47</v>
      </c>
      <c r="Q1128" s="17">
        <f t="shared" si="69"/>
        <v>39.180000000000007</v>
      </c>
      <c r="R1128" s="24">
        <f t="shared" si="70"/>
        <v>0.47404718693284942</v>
      </c>
      <c r="S1128" t="s">
        <v>96</v>
      </c>
      <c r="T1128" t="s">
        <v>64</v>
      </c>
    </row>
    <row r="1129" spans="1:20" hidden="1">
      <c r="A1129" t="s">
        <v>1199</v>
      </c>
      <c r="B1129" s="5">
        <v>45415</v>
      </c>
      <c r="C1129" s="8">
        <f>YEAR(Tabla2[[#This Row],[fecha]])</f>
        <v>2024</v>
      </c>
      <c r="D1129" s="8">
        <f>MONTH(Tabla2[[#This Row],[fecha]])</f>
        <v>5</v>
      </c>
      <c r="E1129" s="8" t="str">
        <f>TEXT(Tabla2[[#This Row],[fecha]], "mmmm")</f>
        <v>mayo</v>
      </c>
      <c r="F1129" s="8" t="str">
        <f>"T"&amp;ROUNDUP(Tabla2[[#This Row],[mes]]/3,0)</f>
        <v>T2</v>
      </c>
      <c r="G1129" t="s">
        <v>13</v>
      </c>
      <c r="H1129" t="s">
        <v>14</v>
      </c>
      <c r="I1129" s="8" t="str">
        <f>IF(Tabla2[[#This Row],[precio_unitario]]&lt;=30,"Económico",IF(Tabla2[[#This Row],[precio_unitario]]&lt;=58.49,"Accesible","Caro"))</f>
        <v>Caro</v>
      </c>
      <c r="J1129" t="s">
        <v>8</v>
      </c>
      <c r="K1129">
        <v>3</v>
      </c>
      <c r="L1129" s="19">
        <v>156.76</v>
      </c>
      <c r="M1129" s="19">
        <v>108.65</v>
      </c>
      <c r="N1129" s="11">
        <v>0</v>
      </c>
      <c r="O1129" s="17">
        <f t="shared" si="71"/>
        <v>470.28</v>
      </c>
      <c r="P1129" s="17">
        <f t="shared" si="68"/>
        <v>325.95000000000005</v>
      </c>
      <c r="Q1129" s="17">
        <f t="shared" si="69"/>
        <v>144.32999999999993</v>
      </c>
      <c r="R1129" s="24">
        <f t="shared" si="70"/>
        <v>0.30690227098749667</v>
      </c>
      <c r="S1129" s="10" t="s">
        <v>2377</v>
      </c>
      <c r="T1129" t="s">
        <v>60</v>
      </c>
    </row>
    <row r="1130" spans="1:20" hidden="1">
      <c r="A1130" t="s">
        <v>1200</v>
      </c>
      <c r="B1130" s="5">
        <v>45636</v>
      </c>
      <c r="C1130" s="8">
        <f>YEAR(Tabla2[[#This Row],[fecha]])</f>
        <v>2024</v>
      </c>
      <c r="D1130" s="8">
        <f>MONTH(Tabla2[[#This Row],[fecha]])</f>
        <v>12</v>
      </c>
      <c r="E1130" s="8" t="str">
        <f>TEXT(Tabla2[[#This Row],[fecha]], "mmmm")</f>
        <v>diciembre</v>
      </c>
      <c r="F1130" s="8" t="str">
        <f>"T"&amp;ROUNDUP(Tabla2[[#This Row],[mes]]/3,0)</f>
        <v>T4</v>
      </c>
      <c r="G1130" t="s">
        <v>9</v>
      </c>
      <c r="H1130" t="s">
        <v>10</v>
      </c>
      <c r="I1130" s="8" t="str">
        <f>IF(Tabla2[[#This Row],[precio_unitario]]&lt;=30,"Económico",IF(Tabla2[[#This Row],[precio_unitario]]&lt;=58.49,"Accesible","Caro"))</f>
        <v>Caro</v>
      </c>
      <c r="J1130" t="s">
        <v>8</v>
      </c>
      <c r="K1130">
        <v>4</v>
      </c>
      <c r="L1130" s="19">
        <v>74.97</v>
      </c>
      <c r="M1130" s="19">
        <v>46.09</v>
      </c>
      <c r="N1130" s="11">
        <v>0</v>
      </c>
      <c r="O1130" s="17">
        <f t="shared" si="71"/>
        <v>299.88</v>
      </c>
      <c r="P1130" s="17">
        <f t="shared" si="68"/>
        <v>184.36</v>
      </c>
      <c r="Q1130" s="17">
        <f t="shared" si="69"/>
        <v>115.51999999999998</v>
      </c>
      <c r="R1130" s="24">
        <f t="shared" si="70"/>
        <v>0.3852207549686541</v>
      </c>
      <c r="S1130" t="s">
        <v>96</v>
      </c>
      <c r="T1130" t="s">
        <v>64</v>
      </c>
    </row>
    <row r="1131" spans="1:20" hidden="1">
      <c r="A1131" t="s">
        <v>1201</v>
      </c>
      <c r="B1131" s="5">
        <v>45562</v>
      </c>
      <c r="C1131" s="8">
        <f>YEAR(Tabla2[[#This Row],[fecha]])</f>
        <v>2024</v>
      </c>
      <c r="D1131" s="8">
        <f>MONTH(Tabla2[[#This Row],[fecha]])</f>
        <v>9</v>
      </c>
      <c r="E1131" s="8" t="str">
        <f>TEXT(Tabla2[[#This Row],[fecha]], "mmmm")</f>
        <v>septiembre</v>
      </c>
      <c r="F1131" s="8" t="str">
        <f>"T"&amp;ROUNDUP(Tabla2[[#This Row],[mes]]/3,0)</f>
        <v>T3</v>
      </c>
      <c r="G1131" t="s">
        <v>20</v>
      </c>
      <c r="H1131" t="s">
        <v>21</v>
      </c>
      <c r="I1131" s="8" t="str">
        <f>IF(Tabla2[[#This Row],[precio_unitario]]&lt;=30,"Económico",IF(Tabla2[[#This Row],[precio_unitario]]&lt;=58.49,"Accesible","Caro"))</f>
        <v>Económico</v>
      </c>
      <c r="J1131" t="s">
        <v>17</v>
      </c>
      <c r="K1131">
        <v>1</v>
      </c>
      <c r="L1131" s="19">
        <v>18.27</v>
      </c>
      <c r="M1131" s="19">
        <v>12.84</v>
      </c>
      <c r="N1131" s="11">
        <v>0</v>
      </c>
      <c r="O1131" s="17">
        <f t="shared" si="71"/>
        <v>18.27</v>
      </c>
      <c r="P1131" s="17">
        <f t="shared" si="68"/>
        <v>12.84</v>
      </c>
      <c r="Q1131" s="17">
        <f t="shared" si="69"/>
        <v>5.43</v>
      </c>
      <c r="R1131" s="24">
        <f t="shared" si="70"/>
        <v>0.2972085385878489</v>
      </c>
      <c r="S1131" t="s">
        <v>83</v>
      </c>
      <c r="T1131" t="s">
        <v>60</v>
      </c>
    </row>
    <row r="1132" spans="1:20" hidden="1">
      <c r="A1132" t="s">
        <v>1202</v>
      </c>
      <c r="B1132" s="5">
        <v>45510</v>
      </c>
      <c r="C1132" s="8">
        <f>YEAR(Tabla2[[#This Row],[fecha]])</f>
        <v>2024</v>
      </c>
      <c r="D1132" s="8">
        <f>MONTH(Tabla2[[#This Row],[fecha]])</f>
        <v>8</v>
      </c>
      <c r="E1132" s="8" t="str">
        <f>TEXT(Tabla2[[#This Row],[fecha]], "mmmm")</f>
        <v>agosto</v>
      </c>
      <c r="F1132" s="8" t="str">
        <f>"T"&amp;ROUNDUP(Tabla2[[#This Row],[mes]]/3,0)</f>
        <v>T3</v>
      </c>
      <c r="G1132" t="s">
        <v>40</v>
      </c>
      <c r="H1132" t="s">
        <v>41</v>
      </c>
      <c r="I1132" s="8" t="str">
        <f>IF(Tabla2[[#This Row],[precio_unitario]]&lt;=30,"Económico",IF(Tabla2[[#This Row],[precio_unitario]]&lt;=58.49,"Accesible","Caro"))</f>
        <v>Caro</v>
      </c>
      <c r="J1132" t="s">
        <v>35</v>
      </c>
      <c r="K1132">
        <v>3</v>
      </c>
      <c r="L1132" s="19">
        <v>77.45</v>
      </c>
      <c r="M1132" s="19">
        <v>41.56</v>
      </c>
      <c r="N1132" s="11">
        <v>0</v>
      </c>
      <c r="O1132" s="17">
        <f t="shared" si="71"/>
        <v>232.35000000000002</v>
      </c>
      <c r="P1132" s="17">
        <f t="shared" si="68"/>
        <v>124.68</v>
      </c>
      <c r="Q1132" s="17">
        <f t="shared" si="69"/>
        <v>107.67000000000002</v>
      </c>
      <c r="R1132" s="24">
        <f t="shared" si="70"/>
        <v>0.46339573918657201</v>
      </c>
      <c r="S1132" t="s">
        <v>67</v>
      </c>
      <c r="T1132" t="s">
        <v>64</v>
      </c>
    </row>
    <row r="1133" spans="1:20" hidden="1">
      <c r="A1133" t="s">
        <v>1203</v>
      </c>
      <c r="B1133" s="5">
        <v>45394</v>
      </c>
      <c r="C1133" s="8">
        <f>YEAR(Tabla2[[#This Row],[fecha]])</f>
        <v>2024</v>
      </c>
      <c r="D1133" s="8">
        <f>MONTH(Tabla2[[#This Row],[fecha]])</f>
        <v>4</v>
      </c>
      <c r="E1133" s="8" t="str">
        <f>TEXT(Tabla2[[#This Row],[fecha]], "mmmm")</f>
        <v>abril</v>
      </c>
      <c r="F1133" s="8" t="str">
        <f>"T"&amp;ROUNDUP(Tabla2[[#This Row],[mes]]/3,0)</f>
        <v>T2</v>
      </c>
      <c r="G1133" t="s">
        <v>47</v>
      </c>
      <c r="H1133" t="s">
        <v>48</v>
      </c>
      <c r="I1133" s="8" t="str">
        <f>IF(Tabla2[[#This Row],[precio_unitario]]&lt;=30,"Económico",IF(Tabla2[[#This Row],[precio_unitario]]&lt;=58.49,"Accesible","Caro"))</f>
        <v>Caro</v>
      </c>
      <c r="J1133" t="s">
        <v>44</v>
      </c>
      <c r="K1133">
        <v>1</v>
      </c>
      <c r="L1133" s="19">
        <v>59.76</v>
      </c>
      <c r="M1133" s="19">
        <v>32.17</v>
      </c>
      <c r="N1133" s="11">
        <v>0</v>
      </c>
      <c r="O1133" s="17">
        <f t="shared" si="71"/>
        <v>59.76</v>
      </c>
      <c r="P1133" s="17">
        <f t="shared" si="68"/>
        <v>32.17</v>
      </c>
      <c r="Q1133" s="17">
        <f t="shared" si="69"/>
        <v>27.589999999999996</v>
      </c>
      <c r="R1133" s="24">
        <f t="shared" si="70"/>
        <v>0.46168005354752339</v>
      </c>
      <c r="S1133" t="s">
        <v>101</v>
      </c>
      <c r="T1133" t="s">
        <v>64</v>
      </c>
    </row>
    <row r="1134" spans="1:20" hidden="1">
      <c r="A1134" t="s">
        <v>1204</v>
      </c>
      <c r="B1134" s="5">
        <v>45820</v>
      </c>
      <c r="C1134" s="8">
        <f>YEAR(Tabla2[[#This Row],[fecha]])</f>
        <v>2025</v>
      </c>
      <c r="D1134" s="8">
        <f>MONTH(Tabla2[[#This Row],[fecha]])</f>
        <v>6</v>
      </c>
      <c r="E1134" s="8" t="str">
        <f>TEXT(Tabla2[[#This Row],[fecha]], "mmmm")</f>
        <v>junio</v>
      </c>
      <c r="F1134" s="8" t="str">
        <f>"T"&amp;ROUNDUP(Tabla2[[#This Row],[mes]]/3,0)</f>
        <v>T2</v>
      </c>
      <c r="G1134" t="s">
        <v>40</v>
      </c>
      <c r="H1134" t="s">
        <v>41</v>
      </c>
      <c r="I1134" s="8" t="str">
        <f>IF(Tabla2[[#This Row],[precio_unitario]]&lt;=30,"Económico",IF(Tabla2[[#This Row],[precio_unitario]]&lt;=58.49,"Accesible","Caro"))</f>
        <v>Caro</v>
      </c>
      <c r="J1134" t="s">
        <v>35</v>
      </c>
      <c r="K1134">
        <v>3</v>
      </c>
      <c r="L1134" s="19">
        <v>76.489999999999995</v>
      </c>
      <c r="M1134" s="19">
        <v>41.04</v>
      </c>
      <c r="N1134" s="11">
        <v>0.26</v>
      </c>
      <c r="O1134" s="17">
        <f t="shared" si="71"/>
        <v>169.80779999999999</v>
      </c>
      <c r="P1134" s="17">
        <f t="shared" si="68"/>
        <v>123.12</v>
      </c>
      <c r="Q1134" s="17">
        <f t="shared" si="69"/>
        <v>46.687799999999982</v>
      </c>
      <c r="R1134" s="24">
        <f t="shared" si="70"/>
        <v>0.2749449671923197</v>
      </c>
      <c r="S1134" t="s">
        <v>96</v>
      </c>
      <c r="T1134" t="s">
        <v>64</v>
      </c>
    </row>
    <row r="1135" spans="1:20">
      <c r="A1135" t="s">
        <v>1205</v>
      </c>
      <c r="B1135" s="5">
        <v>45703</v>
      </c>
      <c r="C1135" s="8">
        <f>YEAR(Tabla2[[#This Row],[fecha]])</f>
        <v>2025</v>
      </c>
      <c r="D1135" s="8">
        <f>MONTH(Tabla2[[#This Row],[fecha]])</f>
        <v>2</v>
      </c>
      <c r="E1135" s="8" t="str">
        <f>TEXT(Tabla2[[#This Row],[fecha]], "mmmm")</f>
        <v>febrero</v>
      </c>
      <c r="F1135" s="8" t="str">
        <f>"T"&amp;ROUNDUP(Tabla2[[#This Row],[mes]]/3,0)</f>
        <v>T1</v>
      </c>
      <c r="G1135" t="s">
        <v>18</v>
      </c>
      <c r="H1135" t="s">
        <v>19</v>
      </c>
      <c r="I1135" s="8" t="str">
        <f>IF(Tabla2[[#This Row],[precio_unitario]]&lt;=30,"Económico",IF(Tabla2[[#This Row],[precio_unitario]]&lt;=58.49,"Accesible","Caro"))</f>
        <v>Accesible</v>
      </c>
      <c r="J1135" t="s">
        <v>17</v>
      </c>
      <c r="K1135">
        <v>3</v>
      </c>
      <c r="L1135" s="19">
        <v>46.83</v>
      </c>
      <c r="M1135" s="19">
        <v>25.71</v>
      </c>
      <c r="N1135" s="11">
        <v>0.17</v>
      </c>
      <c r="O1135" s="17">
        <f t="shared" si="71"/>
        <v>116.6067</v>
      </c>
      <c r="P1135" s="17">
        <f t="shared" si="68"/>
        <v>77.13</v>
      </c>
      <c r="Q1135" s="17">
        <f t="shared" si="69"/>
        <v>39.476700000000008</v>
      </c>
      <c r="R1135" s="24">
        <f t="shared" si="70"/>
        <v>0.33854572678928402</v>
      </c>
      <c r="S1135" t="s">
        <v>67</v>
      </c>
      <c r="T1135" t="s">
        <v>60</v>
      </c>
    </row>
    <row r="1136" spans="1:20" hidden="1">
      <c r="A1136" t="s">
        <v>1206</v>
      </c>
      <c r="B1136" s="5">
        <v>45323</v>
      </c>
      <c r="C1136" s="8">
        <f>YEAR(Tabla2[[#This Row],[fecha]])</f>
        <v>2024</v>
      </c>
      <c r="D1136" s="8">
        <f>MONTH(Tabla2[[#This Row],[fecha]])</f>
        <v>2</v>
      </c>
      <c r="E1136" s="8" t="str">
        <f>TEXT(Tabla2[[#This Row],[fecha]], "mmmm")</f>
        <v>febrero</v>
      </c>
      <c r="F1136" s="8" t="str">
        <f>"T"&amp;ROUNDUP(Tabla2[[#This Row],[mes]]/3,0)</f>
        <v>T1</v>
      </c>
      <c r="G1136" t="s">
        <v>38</v>
      </c>
      <c r="H1136" t="s">
        <v>39</v>
      </c>
      <c r="I1136" s="8" t="str">
        <f>IF(Tabla2[[#This Row],[precio_unitario]]&lt;=30,"Económico",IF(Tabla2[[#This Row],[precio_unitario]]&lt;=58.49,"Accesible","Caro"))</f>
        <v>Caro</v>
      </c>
      <c r="J1136" t="s">
        <v>35</v>
      </c>
      <c r="K1136">
        <v>10</v>
      </c>
      <c r="L1136" s="19">
        <v>73.069999999999993</v>
      </c>
      <c r="M1136" s="19">
        <v>44.65</v>
      </c>
      <c r="N1136" s="13">
        <v>0</v>
      </c>
      <c r="O1136" s="17">
        <f t="shared" si="71"/>
        <v>730.69999999999993</v>
      </c>
      <c r="P1136" s="17">
        <f t="shared" si="68"/>
        <v>446.5</v>
      </c>
      <c r="Q1136" s="17">
        <f t="shared" si="69"/>
        <v>284.19999999999993</v>
      </c>
      <c r="R1136" s="24">
        <f t="shared" si="70"/>
        <v>0.38894211030518677</v>
      </c>
      <c r="S1136" t="s">
        <v>83</v>
      </c>
      <c r="T1136" t="s">
        <v>64</v>
      </c>
    </row>
    <row r="1137" spans="1:20" hidden="1">
      <c r="A1137" t="s">
        <v>1207</v>
      </c>
      <c r="B1137" s="5">
        <v>45630</v>
      </c>
      <c r="C1137" s="8">
        <f>YEAR(Tabla2[[#This Row],[fecha]])</f>
        <v>2024</v>
      </c>
      <c r="D1137" s="8">
        <f>MONTH(Tabla2[[#This Row],[fecha]])</f>
        <v>12</v>
      </c>
      <c r="E1137" s="8" t="str">
        <f>TEXT(Tabla2[[#This Row],[fecha]], "mmmm")</f>
        <v>diciembre</v>
      </c>
      <c r="F1137" s="8" t="str">
        <f>"T"&amp;ROUNDUP(Tabla2[[#This Row],[mes]]/3,0)</f>
        <v>T4</v>
      </c>
      <c r="G1137" t="s">
        <v>9</v>
      </c>
      <c r="H1137" t="s">
        <v>10</v>
      </c>
      <c r="I1137" s="8" t="str">
        <f>IF(Tabla2[[#This Row],[precio_unitario]]&lt;=30,"Económico",IF(Tabla2[[#This Row],[precio_unitario]]&lt;=58.49,"Accesible","Caro"))</f>
        <v>Caro</v>
      </c>
      <c r="J1137" t="s">
        <v>8</v>
      </c>
      <c r="K1137">
        <v>1</v>
      </c>
      <c r="L1137" s="19">
        <v>72.53</v>
      </c>
      <c r="M1137" s="19">
        <v>47.43</v>
      </c>
      <c r="N1137" s="11">
        <v>0.27</v>
      </c>
      <c r="O1137" s="17">
        <f t="shared" si="71"/>
        <v>52.946899999999999</v>
      </c>
      <c r="P1137" s="17">
        <f t="shared" si="68"/>
        <v>47.43</v>
      </c>
      <c r="Q1137" s="17">
        <f t="shared" si="69"/>
        <v>5.5168999999999997</v>
      </c>
      <c r="R1137" s="24">
        <f t="shared" si="70"/>
        <v>0.10419684627428612</v>
      </c>
      <c r="S1137" t="s">
        <v>67</v>
      </c>
      <c r="T1137" t="s">
        <v>64</v>
      </c>
    </row>
    <row r="1138" spans="1:20" hidden="1">
      <c r="A1138" t="s">
        <v>1208</v>
      </c>
      <c r="B1138" s="5">
        <v>45477</v>
      </c>
      <c r="C1138" s="8">
        <f>YEAR(Tabla2[[#This Row],[fecha]])</f>
        <v>2024</v>
      </c>
      <c r="D1138" s="8">
        <f>MONTH(Tabla2[[#This Row],[fecha]])</f>
        <v>7</v>
      </c>
      <c r="E1138" s="8" t="str">
        <f>TEXT(Tabla2[[#This Row],[fecha]], "mmmm")</f>
        <v>julio</v>
      </c>
      <c r="F1138" s="8" t="str">
        <f>"T"&amp;ROUNDUP(Tabla2[[#This Row],[mes]]/3,0)</f>
        <v>T3</v>
      </c>
      <c r="G1138" t="s">
        <v>33</v>
      </c>
      <c r="H1138" t="s">
        <v>34</v>
      </c>
      <c r="I1138" s="8" t="str">
        <f>IF(Tabla2[[#This Row],[precio_unitario]]&lt;=30,"Económico",IF(Tabla2[[#This Row],[precio_unitario]]&lt;=58.49,"Accesible","Caro"))</f>
        <v>Caro</v>
      </c>
      <c r="J1138" t="s">
        <v>35</v>
      </c>
      <c r="K1138">
        <v>3</v>
      </c>
      <c r="L1138" s="19">
        <v>76.53</v>
      </c>
      <c r="M1138" s="19">
        <v>45.85</v>
      </c>
      <c r="N1138" s="11">
        <v>0.18</v>
      </c>
      <c r="O1138" s="17">
        <f t="shared" si="71"/>
        <v>188.2638</v>
      </c>
      <c r="P1138" s="17">
        <f t="shared" si="68"/>
        <v>137.55000000000001</v>
      </c>
      <c r="Q1138" s="17">
        <f t="shared" si="69"/>
        <v>50.713799999999992</v>
      </c>
      <c r="R1138" s="24">
        <f t="shared" si="70"/>
        <v>0.26937626883128879</v>
      </c>
      <c r="S1138" t="s">
        <v>67</v>
      </c>
      <c r="T1138" t="s">
        <v>64</v>
      </c>
    </row>
    <row r="1139" spans="1:20" hidden="1">
      <c r="A1139" t="s">
        <v>1209</v>
      </c>
      <c r="B1139" s="5">
        <v>45920</v>
      </c>
      <c r="C1139" s="8">
        <f>YEAR(Tabla2[[#This Row],[fecha]])</f>
        <v>2025</v>
      </c>
      <c r="D1139" s="8">
        <f>MONTH(Tabla2[[#This Row],[fecha]])</f>
        <v>9</v>
      </c>
      <c r="E1139" s="8" t="str">
        <f>TEXT(Tabla2[[#This Row],[fecha]], "mmmm")</f>
        <v>septiembre</v>
      </c>
      <c r="F1139" s="8" t="str">
        <f>"T"&amp;ROUNDUP(Tabla2[[#This Row],[mes]]/3,0)</f>
        <v>T3</v>
      </c>
      <c r="G1139" t="s">
        <v>31</v>
      </c>
      <c r="H1139" t="s">
        <v>32</v>
      </c>
      <c r="I1139" s="8" t="str">
        <f>IF(Tabla2[[#This Row],[precio_unitario]]&lt;=30,"Económico",IF(Tabla2[[#This Row],[precio_unitario]]&lt;=58.49,"Accesible","Caro"))</f>
        <v>Económico</v>
      </c>
      <c r="J1139" t="s">
        <v>26</v>
      </c>
      <c r="K1139">
        <v>6</v>
      </c>
      <c r="L1139" s="19">
        <v>9.14</v>
      </c>
      <c r="M1139" s="19">
        <v>5.74</v>
      </c>
      <c r="N1139" s="11">
        <v>0</v>
      </c>
      <c r="O1139" s="17">
        <f t="shared" si="71"/>
        <v>54.84</v>
      </c>
      <c r="P1139" s="17">
        <f t="shared" si="68"/>
        <v>34.44</v>
      </c>
      <c r="Q1139" s="17">
        <f t="shared" si="69"/>
        <v>20.400000000000006</v>
      </c>
      <c r="R1139" s="24">
        <f t="shared" si="70"/>
        <v>0.37199124726477034</v>
      </c>
      <c r="S1139" t="s">
        <v>83</v>
      </c>
      <c r="T1139" t="s">
        <v>64</v>
      </c>
    </row>
    <row r="1140" spans="1:20" hidden="1">
      <c r="A1140" t="s">
        <v>1210</v>
      </c>
      <c r="B1140" s="5">
        <v>45899</v>
      </c>
      <c r="C1140" s="8">
        <f>YEAR(Tabla2[[#This Row],[fecha]])</f>
        <v>2025</v>
      </c>
      <c r="D1140" s="8">
        <f>MONTH(Tabla2[[#This Row],[fecha]])</f>
        <v>8</v>
      </c>
      <c r="E1140" s="8" t="str">
        <f>TEXT(Tabla2[[#This Row],[fecha]], "mmmm")</f>
        <v>agosto</v>
      </c>
      <c r="F1140" s="8" t="str">
        <f>"T"&amp;ROUNDUP(Tabla2[[#This Row],[mes]]/3,0)</f>
        <v>T3</v>
      </c>
      <c r="G1140" t="s">
        <v>29</v>
      </c>
      <c r="H1140" t="s">
        <v>30</v>
      </c>
      <c r="I1140" s="8" t="str">
        <f>IF(Tabla2[[#This Row],[precio_unitario]]&lt;=30,"Económico",IF(Tabla2[[#This Row],[precio_unitario]]&lt;=58.49,"Accesible","Caro"))</f>
        <v>Económico</v>
      </c>
      <c r="J1140" t="s">
        <v>26</v>
      </c>
      <c r="K1140">
        <v>5</v>
      </c>
      <c r="L1140" s="19">
        <v>20.2</v>
      </c>
      <c r="M1140" s="19">
        <v>11.28</v>
      </c>
      <c r="N1140" s="11">
        <v>0</v>
      </c>
      <c r="O1140" s="17">
        <f t="shared" si="71"/>
        <v>101</v>
      </c>
      <c r="P1140" s="17">
        <f t="shared" si="68"/>
        <v>56.4</v>
      </c>
      <c r="Q1140" s="17">
        <f t="shared" si="69"/>
        <v>44.6</v>
      </c>
      <c r="R1140" s="24">
        <f t="shared" si="70"/>
        <v>0.44158415841584159</v>
      </c>
      <c r="S1140" t="s">
        <v>540</v>
      </c>
      <c r="T1140" t="s">
        <v>60</v>
      </c>
    </row>
    <row r="1141" spans="1:20" hidden="1">
      <c r="A1141" t="s">
        <v>1211</v>
      </c>
      <c r="B1141" s="5">
        <v>45887</v>
      </c>
      <c r="C1141" s="8">
        <f>YEAR(Tabla2[[#This Row],[fecha]])</f>
        <v>2025</v>
      </c>
      <c r="D1141" s="8">
        <f>MONTH(Tabla2[[#This Row],[fecha]])</f>
        <v>8</v>
      </c>
      <c r="E1141" s="8" t="str">
        <f>TEXT(Tabla2[[#This Row],[fecha]], "mmmm")</f>
        <v>agosto</v>
      </c>
      <c r="F1141" s="8" t="str">
        <f>"T"&amp;ROUNDUP(Tabla2[[#This Row],[mes]]/3,0)</f>
        <v>T3</v>
      </c>
      <c r="G1141" t="s">
        <v>9</v>
      </c>
      <c r="H1141" t="s">
        <v>10</v>
      </c>
      <c r="I1141" s="8" t="str">
        <f>IF(Tabla2[[#This Row],[precio_unitario]]&lt;=30,"Económico",IF(Tabla2[[#This Row],[precio_unitario]]&lt;=58.49,"Accesible","Caro"))</f>
        <v>Caro</v>
      </c>
      <c r="J1141" t="s">
        <v>8</v>
      </c>
      <c r="K1141">
        <v>4</v>
      </c>
      <c r="L1141" s="19">
        <v>68.95</v>
      </c>
      <c r="M1141" s="19">
        <v>45.61</v>
      </c>
      <c r="N1141" s="11">
        <v>0.2</v>
      </c>
      <c r="O1141" s="17">
        <f t="shared" si="71"/>
        <v>220.64000000000001</v>
      </c>
      <c r="P1141" s="17">
        <f t="shared" si="68"/>
        <v>182.44</v>
      </c>
      <c r="Q1141" s="17">
        <f t="shared" si="69"/>
        <v>38.200000000000017</v>
      </c>
      <c r="R1141" s="24">
        <f t="shared" si="70"/>
        <v>0.17313270485859325</v>
      </c>
      <c r="S1141" t="s">
        <v>63</v>
      </c>
      <c r="T1141" t="s">
        <v>64</v>
      </c>
    </row>
    <row r="1142" spans="1:20">
      <c r="A1142" t="s">
        <v>1212</v>
      </c>
      <c r="B1142" s="5">
        <v>45749</v>
      </c>
      <c r="C1142" s="8">
        <f>YEAR(Tabla2[[#This Row],[fecha]])</f>
        <v>2025</v>
      </c>
      <c r="D1142" s="8">
        <f>MONTH(Tabla2[[#This Row],[fecha]])</f>
        <v>4</v>
      </c>
      <c r="E1142" s="8" t="str">
        <f>TEXT(Tabla2[[#This Row],[fecha]], "mmmm")</f>
        <v>abril</v>
      </c>
      <c r="F1142" s="8" t="str">
        <f>"T"&amp;ROUNDUP(Tabla2[[#This Row],[mes]]/3,0)</f>
        <v>T2</v>
      </c>
      <c r="G1142" t="s">
        <v>27</v>
      </c>
      <c r="H1142" t="s">
        <v>28</v>
      </c>
      <c r="I1142" s="8" t="str">
        <f>IF(Tabla2[[#This Row],[precio_unitario]]&lt;=30,"Económico",IF(Tabla2[[#This Row],[precio_unitario]]&lt;=58.49,"Accesible","Caro"))</f>
        <v>Económico</v>
      </c>
      <c r="J1142" t="s">
        <v>26</v>
      </c>
      <c r="K1142">
        <v>3</v>
      </c>
      <c r="L1142" s="19">
        <v>15.5</v>
      </c>
      <c r="M1142" s="19">
        <v>10.88</v>
      </c>
      <c r="N1142" s="13">
        <v>0</v>
      </c>
      <c r="O1142" s="17">
        <f t="shared" si="71"/>
        <v>46.5</v>
      </c>
      <c r="P1142" s="17">
        <f t="shared" si="68"/>
        <v>32.64</v>
      </c>
      <c r="Q1142" s="17">
        <f t="shared" si="69"/>
        <v>13.86</v>
      </c>
      <c r="R1142" s="24">
        <f t="shared" si="70"/>
        <v>0.29806451612903223</v>
      </c>
      <c r="S1142" t="s">
        <v>67</v>
      </c>
      <c r="T1142" t="s">
        <v>60</v>
      </c>
    </row>
    <row r="1143" spans="1:20" hidden="1">
      <c r="A1143" t="s">
        <v>1213</v>
      </c>
      <c r="B1143" s="5">
        <v>45437</v>
      </c>
      <c r="C1143" s="8">
        <f>YEAR(Tabla2[[#This Row],[fecha]])</f>
        <v>2024</v>
      </c>
      <c r="D1143" s="8">
        <f>MONTH(Tabla2[[#This Row],[fecha]])</f>
        <v>5</v>
      </c>
      <c r="E1143" s="8" t="str">
        <f>TEXT(Tabla2[[#This Row],[fecha]], "mmmm")</f>
        <v>mayo</v>
      </c>
      <c r="F1143" s="8" t="str">
        <f>"T"&amp;ROUNDUP(Tabla2[[#This Row],[mes]]/3,0)</f>
        <v>T2</v>
      </c>
      <c r="G1143" t="s">
        <v>40</v>
      </c>
      <c r="H1143" t="s">
        <v>41</v>
      </c>
      <c r="I1143" s="8" t="str">
        <f>IF(Tabla2[[#This Row],[precio_unitario]]&lt;=30,"Económico",IF(Tabla2[[#This Row],[precio_unitario]]&lt;=58.49,"Accesible","Caro"))</f>
        <v>Caro</v>
      </c>
      <c r="J1143" t="s">
        <v>35</v>
      </c>
      <c r="K1143">
        <v>1</v>
      </c>
      <c r="L1143" s="19">
        <v>73.89</v>
      </c>
      <c r="M1143" s="19">
        <v>40.79</v>
      </c>
      <c r="N1143" s="11">
        <v>0</v>
      </c>
      <c r="O1143" s="17">
        <f t="shared" si="71"/>
        <v>73.89</v>
      </c>
      <c r="P1143" s="17">
        <f t="shared" si="68"/>
        <v>40.79</v>
      </c>
      <c r="Q1143" s="17">
        <f t="shared" si="69"/>
        <v>33.1</v>
      </c>
      <c r="R1143" s="24">
        <f t="shared" si="70"/>
        <v>0.44796318852348088</v>
      </c>
      <c r="S1143" t="s">
        <v>67</v>
      </c>
      <c r="T1143" t="s">
        <v>64</v>
      </c>
    </row>
    <row r="1144" spans="1:20" hidden="1">
      <c r="A1144" t="s">
        <v>1214</v>
      </c>
      <c r="B1144" s="5">
        <v>45545</v>
      </c>
      <c r="C1144" s="8">
        <f>YEAR(Tabla2[[#This Row],[fecha]])</f>
        <v>2024</v>
      </c>
      <c r="D1144" s="8">
        <f>MONTH(Tabla2[[#This Row],[fecha]])</f>
        <v>9</v>
      </c>
      <c r="E1144" s="8" t="str">
        <f>TEXT(Tabla2[[#This Row],[fecha]], "mmmm")</f>
        <v>septiembre</v>
      </c>
      <c r="F1144" s="8" t="str">
        <f>"T"&amp;ROUNDUP(Tabla2[[#This Row],[mes]]/3,0)</f>
        <v>T3</v>
      </c>
      <c r="G1144" t="s">
        <v>9</v>
      </c>
      <c r="H1144" t="s">
        <v>10</v>
      </c>
      <c r="I1144" s="8" t="str">
        <f>IF(Tabla2[[#This Row],[precio_unitario]]&lt;=30,"Económico",IF(Tabla2[[#This Row],[precio_unitario]]&lt;=58.49,"Accesible","Caro"))</f>
        <v>Caro</v>
      </c>
      <c r="J1144" t="s">
        <v>8</v>
      </c>
      <c r="K1144">
        <v>3</v>
      </c>
      <c r="L1144" s="19">
        <v>72.19</v>
      </c>
      <c r="M1144" s="19">
        <v>49.2</v>
      </c>
      <c r="N1144" s="11">
        <v>0</v>
      </c>
      <c r="O1144" s="17">
        <f t="shared" si="71"/>
        <v>216.57</v>
      </c>
      <c r="P1144" s="17">
        <f t="shared" si="68"/>
        <v>147.60000000000002</v>
      </c>
      <c r="Q1144" s="17">
        <f t="shared" si="69"/>
        <v>68.96999999999997</v>
      </c>
      <c r="R1144" s="24">
        <f t="shared" si="70"/>
        <v>0.31846516137969233</v>
      </c>
      <c r="S1144" t="s">
        <v>83</v>
      </c>
      <c r="T1144" t="s">
        <v>64</v>
      </c>
    </row>
    <row r="1145" spans="1:20" hidden="1">
      <c r="A1145" t="s">
        <v>1215</v>
      </c>
      <c r="B1145" s="5">
        <v>45399</v>
      </c>
      <c r="C1145" s="8">
        <f>YEAR(Tabla2[[#This Row],[fecha]])</f>
        <v>2024</v>
      </c>
      <c r="D1145" s="8">
        <f>MONTH(Tabla2[[#This Row],[fecha]])</f>
        <v>4</v>
      </c>
      <c r="E1145" s="8" t="str">
        <f>TEXT(Tabla2[[#This Row],[fecha]], "mmmm")</f>
        <v>abril</v>
      </c>
      <c r="F1145" s="8" t="str">
        <f>"T"&amp;ROUNDUP(Tabla2[[#This Row],[mes]]/3,0)</f>
        <v>T2</v>
      </c>
      <c r="G1145" t="s">
        <v>9</v>
      </c>
      <c r="H1145" t="s">
        <v>10</v>
      </c>
      <c r="I1145" s="8" t="str">
        <f>IF(Tabla2[[#This Row],[precio_unitario]]&lt;=30,"Económico",IF(Tabla2[[#This Row],[precio_unitario]]&lt;=58.49,"Accesible","Caro"))</f>
        <v>Caro</v>
      </c>
      <c r="J1145" t="s">
        <v>8</v>
      </c>
      <c r="K1145">
        <v>5</v>
      </c>
      <c r="L1145" s="19">
        <v>79.59</v>
      </c>
      <c r="M1145" s="19">
        <v>48.28</v>
      </c>
      <c r="N1145" s="11">
        <v>0</v>
      </c>
      <c r="O1145" s="17">
        <f t="shared" si="71"/>
        <v>397.95000000000005</v>
      </c>
      <c r="P1145" s="17">
        <f t="shared" si="68"/>
        <v>241.4</v>
      </c>
      <c r="Q1145" s="17">
        <f t="shared" si="69"/>
        <v>156.55000000000004</v>
      </c>
      <c r="R1145" s="24">
        <f t="shared" si="70"/>
        <v>0.39339112953888683</v>
      </c>
      <c r="S1145" t="s">
        <v>96</v>
      </c>
      <c r="T1145" t="s">
        <v>64</v>
      </c>
    </row>
    <row r="1146" spans="1:20" hidden="1">
      <c r="A1146" t="s">
        <v>1216</v>
      </c>
      <c r="B1146" s="5">
        <v>45655</v>
      </c>
      <c r="C1146" s="8">
        <f>YEAR(Tabla2[[#This Row],[fecha]])</f>
        <v>2024</v>
      </c>
      <c r="D1146" s="8">
        <f>MONTH(Tabla2[[#This Row],[fecha]])</f>
        <v>12</v>
      </c>
      <c r="E1146" s="8" t="str">
        <f>TEXT(Tabla2[[#This Row],[fecha]], "mmmm")</f>
        <v>diciembre</v>
      </c>
      <c r="F1146" s="8" t="str">
        <f>"T"&amp;ROUNDUP(Tabla2[[#This Row],[mes]]/3,0)</f>
        <v>T4</v>
      </c>
      <c r="G1146" t="s">
        <v>36</v>
      </c>
      <c r="H1146" t="s">
        <v>37</v>
      </c>
      <c r="I1146" s="8" t="str">
        <f>IF(Tabla2[[#This Row],[precio_unitario]]&lt;=30,"Económico",IF(Tabla2[[#This Row],[precio_unitario]]&lt;=58.49,"Accesible","Caro"))</f>
        <v>Económico</v>
      </c>
      <c r="J1146" t="s">
        <v>35</v>
      </c>
      <c r="K1146">
        <v>7</v>
      </c>
      <c r="L1146" s="19">
        <v>14.98</v>
      </c>
      <c r="M1146" s="19">
        <v>9.2899999999999991</v>
      </c>
      <c r="N1146" s="11">
        <v>0</v>
      </c>
      <c r="O1146" s="17">
        <f t="shared" si="71"/>
        <v>104.86</v>
      </c>
      <c r="P1146" s="17">
        <f t="shared" si="68"/>
        <v>65.03</v>
      </c>
      <c r="Q1146" s="17">
        <f t="shared" si="69"/>
        <v>39.83</v>
      </c>
      <c r="R1146" s="24">
        <f t="shared" si="70"/>
        <v>0.37983978638184246</v>
      </c>
      <c r="S1146" t="s">
        <v>96</v>
      </c>
      <c r="T1146" t="s">
        <v>64</v>
      </c>
    </row>
    <row r="1147" spans="1:20" hidden="1">
      <c r="A1147" t="s">
        <v>1217</v>
      </c>
      <c r="B1147" s="5">
        <v>45530</v>
      </c>
      <c r="C1147" s="8">
        <f>YEAR(Tabla2[[#This Row],[fecha]])</f>
        <v>2024</v>
      </c>
      <c r="D1147" s="8">
        <f>MONTH(Tabla2[[#This Row],[fecha]])</f>
        <v>8</v>
      </c>
      <c r="E1147" s="8" t="str">
        <f>TEXT(Tabla2[[#This Row],[fecha]], "mmmm")</f>
        <v>agosto</v>
      </c>
      <c r="F1147" s="8" t="str">
        <f>"T"&amp;ROUNDUP(Tabla2[[#This Row],[mes]]/3,0)</f>
        <v>T3</v>
      </c>
      <c r="G1147" t="s">
        <v>42</v>
      </c>
      <c r="H1147" t="s">
        <v>43</v>
      </c>
      <c r="I1147" s="8" t="str">
        <f>IF(Tabla2[[#This Row],[precio_unitario]]&lt;=30,"Económico",IF(Tabla2[[#This Row],[precio_unitario]]&lt;=58.49,"Accesible","Caro"))</f>
        <v>Accesible</v>
      </c>
      <c r="J1147" t="s">
        <v>44</v>
      </c>
      <c r="K1147">
        <v>3</v>
      </c>
      <c r="L1147" s="19">
        <v>45.47</v>
      </c>
      <c r="M1147" s="21">
        <f>INDEX(Tabla3[coste_objetivo], MATCH(Tabla2[[#This Row],[id_producto]], Tabla3[id_producto],0))</f>
        <v>22.69</v>
      </c>
      <c r="N1147" s="11">
        <v>0</v>
      </c>
      <c r="O1147" s="17">
        <f t="shared" si="71"/>
        <v>136.41</v>
      </c>
      <c r="P1147" s="17">
        <f t="shared" si="68"/>
        <v>68.070000000000007</v>
      </c>
      <c r="Q1147" s="17">
        <f t="shared" si="69"/>
        <v>68.339999999999989</v>
      </c>
      <c r="R1147" s="24">
        <f t="shared" si="70"/>
        <v>0.50098966351440499</v>
      </c>
      <c r="S1147" t="s">
        <v>83</v>
      </c>
      <c r="T1147" t="s">
        <v>64</v>
      </c>
    </row>
    <row r="1148" spans="1:20" hidden="1">
      <c r="A1148" t="s">
        <v>1218</v>
      </c>
      <c r="B1148" s="5">
        <v>45921</v>
      </c>
      <c r="C1148" s="8">
        <f>YEAR(Tabla2[[#This Row],[fecha]])</f>
        <v>2025</v>
      </c>
      <c r="D1148" s="8">
        <f>MONTH(Tabla2[[#This Row],[fecha]])</f>
        <v>9</v>
      </c>
      <c r="E1148" s="8" t="str">
        <f>TEXT(Tabla2[[#This Row],[fecha]], "mmmm")</f>
        <v>septiembre</v>
      </c>
      <c r="F1148" s="8" t="str">
        <f>"T"&amp;ROUNDUP(Tabla2[[#This Row],[mes]]/3,0)</f>
        <v>T3</v>
      </c>
      <c r="G1148" t="s">
        <v>27</v>
      </c>
      <c r="H1148" t="s">
        <v>28</v>
      </c>
      <c r="I1148" s="8" t="str">
        <f>IF(Tabla2[[#This Row],[precio_unitario]]&lt;=30,"Económico",IF(Tabla2[[#This Row],[precio_unitario]]&lt;=58.49,"Accesible","Caro"))</f>
        <v>Económico</v>
      </c>
      <c r="J1148" t="s">
        <v>26</v>
      </c>
      <c r="K1148">
        <v>2</v>
      </c>
      <c r="L1148" s="19">
        <v>15.34</v>
      </c>
      <c r="M1148" s="19">
        <v>11.3</v>
      </c>
      <c r="N1148" s="11">
        <v>0.15</v>
      </c>
      <c r="O1148" s="17">
        <f t="shared" si="71"/>
        <v>26.077999999999999</v>
      </c>
      <c r="P1148" s="17">
        <f t="shared" si="68"/>
        <v>22.6</v>
      </c>
      <c r="Q1148" s="17">
        <f t="shared" si="69"/>
        <v>3.477999999999998</v>
      </c>
      <c r="R1148" s="24">
        <f t="shared" si="70"/>
        <v>0.13336912339903359</v>
      </c>
      <c r="S1148" t="s">
        <v>83</v>
      </c>
      <c r="T1148" t="s">
        <v>64</v>
      </c>
    </row>
    <row r="1149" spans="1:20">
      <c r="A1149" t="s">
        <v>1219</v>
      </c>
      <c r="B1149" s="5">
        <v>45684</v>
      </c>
      <c r="C1149" s="8">
        <f>YEAR(Tabla2[[#This Row],[fecha]])</f>
        <v>2025</v>
      </c>
      <c r="D1149" s="8">
        <f>MONTH(Tabla2[[#This Row],[fecha]])</f>
        <v>1</v>
      </c>
      <c r="E1149" s="8" t="str">
        <f>TEXT(Tabla2[[#This Row],[fecha]], "mmmm")</f>
        <v>enero</v>
      </c>
      <c r="F1149" s="8" t="str">
        <f>"T"&amp;ROUNDUP(Tabla2[[#This Row],[mes]]/3,0)</f>
        <v>T1</v>
      </c>
      <c r="G1149" t="s">
        <v>13</v>
      </c>
      <c r="H1149" t="s">
        <v>14</v>
      </c>
      <c r="I1149" s="8" t="str">
        <f>IF(Tabla2[[#This Row],[precio_unitario]]&lt;=30,"Económico",IF(Tabla2[[#This Row],[precio_unitario]]&lt;=58.49,"Accesible","Caro"))</f>
        <v>Caro</v>
      </c>
      <c r="J1149" t="s">
        <v>8</v>
      </c>
      <c r="K1149">
        <v>1</v>
      </c>
      <c r="L1149" s="19">
        <v>164.21</v>
      </c>
      <c r="M1149" s="19">
        <v>113.73</v>
      </c>
      <c r="N1149" s="11">
        <v>0</v>
      </c>
      <c r="O1149" s="17">
        <f t="shared" si="71"/>
        <v>164.21</v>
      </c>
      <c r="P1149" s="17">
        <f t="shared" si="68"/>
        <v>113.73</v>
      </c>
      <c r="Q1149" s="17">
        <f t="shared" si="69"/>
        <v>50.480000000000004</v>
      </c>
      <c r="R1149" s="24">
        <f t="shared" si="70"/>
        <v>0.30741124170269779</v>
      </c>
      <c r="S1149" t="s">
        <v>67</v>
      </c>
      <c r="T1149" t="s">
        <v>64</v>
      </c>
    </row>
    <row r="1150" spans="1:20">
      <c r="A1150" t="s">
        <v>1220</v>
      </c>
      <c r="B1150" s="5">
        <v>45982</v>
      </c>
      <c r="C1150" s="8">
        <f>YEAR(Tabla2[[#This Row],[fecha]])</f>
        <v>2025</v>
      </c>
      <c r="D1150" s="8">
        <f>MONTH(Tabla2[[#This Row],[fecha]])</f>
        <v>11</v>
      </c>
      <c r="E1150" s="8" t="str">
        <f>TEXT(Tabla2[[#This Row],[fecha]], "mmmm")</f>
        <v>noviembre</v>
      </c>
      <c r="F1150" s="8" t="str">
        <f>"T"&amp;ROUNDUP(Tabla2[[#This Row],[mes]]/3,0)</f>
        <v>T4</v>
      </c>
      <c r="G1150" t="s">
        <v>36</v>
      </c>
      <c r="H1150" t="s">
        <v>37</v>
      </c>
      <c r="I1150" s="8" t="str">
        <f>IF(Tabla2[[#This Row],[precio_unitario]]&lt;=30,"Económico",IF(Tabla2[[#This Row],[precio_unitario]]&lt;=58.49,"Accesible","Caro"))</f>
        <v>Económico</v>
      </c>
      <c r="J1150" t="s">
        <v>35</v>
      </c>
      <c r="K1150">
        <v>4</v>
      </c>
      <c r="L1150" s="19">
        <v>14.36</v>
      </c>
      <c r="M1150" s="21">
        <f>INDEX(Tabla3[coste_objetivo], MATCH(Tabla2[[#This Row],[id_producto]], Tabla3[id_producto],0))</f>
        <v>9.58</v>
      </c>
      <c r="N1150" s="11">
        <v>0</v>
      </c>
      <c r="O1150" s="17">
        <f t="shared" si="71"/>
        <v>57.44</v>
      </c>
      <c r="P1150" s="17">
        <f t="shared" si="68"/>
        <v>38.32</v>
      </c>
      <c r="Q1150" s="17">
        <f t="shared" si="69"/>
        <v>19.119999999999997</v>
      </c>
      <c r="R1150" s="24">
        <f t="shared" si="70"/>
        <v>0.33286908077994426</v>
      </c>
      <c r="S1150" t="s">
        <v>67</v>
      </c>
      <c r="T1150" t="s">
        <v>60</v>
      </c>
    </row>
    <row r="1151" spans="1:20" hidden="1">
      <c r="A1151" t="s">
        <v>1221</v>
      </c>
      <c r="B1151" s="5">
        <v>45663</v>
      </c>
      <c r="C1151" s="8">
        <f>YEAR(Tabla2[[#This Row],[fecha]])</f>
        <v>2025</v>
      </c>
      <c r="D1151" s="8">
        <f>MONTH(Tabla2[[#This Row],[fecha]])</f>
        <v>1</v>
      </c>
      <c r="E1151" s="8" t="str">
        <f>TEXT(Tabla2[[#This Row],[fecha]], "mmmm")</f>
        <v>enero</v>
      </c>
      <c r="F1151" s="8" t="str">
        <f>"T"&amp;ROUNDUP(Tabla2[[#This Row],[mes]]/3,0)</f>
        <v>T1</v>
      </c>
      <c r="G1151" t="s">
        <v>11</v>
      </c>
      <c r="H1151" t="s">
        <v>12</v>
      </c>
      <c r="I1151" s="8" t="str">
        <f>IF(Tabla2[[#This Row],[precio_unitario]]&lt;=30,"Económico",IF(Tabla2[[#This Row],[precio_unitario]]&lt;=58.49,"Accesible","Caro"))</f>
        <v>Caro</v>
      </c>
      <c r="J1151" t="s">
        <v>8</v>
      </c>
      <c r="K1151">
        <v>1</v>
      </c>
      <c r="L1151" s="19">
        <v>171.28</v>
      </c>
      <c r="M1151" s="19">
        <v>90.4</v>
      </c>
      <c r="N1151" s="11">
        <v>0</v>
      </c>
      <c r="O1151" s="17">
        <f t="shared" si="71"/>
        <v>171.28</v>
      </c>
      <c r="P1151" s="17">
        <f t="shared" si="68"/>
        <v>90.4</v>
      </c>
      <c r="Q1151" s="17">
        <f t="shared" si="69"/>
        <v>80.88</v>
      </c>
      <c r="R1151" s="24">
        <f t="shared" si="70"/>
        <v>0.47220924801494624</v>
      </c>
      <c r="S1151" t="s">
        <v>96</v>
      </c>
      <c r="T1151" t="s">
        <v>64</v>
      </c>
    </row>
    <row r="1152" spans="1:20" hidden="1">
      <c r="A1152" t="s">
        <v>1222</v>
      </c>
      <c r="B1152" s="5">
        <v>45858</v>
      </c>
      <c r="C1152" s="8">
        <f>YEAR(Tabla2[[#This Row],[fecha]])</f>
        <v>2025</v>
      </c>
      <c r="D1152" s="8">
        <f>MONTH(Tabla2[[#This Row],[fecha]])</f>
        <v>7</v>
      </c>
      <c r="E1152" s="8" t="str">
        <f>TEXT(Tabla2[[#This Row],[fecha]], "mmmm")</f>
        <v>julio</v>
      </c>
      <c r="F1152" s="8" t="str">
        <f>"T"&amp;ROUNDUP(Tabla2[[#This Row],[mes]]/3,0)</f>
        <v>T3</v>
      </c>
      <c r="G1152" t="s">
        <v>9</v>
      </c>
      <c r="H1152" t="s">
        <v>10</v>
      </c>
      <c r="I1152" s="8" t="str">
        <f>IF(Tabla2[[#This Row],[precio_unitario]]&lt;=30,"Económico",IF(Tabla2[[#This Row],[precio_unitario]]&lt;=58.49,"Accesible","Caro"))</f>
        <v>Caro</v>
      </c>
      <c r="J1152" t="s">
        <v>8</v>
      </c>
      <c r="K1152">
        <v>4</v>
      </c>
      <c r="L1152" s="19">
        <v>70.83</v>
      </c>
      <c r="M1152" s="19">
        <v>49.19</v>
      </c>
      <c r="N1152" s="13">
        <v>0</v>
      </c>
      <c r="O1152" s="17">
        <f t="shared" si="71"/>
        <v>283.32</v>
      </c>
      <c r="P1152" s="17">
        <f t="shared" si="68"/>
        <v>196.76</v>
      </c>
      <c r="Q1152" s="17">
        <f t="shared" si="69"/>
        <v>86.56</v>
      </c>
      <c r="R1152" s="24">
        <f t="shared" si="70"/>
        <v>0.3055202597769307</v>
      </c>
      <c r="S1152" t="s">
        <v>63</v>
      </c>
      <c r="T1152" t="s">
        <v>64</v>
      </c>
    </row>
    <row r="1153" spans="1:20" hidden="1">
      <c r="A1153" t="s">
        <v>1223</v>
      </c>
      <c r="B1153" s="5">
        <v>45533</v>
      </c>
      <c r="C1153" s="8">
        <f>YEAR(Tabla2[[#This Row],[fecha]])</f>
        <v>2024</v>
      </c>
      <c r="D1153" s="8">
        <f>MONTH(Tabla2[[#This Row],[fecha]])</f>
        <v>8</v>
      </c>
      <c r="E1153" s="8" t="str">
        <f>TEXT(Tabla2[[#This Row],[fecha]], "mmmm")</f>
        <v>agosto</v>
      </c>
      <c r="F1153" s="8" t="str">
        <f>"T"&amp;ROUNDUP(Tabla2[[#This Row],[mes]]/3,0)</f>
        <v>T3</v>
      </c>
      <c r="G1153" t="s">
        <v>40</v>
      </c>
      <c r="H1153" t="s">
        <v>41</v>
      </c>
      <c r="I1153" s="8" t="str">
        <f>IF(Tabla2[[#This Row],[precio_unitario]]&lt;=30,"Económico",IF(Tabla2[[#This Row],[precio_unitario]]&lt;=58.49,"Accesible","Caro"))</f>
        <v>Caro</v>
      </c>
      <c r="J1153" t="s">
        <v>35</v>
      </c>
      <c r="K1153">
        <v>7</v>
      </c>
      <c r="L1153" s="19">
        <v>72.760000000000005</v>
      </c>
      <c r="M1153" s="19">
        <v>42.09</v>
      </c>
      <c r="N1153" s="13">
        <v>0</v>
      </c>
      <c r="O1153" s="17">
        <f t="shared" si="71"/>
        <v>509.32000000000005</v>
      </c>
      <c r="P1153" s="17">
        <f t="shared" si="68"/>
        <v>294.63</v>
      </c>
      <c r="Q1153" s="17">
        <f t="shared" si="69"/>
        <v>214.69000000000005</v>
      </c>
      <c r="R1153" s="24">
        <f t="shared" si="70"/>
        <v>0.42152281473337005</v>
      </c>
      <c r="S1153" t="s">
        <v>96</v>
      </c>
      <c r="T1153" t="s">
        <v>64</v>
      </c>
    </row>
    <row r="1154" spans="1:20" hidden="1">
      <c r="A1154" t="s">
        <v>1224</v>
      </c>
      <c r="B1154" s="5">
        <v>45658</v>
      </c>
      <c r="C1154" s="8">
        <f>YEAR(Tabla2[[#This Row],[fecha]])</f>
        <v>2025</v>
      </c>
      <c r="D1154" s="8">
        <f>MONTH(Tabla2[[#This Row],[fecha]])</f>
        <v>1</v>
      </c>
      <c r="E1154" s="8" t="str">
        <f>TEXT(Tabla2[[#This Row],[fecha]], "mmmm")</f>
        <v>enero</v>
      </c>
      <c r="F1154" s="8" t="str">
        <f>"T"&amp;ROUNDUP(Tabla2[[#This Row],[mes]]/3,0)</f>
        <v>T1</v>
      </c>
      <c r="G1154" t="s">
        <v>49</v>
      </c>
      <c r="H1154" t="s">
        <v>50</v>
      </c>
      <c r="I1154" s="8" t="str">
        <f>IF(Tabla2[[#This Row],[precio_unitario]]&lt;=30,"Económico",IF(Tabla2[[#This Row],[precio_unitario]]&lt;=58.49,"Accesible","Caro"))</f>
        <v>Accesible</v>
      </c>
      <c r="J1154" t="s">
        <v>44</v>
      </c>
      <c r="K1154">
        <v>7</v>
      </c>
      <c r="L1154" s="19">
        <v>56.7</v>
      </c>
      <c r="M1154" s="19">
        <v>33.340000000000003</v>
      </c>
      <c r="N1154" s="11">
        <v>0.05</v>
      </c>
      <c r="O1154" s="17">
        <f t="shared" si="71"/>
        <v>377.05500000000001</v>
      </c>
      <c r="P1154" s="17">
        <f t="shared" ref="P1154:P1217" si="72">M1154*K1154</f>
        <v>233.38000000000002</v>
      </c>
      <c r="Q1154" s="17">
        <f t="shared" ref="Q1154:Q1217" si="73">O1154-P1154</f>
        <v>143.67499999999998</v>
      </c>
      <c r="R1154" s="24">
        <f t="shared" ref="R1154:R1217" si="74">IFERROR(Q1154/O1154,0)</f>
        <v>0.38104520560660904</v>
      </c>
      <c r="S1154" t="s">
        <v>540</v>
      </c>
      <c r="T1154" t="s">
        <v>64</v>
      </c>
    </row>
    <row r="1155" spans="1:20">
      <c r="A1155" t="s">
        <v>1225</v>
      </c>
      <c r="B1155" s="5">
        <v>45714</v>
      </c>
      <c r="C1155" s="8">
        <f>YEAR(Tabla2[[#This Row],[fecha]])</f>
        <v>2025</v>
      </c>
      <c r="D1155" s="8">
        <f>MONTH(Tabla2[[#This Row],[fecha]])</f>
        <v>2</v>
      </c>
      <c r="E1155" s="8" t="str">
        <f>TEXT(Tabla2[[#This Row],[fecha]], "mmmm")</f>
        <v>febrero</v>
      </c>
      <c r="F1155" s="8" t="str">
        <f>"T"&amp;ROUNDUP(Tabla2[[#This Row],[mes]]/3,0)</f>
        <v>T1</v>
      </c>
      <c r="G1155" t="s">
        <v>22</v>
      </c>
      <c r="H1155" t="s">
        <v>23</v>
      </c>
      <c r="I1155" s="8" t="str">
        <f>IF(Tabla2[[#This Row],[precio_unitario]]&lt;=30,"Económico",IF(Tabla2[[#This Row],[precio_unitario]]&lt;=58.49,"Accesible","Caro"))</f>
        <v>Caro</v>
      </c>
      <c r="J1155" t="s">
        <v>17</v>
      </c>
      <c r="K1155">
        <v>1</v>
      </c>
      <c r="L1155" s="19">
        <v>105.27</v>
      </c>
      <c r="M1155" s="19">
        <v>56.7</v>
      </c>
      <c r="N1155" s="11">
        <v>0</v>
      </c>
      <c r="O1155" s="17">
        <f t="shared" ref="O1155:O1218" si="75">K1155*L1155*(1-N1155)</f>
        <v>105.27</v>
      </c>
      <c r="P1155" s="17">
        <f t="shared" si="72"/>
        <v>56.7</v>
      </c>
      <c r="Q1155" s="17">
        <f t="shared" si="73"/>
        <v>48.569999999999993</v>
      </c>
      <c r="R1155" s="24">
        <f t="shared" si="74"/>
        <v>0.46138500997435161</v>
      </c>
      <c r="S1155" t="s">
        <v>67</v>
      </c>
      <c r="T1155" t="s">
        <v>60</v>
      </c>
    </row>
    <row r="1156" spans="1:20" hidden="1">
      <c r="A1156" t="s">
        <v>1226</v>
      </c>
      <c r="B1156" s="5">
        <v>45415</v>
      </c>
      <c r="C1156" s="8">
        <f>YEAR(Tabla2[[#This Row],[fecha]])</f>
        <v>2024</v>
      </c>
      <c r="D1156" s="8">
        <f>MONTH(Tabla2[[#This Row],[fecha]])</f>
        <v>5</v>
      </c>
      <c r="E1156" s="8" t="str">
        <f>TEXT(Tabla2[[#This Row],[fecha]], "mmmm")</f>
        <v>mayo</v>
      </c>
      <c r="F1156" s="8" t="str">
        <f>"T"&amp;ROUNDUP(Tabla2[[#This Row],[mes]]/3,0)</f>
        <v>T2</v>
      </c>
      <c r="G1156" t="s">
        <v>49</v>
      </c>
      <c r="H1156" t="s">
        <v>50</v>
      </c>
      <c r="I1156" s="8" t="str">
        <f>IF(Tabla2[[#This Row],[precio_unitario]]&lt;=30,"Económico",IF(Tabla2[[#This Row],[precio_unitario]]&lt;=58.49,"Accesible","Caro"))</f>
        <v>Caro</v>
      </c>
      <c r="J1156" t="s">
        <v>44</v>
      </c>
      <c r="K1156">
        <v>1</v>
      </c>
      <c r="L1156" s="19">
        <v>61.88</v>
      </c>
      <c r="M1156" s="19">
        <v>32.32</v>
      </c>
      <c r="N1156" s="11">
        <v>0</v>
      </c>
      <c r="O1156" s="17">
        <f t="shared" si="75"/>
        <v>61.88</v>
      </c>
      <c r="P1156" s="17">
        <f t="shared" si="72"/>
        <v>32.32</v>
      </c>
      <c r="Q1156" s="17">
        <f t="shared" si="73"/>
        <v>29.560000000000002</v>
      </c>
      <c r="R1156" s="24">
        <f t="shared" si="74"/>
        <v>0.4776987718164189</v>
      </c>
      <c r="S1156" t="s">
        <v>63</v>
      </c>
      <c r="T1156" t="s">
        <v>64</v>
      </c>
    </row>
    <row r="1157" spans="1:20">
      <c r="A1157" t="s">
        <v>1227</v>
      </c>
      <c r="B1157" s="5">
        <v>46002</v>
      </c>
      <c r="C1157" s="8">
        <f>YEAR(Tabla2[[#This Row],[fecha]])</f>
        <v>2025</v>
      </c>
      <c r="D1157" s="8">
        <f>MONTH(Tabla2[[#This Row],[fecha]])</f>
        <v>12</v>
      </c>
      <c r="E1157" s="8" t="str">
        <f>TEXT(Tabla2[[#This Row],[fecha]], "mmmm")</f>
        <v>diciembre</v>
      </c>
      <c r="F1157" s="8" t="str">
        <f>"T"&amp;ROUNDUP(Tabla2[[#This Row],[mes]]/3,0)</f>
        <v>T4</v>
      </c>
      <c r="G1157" t="s">
        <v>45</v>
      </c>
      <c r="H1157" t="s">
        <v>46</v>
      </c>
      <c r="I1157" s="8" t="str">
        <f>IF(Tabla2[[#This Row],[precio_unitario]]&lt;=30,"Económico",IF(Tabla2[[#This Row],[precio_unitario]]&lt;=58.49,"Accesible","Caro"))</f>
        <v>Accesible</v>
      </c>
      <c r="J1157" t="s">
        <v>44</v>
      </c>
      <c r="K1157">
        <v>1</v>
      </c>
      <c r="L1157" s="19">
        <v>31.28</v>
      </c>
      <c r="M1157" s="21">
        <f>INDEX(Tabla3[coste_objetivo], MATCH(Tabla2[[#This Row],[id_producto]], Tabla3[id_producto],0))</f>
        <v>17.309999999999999</v>
      </c>
      <c r="N1157" s="11">
        <v>0</v>
      </c>
      <c r="O1157" s="17">
        <f t="shared" si="75"/>
        <v>31.28</v>
      </c>
      <c r="P1157" s="17">
        <f t="shared" si="72"/>
        <v>17.309999999999999</v>
      </c>
      <c r="Q1157" s="17">
        <f t="shared" si="73"/>
        <v>13.970000000000002</v>
      </c>
      <c r="R1157" s="24">
        <f t="shared" si="74"/>
        <v>0.44661125319693101</v>
      </c>
      <c r="S1157" t="s">
        <v>67</v>
      </c>
      <c r="T1157" t="s">
        <v>64</v>
      </c>
    </row>
    <row r="1158" spans="1:20" hidden="1">
      <c r="A1158" t="s">
        <v>1228</v>
      </c>
      <c r="B1158" s="5">
        <v>45472</v>
      </c>
      <c r="C1158" s="8">
        <f>YEAR(Tabla2[[#This Row],[fecha]])</f>
        <v>2024</v>
      </c>
      <c r="D1158" s="8">
        <f>MONTH(Tabla2[[#This Row],[fecha]])</f>
        <v>6</v>
      </c>
      <c r="E1158" s="8" t="str">
        <f>TEXT(Tabla2[[#This Row],[fecha]], "mmmm")</f>
        <v>junio</v>
      </c>
      <c r="F1158" s="8" t="str">
        <f>"T"&amp;ROUNDUP(Tabla2[[#This Row],[mes]]/3,0)</f>
        <v>T2</v>
      </c>
      <c r="G1158" t="s">
        <v>22</v>
      </c>
      <c r="H1158" t="s">
        <v>23</v>
      </c>
      <c r="I1158" s="8" t="str">
        <f>IF(Tabla2[[#This Row],[precio_unitario]]&lt;=30,"Económico",IF(Tabla2[[#This Row],[precio_unitario]]&lt;=58.49,"Accesible","Caro"))</f>
        <v>Caro</v>
      </c>
      <c r="J1158" t="s">
        <v>17</v>
      </c>
      <c r="K1158">
        <v>2</v>
      </c>
      <c r="L1158" s="19">
        <v>109.47</v>
      </c>
      <c r="M1158" s="19">
        <v>55.29</v>
      </c>
      <c r="N1158" s="11">
        <v>0.17</v>
      </c>
      <c r="O1158" s="17">
        <f t="shared" si="75"/>
        <v>181.72019999999998</v>
      </c>
      <c r="P1158" s="17">
        <f t="shared" si="72"/>
        <v>110.58</v>
      </c>
      <c r="Q1158" s="17">
        <f t="shared" si="73"/>
        <v>71.140199999999979</v>
      </c>
      <c r="R1158" s="24">
        <f t="shared" si="74"/>
        <v>0.39148206968735444</v>
      </c>
      <c r="S1158" t="s">
        <v>63</v>
      </c>
      <c r="T1158" t="s">
        <v>64</v>
      </c>
    </row>
    <row r="1159" spans="1:20" hidden="1">
      <c r="A1159" t="s">
        <v>1229</v>
      </c>
      <c r="B1159" s="5">
        <v>45668</v>
      </c>
      <c r="C1159" s="8">
        <f>YEAR(Tabla2[[#This Row],[fecha]])</f>
        <v>2025</v>
      </c>
      <c r="D1159" s="8">
        <f>MONTH(Tabla2[[#This Row],[fecha]])</f>
        <v>1</v>
      </c>
      <c r="E1159" s="8" t="str">
        <f>TEXT(Tabla2[[#This Row],[fecha]], "mmmm")</f>
        <v>enero</v>
      </c>
      <c r="F1159" s="8" t="str">
        <f>"T"&amp;ROUNDUP(Tabla2[[#This Row],[mes]]/3,0)</f>
        <v>T1</v>
      </c>
      <c r="G1159" t="s">
        <v>18</v>
      </c>
      <c r="H1159" t="s">
        <v>19</v>
      </c>
      <c r="I1159" s="8" t="str">
        <f>IF(Tabla2[[#This Row],[precio_unitario]]&lt;=30,"Económico",IF(Tabla2[[#This Row],[precio_unitario]]&lt;=58.49,"Accesible","Caro"))</f>
        <v>Accesible</v>
      </c>
      <c r="J1159" t="s">
        <v>17</v>
      </c>
      <c r="K1159" s="10">
        <v>1</v>
      </c>
      <c r="L1159" s="19">
        <v>46.05</v>
      </c>
      <c r="M1159" s="19">
        <v>27.64</v>
      </c>
      <c r="N1159" s="11">
        <v>0</v>
      </c>
      <c r="O1159" s="17">
        <f t="shared" si="75"/>
        <v>46.05</v>
      </c>
      <c r="P1159" s="17">
        <f t="shared" si="72"/>
        <v>27.64</v>
      </c>
      <c r="Q1159" s="17">
        <f t="shared" si="73"/>
        <v>18.409999999999997</v>
      </c>
      <c r="R1159" s="24">
        <f t="shared" si="74"/>
        <v>0.39978284473398473</v>
      </c>
      <c r="S1159" t="s">
        <v>63</v>
      </c>
      <c r="T1159" t="s">
        <v>64</v>
      </c>
    </row>
    <row r="1160" spans="1:20" hidden="1">
      <c r="A1160" t="s">
        <v>1230</v>
      </c>
      <c r="B1160" s="5">
        <v>45407</v>
      </c>
      <c r="C1160" s="8">
        <f>YEAR(Tabla2[[#This Row],[fecha]])</f>
        <v>2024</v>
      </c>
      <c r="D1160" s="8">
        <f>MONTH(Tabla2[[#This Row],[fecha]])</f>
        <v>4</v>
      </c>
      <c r="E1160" s="8" t="str">
        <f>TEXT(Tabla2[[#This Row],[fecha]], "mmmm")</f>
        <v>abril</v>
      </c>
      <c r="F1160" s="8" t="str">
        <f>"T"&amp;ROUNDUP(Tabla2[[#This Row],[mes]]/3,0)</f>
        <v>T2</v>
      </c>
      <c r="G1160" t="s">
        <v>42</v>
      </c>
      <c r="H1160" t="s">
        <v>43</v>
      </c>
      <c r="I1160" s="8" t="str">
        <f>IF(Tabla2[[#This Row],[precio_unitario]]&lt;=30,"Económico",IF(Tabla2[[#This Row],[precio_unitario]]&lt;=58.49,"Accesible","Caro"))</f>
        <v>Accesible</v>
      </c>
      <c r="J1160" t="s">
        <v>44</v>
      </c>
      <c r="K1160">
        <v>3</v>
      </c>
      <c r="L1160" s="19">
        <v>49.66</v>
      </c>
      <c r="M1160" s="19">
        <v>23.27</v>
      </c>
      <c r="N1160" s="13">
        <v>0</v>
      </c>
      <c r="O1160" s="17">
        <f t="shared" si="75"/>
        <v>148.97999999999999</v>
      </c>
      <c r="P1160" s="17">
        <f t="shared" si="72"/>
        <v>69.81</v>
      </c>
      <c r="Q1160" s="17">
        <f t="shared" si="73"/>
        <v>79.169999999999987</v>
      </c>
      <c r="R1160" s="24">
        <f t="shared" si="74"/>
        <v>0.53141361256544495</v>
      </c>
      <c r="S1160" t="s">
        <v>83</v>
      </c>
      <c r="T1160" t="s">
        <v>60</v>
      </c>
    </row>
    <row r="1161" spans="1:20" hidden="1">
      <c r="A1161" t="s">
        <v>1231</v>
      </c>
      <c r="B1161" s="5">
        <v>45657</v>
      </c>
      <c r="C1161" s="8">
        <f>YEAR(Tabla2[[#This Row],[fecha]])</f>
        <v>2024</v>
      </c>
      <c r="D1161" s="8">
        <f>MONTH(Tabla2[[#This Row],[fecha]])</f>
        <v>12</v>
      </c>
      <c r="E1161" s="8" t="str">
        <f>TEXT(Tabla2[[#This Row],[fecha]], "mmmm")</f>
        <v>diciembre</v>
      </c>
      <c r="F1161" s="8" t="str">
        <f>"T"&amp;ROUNDUP(Tabla2[[#This Row],[mes]]/3,0)</f>
        <v>T4</v>
      </c>
      <c r="G1161" t="s">
        <v>20</v>
      </c>
      <c r="H1161" t="s">
        <v>21</v>
      </c>
      <c r="I1161" s="8" t="str">
        <f>IF(Tabla2[[#This Row],[precio_unitario]]&lt;=30,"Económico",IF(Tabla2[[#This Row],[precio_unitario]]&lt;=58.49,"Accesible","Caro"))</f>
        <v>Económico</v>
      </c>
      <c r="J1161" t="s">
        <v>17</v>
      </c>
      <c r="K1161">
        <v>5</v>
      </c>
      <c r="L1161" s="19">
        <v>20.76</v>
      </c>
      <c r="M1161" s="19">
        <v>13.41</v>
      </c>
      <c r="N1161" s="11">
        <v>0</v>
      </c>
      <c r="O1161" s="17">
        <f t="shared" si="75"/>
        <v>103.80000000000001</v>
      </c>
      <c r="P1161" s="17">
        <f t="shared" si="72"/>
        <v>67.05</v>
      </c>
      <c r="Q1161" s="17">
        <f t="shared" si="73"/>
        <v>36.750000000000014</v>
      </c>
      <c r="R1161" s="24">
        <f t="shared" si="74"/>
        <v>0.35404624277456659</v>
      </c>
      <c r="S1161" t="s">
        <v>540</v>
      </c>
      <c r="T1161" t="s">
        <v>64</v>
      </c>
    </row>
    <row r="1162" spans="1:20" hidden="1">
      <c r="A1162" t="s">
        <v>1232</v>
      </c>
      <c r="B1162" s="5">
        <v>45799</v>
      </c>
      <c r="C1162" s="8">
        <f>YEAR(Tabla2[[#This Row],[fecha]])</f>
        <v>2025</v>
      </c>
      <c r="D1162" s="8">
        <f>MONTH(Tabla2[[#This Row],[fecha]])</f>
        <v>5</v>
      </c>
      <c r="E1162" s="8" t="str">
        <f>TEXT(Tabla2[[#This Row],[fecha]], "mmmm")</f>
        <v>mayo</v>
      </c>
      <c r="F1162" s="8" t="str">
        <f>"T"&amp;ROUNDUP(Tabla2[[#This Row],[mes]]/3,0)</f>
        <v>T2</v>
      </c>
      <c r="G1162" t="s">
        <v>15</v>
      </c>
      <c r="H1162" t="s">
        <v>16</v>
      </c>
      <c r="I1162" s="8" t="str">
        <f>IF(Tabla2[[#This Row],[precio_unitario]]&lt;=30,"Económico",IF(Tabla2[[#This Row],[precio_unitario]]&lt;=58.49,"Accesible","Caro"))</f>
        <v>Accesible</v>
      </c>
      <c r="J1162" t="s">
        <v>17</v>
      </c>
      <c r="K1162">
        <v>1</v>
      </c>
      <c r="L1162" s="19">
        <v>55.85</v>
      </c>
      <c r="M1162" s="19">
        <v>42.86</v>
      </c>
      <c r="N1162" s="11">
        <v>0.09</v>
      </c>
      <c r="O1162" s="17">
        <f t="shared" si="75"/>
        <v>50.823500000000003</v>
      </c>
      <c r="P1162" s="17">
        <f t="shared" si="72"/>
        <v>42.86</v>
      </c>
      <c r="Q1162" s="17">
        <f t="shared" si="73"/>
        <v>7.9635000000000034</v>
      </c>
      <c r="R1162" s="24">
        <f t="shared" si="74"/>
        <v>0.15668932678780492</v>
      </c>
      <c r="S1162" t="s">
        <v>101</v>
      </c>
      <c r="T1162" t="s">
        <v>60</v>
      </c>
    </row>
    <row r="1163" spans="1:20" hidden="1">
      <c r="A1163" t="s">
        <v>1233</v>
      </c>
      <c r="B1163" s="5">
        <v>45390</v>
      </c>
      <c r="C1163" s="8">
        <f>YEAR(Tabla2[[#This Row],[fecha]])</f>
        <v>2024</v>
      </c>
      <c r="D1163" s="8">
        <f>MONTH(Tabla2[[#This Row],[fecha]])</f>
        <v>4</v>
      </c>
      <c r="E1163" s="8" t="str">
        <f>TEXT(Tabla2[[#This Row],[fecha]], "mmmm")</f>
        <v>abril</v>
      </c>
      <c r="F1163" s="8" t="str">
        <f>"T"&amp;ROUNDUP(Tabla2[[#This Row],[mes]]/3,0)</f>
        <v>T2</v>
      </c>
      <c r="G1163" t="s">
        <v>31</v>
      </c>
      <c r="H1163" t="s">
        <v>32</v>
      </c>
      <c r="I1163" s="8" t="str">
        <f>IF(Tabla2[[#This Row],[precio_unitario]]&lt;=30,"Económico",IF(Tabla2[[#This Row],[precio_unitario]]&lt;=58.49,"Accesible","Caro"))</f>
        <v>Económico</v>
      </c>
      <c r="J1163" t="s">
        <v>26</v>
      </c>
      <c r="K1163">
        <v>6</v>
      </c>
      <c r="L1163" s="19">
        <v>8.73</v>
      </c>
      <c r="M1163" s="19">
        <v>5.73</v>
      </c>
      <c r="N1163" s="11">
        <v>0</v>
      </c>
      <c r="O1163" s="17">
        <f t="shared" si="75"/>
        <v>52.38</v>
      </c>
      <c r="P1163" s="17">
        <f t="shared" si="72"/>
        <v>34.380000000000003</v>
      </c>
      <c r="Q1163" s="17">
        <f t="shared" si="73"/>
        <v>18</v>
      </c>
      <c r="R1163" s="24">
        <f t="shared" si="74"/>
        <v>0.3436426116838488</v>
      </c>
      <c r="S1163" t="s">
        <v>67</v>
      </c>
      <c r="T1163" t="s">
        <v>64</v>
      </c>
    </row>
    <row r="1164" spans="1:20" hidden="1">
      <c r="A1164" t="s">
        <v>1234</v>
      </c>
      <c r="B1164" s="5">
        <v>46006</v>
      </c>
      <c r="C1164" s="8">
        <f>YEAR(Tabla2[[#This Row],[fecha]])</f>
        <v>2025</v>
      </c>
      <c r="D1164" s="8">
        <f>MONTH(Tabla2[[#This Row],[fecha]])</f>
        <v>12</v>
      </c>
      <c r="E1164" s="8" t="str">
        <f>TEXT(Tabla2[[#This Row],[fecha]], "mmmm")</f>
        <v>diciembre</v>
      </c>
      <c r="F1164" s="8" t="str">
        <f>"T"&amp;ROUNDUP(Tabla2[[#This Row],[mes]]/3,0)</f>
        <v>T4</v>
      </c>
      <c r="G1164" t="s">
        <v>29</v>
      </c>
      <c r="H1164" t="s">
        <v>30</v>
      </c>
      <c r="I1164" s="8" t="str">
        <f>IF(Tabla2[[#This Row],[precio_unitario]]&lt;=30,"Económico",IF(Tabla2[[#This Row],[precio_unitario]]&lt;=58.49,"Accesible","Caro"))</f>
        <v>Económico</v>
      </c>
      <c r="J1164" t="s">
        <v>26</v>
      </c>
      <c r="K1164">
        <v>2</v>
      </c>
      <c r="L1164" s="19">
        <v>23.06</v>
      </c>
      <c r="M1164" s="19">
        <v>11.38</v>
      </c>
      <c r="N1164" s="11">
        <v>0.28000000000000003</v>
      </c>
      <c r="O1164" s="17">
        <f t="shared" si="75"/>
        <v>33.206399999999995</v>
      </c>
      <c r="P1164" s="17">
        <f t="shared" si="72"/>
        <v>22.76</v>
      </c>
      <c r="Q1164" s="17">
        <f t="shared" si="73"/>
        <v>10.446399999999993</v>
      </c>
      <c r="R1164" s="24">
        <f t="shared" si="74"/>
        <v>0.31458995856220473</v>
      </c>
      <c r="S1164" t="s">
        <v>540</v>
      </c>
      <c r="T1164" t="s">
        <v>60</v>
      </c>
    </row>
    <row r="1165" spans="1:20" hidden="1">
      <c r="A1165" t="s">
        <v>1235</v>
      </c>
      <c r="B1165" s="5">
        <v>45727</v>
      </c>
      <c r="C1165" s="8">
        <f>YEAR(Tabla2[[#This Row],[fecha]])</f>
        <v>2025</v>
      </c>
      <c r="D1165" s="8">
        <f>MONTH(Tabla2[[#This Row],[fecha]])</f>
        <v>3</v>
      </c>
      <c r="E1165" s="8" t="str">
        <f>TEXT(Tabla2[[#This Row],[fecha]], "mmmm")</f>
        <v>marzo</v>
      </c>
      <c r="F1165" s="8" t="str">
        <f>"T"&amp;ROUNDUP(Tabla2[[#This Row],[mes]]/3,0)</f>
        <v>T1</v>
      </c>
      <c r="G1165" t="s">
        <v>13</v>
      </c>
      <c r="H1165" t="s">
        <v>14</v>
      </c>
      <c r="I1165" s="8" t="str">
        <f>IF(Tabla2[[#This Row],[precio_unitario]]&lt;=30,"Económico",IF(Tabla2[[#This Row],[precio_unitario]]&lt;=58.49,"Accesible","Caro"))</f>
        <v>Caro</v>
      </c>
      <c r="J1165" t="s">
        <v>8</v>
      </c>
      <c r="K1165">
        <v>1</v>
      </c>
      <c r="L1165" s="19">
        <v>158.4</v>
      </c>
      <c r="M1165" s="19">
        <v>105.31</v>
      </c>
      <c r="N1165" s="11">
        <v>0</v>
      </c>
      <c r="O1165" s="17">
        <f t="shared" si="75"/>
        <v>158.4</v>
      </c>
      <c r="P1165" s="17">
        <f t="shared" si="72"/>
        <v>105.31</v>
      </c>
      <c r="Q1165" s="17">
        <f t="shared" si="73"/>
        <v>53.09</v>
      </c>
      <c r="R1165" s="24">
        <f t="shared" si="74"/>
        <v>0.33516414141414141</v>
      </c>
      <c r="S1165" t="s">
        <v>83</v>
      </c>
      <c r="T1165" t="s">
        <v>64</v>
      </c>
    </row>
    <row r="1166" spans="1:20" hidden="1">
      <c r="A1166" t="s">
        <v>1236</v>
      </c>
      <c r="B1166" s="5">
        <v>45751</v>
      </c>
      <c r="C1166" s="8">
        <f>YEAR(Tabla2[[#This Row],[fecha]])</f>
        <v>2025</v>
      </c>
      <c r="D1166" s="8">
        <f>MONTH(Tabla2[[#This Row],[fecha]])</f>
        <v>4</v>
      </c>
      <c r="E1166" s="8" t="str">
        <f>TEXT(Tabla2[[#This Row],[fecha]], "mmmm")</f>
        <v>abril</v>
      </c>
      <c r="F1166" s="8" t="str">
        <f>"T"&amp;ROUNDUP(Tabla2[[#This Row],[mes]]/3,0)</f>
        <v>T2</v>
      </c>
      <c r="G1166" t="s">
        <v>6</v>
      </c>
      <c r="H1166" t="s">
        <v>7</v>
      </c>
      <c r="I1166" s="8" t="str">
        <f>IF(Tabla2[[#This Row],[precio_unitario]]&lt;=30,"Económico",IF(Tabla2[[#This Row],[precio_unitario]]&lt;=58.49,"Accesible","Caro"))</f>
        <v>Caro</v>
      </c>
      <c r="J1166" t="s">
        <v>8</v>
      </c>
      <c r="K1166">
        <v>2</v>
      </c>
      <c r="L1166" s="19">
        <v>127.23</v>
      </c>
      <c r="M1166" s="19">
        <v>85.59</v>
      </c>
      <c r="N1166" s="11">
        <v>0</v>
      </c>
      <c r="O1166" s="17">
        <f t="shared" si="75"/>
        <v>254.46</v>
      </c>
      <c r="P1166" s="17">
        <f t="shared" si="72"/>
        <v>171.18</v>
      </c>
      <c r="Q1166" s="17">
        <f t="shared" si="73"/>
        <v>83.28</v>
      </c>
      <c r="R1166" s="24">
        <f t="shared" si="74"/>
        <v>0.32728130157981605</v>
      </c>
      <c r="S1166" t="s">
        <v>83</v>
      </c>
      <c r="T1166" t="s">
        <v>1064</v>
      </c>
    </row>
    <row r="1167" spans="1:20" hidden="1">
      <c r="A1167" t="s">
        <v>1237</v>
      </c>
      <c r="B1167" s="5">
        <v>45496</v>
      </c>
      <c r="C1167" s="8">
        <f>YEAR(Tabla2[[#This Row],[fecha]])</f>
        <v>2024</v>
      </c>
      <c r="D1167" s="8">
        <f>MONTH(Tabla2[[#This Row],[fecha]])</f>
        <v>7</v>
      </c>
      <c r="E1167" s="8" t="str">
        <f>TEXT(Tabla2[[#This Row],[fecha]], "mmmm")</f>
        <v>julio</v>
      </c>
      <c r="F1167" s="8" t="str">
        <f>"T"&amp;ROUNDUP(Tabla2[[#This Row],[mes]]/3,0)</f>
        <v>T3</v>
      </c>
      <c r="G1167" t="s">
        <v>22</v>
      </c>
      <c r="H1167" t="s">
        <v>23</v>
      </c>
      <c r="I1167" s="8" t="str">
        <f>IF(Tabla2[[#This Row],[precio_unitario]]&lt;=30,"Económico",IF(Tabla2[[#This Row],[precio_unitario]]&lt;=58.49,"Accesible","Caro"))</f>
        <v>Caro</v>
      </c>
      <c r="J1167" t="s">
        <v>17</v>
      </c>
      <c r="K1167">
        <v>1</v>
      </c>
      <c r="L1167" s="19">
        <v>98.15</v>
      </c>
      <c r="M1167" s="19">
        <v>54.73</v>
      </c>
      <c r="N1167" s="11">
        <v>0.13</v>
      </c>
      <c r="O1167" s="17">
        <f t="shared" si="75"/>
        <v>85.390500000000003</v>
      </c>
      <c r="P1167" s="17">
        <f t="shared" si="72"/>
        <v>54.73</v>
      </c>
      <c r="Q1167" s="17">
        <f t="shared" si="73"/>
        <v>30.660500000000006</v>
      </c>
      <c r="R1167" s="24">
        <f t="shared" si="74"/>
        <v>0.35906219075892526</v>
      </c>
      <c r="S1167" t="s">
        <v>63</v>
      </c>
      <c r="T1167" t="s">
        <v>64</v>
      </c>
    </row>
    <row r="1168" spans="1:20">
      <c r="A1168" t="s">
        <v>1238</v>
      </c>
      <c r="B1168" s="5">
        <v>45723</v>
      </c>
      <c r="C1168" s="8">
        <f>YEAR(Tabla2[[#This Row],[fecha]])</f>
        <v>2025</v>
      </c>
      <c r="D1168" s="8">
        <f>MONTH(Tabla2[[#This Row],[fecha]])</f>
        <v>3</v>
      </c>
      <c r="E1168" s="8" t="str">
        <f>TEXT(Tabla2[[#This Row],[fecha]], "mmmm")</f>
        <v>marzo</v>
      </c>
      <c r="F1168" s="8" t="str">
        <f>"T"&amp;ROUNDUP(Tabla2[[#This Row],[mes]]/3,0)</f>
        <v>T1</v>
      </c>
      <c r="G1168" t="s">
        <v>36</v>
      </c>
      <c r="H1168" t="s">
        <v>37</v>
      </c>
      <c r="I1168" s="8" t="str">
        <f>IF(Tabla2[[#This Row],[precio_unitario]]&lt;=30,"Económico",IF(Tabla2[[#This Row],[precio_unitario]]&lt;=58.49,"Accesible","Caro"))</f>
        <v>Económico</v>
      </c>
      <c r="J1168" t="s">
        <v>35</v>
      </c>
      <c r="K1168">
        <v>6</v>
      </c>
      <c r="L1168" s="19">
        <v>14.61</v>
      </c>
      <c r="M1168" s="19">
        <v>9.9700000000000006</v>
      </c>
      <c r="N1168" s="11">
        <v>0</v>
      </c>
      <c r="O1168" s="17">
        <f t="shared" si="75"/>
        <v>87.66</v>
      </c>
      <c r="P1168" s="17">
        <f t="shared" si="72"/>
        <v>59.820000000000007</v>
      </c>
      <c r="Q1168" s="17">
        <f t="shared" si="73"/>
        <v>27.839999999999989</v>
      </c>
      <c r="R1168" s="24">
        <f t="shared" si="74"/>
        <v>0.31759069130732365</v>
      </c>
      <c r="S1168" t="s">
        <v>67</v>
      </c>
      <c r="T1168" t="s">
        <v>60</v>
      </c>
    </row>
    <row r="1169" spans="1:20">
      <c r="A1169" t="s">
        <v>1239</v>
      </c>
      <c r="B1169" s="5">
        <v>46010</v>
      </c>
      <c r="C1169" s="8">
        <f>YEAR(Tabla2[[#This Row],[fecha]])</f>
        <v>2025</v>
      </c>
      <c r="D1169" s="8">
        <f>MONTH(Tabla2[[#This Row],[fecha]])</f>
        <v>12</v>
      </c>
      <c r="E1169" s="8" t="str">
        <f>TEXT(Tabla2[[#This Row],[fecha]], "mmmm")</f>
        <v>diciembre</v>
      </c>
      <c r="F1169" s="8" t="str">
        <f>"T"&amp;ROUNDUP(Tabla2[[#This Row],[mes]]/3,0)</f>
        <v>T4</v>
      </c>
      <c r="G1169" t="s">
        <v>45</v>
      </c>
      <c r="H1169" t="s">
        <v>46</v>
      </c>
      <c r="I1169" s="8" t="str">
        <f>IF(Tabla2[[#This Row],[precio_unitario]]&lt;=30,"Económico",IF(Tabla2[[#This Row],[precio_unitario]]&lt;=58.49,"Accesible","Caro"))</f>
        <v>Accesible</v>
      </c>
      <c r="J1169" t="s">
        <v>44</v>
      </c>
      <c r="K1169">
        <v>5</v>
      </c>
      <c r="L1169" s="19">
        <v>31.54</v>
      </c>
      <c r="M1169" s="21">
        <f>INDEX(Tabla3[coste_objetivo], MATCH(Tabla2[[#This Row],[id_producto]], Tabla3[id_producto],0))</f>
        <v>17.309999999999999</v>
      </c>
      <c r="N1169" s="11">
        <v>0</v>
      </c>
      <c r="O1169" s="17">
        <f t="shared" si="75"/>
        <v>157.69999999999999</v>
      </c>
      <c r="P1169" s="17">
        <f t="shared" si="72"/>
        <v>86.55</v>
      </c>
      <c r="Q1169" s="17">
        <f t="shared" si="73"/>
        <v>71.149999999999991</v>
      </c>
      <c r="R1169" s="24">
        <f t="shared" si="74"/>
        <v>0.45117311350665817</v>
      </c>
      <c r="S1169" t="s">
        <v>67</v>
      </c>
      <c r="T1169" t="s">
        <v>64</v>
      </c>
    </row>
    <row r="1170" spans="1:20" hidden="1">
      <c r="A1170" t="s">
        <v>1240</v>
      </c>
      <c r="B1170" s="5">
        <v>45712</v>
      </c>
      <c r="C1170" s="8">
        <f>YEAR(Tabla2[[#This Row],[fecha]])</f>
        <v>2025</v>
      </c>
      <c r="D1170" s="8">
        <f>MONTH(Tabla2[[#This Row],[fecha]])</f>
        <v>2</v>
      </c>
      <c r="E1170" s="8" t="str">
        <f>TEXT(Tabla2[[#This Row],[fecha]], "mmmm")</f>
        <v>febrero</v>
      </c>
      <c r="F1170" s="8" t="str">
        <f>"T"&amp;ROUNDUP(Tabla2[[#This Row],[mes]]/3,0)</f>
        <v>T1</v>
      </c>
      <c r="G1170" t="s">
        <v>13</v>
      </c>
      <c r="H1170" t="s">
        <v>14</v>
      </c>
      <c r="I1170" s="8" t="str">
        <f>IF(Tabla2[[#This Row],[precio_unitario]]&lt;=30,"Económico",IF(Tabla2[[#This Row],[precio_unitario]]&lt;=58.49,"Accesible","Caro"))</f>
        <v>Caro</v>
      </c>
      <c r="J1170" t="s">
        <v>8</v>
      </c>
      <c r="K1170">
        <v>1</v>
      </c>
      <c r="L1170" s="19">
        <v>173.53</v>
      </c>
      <c r="M1170" s="19">
        <v>109.87</v>
      </c>
      <c r="N1170" s="13">
        <v>0</v>
      </c>
      <c r="O1170" s="17">
        <f t="shared" si="75"/>
        <v>173.53</v>
      </c>
      <c r="P1170" s="17">
        <f t="shared" si="72"/>
        <v>109.87</v>
      </c>
      <c r="Q1170" s="17">
        <f t="shared" si="73"/>
        <v>63.66</v>
      </c>
      <c r="R1170" s="24">
        <f t="shared" si="74"/>
        <v>0.36685299371866537</v>
      </c>
      <c r="S1170" t="s">
        <v>96</v>
      </c>
      <c r="T1170" t="s">
        <v>64</v>
      </c>
    </row>
    <row r="1171" spans="1:20">
      <c r="A1171" t="s">
        <v>1241</v>
      </c>
      <c r="B1171" s="5">
        <v>45891</v>
      </c>
      <c r="C1171" s="8">
        <f>YEAR(Tabla2[[#This Row],[fecha]])</f>
        <v>2025</v>
      </c>
      <c r="D1171" s="8">
        <f>MONTH(Tabla2[[#This Row],[fecha]])</f>
        <v>8</v>
      </c>
      <c r="E1171" s="8" t="str">
        <f>TEXT(Tabla2[[#This Row],[fecha]], "mmmm")</f>
        <v>agosto</v>
      </c>
      <c r="F1171" s="8" t="str">
        <f>"T"&amp;ROUNDUP(Tabla2[[#This Row],[mes]]/3,0)</f>
        <v>T3</v>
      </c>
      <c r="G1171" t="s">
        <v>36</v>
      </c>
      <c r="H1171" t="s">
        <v>37</v>
      </c>
      <c r="I1171" s="8" t="str">
        <f>IF(Tabla2[[#This Row],[precio_unitario]]&lt;=30,"Económico",IF(Tabla2[[#This Row],[precio_unitario]]&lt;=58.49,"Accesible","Caro"))</f>
        <v>Económico</v>
      </c>
      <c r="J1171" t="s">
        <v>35</v>
      </c>
      <c r="K1171">
        <v>2</v>
      </c>
      <c r="L1171" s="19">
        <v>14.44</v>
      </c>
      <c r="M1171" s="19">
        <v>9.81</v>
      </c>
      <c r="N1171" s="11">
        <v>0</v>
      </c>
      <c r="O1171" s="17">
        <f t="shared" si="75"/>
        <v>28.88</v>
      </c>
      <c r="P1171" s="17">
        <f t="shared" si="72"/>
        <v>19.62</v>
      </c>
      <c r="Q1171" s="17">
        <f t="shared" si="73"/>
        <v>9.259999999999998</v>
      </c>
      <c r="R1171" s="24">
        <f t="shared" si="74"/>
        <v>0.32063711911357334</v>
      </c>
      <c r="S1171" t="s">
        <v>67</v>
      </c>
      <c r="T1171" t="s">
        <v>64</v>
      </c>
    </row>
    <row r="1172" spans="1:20">
      <c r="A1172" t="s">
        <v>1242</v>
      </c>
      <c r="B1172" s="5">
        <v>45976</v>
      </c>
      <c r="C1172" s="8">
        <f>YEAR(Tabla2[[#This Row],[fecha]])</f>
        <v>2025</v>
      </c>
      <c r="D1172" s="8">
        <f>MONTH(Tabla2[[#This Row],[fecha]])</f>
        <v>11</v>
      </c>
      <c r="E1172" s="8" t="str">
        <f>TEXT(Tabla2[[#This Row],[fecha]], "mmmm")</f>
        <v>noviembre</v>
      </c>
      <c r="F1172" s="8" t="str">
        <f>"T"&amp;ROUNDUP(Tabla2[[#This Row],[mes]]/3,0)</f>
        <v>T4</v>
      </c>
      <c r="G1172" t="s">
        <v>38</v>
      </c>
      <c r="H1172" t="s">
        <v>39</v>
      </c>
      <c r="I1172" s="8" t="str">
        <f>IF(Tabla2[[#This Row],[precio_unitario]]&lt;=30,"Económico",IF(Tabla2[[#This Row],[precio_unitario]]&lt;=58.49,"Accesible","Caro"))</f>
        <v>Caro</v>
      </c>
      <c r="J1172" t="s">
        <v>35</v>
      </c>
      <c r="K1172">
        <v>3</v>
      </c>
      <c r="L1172" s="19">
        <v>83.73</v>
      </c>
      <c r="M1172" s="19">
        <v>42.03</v>
      </c>
      <c r="N1172" s="11">
        <v>0</v>
      </c>
      <c r="O1172" s="17">
        <f t="shared" si="75"/>
        <v>251.19</v>
      </c>
      <c r="P1172" s="17">
        <f t="shared" si="72"/>
        <v>126.09</v>
      </c>
      <c r="Q1172" s="17">
        <f t="shared" si="73"/>
        <v>125.1</v>
      </c>
      <c r="R1172" s="24">
        <f t="shared" si="74"/>
        <v>0.4980293801504837</v>
      </c>
      <c r="S1172" t="s">
        <v>67</v>
      </c>
      <c r="T1172" t="s">
        <v>64</v>
      </c>
    </row>
    <row r="1173" spans="1:20" hidden="1">
      <c r="A1173" t="s">
        <v>1243</v>
      </c>
      <c r="B1173" s="5">
        <v>45322</v>
      </c>
      <c r="C1173" s="8">
        <f>YEAR(Tabla2[[#This Row],[fecha]])</f>
        <v>2024</v>
      </c>
      <c r="D1173" s="8">
        <f>MONTH(Tabla2[[#This Row],[fecha]])</f>
        <v>1</v>
      </c>
      <c r="E1173" s="8" t="str">
        <f>TEXT(Tabla2[[#This Row],[fecha]], "mmmm")</f>
        <v>enero</v>
      </c>
      <c r="F1173" s="8" t="str">
        <f>"T"&amp;ROUNDUP(Tabla2[[#This Row],[mes]]/3,0)</f>
        <v>T1</v>
      </c>
      <c r="G1173" t="s">
        <v>18</v>
      </c>
      <c r="H1173" t="s">
        <v>19</v>
      </c>
      <c r="I1173" s="8" t="str">
        <f>IF(Tabla2[[#This Row],[precio_unitario]]&lt;=30,"Económico",IF(Tabla2[[#This Row],[precio_unitario]]&lt;=58.49,"Accesible","Caro"))</f>
        <v>Accesible</v>
      </c>
      <c r="J1173" t="s">
        <v>17</v>
      </c>
      <c r="K1173">
        <v>3</v>
      </c>
      <c r="L1173" s="19">
        <v>44.73</v>
      </c>
      <c r="M1173" s="19">
        <v>27.65</v>
      </c>
      <c r="N1173" s="13">
        <v>0</v>
      </c>
      <c r="O1173" s="17">
        <f t="shared" si="75"/>
        <v>134.19</v>
      </c>
      <c r="P1173" s="17">
        <f t="shared" si="72"/>
        <v>82.949999999999989</v>
      </c>
      <c r="Q1173" s="17">
        <f t="shared" si="73"/>
        <v>51.240000000000009</v>
      </c>
      <c r="R1173" s="24">
        <f t="shared" si="74"/>
        <v>0.3818466353677622</v>
      </c>
      <c r="S1173" t="s">
        <v>67</v>
      </c>
      <c r="T1173" t="s">
        <v>64</v>
      </c>
    </row>
    <row r="1174" spans="1:20" hidden="1">
      <c r="A1174" t="s">
        <v>1244</v>
      </c>
      <c r="B1174" s="5">
        <v>45471</v>
      </c>
      <c r="C1174" s="8">
        <f>YEAR(Tabla2[[#This Row],[fecha]])</f>
        <v>2024</v>
      </c>
      <c r="D1174" s="8">
        <f>MONTH(Tabla2[[#This Row],[fecha]])</f>
        <v>6</v>
      </c>
      <c r="E1174" s="8" t="str">
        <f>TEXT(Tabla2[[#This Row],[fecha]], "mmmm")</f>
        <v>junio</v>
      </c>
      <c r="F1174" s="8" t="str">
        <f>"T"&amp;ROUNDUP(Tabla2[[#This Row],[mes]]/3,0)</f>
        <v>T2</v>
      </c>
      <c r="G1174" t="s">
        <v>22</v>
      </c>
      <c r="H1174" t="s">
        <v>23</v>
      </c>
      <c r="I1174" s="8" t="str">
        <f>IF(Tabla2[[#This Row],[precio_unitario]]&lt;=30,"Económico",IF(Tabla2[[#This Row],[precio_unitario]]&lt;=58.49,"Accesible","Caro"))</f>
        <v>Caro</v>
      </c>
      <c r="J1174" t="s">
        <v>17</v>
      </c>
      <c r="K1174">
        <v>5</v>
      </c>
      <c r="L1174" s="19">
        <v>101.49</v>
      </c>
      <c r="M1174" s="19">
        <v>56.18</v>
      </c>
      <c r="N1174" s="11">
        <v>0</v>
      </c>
      <c r="O1174" s="17">
        <f t="shared" si="75"/>
        <v>507.45</v>
      </c>
      <c r="P1174" s="17">
        <f t="shared" si="72"/>
        <v>280.89999999999998</v>
      </c>
      <c r="Q1174" s="17">
        <f t="shared" si="73"/>
        <v>226.55</v>
      </c>
      <c r="R1174" s="24">
        <f t="shared" si="74"/>
        <v>0.44644792590402999</v>
      </c>
      <c r="S1174" t="s">
        <v>67</v>
      </c>
      <c r="T1174" t="s">
        <v>60</v>
      </c>
    </row>
    <row r="1175" spans="1:20">
      <c r="A1175" t="s">
        <v>1245</v>
      </c>
      <c r="B1175" s="5">
        <v>45717</v>
      </c>
      <c r="C1175" s="8">
        <f>YEAR(Tabla2[[#This Row],[fecha]])</f>
        <v>2025</v>
      </c>
      <c r="D1175" s="8">
        <f>MONTH(Tabla2[[#This Row],[fecha]])</f>
        <v>3</v>
      </c>
      <c r="E1175" s="8" t="str">
        <f>TEXT(Tabla2[[#This Row],[fecha]], "mmmm")</f>
        <v>marzo</v>
      </c>
      <c r="F1175" s="8" t="str">
        <f>"T"&amp;ROUNDUP(Tabla2[[#This Row],[mes]]/3,0)</f>
        <v>T1</v>
      </c>
      <c r="G1175" t="s">
        <v>31</v>
      </c>
      <c r="H1175" t="s">
        <v>32</v>
      </c>
      <c r="I1175" s="8" t="str">
        <f>IF(Tabla2[[#This Row],[precio_unitario]]&lt;=30,"Económico",IF(Tabla2[[#This Row],[precio_unitario]]&lt;=58.49,"Accesible","Caro"))</f>
        <v>Económico</v>
      </c>
      <c r="J1175" t="s">
        <v>26</v>
      </c>
      <c r="K1175">
        <v>2</v>
      </c>
      <c r="L1175" s="19">
        <v>8.58</v>
      </c>
      <c r="M1175" s="19">
        <v>5.62</v>
      </c>
      <c r="N1175" s="13">
        <v>0</v>
      </c>
      <c r="O1175" s="17">
        <f t="shared" si="75"/>
        <v>17.16</v>
      </c>
      <c r="P1175" s="17">
        <f t="shared" si="72"/>
        <v>11.24</v>
      </c>
      <c r="Q1175" s="17">
        <f t="shared" si="73"/>
        <v>5.92</v>
      </c>
      <c r="R1175" s="24">
        <f t="shared" si="74"/>
        <v>0.34498834498834496</v>
      </c>
      <c r="S1175" t="s">
        <v>67</v>
      </c>
      <c r="T1175" t="s">
        <v>60</v>
      </c>
    </row>
    <row r="1176" spans="1:20" hidden="1">
      <c r="A1176" t="s">
        <v>1246</v>
      </c>
      <c r="B1176" s="5">
        <v>45478</v>
      </c>
      <c r="C1176" s="8">
        <f>YEAR(Tabla2[[#This Row],[fecha]])</f>
        <v>2024</v>
      </c>
      <c r="D1176" s="8">
        <f>MONTH(Tabla2[[#This Row],[fecha]])</f>
        <v>7</v>
      </c>
      <c r="E1176" s="8" t="str">
        <f>TEXT(Tabla2[[#This Row],[fecha]], "mmmm")</f>
        <v>julio</v>
      </c>
      <c r="F1176" s="8" t="str">
        <f>"T"&amp;ROUNDUP(Tabla2[[#This Row],[mes]]/3,0)</f>
        <v>T3</v>
      </c>
      <c r="G1176" t="s">
        <v>38</v>
      </c>
      <c r="H1176" t="s">
        <v>39</v>
      </c>
      <c r="I1176" s="8" t="str">
        <f>IF(Tabla2[[#This Row],[precio_unitario]]&lt;=30,"Económico",IF(Tabla2[[#This Row],[precio_unitario]]&lt;=58.49,"Accesible","Caro"))</f>
        <v>Caro</v>
      </c>
      <c r="J1176" t="s">
        <v>35</v>
      </c>
      <c r="K1176">
        <v>1</v>
      </c>
      <c r="L1176" s="19">
        <v>81.05</v>
      </c>
      <c r="M1176" s="19">
        <v>42.27</v>
      </c>
      <c r="N1176" s="11">
        <v>0</v>
      </c>
      <c r="O1176" s="17">
        <f t="shared" si="75"/>
        <v>81.05</v>
      </c>
      <c r="P1176" s="17">
        <f t="shared" si="72"/>
        <v>42.27</v>
      </c>
      <c r="Q1176" s="17">
        <f t="shared" si="73"/>
        <v>38.779999999999994</v>
      </c>
      <c r="R1176" s="24">
        <f t="shared" si="74"/>
        <v>0.47847008019740894</v>
      </c>
      <c r="S1176" t="s">
        <v>67</v>
      </c>
      <c r="T1176" t="s">
        <v>60</v>
      </c>
    </row>
    <row r="1177" spans="1:20" hidden="1">
      <c r="A1177" t="s">
        <v>1247</v>
      </c>
      <c r="B1177" s="5">
        <v>45295</v>
      </c>
      <c r="C1177" s="8">
        <f>YEAR(Tabla2[[#This Row],[fecha]])</f>
        <v>2024</v>
      </c>
      <c r="D1177" s="8">
        <f>MONTH(Tabla2[[#This Row],[fecha]])</f>
        <v>1</v>
      </c>
      <c r="E1177" s="8" t="str">
        <f>TEXT(Tabla2[[#This Row],[fecha]], "mmmm")</f>
        <v>enero</v>
      </c>
      <c r="F1177" s="8" t="str">
        <f>"T"&amp;ROUNDUP(Tabla2[[#This Row],[mes]]/3,0)</f>
        <v>T1</v>
      </c>
      <c r="G1177" t="s">
        <v>13</v>
      </c>
      <c r="H1177" t="s">
        <v>14</v>
      </c>
      <c r="I1177" s="8" t="str">
        <f>IF(Tabla2[[#This Row],[precio_unitario]]&lt;=30,"Económico",IF(Tabla2[[#This Row],[precio_unitario]]&lt;=58.49,"Accesible","Caro"))</f>
        <v>Caro</v>
      </c>
      <c r="J1177" t="s">
        <v>8</v>
      </c>
      <c r="K1177">
        <v>6</v>
      </c>
      <c r="L1177" s="19">
        <v>155.86000000000001</v>
      </c>
      <c r="M1177" s="19">
        <v>106.5</v>
      </c>
      <c r="N1177" s="11">
        <v>0</v>
      </c>
      <c r="O1177" s="17">
        <f t="shared" si="75"/>
        <v>935.16000000000008</v>
      </c>
      <c r="P1177" s="17">
        <f t="shared" si="72"/>
        <v>639</v>
      </c>
      <c r="Q1177" s="17">
        <f t="shared" si="73"/>
        <v>296.16000000000008</v>
      </c>
      <c r="R1177" s="24">
        <f t="shared" si="74"/>
        <v>0.31669446939561152</v>
      </c>
      <c r="S1177" t="s">
        <v>101</v>
      </c>
      <c r="T1177" t="s">
        <v>60</v>
      </c>
    </row>
    <row r="1178" spans="1:20">
      <c r="A1178" t="s">
        <v>1248</v>
      </c>
      <c r="B1178" s="5">
        <v>45814</v>
      </c>
      <c r="C1178" s="8">
        <f>YEAR(Tabla2[[#This Row],[fecha]])</f>
        <v>2025</v>
      </c>
      <c r="D1178" s="8">
        <f>MONTH(Tabla2[[#This Row],[fecha]])</f>
        <v>6</v>
      </c>
      <c r="E1178" s="8" t="str">
        <f>TEXT(Tabla2[[#This Row],[fecha]], "mmmm")</f>
        <v>junio</v>
      </c>
      <c r="F1178" s="8" t="str">
        <f>"T"&amp;ROUNDUP(Tabla2[[#This Row],[mes]]/3,0)</f>
        <v>T2</v>
      </c>
      <c r="G1178" t="s">
        <v>45</v>
      </c>
      <c r="H1178" t="s">
        <v>46</v>
      </c>
      <c r="I1178" s="8" t="str">
        <f>IF(Tabla2[[#This Row],[precio_unitario]]&lt;=30,"Económico",IF(Tabla2[[#This Row],[precio_unitario]]&lt;=58.49,"Accesible","Caro"))</f>
        <v>Accesible</v>
      </c>
      <c r="J1178" t="s">
        <v>44</v>
      </c>
      <c r="K1178">
        <v>1</v>
      </c>
      <c r="L1178" s="19">
        <v>32.56</v>
      </c>
      <c r="M1178" s="19">
        <v>18.100000000000001</v>
      </c>
      <c r="N1178" s="13">
        <v>0</v>
      </c>
      <c r="O1178" s="17">
        <f t="shared" si="75"/>
        <v>32.56</v>
      </c>
      <c r="P1178" s="17">
        <f t="shared" si="72"/>
        <v>18.100000000000001</v>
      </c>
      <c r="Q1178" s="17">
        <f t="shared" si="73"/>
        <v>14.46</v>
      </c>
      <c r="R1178" s="24">
        <f t="shared" si="74"/>
        <v>0.4441031941031941</v>
      </c>
      <c r="S1178" t="s">
        <v>67</v>
      </c>
      <c r="T1178" t="s">
        <v>60</v>
      </c>
    </row>
    <row r="1179" spans="1:20" hidden="1">
      <c r="A1179" t="s">
        <v>1249</v>
      </c>
      <c r="B1179" s="5">
        <v>45668</v>
      </c>
      <c r="C1179" s="8">
        <f>YEAR(Tabla2[[#This Row],[fecha]])</f>
        <v>2025</v>
      </c>
      <c r="D1179" s="8">
        <f>MONTH(Tabla2[[#This Row],[fecha]])</f>
        <v>1</v>
      </c>
      <c r="E1179" s="8" t="str">
        <f>TEXT(Tabla2[[#This Row],[fecha]], "mmmm")</f>
        <v>enero</v>
      </c>
      <c r="F1179" s="8" t="str">
        <f>"T"&amp;ROUNDUP(Tabla2[[#This Row],[mes]]/3,0)</f>
        <v>T1</v>
      </c>
      <c r="G1179" t="s">
        <v>13</v>
      </c>
      <c r="H1179" t="s">
        <v>14</v>
      </c>
      <c r="I1179" s="8" t="str">
        <f>IF(Tabla2[[#This Row],[precio_unitario]]&lt;=30,"Económico",IF(Tabla2[[#This Row],[precio_unitario]]&lt;=58.49,"Accesible","Caro"))</f>
        <v>Caro</v>
      </c>
      <c r="J1179" t="s">
        <v>8</v>
      </c>
      <c r="K1179">
        <v>2</v>
      </c>
      <c r="L1179" s="19">
        <v>157.63999999999999</v>
      </c>
      <c r="M1179" s="19">
        <v>106.58</v>
      </c>
      <c r="N1179" s="11">
        <v>0</v>
      </c>
      <c r="O1179" s="17">
        <f t="shared" si="75"/>
        <v>315.27999999999997</v>
      </c>
      <c r="P1179" s="17">
        <f t="shared" si="72"/>
        <v>213.16</v>
      </c>
      <c r="Q1179" s="17">
        <f t="shared" si="73"/>
        <v>102.11999999999998</v>
      </c>
      <c r="R1179" s="24">
        <f t="shared" si="74"/>
        <v>0.3239025628013194</v>
      </c>
      <c r="S1179" t="s">
        <v>540</v>
      </c>
      <c r="T1179" t="s">
        <v>60</v>
      </c>
    </row>
    <row r="1180" spans="1:20" hidden="1">
      <c r="A1180" t="s">
        <v>1250</v>
      </c>
      <c r="B1180" s="14">
        <v>45455</v>
      </c>
      <c r="C1180" s="8">
        <f>YEAR(Tabla2[[#This Row],[fecha]])</f>
        <v>2024</v>
      </c>
      <c r="D1180" s="8">
        <f>MONTH(Tabla2[[#This Row],[fecha]])</f>
        <v>6</v>
      </c>
      <c r="E1180" s="8" t="str">
        <f>TEXT(Tabla2[[#This Row],[fecha]], "mmmm")</f>
        <v>junio</v>
      </c>
      <c r="F1180" s="8" t="str">
        <f>"T"&amp;ROUNDUP(Tabla2[[#This Row],[mes]]/3,0)</f>
        <v>T2</v>
      </c>
      <c r="G1180" t="s">
        <v>42</v>
      </c>
      <c r="H1180" t="s">
        <v>43</v>
      </c>
      <c r="I1180" s="8" t="str">
        <f>IF(Tabla2[[#This Row],[precio_unitario]]&lt;=30,"Económico",IF(Tabla2[[#This Row],[precio_unitario]]&lt;=58.49,"Accesible","Caro"))</f>
        <v>Accesible</v>
      </c>
      <c r="J1180" t="s">
        <v>44</v>
      </c>
      <c r="K1180">
        <v>1</v>
      </c>
      <c r="L1180" s="19">
        <v>47.07</v>
      </c>
      <c r="M1180" s="19">
        <v>61.19</v>
      </c>
      <c r="N1180" s="11">
        <v>0</v>
      </c>
      <c r="O1180" s="17">
        <f t="shared" si="75"/>
        <v>47.07</v>
      </c>
      <c r="P1180" s="17">
        <f t="shared" si="72"/>
        <v>61.19</v>
      </c>
      <c r="Q1180" s="17">
        <f t="shared" si="73"/>
        <v>-14.119999999999997</v>
      </c>
      <c r="R1180" s="24">
        <f t="shared" si="74"/>
        <v>-0.29997875504567661</v>
      </c>
      <c r="S1180" t="s">
        <v>540</v>
      </c>
      <c r="T1180" t="s">
        <v>64</v>
      </c>
    </row>
    <row r="1181" spans="1:20">
      <c r="A1181" t="s">
        <v>1251</v>
      </c>
      <c r="B1181" s="5">
        <v>45827</v>
      </c>
      <c r="C1181" s="8">
        <f>YEAR(Tabla2[[#This Row],[fecha]])</f>
        <v>2025</v>
      </c>
      <c r="D1181" s="8">
        <f>MONTH(Tabla2[[#This Row],[fecha]])</f>
        <v>6</v>
      </c>
      <c r="E1181" s="8" t="str">
        <f>TEXT(Tabla2[[#This Row],[fecha]], "mmmm")</f>
        <v>junio</v>
      </c>
      <c r="F1181" s="8" t="str">
        <f>"T"&amp;ROUNDUP(Tabla2[[#This Row],[mes]]/3,0)</f>
        <v>T2</v>
      </c>
      <c r="G1181" t="s">
        <v>24</v>
      </c>
      <c r="H1181" t="s">
        <v>25</v>
      </c>
      <c r="I1181" s="8" t="str">
        <f>IF(Tabla2[[#This Row],[precio_unitario]]&lt;=30,"Económico",IF(Tabla2[[#This Row],[precio_unitario]]&lt;=58.49,"Accesible","Caro"))</f>
        <v>Económico</v>
      </c>
      <c r="J1181" t="s">
        <v>26</v>
      </c>
      <c r="K1181">
        <v>3</v>
      </c>
      <c r="L1181" s="19">
        <v>7.59</v>
      </c>
      <c r="M1181" s="19">
        <v>4.4000000000000004</v>
      </c>
      <c r="N1181" s="11">
        <v>0</v>
      </c>
      <c r="O1181" s="17">
        <f t="shared" si="75"/>
        <v>22.77</v>
      </c>
      <c r="P1181" s="17">
        <f t="shared" si="72"/>
        <v>13.200000000000001</v>
      </c>
      <c r="Q1181" s="17">
        <f t="shared" si="73"/>
        <v>9.5699999999999985</v>
      </c>
      <c r="R1181" s="24">
        <f t="shared" si="74"/>
        <v>0.42028985507246369</v>
      </c>
      <c r="S1181" t="s">
        <v>67</v>
      </c>
      <c r="T1181" t="s">
        <v>64</v>
      </c>
    </row>
    <row r="1182" spans="1:20">
      <c r="A1182" t="s">
        <v>1252</v>
      </c>
      <c r="B1182" s="5">
        <v>45993</v>
      </c>
      <c r="C1182" s="8">
        <f>YEAR(Tabla2[[#This Row],[fecha]])</f>
        <v>2025</v>
      </c>
      <c r="D1182" s="8">
        <f>MONTH(Tabla2[[#This Row],[fecha]])</f>
        <v>12</v>
      </c>
      <c r="E1182" s="8" t="str">
        <f>TEXT(Tabla2[[#This Row],[fecha]], "mmmm")</f>
        <v>diciembre</v>
      </c>
      <c r="F1182" s="8" t="str">
        <f>"T"&amp;ROUNDUP(Tabla2[[#This Row],[mes]]/3,0)</f>
        <v>T4</v>
      </c>
      <c r="G1182" t="s">
        <v>24</v>
      </c>
      <c r="H1182" t="s">
        <v>25</v>
      </c>
      <c r="I1182" s="8" t="str">
        <f>IF(Tabla2[[#This Row],[precio_unitario]]&lt;=30,"Económico",IF(Tabla2[[#This Row],[precio_unitario]]&lt;=58.49,"Accesible","Caro"))</f>
        <v>Económico</v>
      </c>
      <c r="J1182" t="s">
        <v>26</v>
      </c>
      <c r="K1182">
        <v>4</v>
      </c>
      <c r="L1182" s="19">
        <v>8.31</v>
      </c>
      <c r="M1182" s="19">
        <v>4.47</v>
      </c>
      <c r="N1182" s="11">
        <v>0</v>
      </c>
      <c r="O1182" s="17">
        <f t="shared" si="75"/>
        <v>33.24</v>
      </c>
      <c r="P1182" s="17">
        <f t="shared" si="72"/>
        <v>17.88</v>
      </c>
      <c r="Q1182" s="17">
        <f t="shared" si="73"/>
        <v>15.360000000000003</v>
      </c>
      <c r="R1182" s="24">
        <f t="shared" si="74"/>
        <v>0.46209386281588455</v>
      </c>
      <c r="S1182" t="s">
        <v>67</v>
      </c>
      <c r="T1182" t="s">
        <v>64</v>
      </c>
    </row>
    <row r="1183" spans="1:20" hidden="1">
      <c r="A1183" t="s">
        <v>1253</v>
      </c>
      <c r="B1183" s="5">
        <v>45819</v>
      </c>
      <c r="C1183" s="8">
        <f>YEAR(Tabla2[[#This Row],[fecha]])</f>
        <v>2025</v>
      </c>
      <c r="D1183" s="8">
        <f>MONTH(Tabla2[[#This Row],[fecha]])</f>
        <v>6</v>
      </c>
      <c r="E1183" s="8" t="str">
        <f>TEXT(Tabla2[[#This Row],[fecha]], "mmmm")</f>
        <v>junio</v>
      </c>
      <c r="F1183" s="8" t="str">
        <f>"T"&amp;ROUNDUP(Tabla2[[#This Row],[mes]]/3,0)</f>
        <v>T2</v>
      </c>
      <c r="G1183" t="s">
        <v>33</v>
      </c>
      <c r="H1183" t="s">
        <v>34</v>
      </c>
      <c r="I1183" s="8" t="str">
        <f>IF(Tabla2[[#This Row],[precio_unitario]]&lt;=30,"Económico",IF(Tabla2[[#This Row],[precio_unitario]]&lt;=58.49,"Accesible","Caro"))</f>
        <v>Caro</v>
      </c>
      <c r="J1183" t="s">
        <v>35</v>
      </c>
      <c r="K1183">
        <v>3</v>
      </c>
      <c r="L1183" s="19">
        <v>81.34</v>
      </c>
      <c r="M1183" s="19">
        <v>49.27</v>
      </c>
      <c r="N1183" s="11">
        <v>0.28999999999999998</v>
      </c>
      <c r="O1183" s="17">
        <f t="shared" si="75"/>
        <v>173.2542</v>
      </c>
      <c r="P1183" s="17">
        <f t="shared" si="72"/>
        <v>147.81</v>
      </c>
      <c r="Q1183" s="17">
        <f t="shared" si="73"/>
        <v>25.444199999999995</v>
      </c>
      <c r="R1183" s="24">
        <f t="shared" si="74"/>
        <v>0.14686050900930536</v>
      </c>
      <c r="S1183" t="s">
        <v>63</v>
      </c>
      <c r="T1183" t="s">
        <v>64</v>
      </c>
    </row>
    <row r="1184" spans="1:20" hidden="1">
      <c r="A1184" t="s">
        <v>1254</v>
      </c>
      <c r="B1184" s="5">
        <v>45888</v>
      </c>
      <c r="C1184" s="8">
        <f>YEAR(Tabla2[[#This Row],[fecha]])</f>
        <v>2025</v>
      </c>
      <c r="D1184" s="8">
        <f>MONTH(Tabla2[[#This Row],[fecha]])</f>
        <v>8</v>
      </c>
      <c r="E1184" s="8" t="str">
        <f>TEXT(Tabla2[[#This Row],[fecha]], "mmmm")</f>
        <v>agosto</v>
      </c>
      <c r="F1184" s="8" t="str">
        <f>"T"&amp;ROUNDUP(Tabla2[[#This Row],[mes]]/3,0)</f>
        <v>T3</v>
      </c>
      <c r="G1184" t="s">
        <v>40</v>
      </c>
      <c r="H1184" t="s">
        <v>41</v>
      </c>
      <c r="I1184" s="8" t="str">
        <f>IF(Tabla2[[#This Row],[precio_unitario]]&lt;=30,"Económico",IF(Tabla2[[#This Row],[precio_unitario]]&lt;=58.49,"Accesible","Caro"))</f>
        <v>Caro</v>
      </c>
      <c r="J1184" t="s">
        <v>35</v>
      </c>
      <c r="K1184">
        <v>2</v>
      </c>
      <c r="L1184" s="19">
        <v>83.18</v>
      </c>
      <c r="M1184" s="19">
        <v>40.130000000000003</v>
      </c>
      <c r="N1184" s="11">
        <v>0</v>
      </c>
      <c r="O1184" s="17">
        <f t="shared" si="75"/>
        <v>166.36</v>
      </c>
      <c r="P1184" s="17">
        <f t="shared" si="72"/>
        <v>80.260000000000005</v>
      </c>
      <c r="Q1184" s="17">
        <f t="shared" si="73"/>
        <v>86.100000000000009</v>
      </c>
      <c r="R1184" s="24">
        <f t="shared" si="74"/>
        <v>0.51755229622505405</v>
      </c>
      <c r="S1184" t="s">
        <v>83</v>
      </c>
      <c r="T1184" t="s">
        <v>64</v>
      </c>
    </row>
    <row r="1185" spans="1:20" hidden="1">
      <c r="A1185" t="s">
        <v>1255</v>
      </c>
      <c r="B1185" s="5">
        <v>45864</v>
      </c>
      <c r="C1185" s="8">
        <f>YEAR(Tabla2[[#This Row],[fecha]])</f>
        <v>2025</v>
      </c>
      <c r="D1185" s="8">
        <f>MONTH(Tabla2[[#This Row],[fecha]])</f>
        <v>7</v>
      </c>
      <c r="E1185" s="8" t="str">
        <f>TEXT(Tabla2[[#This Row],[fecha]], "mmmm")</f>
        <v>julio</v>
      </c>
      <c r="F1185" s="8" t="str">
        <f>"T"&amp;ROUNDUP(Tabla2[[#This Row],[mes]]/3,0)</f>
        <v>T3</v>
      </c>
      <c r="G1185" t="s">
        <v>42</v>
      </c>
      <c r="H1185" t="s">
        <v>43</v>
      </c>
      <c r="I1185" s="8" t="str">
        <f>IF(Tabla2[[#This Row],[precio_unitario]]&lt;=30,"Económico",IF(Tabla2[[#This Row],[precio_unitario]]&lt;=58.49,"Accesible","Caro"))</f>
        <v>Accesible</v>
      </c>
      <c r="J1185" t="s">
        <v>44</v>
      </c>
      <c r="K1185">
        <v>5</v>
      </c>
      <c r="L1185" s="19">
        <v>51.94</v>
      </c>
      <c r="M1185" s="19">
        <v>22.8</v>
      </c>
      <c r="N1185" s="11">
        <v>0</v>
      </c>
      <c r="O1185" s="17">
        <f t="shared" si="75"/>
        <v>259.7</v>
      </c>
      <c r="P1185" s="17">
        <f t="shared" si="72"/>
        <v>114</v>
      </c>
      <c r="Q1185" s="17">
        <f t="shared" si="73"/>
        <v>145.69999999999999</v>
      </c>
      <c r="R1185" s="24">
        <f t="shared" si="74"/>
        <v>0.56103195995379285</v>
      </c>
      <c r="S1185" t="s">
        <v>83</v>
      </c>
      <c r="T1185" t="s">
        <v>64</v>
      </c>
    </row>
    <row r="1186" spans="1:20" hidden="1">
      <c r="A1186" t="s">
        <v>1256</v>
      </c>
      <c r="B1186" s="5">
        <v>45624</v>
      </c>
      <c r="C1186" s="8">
        <f>YEAR(Tabla2[[#This Row],[fecha]])</f>
        <v>2024</v>
      </c>
      <c r="D1186" s="8">
        <f>MONTH(Tabla2[[#This Row],[fecha]])</f>
        <v>11</v>
      </c>
      <c r="E1186" s="8" t="str">
        <f>TEXT(Tabla2[[#This Row],[fecha]], "mmmm")</f>
        <v>noviembre</v>
      </c>
      <c r="F1186" s="8" t="str">
        <f>"T"&amp;ROUNDUP(Tabla2[[#This Row],[mes]]/3,0)</f>
        <v>T4</v>
      </c>
      <c r="G1186" t="s">
        <v>33</v>
      </c>
      <c r="H1186" t="s">
        <v>34</v>
      </c>
      <c r="I1186" s="8" t="str">
        <f>IF(Tabla2[[#This Row],[precio_unitario]]&lt;=30,"Económico",IF(Tabla2[[#This Row],[precio_unitario]]&lt;=58.49,"Accesible","Caro"))</f>
        <v>Caro</v>
      </c>
      <c r="J1186" t="s">
        <v>35</v>
      </c>
      <c r="K1186">
        <v>3</v>
      </c>
      <c r="L1186" s="19">
        <v>82.52</v>
      </c>
      <c r="M1186" s="19">
        <v>46.25</v>
      </c>
      <c r="N1186" s="11">
        <v>0.09</v>
      </c>
      <c r="O1186" s="17">
        <f t="shared" si="75"/>
        <v>225.27960000000002</v>
      </c>
      <c r="P1186" s="17">
        <f t="shared" si="72"/>
        <v>138.75</v>
      </c>
      <c r="Q1186" s="17">
        <f t="shared" si="73"/>
        <v>86.529600000000016</v>
      </c>
      <c r="R1186" s="24">
        <f t="shared" si="74"/>
        <v>0.38409869335705499</v>
      </c>
      <c r="S1186" t="s">
        <v>67</v>
      </c>
      <c r="T1186" t="s">
        <v>64</v>
      </c>
    </row>
    <row r="1187" spans="1:20" hidden="1">
      <c r="A1187" t="s">
        <v>1257</v>
      </c>
      <c r="B1187" s="5">
        <v>45403</v>
      </c>
      <c r="C1187" s="8">
        <f>YEAR(Tabla2[[#This Row],[fecha]])</f>
        <v>2024</v>
      </c>
      <c r="D1187" s="8">
        <f>MONTH(Tabla2[[#This Row],[fecha]])</f>
        <v>4</v>
      </c>
      <c r="E1187" s="8" t="str">
        <f>TEXT(Tabla2[[#This Row],[fecha]], "mmmm")</f>
        <v>abril</v>
      </c>
      <c r="F1187" s="8" t="str">
        <f>"T"&amp;ROUNDUP(Tabla2[[#This Row],[mes]]/3,0)</f>
        <v>T2</v>
      </c>
      <c r="G1187" t="s">
        <v>9</v>
      </c>
      <c r="H1187" t="s">
        <v>10</v>
      </c>
      <c r="I1187" s="8" t="str">
        <f>IF(Tabla2[[#This Row],[precio_unitario]]&lt;=30,"Económico",IF(Tabla2[[#This Row],[precio_unitario]]&lt;=58.49,"Accesible","Caro"))</f>
        <v>Caro</v>
      </c>
      <c r="J1187" t="s">
        <v>8</v>
      </c>
      <c r="K1187">
        <v>2</v>
      </c>
      <c r="L1187" s="19">
        <v>76.98</v>
      </c>
      <c r="M1187" s="19">
        <v>46.1</v>
      </c>
      <c r="N1187" s="11">
        <v>0</v>
      </c>
      <c r="O1187" s="17">
        <f t="shared" si="75"/>
        <v>153.96</v>
      </c>
      <c r="P1187" s="17">
        <f t="shared" si="72"/>
        <v>92.2</v>
      </c>
      <c r="Q1187" s="17">
        <f t="shared" si="73"/>
        <v>61.760000000000005</v>
      </c>
      <c r="R1187" s="24">
        <f t="shared" si="74"/>
        <v>0.40114315406599116</v>
      </c>
      <c r="S1187" t="s">
        <v>83</v>
      </c>
      <c r="T1187" t="s">
        <v>64</v>
      </c>
    </row>
    <row r="1188" spans="1:20" hidden="1">
      <c r="A1188" t="s">
        <v>1258</v>
      </c>
      <c r="B1188" s="5">
        <v>45445</v>
      </c>
      <c r="C1188" s="8">
        <f>YEAR(Tabla2[[#This Row],[fecha]])</f>
        <v>2024</v>
      </c>
      <c r="D1188" s="8">
        <f>MONTH(Tabla2[[#This Row],[fecha]])</f>
        <v>6</v>
      </c>
      <c r="E1188" s="8" t="str">
        <f>TEXT(Tabla2[[#This Row],[fecha]], "mmmm")</f>
        <v>junio</v>
      </c>
      <c r="F1188" s="8" t="str">
        <f>"T"&amp;ROUNDUP(Tabla2[[#This Row],[mes]]/3,0)</f>
        <v>T2</v>
      </c>
      <c r="G1188" t="s">
        <v>13</v>
      </c>
      <c r="H1188" t="s">
        <v>14</v>
      </c>
      <c r="I1188" s="8" t="str">
        <f>IF(Tabla2[[#This Row],[precio_unitario]]&lt;=30,"Económico",IF(Tabla2[[#This Row],[precio_unitario]]&lt;=58.49,"Accesible","Caro"))</f>
        <v>Caro</v>
      </c>
      <c r="J1188" t="s">
        <v>8</v>
      </c>
      <c r="K1188">
        <v>7</v>
      </c>
      <c r="L1188" s="19">
        <v>163.36000000000001</v>
      </c>
      <c r="M1188" s="19">
        <v>109.33</v>
      </c>
      <c r="N1188" s="11">
        <v>0</v>
      </c>
      <c r="O1188" s="17">
        <f t="shared" si="75"/>
        <v>1143.52</v>
      </c>
      <c r="P1188" s="17">
        <f t="shared" si="72"/>
        <v>765.31</v>
      </c>
      <c r="Q1188" s="17">
        <f t="shared" si="73"/>
        <v>378.21000000000004</v>
      </c>
      <c r="R1188" s="24">
        <f t="shared" si="74"/>
        <v>0.33074191968658184</v>
      </c>
      <c r="S1188" t="s">
        <v>67</v>
      </c>
      <c r="T1188" t="s">
        <v>60</v>
      </c>
    </row>
    <row r="1189" spans="1:20" hidden="1">
      <c r="A1189" t="s">
        <v>1259</v>
      </c>
      <c r="B1189" s="5">
        <v>45932</v>
      </c>
      <c r="C1189" s="8">
        <f>YEAR(Tabla2[[#This Row],[fecha]])</f>
        <v>2025</v>
      </c>
      <c r="D1189" s="8">
        <f>MONTH(Tabla2[[#This Row],[fecha]])</f>
        <v>10</v>
      </c>
      <c r="E1189" s="8" t="str">
        <f>TEXT(Tabla2[[#This Row],[fecha]], "mmmm")</f>
        <v>octubre</v>
      </c>
      <c r="F1189" s="8" t="str">
        <f>"T"&amp;ROUNDUP(Tabla2[[#This Row],[mes]]/3,0)</f>
        <v>T4</v>
      </c>
      <c r="G1189" t="s">
        <v>40</v>
      </c>
      <c r="H1189" t="s">
        <v>41</v>
      </c>
      <c r="I1189" s="8" t="str">
        <f>IF(Tabla2[[#This Row],[precio_unitario]]&lt;=30,"Económico",IF(Tabla2[[#This Row],[precio_unitario]]&lt;=58.49,"Accesible","Caro"))</f>
        <v>Caro</v>
      </c>
      <c r="J1189" t="s">
        <v>35</v>
      </c>
      <c r="K1189">
        <v>13</v>
      </c>
      <c r="L1189" s="20">
        <f>INDEX(Tabla3[precio_venta_recomendado], MATCH(Tabla2[[#This Row],[id_producto]],Tabla3[id_producto]),0)</f>
        <v>78.87</v>
      </c>
      <c r="M1189" s="19">
        <v>42.78</v>
      </c>
      <c r="N1189" s="11">
        <v>0.24</v>
      </c>
      <c r="O1189" s="17">
        <f t="shared" si="75"/>
        <v>779.23559999999998</v>
      </c>
      <c r="P1189" s="17">
        <f t="shared" si="72"/>
        <v>556.14</v>
      </c>
      <c r="Q1189" s="17">
        <f t="shared" si="73"/>
        <v>223.09559999999999</v>
      </c>
      <c r="R1189" s="24">
        <f t="shared" si="74"/>
        <v>0.28630057456307179</v>
      </c>
      <c r="S1189" t="s">
        <v>63</v>
      </c>
      <c r="T1189" t="s">
        <v>64</v>
      </c>
    </row>
    <row r="1190" spans="1:20" hidden="1">
      <c r="A1190" t="s">
        <v>1260</v>
      </c>
      <c r="B1190" s="5">
        <v>45548</v>
      </c>
      <c r="C1190" s="8">
        <f>YEAR(Tabla2[[#This Row],[fecha]])</f>
        <v>2024</v>
      </c>
      <c r="D1190" s="8">
        <f>MONTH(Tabla2[[#This Row],[fecha]])</f>
        <v>9</v>
      </c>
      <c r="E1190" s="8" t="str">
        <f>TEXT(Tabla2[[#This Row],[fecha]], "mmmm")</f>
        <v>septiembre</v>
      </c>
      <c r="F1190" s="8" t="str">
        <f>"T"&amp;ROUNDUP(Tabla2[[#This Row],[mes]]/3,0)</f>
        <v>T3</v>
      </c>
      <c r="G1190" t="s">
        <v>11</v>
      </c>
      <c r="H1190" t="s">
        <v>12</v>
      </c>
      <c r="I1190" s="8" t="str">
        <f>IF(Tabla2[[#This Row],[precio_unitario]]&lt;=30,"Económico",IF(Tabla2[[#This Row],[precio_unitario]]&lt;=58.49,"Accesible","Caro"))</f>
        <v>Caro</v>
      </c>
      <c r="J1190" t="s">
        <v>8</v>
      </c>
      <c r="K1190">
        <v>5</v>
      </c>
      <c r="L1190" s="20">
        <f>INDEX(Tabla3[precio_venta_recomendado], MATCH(Tabla2[[#This Row],[id_producto]], Tabla3[id_producto], 0))</f>
        <v>177.72</v>
      </c>
      <c r="M1190" s="19">
        <v>90.34</v>
      </c>
      <c r="N1190" s="11">
        <v>0</v>
      </c>
      <c r="O1190" s="17">
        <f t="shared" si="75"/>
        <v>888.6</v>
      </c>
      <c r="P1190" s="17">
        <f t="shared" si="72"/>
        <v>451.70000000000005</v>
      </c>
      <c r="Q1190" s="17">
        <f t="shared" si="73"/>
        <v>436.9</v>
      </c>
      <c r="R1190" s="24">
        <f t="shared" si="74"/>
        <v>0.49167229349538594</v>
      </c>
      <c r="S1190" t="s">
        <v>67</v>
      </c>
      <c r="T1190" t="s">
        <v>64</v>
      </c>
    </row>
    <row r="1191" spans="1:20" hidden="1">
      <c r="A1191" t="s">
        <v>1261</v>
      </c>
      <c r="B1191" s="5">
        <v>45973</v>
      </c>
      <c r="C1191" s="8">
        <f>YEAR(Tabla2[[#This Row],[fecha]])</f>
        <v>2025</v>
      </c>
      <c r="D1191" s="8">
        <f>MONTH(Tabla2[[#This Row],[fecha]])</f>
        <v>11</v>
      </c>
      <c r="E1191" s="8" t="str">
        <f>TEXT(Tabla2[[#This Row],[fecha]], "mmmm")</f>
        <v>noviembre</v>
      </c>
      <c r="F1191" s="8" t="str">
        <f>"T"&amp;ROUNDUP(Tabla2[[#This Row],[mes]]/3,0)</f>
        <v>T4</v>
      </c>
      <c r="G1191" t="s">
        <v>29</v>
      </c>
      <c r="H1191" t="s">
        <v>30</v>
      </c>
      <c r="I1191" s="8" t="str">
        <f>IF(Tabla2[[#This Row],[precio_unitario]]&lt;=30,"Económico",IF(Tabla2[[#This Row],[precio_unitario]]&lt;=58.49,"Accesible","Caro"))</f>
        <v>Económico</v>
      </c>
      <c r="J1191" t="s">
        <v>26</v>
      </c>
      <c r="K1191">
        <v>1</v>
      </c>
      <c r="L1191" s="19">
        <v>20.45</v>
      </c>
      <c r="M1191" s="19">
        <v>11.05</v>
      </c>
      <c r="N1191" s="11">
        <v>0</v>
      </c>
      <c r="O1191" s="17">
        <f t="shared" si="75"/>
        <v>20.45</v>
      </c>
      <c r="P1191" s="17">
        <f t="shared" si="72"/>
        <v>11.05</v>
      </c>
      <c r="Q1191" s="17">
        <f t="shared" si="73"/>
        <v>9.3999999999999986</v>
      </c>
      <c r="R1191" s="24">
        <f t="shared" si="74"/>
        <v>0.4596577017114914</v>
      </c>
      <c r="S1191" t="s">
        <v>540</v>
      </c>
      <c r="T1191" t="s">
        <v>64</v>
      </c>
    </row>
    <row r="1192" spans="1:20" hidden="1">
      <c r="A1192" t="s">
        <v>1262</v>
      </c>
      <c r="B1192" s="5">
        <v>45706</v>
      </c>
      <c r="C1192" s="8">
        <f>YEAR(Tabla2[[#This Row],[fecha]])</f>
        <v>2025</v>
      </c>
      <c r="D1192" s="8">
        <f>MONTH(Tabla2[[#This Row],[fecha]])</f>
        <v>2</v>
      </c>
      <c r="E1192" s="8" t="str">
        <f>TEXT(Tabla2[[#This Row],[fecha]], "mmmm")</f>
        <v>febrero</v>
      </c>
      <c r="F1192" s="8" t="str">
        <f>"T"&amp;ROUNDUP(Tabla2[[#This Row],[mes]]/3,0)</f>
        <v>T1</v>
      </c>
      <c r="G1192" t="s">
        <v>6</v>
      </c>
      <c r="H1192" t="s">
        <v>7</v>
      </c>
      <c r="I1192" s="8" t="str">
        <f>IF(Tabla2[[#This Row],[precio_unitario]]&lt;=30,"Económico",IF(Tabla2[[#This Row],[precio_unitario]]&lt;=58.49,"Accesible","Caro"))</f>
        <v>Caro</v>
      </c>
      <c r="J1192" t="s">
        <v>8</v>
      </c>
      <c r="K1192">
        <v>1</v>
      </c>
      <c r="L1192" s="19">
        <v>120.64</v>
      </c>
      <c r="M1192" s="19">
        <v>87.58</v>
      </c>
      <c r="N1192" s="11">
        <v>0</v>
      </c>
      <c r="O1192" s="17">
        <f t="shared" si="75"/>
        <v>120.64</v>
      </c>
      <c r="P1192" s="17">
        <f t="shared" si="72"/>
        <v>87.58</v>
      </c>
      <c r="Q1192" s="17">
        <f t="shared" si="73"/>
        <v>33.06</v>
      </c>
      <c r="R1192" s="24">
        <f t="shared" si="74"/>
        <v>0.27403846153846156</v>
      </c>
      <c r="S1192" t="s">
        <v>540</v>
      </c>
      <c r="T1192" t="s">
        <v>64</v>
      </c>
    </row>
    <row r="1193" spans="1:20" hidden="1">
      <c r="A1193" t="s">
        <v>1263</v>
      </c>
      <c r="B1193" s="5">
        <v>45307</v>
      </c>
      <c r="C1193" s="8">
        <f>YEAR(Tabla2[[#This Row],[fecha]])</f>
        <v>2024</v>
      </c>
      <c r="D1193" s="8">
        <f>MONTH(Tabla2[[#This Row],[fecha]])</f>
        <v>1</v>
      </c>
      <c r="E1193" s="8" t="str">
        <f>TEXT(Tabla2[[#This Row],[fecha]], "mmmm")</f>
        <v>enero</v>
      </c>
      <c r="F1193" s="8" t="str">
        <f>"T"&amp;ROUNDUP(Tabla2[[#This Row],[mes]]/3,0)</f>
        <v>T1</v>
      </c>
      <c r="G1193" t="s">
        <v>31</v>
      </c>
      <c r="H1193" t="s">
        <v>32</v>
      </c>
      <c r="I1193" s="8" t="str">
        <f>IF(Tabla2[[#This Row],[precio_unitario]]&lt;=30,"Económico",IF(Tabla2[[#This Row],[precio_unitario]]&lt;=58.49,"Accesible","Caro"))</f>
        <v>Económico</v>
      </c>
      <c r="J1193" t="s">
        <v>26</v>
      </c>
      <c r="K1193">
        <v>2</v>
      </c>
      <c r="L1193" s="19">
        <v>8.41</v>
      </c>
      <c r="M1193" s="19">
        <v>5.81</v>
      </c>
      <c r="N1193" s="11">
        <v>0</v>
      </c>
      <c r="O1193" s="17">
        <f t="shared" si="75"/>
        <v>16.82</v>
      </c>
      <c r="P1193" s="17">
        <f t="shared" si="72"/>
        <v>11.62</v>
      </c>
      <c r="Q1193" s="17">
        <f t="shared" si="73"/>
        <v>5.2000000000000011</v>
      </c>
      <c r="R1193" s="24">
        <f t="shared" si="74"/>
        <v>0.30915576694411423</v>
      </c>
      <c r="S1193" t="s">
        <v>63</v>
      </c>
      <c r="T1193" t="s">
        <v>64</v>
      </c>
    </row>
    <row r="1194" spans="1:20" hidden="1">
      <c r="A1194" t="s">
        <v>1264</v>
      </c>
      <c r="B1194" s="5">
        <v>45674</v>
      </c>
      <c r="C1194" s="8">
        <f>YEAR(Tabla2[[#This Row],[fecha]])</f>
        <v>2025</v>
      </c>
      <c r="D1194" s="8">
        <f>MONTH(Tabla2[[#This Row],[fecha]])</f>
        <v>1</v>
      </c>
      <c r="E1194" s="8" t="str">
        <f>TEXT(Tabla2[[#This Row],[fecha]], "mmmm")</f>
        <v>enero</v>
      </c>
      <c r="F1194" s="8" t="str">
        <f>"T"&amp;ROUNDUP(Tabla2[[#This Row],[mes]]/3,0)</f>
        <v>T1</v>
      </c>
      <c r="G1194" t="s">
        <v>13</v>
      </c>
      <c r="H1194" t="s">
        <v>14</v>
      </c>
      <c r="I1194" s="8" t="str">
        <f>IF(Tabla2[[#This Row],[precio_unitario]]&lt;=30,"Económico",IF(Tabla2[[#This Row],[precio_unitario]]&lt;=58.49,"Accesible","Caro"))</f>
        <v>Caro</v>
      </c>
      <c r="J1194" t="s">
        <v>8</v>
      </c>
      <c r="K1194">
        <v>1</v>
      </c>
      <c r="L1194" s="19">
        <v>152.46</v>
      </c>
      <c r="M1194" s="19">
        <v>115.46</v>
      </c>
      <c r="N1194" s="11">
        <v>0</v>
      </c>
      <c r="O1194" s="17">
        <f t="shared" si="75"/>
        <v>152.46</v>
      </c>
      <c r="P1194" s="17">
        <f t="shared" si="72"/>
        <v>115.46</v>
      </c>
      <c r="Q1194" s="17">
        <f t="shared" si="73"/>
        <v>37.000000000000014</v>
      </c>
      <c r="R1194" s="24">
        <f t="shared" si="74"/>
        <v>0.24268660632297004</v>
      </c>
      <c r="S1194" t="s">
        <v>101</v>
      </c>
      <c r="T1194" t="s">
        <v>60</v>
      </c>
    </row>
    <row r="1195" spans="1:20" hidden="1">
      <c r="A1195" t="s">
        <v>1265</v>
      </c>
      <c r="B1195" s="5">
        <v>45317</v>
      </c>
      <c r="C1195" s="8">
        <f>YEAR(Tabla2[[#This Row],[fecha]])</f>
        <v>2024</v>
      </c>
      <c r="D1195" s="8">
        <f>MONTH(Tabla2[[#This Row],[fecha]])</f>
        <v>1</v>
      </c>
      <c r="E1195" s="8" t="str">
        <f>TEXT(Tabla2[[#This Row],[fecha]], "mmmm")</f>
        <v>enero</v>
      </c>
      <c r="F1195" s="8" t="str">
        <f>"T"&amp;ROUNDUP(Tabla2[[#This Row],[mes]]/3,0)</f>
        <v>T1</v>
      </c>
      <c r="G1195" t="s">
        <v>33</v>
      </c>
      <c r="H1195" t="s">
        <v>34</v>
      </c>
      <c r="I1195" s="8" t="str">
        <f>IF(Tabla2[[#This Row],[precio_unitario]]&lt;=30,"Económico",IF(Tabla2[[#This Row],[precio_unitario]]&lt;=58.49,"Accesible","Caro"))</f>
        <v>Caro</v>
      </c>
      <c r="J1195" t="s">
        <v>35</v>
      </c>
      <c r="K1195">
        <v>1</v>
      </c>
      <c r="L1195" s="19">
        <v>79.5</v>
      </c>
      <c r="M1195" s="19">
        <v>49.04</v>
      </c>
      <c r="N1195" s="11">
        <v>0</v>
      </c>
      <c r="O1195" s="17">
        <f t="shared" si="75"/>
        <v>79.5</v>
      </c>
      <c r="P1195" s="17">
        <f t="shared" si="72"/>
        <v>49.04</v>
      </c>
      <c r="Q1195" s="17">
        <f t="shared" si="73"/>
        <v>30.46</v>
      </c>
      <c r="R1195" s="24">
        <f t="shared" si="74"/>
        <v>0.38314465408805032</v>
      </c>
      <c r="S1195" t="s">
        <v>67</v>
      </c>
      <c r="T1195" t="s">
        <v>60</v>
      </c>
    </row>
    <row r="1196" spans="1:20" hidden="1">
      <c r="A1196" t="s">
        <v>1266</v>
      </c>
      <c r="B1196" s="5">
        <v>45480</v>
      </c>
      <c r="C1196" s="8">
        <f>YEAR(Tabla2[[#This Row],[fecha]])</f>
        <v>2024</v>
      </c>
      <c r="D1196" s="8">
        <f>MONTH(Tabla2[[#This Row],[fecha]])</f>
        <v>7</v>
      </c>
      <c r="E1196" s="8" t="str">
        <f>TEXT(Tabla2[[#This Row],[fecha]], "mmmm")</f>
        <v>julio</v>
      </c>
      <c r="F1196" s="8" t="str">
        <f>"T"&amp;ROUNDUP(Tabla2[[#This Row],[mes]]/3,0)</f>
        <v>T3</v>
      </c>
      <c r="G1196" t="s">
        <v>15</v>
      </c>
      <c r="H1196" t="s">
        <v>16</v>
      </c>
      <c r="I1196" s="8" t="str">
        <f>IF(Tabla2[[#This Row],[precio_unitario]]&lt;=30,"Económico",IF(Tabla2[[#This Row],[precio_unitario]]&lt;=58.49,"Accesible","Caro"))</f>
        <v>Accesible</v>
      </c>
      <c r="J1196" t="s">
        <v>17</v>
      </c>
      <c r="K1196">
        <v>2</v>
      </c>
      <c r="L1196" s="19">
        <v>56.63</v>
      </c>
      <c r="M1196" s="19">
        <v>42.86</v>
      </c>
      <c r="N1196" s="11">
        <v>0</v>
      </c>
      <c r="O1196" s="17">
        <f t="shared" si="75"/>
        <v>113.26</v>
      </c>
      <c r="P1196" s="17">
        <f t="shared" si="72"/>
        <v>85.72</v>
      </c>
      <c r="Q1196" s="17">
        <f t="shared" si="73"/>
        <v>27.540000000000006</v>
      </c>
      <c r="R1196" s="24">
        <f t="shared" si="74"/>
        <v>0.24315733710047682</v>
      </c>
      <c r="S1196" t="s">
        <v>67</v>
      </c>
      <c r="T1196" t="s">
        <v>60</v>
      </c>
    </row>
    <row r="1197" spans="1:20" hidden="1">
      <c r="A1197" t="s">
        <v>1267</v>
      </c>
      <c r="B1197" s="5">
        <v>45435</v>
      </c>
      <c r="C1197" s="8">
        <f>YEAR(Tabla2[[#This Row],[fecha]])</f>
        <v>2024</v>
      </c>
      <c r="D1197" s="8">
        <f>MONTH(Tabla2[[#This Row],[fecha]])</f>
        <v>5</v>
      </c>
      <c r="E1197" s="8" t="str">
        <f>TEXT(Tabla2[[#This Row],[fecha]], "mmmm")</f>
        <v>mayo</v>
      </c>
      <c r="F1197" s="8" t="str">
        <f>"T"&amp;ROUNDUP(Tabla2[[#This Row],[mes]]/3,0)</f>
        <v>T2</v>
      </c>
      <c r="G1197" t="s">
        <v>11</v>
      </c>
      <c r="H1197" t="s">
        <v>12</v>
      </c>
      <c r="I1197" s="8" t="str">
        <f>IF(Tabla2[[#This Row],[precio_unitario]]&lt;=30,"Económico",IF(Tabla2[[#This Row],[precio_unitario]]&lt;=58.49,"Accesible","Caro"))</f>
        <v>Caro</v>
      </c>
      <c r="J1197" t="s">
        <v>8</v>
      </c>
      <c r="K1197">
        <v>6</v>
      </c>
      <c r="L1197" s="19">
        <v>173.12</v>
      </c>
      <c r="M1197" s="19">
        <v>93.37</v>
      </c>
      <c r="N1197" s="11">
        <v>0</v>
      </c>
      <c r="O1197" s="17">
        <f t="shared" si="75"/>
        <v>1038.72</v>
      </c>
      <c r="P1197" s="17">
        <f t="shared" si="72"/>
        <v>560.22</v>
      </c>
      <c r="Q1197" s="17">
        <f t="shared" si="73"/>
        <v>478.5</v>
      </c>
      <c r="R1197" s="24">
        <f t="shared" si="74"/>
        <v>0.46066312384473196</v>
      </c>
      <c r="S1197" t="s">
        <v>67</v>
      </c>
      <c r="T1197" t="s">
        <v>64</v>
      </c>
    </row>
    <row r="1198" spans="1:20" hidden="1">
      <c r="A1198" t="s">
        <v>1268</v>
      </c>
      <c r="B1198" s="5">
        <v>45298</v>
      </c>
      <c r="C1198" s="8">
        <f>YEAR(Tabla2[[#This Row],[fecha]])</f>
        <v>2024</v>
      </c>
      <c r="D1198" s="8">
        <f>MONTH(Tabla2[[#This Row],[fecha]])</f>
        <v>1</v>
      </c>
      <c r="E1198" s="8" t="str">
        <f>TEXT(Tabla2[[#This Row],[fecha]], "mmmm")</f>
        <v>enero</v>
      </c>
      <c r="F1198" s="8" t="str">
        <f>"T"&amp;ROUNDUP(Tabla2[[#This Row],[mes]]/3,0)</f>
        <v>T1</v>
      </c>
      <c r="G1198" t="s">
        <v>15</v>
      </c>
      <c r="H1198" t="s">
        <v>16</v>
      </c>
      <c r="I1198" s="8" t="str">
        <f>IF(Tabla2[[#This Row],[precio_unitario]]&lt;=30,"Económico",IF(Tabla2[[#This Row],[precio_unitario]]&lt;=58.49,"Accesible","Caro"))</f>
        <v>Caro</v>
      </c>
      <c r="J1198" t="s">
        <v>17</v>
      </c>
      <c r="K1198">
        <v>1</v>
      </c>
      <c r="L1198" s="19">
        <v>61.65</v>
      </c>
      <c r="M1198" s="19">
        <v>42.44</v>
      </c>
      <c r="N1198" s="11">
        <v>0.08</v>
      </c>
      <c r="O1198" s="17">
        <f t="shared" si="75"/>
        <v>56.718000000000004</v>
      </c>
      <c r="P1198" s="17">
        <f t="shared" si="72"/>
        <v>42.44</v>
      </c>
      <c r="Q1198" s="17">
        <f t="shared" si="73"/>
        <v>14.278000000000006</v>
      </c>
      <c r="R1198" s="24">
        <f t="shared" si="74"/>
        <v>0.25173666208258411</v>
      </c>
      <c r="S1198" t="s">
        <v>67</v>
      </c>
      <c r="T1198" t="s">
        <v>64</v>
      </c>
    </row>
    <row r="1199" spans="1:20" hidden="1">
      <c r="A1199" t="s">
        <v>1269</v>
      </c>
      <c r="B1199" s="5">
        <v>45945</v>
      </c>
      <c r="C1199" s="8">
        <f>YEAR(Tabla2[[#This Row],[fecha]])</f>
        <v>2025</v>
      </c>
      <c r="D1199" s="8">
        <f>MONTH(Tabla2[[#This Row],[fecha]])</f>
        <v>10</v>
      </c>
      <c r="E1199" s="8" t="str">
        <f>TEXT(Tabla2[[#This Row],[fecha]], "mmmm")</f>
        <v>octubre</v>
      </c>
      <c r="F1199" s="8" t="str">
        <f>"T"&amp;ROUNDUP(Tabla2[[#This Row],[mes]]/3,0)</f>
        <v>T4</v>
      </c>
      <c r="G1199" t="s">
        <v>49</v>
      </c>
      <c r="H1199" t="s">
        <v>50</v>
      </c>
      <c r="I1199" s="8" t="str">
        <f>IF(Tabla2[[#This Row],[precio_unitario]]&lt;=30,"Económico",IF(Tabla2[[#This Row],[precio_unitario]]&lt;=58.49,"Accesible","Caro"))</f>
        <v>Accesible</v>
      </c>
      <c r="J1199" t="s">
        <v>44</v>
      </c>
      <c r="K1199">
        <v>3</v>
      </c>
      <c r="L1199" s="19">
        <v>55.56</v>
      </c>
      <c r="M1199" s="19">
        <v>33.950000000000003</v>
      </c>
      <c r="N1199" s="11">
        <v>0.18</v>
      </c>
      <c r="O1199" s="17">
        <f t="shared" si="75"/>
        <v>136.67760000000001</v>
      </c>
      <c r="P1199" s="17">
        <f t="shared" si="72"/>
        <v>101.85000000000001</v>
      </c>
      <c r="Q1199" s="17">
        <f t="shared" si="73"/>
        <v>34.827600000000004</v>
      </c>
      <c r="R1199" s="24">
        <f t="shared" si="74"/>
        <v>0.2548157123039913</v>
      </c>
      <c r="S1199" t="s">
        <v>83</v>
      </c>
      <c r="T1199" t="s">
        <v>64</v>
      </c>
    </row>
    <row r="1200" spans="1:20">
      <c r="A1200" t="s">
        <v>1270</v>
      </c>
      <c r="B1200" s="5">
        <v>45678</v>
      </c>
      <c r="C1200" s="8">
        <f>YEAR(Tabla2[[#This Row],[fecha]])</f>
        <v>2025</v>
      </c>
      <c r="D1200" s="8">
        <f>MONTH(Tabla2[[#This Row],[fecha]])</f>
        <v>1</v>
      </c>
      <c r="E1200" s="8" t="str">
        <f>TEXT(Tabla2[[#This Row],[fecha]], "mmmm")</f>
        <v>enero</v>
      </c>
      <c r="F1200" s="8" t="str">
        <f>"T"&amp;ROUNDUP(Tabla2[[#This Row],[mes]]/3,0)</f>
        <v>T1</v>
      </c>
      <c r="G1200" t="s">
        <v>22</v>
      </c>
      <c r="H1200" t="s">
        <v>23</v>
      </c>
      <c r="I1200" s="8" t="str">
        <f>IF(Tabla2[[#This Row],[precio_unitario]]&lt;=30,"Económico",IF(Tabla2[[#This Row],[precio_unitario]]&lt;=58.49,"Accesible","Caro"))</f>
        <v>Caro</v>
      </c>
      <c r="J1200" t="s">
        <v>17</v>
      </c>
      <c r="K1200">
        <v>2</v>
      </c>
      <c r="L1200" s="19">
        <v>103.11</v>
      </c>
      <c r="M1200" s="19">
        <v>56.93</v>
      </c>
      <c r="N1200" s="11">
        <v>0</v>
      </c>
      <c r="O1200" s="17">
        <f t="shared" si="75"/>
        <v>206.22</v>
      </c>
      <c r="P1200" s="17">
        <f t="shared" si="72"/>
        <v>113.86</v>
      </c>
      <c r="Q1200" s="17">
        <f t="shared" si="73"/>
        <v>92.36</v>
      </c>
      <c r="R1200" s="24">
        <f t="shared" si="74"/>
        <v>0.44787120550868004</v>
      </c>
      <c r="S1200" t="s">
        <v>67</v>
      </c>
      <c r="T1200" t="s">
        <v>60</v>
      </c>
    </row>
    <row r="1201" spans="1:20" hidden="1">
      <c r="A1201" t="s">
        <v>1271</v>
      </c>
      <c r="B1201" s="5">
        <v>45354</v>
      </c>
      <c r="C1201" s="8">
        <f>YEAR(Tabla2[[#This Row],[fecha]])</f>
        <v>2024</v>
      </c>
      <c r="D1201" s="8">
        <f>MONTH(Tabla2[[#This Row],[fecha]])</f>
        <v>3</v>
      </c>
      <c r="E1201" s="8" t="str">
        <f>TEXT(Tabla2[[#This Row],[fecha]], "mmmm")</f>
        <v>marzo</v>
      </c>
      <c r="F1201" s="8" t="str">
        <f>"T"&amp;ROUNDUP(Tabla2[[#This Row],[mes]]/3,0)</f>
        <v>T1</v>
      </c>
      <c r="G1201" t="s">
        <v>24</v>
      </c>
      <c r="H1201" t="s">
        <v>25</v>
      </c>
      <c r="I1201" s="8" t="str">
        <f>IF(Tabla2[[#This Row],[precio_unitario]]&lt;=30,"Económico",IF(Tabla2[[#This Row],[precio_unitario]]&lt;=58.49,"Accesible","Caro"))</f>
        <v>Económico</v>
      </c>
      <c r="J1201" t="s">
        <v>26</v>
      </c>
      <c r="K1201">
        <v>1</v>
      </c>
      <c r="L1201" s="19">
        <v>8.3000000000000007</v>
      </c>
      <c r="M1201" s="19">
        <v>4.26</v>
      </c>
      <c r="N1201" s="11">
        <v>0</v>
      </c>
      <c r="O1201" s="17">
        <f t="shared" si="75"/>
        <v>8.3000000000000007</v>
      </c>
      <c r="P1201" s="17">
        <f t="shared" si="72"/>
        <v>4.26</v>
      </c>
      <c r="Q1201" s="17">
        <f t="shared" si="73"/>
        <v>4.0400000000000009</v>
      </c>
      <c r="R1201" s="24">
        <f t="shared" si="74"/>
        <v>0.48674698795180732</v>
      </c>
      <c r="S1201" t="s">
        <v>67</v>
      </c>
      <c r="T1201" t="s">
        <v>64</v>
      </c>
    </row>
    <row r="1202" spans="1:20">
      <c r="A1202" t="s">
        <v>1272</v>
      </c>
      <c r="B1202" s="5">
        <v>45815</v>
      </c>
      <c r="C1202" s="8">
        <f>YEAR(Tabla2[[#This Row],[fecha]])</f>
        <v>2025</v>
      </c>
      <c r="D1202" s="8">
        <f>MONTH(Tabla2[[#This Row],[fecha]])</f>
        <v>6</v>
      </c>
      <c r="E1202" s="8" t="str">
        <f>TEXT(Tabla2[[#This Row],[fecha]], "mmmm")</f>
        <v>junio</v>
      </c>
      <c r="F1202" s="8" t="str">
        <f>"T"&amp;ROUNDUP(Tabla2[[#This Row],[mes]]/3,0)</f>
        <v>T2</v>
      </c>
      <c r="G1202" t="s">
        <v>33</v>
      </c>
      <c r="H1202" t="s">
        <v>34</v>
      </c>
      <c r="I1202" s="8" t="str">
        <f>IF(Tabla2[[#This Row],[precio_unitario]]&lt;=30,"Económico",IF(Tabla2[[#This Row],[precio_unitario]]&lt;=58.49,"Accesible","Caro"))</f>
        <v>Caro</v>
      </c>
      <c r="J1202" t="s">
        <v>35</v>
      </c>
      <c r="K1202">
        <v>5</v>
      </c>
      <c r="L1202" s="19">
        <v>78.05</v>
      </c>
      <c r="M1202" s="19">
        <v>45.96</v>
      </c>
      <c r="N1202" s="13">
        <v>0</v>
      </c>
      <c r="O1202" s="17">
        <f t="shared" si="75"/>
        <v>390.25</v>
      </c>
      <c r="P1202" s="17">
        <f t="shared" si="72"/>
        <v>229.8</v>
      </c>
      <c r="Q1202" s="17">
        <f t="shared" si="73"/>
        <v>160.44999999999999</v>
      </c>
      <c r="R1202" s="24">
        <f t="shared" si="74"/>
        <v>0.41114670083279947</v>
      </c>
      <c r="S1202" t="s">
        <v>67</v>
      </c>
      <c r="T1202" t="s">
        <v>64</v>
      </c>
    </row>
    <row r="1203" spans="1:20" hidden="1">
      <c r="A1203" t="s">
        <v>1273</v>
      </c>
      <c r="B1203" s="5">
        <v>45528</v>
      </c>
      <c r="C1203" s="8">
        <f>YEAR(Tabla2[[#This Row],[fecha]])</f>
        <v>2024</v>
      </c>
      <c r="D1203" s="8">
        <f>MONTH(Tabla2[[#This Row],[fecha]])</f>
        <v>8</v>
      </c>
      <c r="E1203" s="8" t="str">
        <f>TEXT(Tabla2[[#This Row],[fecha]], "mmmm")</f>
        <v>agosto</v>
      </c>
      <c r="F1203" s="8" t="str">
        <f>"T"&amp;ROUNDUP(Tabla2[[#This Row],[mes]]/3,0)</f>
        <v>T3</v>
      </c>
      <c r="G1203" t="s">
        <v>31</v>
      </c>
      <c r="H1203" t="s">
        <v>32</v>
      </c>
      <c r="I1203" s="8" t="str">
        <f>IF(Tabla2[[#This Row],[precio_unitario]]&lt;=30,"Económico",IF(Tabla2[[#This Row],[precio_unitario]]&lt;=58.49,"Accesible","Caro"))</f>
        <v>Económico</v>
      </c>
      <c r="J1203" t="s">
        <v>26</v>
      </c>
      <c r="K1203">
        <v>7</v>
      </c>
      <c r="L1203" s="19">
        <v>8.1</v>
      </c>
      <c r="M1203" s="19">
        <v>5.84</v>
      </c>
      <c r="N1203" s="11">
        <v>0</v>
      </c>
      <c r="O1203" s="17">
        <f t="shared" si="75"/>
        <v>56.699999999999996</v>
      </c>
      <c r="P1203" s="17">
        <f t="shared" si="72"/>
        <v>40.879999999999995</v>
      </c>
      <c r="Q1203" s="17">
        <f t="shared" si="73"/>
        <v>15.82</v>
      </c>
      <c r="R1203" s="24">
        <f t="shared" si="74"/>
        <v>0.2790123456790124</v>
      </c>
      <c r="S1203" t="s">
        <v>96</v>
      </c>
      <c r="T1203" t="s">
        <v>64</v>
      </c>
    </row>
    <row r="1204" spans="1:20">
      <c r="A1204" t="s">
        <v>1274</v>
      </c>
      <c r="B1204" s="5">
        <v>45752</v>
      </c>
      <c r="C1204" s="8">
        <f>YEAR(Tabla2[[#This Row],[fecha]])</f>
        <v>2025</v>
      </c>
      <c r="D1204" s="8">
        <f>MONTH(Tabla2[[#This Row],[fecha]])</f>
        <v>4</v>
      </c>
      <c r="E1204" s="8" t="str">
        <f>TEXT(Tabla2[[#This Row],[fecha]], "mmmm")</f>
        <v>abril</v>
      </c>
      <c r="F1204" s="8" t="str">
        <f>"T"&amp;ROUNDUP(Tabla2[[#This Row],[mes]]/3,0)</f>
        <v>T2</v>
      </c>
      <c r="G1204" t="s">
        <v>36</v>
      </c>
      <c r="H1204" t="s">
        <v>37</v>
      </c>
      <c r="I1204" s="8" t="str">
        <f>IF(Tabla2[[#This Row],[precio_unitario]]&lt;=30,"Económico",IF(Tabla2[[#This Row],[precio_unitario]]&lt;=58.49,"Accesible","Caro"))</f>
        <v>Económico</v>
      </c>
      <c r="J1204" t="s">
        <v>35</v>
      </c>
      <c r="K1204">
        <v>1</v>
      </c>
      <c r="L1204" s="19">
        <v>14.81</v>
      </c>
      <c r="M1204" s="19">
        <v>9.52</v>
      </c>
      <c r="N1204" s="11">
        <v>0.11</v>
      </c>
      <c r="O1204" s="17">
        <f t="shared" si="75"/>
        <v>13.180900000000001</v>
      </c>
      <c r="P1204" s="17">
        <f t="shared" si="72"/>
        <v>9.52</v>
      </c>
      <c r="Q1204" s="17">
        <f t="shared" si="73"/>
        <v>3.6609000000000016</v>
      </c>
      <c r="R1204" s="24">
        <f t="shared" si="74"/>
        <v>0.27774279449809963</v>
      </c>
      <c r="S1204" t="s">
        <v>67</v>
      </c>
      <c r="T1204" t="s">
        <v>60</v>
      </c>
    </row>
    <row r="1205" spans="1:20" hidden="1">
      <c r="A1205" t="s">
        <v>1275</v>
      </c>
      <c r="B1205" s="5">
        <v>45367</v>
      </c>
      <c r="C1205" s="8">
        <f>YEAR(Tabla2[[#This Row],[fecha]])</f>
        <v>2024</v>
      </c>
      <c r="D1205" s="8">
        <f>MONTH(Tabla2[[#This Row],[fecha]])</f>
        <v>3</v>
      </c>
      <c r="E1205" s="8" t="str">
        <f>TEXT(Tabla2[[#This Row],[fecha]], "mmmm")</f>
        <v>marzo</v>
      </c>
      <c r="F1205" s="8" t="str">
        <f>"T"&amp;ROUNDUP(Tabla2[[#This Row],[mes]]/3,0)</f>
        <v>T1</v>
      </c>
      <c r="G1205" t="s">
        <v>15</v>
      </c>
      <c r="H1205" t="s">
        <v>16</v>
      </c>
      <c r="I1205" s="8" t="str">
        <f>IF(Tabla2[[#This Row],[precio_unitario]]&lt;=30,"Económico",IF(Tabla2[[#This Row],[precio_unitario]]&lt;=58.49,"Accesible","Caro"))</f>
        <v>Accesible</v>
      </c>
      <c r="J1205" t="s">
        <v>17</v>
      </c>
      <c r="K1205">
        <v>2</v>
      </c>
      <c r="L1205" s="19">
        <v>57.33</v>
      </c>
      <c r="M1205" s="19">
        <v>39.26</v>
      </c>
      <c r="N1205" s="11">
        <v>0</v>
      </c>
      <c r="O1205" s="17">
        <f t="shared" si="75"/>
        <v>114.66</v>
      </c>
      <c r="P1205" s="17">
        <f t="shared" si="72"/>
        <v>78.52</v>
      </c>
      <c r="Q1205" s="17">
        <f t="shared" si="73"/>
        <v>36.14</v>
      </c>
      <c r="R1205" s="24">
        <f t="shared" si="74"/>
        <v>0.31519274376417233</v>
      </c>
      <c r="S1205" t="s">
        <v>67</v>
      </c>
      <c r="T1205" t="s">
        <v>60</v>
      </c>
    </row>
    <row r="1206" spans="1:20" hidden="1">
      <c r="A1206" t="s">
        <v>1276</v>
      </c>
      <c r="B1206" s="5">
        <v>45585</v>
      </c>
      <c r="C1206" s="8">
        <f>YEAR(Tabla2[[#This Row],[fecha]])</f>
        <v>2024</v>
      </c>
      <c r="D1206" s="8">
        <f>MONTH(Tabla2[[#This Row],[fecha]])</f>
        <v>10</v>
      </c>
      <c r="E1206" s="8" t="str">
        <f>TEXT(Tabla2[[#This Row],[fecha]], "mmmm")</f>
        <v>octubre</v>
      </c>
      <c r="F1206" s="8" t="str">
        <f>"T"&amp;ROUNDUP(Tabla2[[#This Row],[mes]]/3,0)</f>
        <v>T4</v>
      </c>
      <c r="G1206" t="s">
        <v>9</v>
      </c>
      <c r="H1206" t="s">
        <v>10</v>
      </c>
      <c r="I1206" s="8" t="str">
        <f>IF(Tabla2[[#This Row],[precio_unitario]]&lt;=30,"Económico",IF(Tabla2[[#This Row],[precio_unitario]]&lt;=58.49,"Accesible","Caro"))</f>
        <v>Caro</v>
      </c>
      <c r="J1206" t="s">
        <v>8</v>
      </c>
      <c r="K1206">
        <v>6</v>
      </c>
      <c r="L1206" s="19">
        <v>75.52</v>
      </c>
      <c r="M1206" s="19">
        <v>46.85</v>
      </c>
      <c r="N1206" s="11">
        <v>0</v>
      </c>
      <c r="O1206" s="17">
        <f t="shared" si="75"/>
        <v>453.12</v>
      </c>
      <c r="P1206" s="17">
        <f t="shared" si="72"/>
        <v>281.10000000000002</v>
      </c>
      <c r="Q1206" s="17">
        <f t="shared" si="73"/>
        <v>172.01999999999998</v>
      </c>
      <c r="R1206" s="24">
        <f t="shared" si="74"/>
        <v>0.37963453389830504</v>
      </c>
      <c r="S1206" t="s">
        <v>540</v>
      </c>
      <c r="T1206" t="s">
        <v>64</v>
      </c>
    </row>
    <row r="1207" spans="1:20" hidden="1">
      <c r="A1207" t="s">
        <v>1277</v>
      </c>
      <c r="B1207" s="5">
        <v>45346</v>
      </c>
      <c r="C1207" s="8">
        <f>YEAR(Tabla2[[#This Row],[fecha]])</f>
        <v>2024</v>
      </c>
      <c r="D1207" s="8">
        <f>MONTH(Tabla2[[#This Row],[fecha]])</f>
        <v>2</v>
      </c>
      <c r="E1207" s="8" t="str">
        <f>TEXT(Tabla2[[#This Row],[fecha]], "mmmm")</f>
        <v>febrero</v>
      </c>
      <c r="F1207" s="8" t="str">
        <f>"T"&amp;ROUNDUP(Tabla2[[#This Row],[mes]]/3,0)</f>
        <v>T1</v>
      </c>
      <c r="G1207" t="s">
        <v>29</v>
      </c>
      <c r="H1207" t="s">
        <v>30</v>
      </c>
      <c r="I1207" s="8" t="str">
        <f>IF(Tabla2[[#This Row],[precio_unitario]]&lt;=30,"Económico",IF(Tabla2[[#This Row],[precio_unitario]]&lt;=58.49,"Accesible","Caro"))</f>
        <v>Económico</v>
      </c>
      <c r="J1207" t="s">
        <v>26</v>
      </c>
      <c r="K1207">
        <v>1</v>
      </c>
      <c r="L1207" s="19">
        <v>22.98</v>
      </c>
      <c r="M1207" s="19">
        <v>11.05</v>
      </c>
      <c r="N1207" s="11">
        <v>0.09</v>
      </c>
      <c r="O1207" s="17">
        <f t="shared" si="75"/>
        <v>20.911799999999999</v>
      </c>
      <c r="P1207" s="17">
        <f t="shared" si="72"/>
        <v>11.05</v>
      </c>
      <c r="Q1207" s="17">
        <f t="shared" si="73"/>
        <v>9.8617999999999988</v>
      </c>
      <c r="R1207" s="24">
        <f t="shared" si="74"/>
        <v>0.47159020266069868</v>
      </c>
      <c r="S1207" t="s">
        <v>540</v>
      </c>
      <c r="T1207" t="s">
        <v>60</v>
      </c>
    </row>
    <row r="1208" spans="1:20" hidden="1">
      <c r="A1208" t="s">
        <v>1278</v>
      </c>
      <c r="B1208" s="5">
        <v>45909</v>
      </c>
      <c r="C1208" s="8">
        <f>YEAR(Tabla2[[#This Row],[fecha]])</f>
        <v>2025</v>
      </c>
      <c r="D1208" s="8">
        <f>MONTH(Tabla2[[#This Row],[fecha]])</f>
        <v>9</v>
      </c>
      <c r="E1208" s="8" t="str">
        <f>TEXT(Tabla2[[#This Row],[fecha]], "mmmm")</f>
        <v>septiembre</v>
      </c>
      <c r="F1208" s="8" t="str">
        <f>"T"&amp;ROUNDUP(Tabla2[[#This Row],[mes]]/3,0)</f>
        <v>T3</v>
      </c>
      <c r="G1208" t="s">
        <v>38</v>
      </c>
      <c r="H1208" t="s">
        <v>39</v>
      </c>
      <c r="I1208" s="8" t="str">
        <f>IF(Tabla2[[#This Row],[precio_unitario]]&lt;=30,"Económico",IF(Tabla2[[#This Row],[precio_unitario]]&lt;=58.49,"Accesible","Caro"))</f>
        <v>Caro</v>
      </c>
      <c r="J1208" t="s">
        <v>35</v>
      </c>
      <c r="K1208" s="10">
        <v>3</v>
      </c>
      <c r="L1208" s="19">
        <v>73.239999999999995</v>
      </c>
      <c r="M1208" s="19">
        <v>44.71</v>
      </c>
      <c r="N1208" s="11">
        <v>0</v>
      </c>
      <c r="O1208" s="17">
        <f t="shared" si="75"/>
        <v>219.71999999999997</v>
      </c>
      <c r="P1208" s="17">
        <f t="shared" si="72"/>
        <v>134.13</v>
      </c>
      <c r="Q1208" s="17">
        <f t="shared" si="73"/>
        <v>85.589999999999975</v>
      </c>
      <c r="R1208" s="24">
        <f t="shared" si="74"/>
        <v>0.38954123429819765</v>
      </c>
      <c r="S1208" t="s">
        <v>63</v>
      </c>
      <c r="T1208" t="s">
        <v>64</v>
      </c>
    </row>
    <row r="1209" spans="1:20">
      <c r="A1209" t="s">
        <v>1279</v>
      </c>
      <c r="B1209" s="5">
        <v>45972</v>
      </c>
      <c r="C1209" s="8">
        <f>YEAR(Tabla2[[#This Row],[fecha]])</f>
        <v>2025</v>
      </c>
      <c r="D1209" s="8">
        <f>MONTH(Tabla2[[#This Row],[fecha]])</f>
        <v>11</v>
      </c>
      <c r="E1209" s="8" t="str">
        <f>TEXT(Tabla2[[#This Row],[fecha]], "mmmm")</f>
        <v>noviembre</v>
      </c>
      <c r="F1209" s="8" t="str">
        <f>"T"&amp;ROUNDUP(Tabla2[[#This Row],[mes]]/3,0)</f>
        <v>T4</v>
      </c>
      <c r="G1209" t="s">
        <v>31</v>
      </c>
      <c r="H1209" t="s">
        <v>32</v>
      </c>
      <c r="I1209" s="8" t="str">
        <f>IF(Tabla2[[#This Row],[precio_unitario]]&lt;=30,"Económico",IF(Tabla2[[#This Row],[precio_unitario]]&lt;=58.49,"Accesible","Caro"))</f>
        <v>Económico</v>
      </c>
      <c r="J1209" t="s">
        <v>26</v>
      </c>
      <c r="K1209">
        <v>1</v>
      </c>
      <c r="L1209" s="19">
        <v>9.2200000000000006</v>
      </c>
      <c r="M1209" s="19">
        <v>5.79</v>
      </c>
      <c r="N1209" s="11">
        <v>0.25</v>
      </c>
      <c r="O1209" s="17">
        <f t="shared" si="75"/>
        <v>6.9150000000000009</v>
      </c>
      <c r="P1209" s="17">
        <f t="shared" si="72"/>
        <v>5.79</v>
      </c>
      <c r="Q1209" s="17">
        <f t="shared" si="73"/>
        <v>1.1250000000000009</v>
      </c>
      <c r="R1209" s="24">
        <f t="shared" si="74"/>
        <v>0.16268980477223438</v>
      </c>
      <c r="S1209" t="s">
        <v>67</v>
      </c>
      <c r="T1209" t="s">
        <v>64</v>
      </c>
    </row>
    <row r="1210" spans="1:20">
      <c r="A1210" t="s">
        <v>1280</v>
      </c>
      <c r="B1210" s="5">
        <v>45850</v>
      </c>
      <c r="C1210" s="8">
        <f>YEAR(Tabla2[[#This Row],[fecha]])</f>
        <v>2025</v>
      </c>
      <c r="D1210" s="8">
        <f>MONTH(Tabla2[[#This Row],[fecha]])</f>
        <v>7</v>
      </c>
      <c r="E1210" s="8" t="str">
        <f>TEXT(Tabla2[[#This Row],[fecha]], "mmmm")</f>
        <v>julio</v>
      </c>
      <c r="F1210" s="8" t="str">
        <f>"T"&amp;ROUNDUP(Tabla2[[#This Row],[mes]]/3,0)</f>
        <v>T3</v>
      </c>
      <c r="G1210" t="s">
        <v>38</v>
      </c>
      <c r="H1210" t="s">
        <v>39</v>
      </c>
      <c r="I1210" s="8" t="str">
        <f>IF(Tabla2[[#This Row],[precio_unitario]]&lt;=30,"Económico",IF(Tabla2[[#This Row],[precio_unitario]]&lt;=58.49,"Accesible","Caro"))</f>
        <v>Caro</v>
      </c>
      <c r="J1210" t="s">
        <v>35</v>
      </c>
      <c r="K1210">
        <v>3</v>
      </c>
      <c r="L1210" s="19">
        <v>77.849999999999994</v>
      </c>
      <c r="M1210" s="19">
        <v>43.58</v>
      </c>
      <c r="N1210" s="11">
        <v>0</v>
      </c>
      <c r="O1210" s="17">
        <f t="shared" si="75"/>
        <v>233.54999999999998</v>
      </c>
      <c r="P1210" s="17">
        <f t="shared" si="72"/>
        <v>130.74</v>
      </c>
      <c r="Q1210" s="17">
        <f t="shared" si="73"/>
        <v>102.80999999999997</v>
      </c>
      <c r="R1210" s="24">
        <f t="shared" si="74"/>
        <v>0.44020552344251757</v>
      </c>
      <c r="S1210" t="s">
        <v>67</v>
      </c>
      <c r="T1210" t="s">
        <v>64</v>
      </c>
    </row>
    <row r="1211" spans="1:20" hidden="1">
      <c r="A1211" t="s">
        <v>1281</v>
      </c>
      <c r="B1211" s="5">
        <v>45948</v>
      </c>
      <c r="C1211" s="8">
        <f>YEAR(Tabla2[[#This Row],[fecha]])</f>
        <v>2025</v>
      </c>
      <c r="D1211" s="8">
        <f>MONTH(Tabla2[[#This Row],[fecha]])</f>
        <v>10</v>
      </c>
      <c r="E1211" s="8" t="str">
        <f>TEXT(Tabla2[[#This Row],[fecha]], "mmmm")</f>
        <v>octubre</v>
      </c>
      <c r="F1211" s="8" t="str">
        <f>"T"&amp;ROUNDUP(Tabla2[[#This Row],[mes]]/3,0)</f>
        <v>T4</v>
      </c>
      <c r="G1211" t="s">
        <v>9</v>
      </c>
      <c r="H1211" t="s">
        <v>10</v>
      </c>
      <c r="I1211" s="8" t="str">
        <f>IF(Tabla2[[#This Row],[precio_unitario]]&lt;=30,"Económico",IF(Tabla2[[#This Row],[precio_unitario]]&lt;=58.49,"Accesible","Caro"))</f>
        <v>Caro</v>
      </c>
      <c r="J1211" t="s">
        <v>8</v>
      </c>
      <c r="K1211">
        <v>2</v>
      </c>
      <c r="L1211" s="19">
        <v>71.599999999999994</v>
      </c>
      <c r="M1211" s="19">
        <v>45.26</v>
      </c>
      <c r="N1211" s="11">
        <v>0.18</v>
      </c>
      <c r="O1211" s="17">
        <f t="shared" si="75"/>
        <v>117.42400000000001</v>
      </c>
      <c r="P1211" s="17">
        <f t="shared" si="72"/>
        <v>90.52</v>
      </c>
      <c r="Q1211" s="17">
        <f t="shared" si="73"/>
        <v>26.904000000000011</v>
      </c>
      <c r="R1211" s="24">
        <f t="shared" si="74"/>
        <v>0.22911840850252085</v>
      </c>
      <c r="S1211" t="s">
        <v>83</v>
      </c>
      <c r="T1211" t="s">
        <v>64</v>
      </c>
    </row>
    <row r="1212" spans="1:20" hidden="1">
      <c r="A1212" t="s">
        <v>1282</v>
      </c>
      <c r="B1212" s="5">
        <v>45724</v>
      </c>
      <c r="C1212" s="8">
        <f>YEAR(Tabla2[[#This Row],[fecha]])</f>
        <v>2025</v>
      </c>
      <c r="D1212" s="8">
        <f>MONTH(Tabla2[[#This Row],[fecha]])</f>
        <v>3</v>
      </c>
      <c r="E1212" s="8" t="str">
        <f>TEXT(Tabla2[[#This Row],[fecha]], "mmmm")</f>
        <v>marzo</v>
      </c>
      <c r="F1212" s="8" t="str">
        <f>"T"&amp;ROUNDUP(Tabla2[[#This Row],[mes]]/3,0)</f>
        <v>T1</v>
      </c>
      <c r="G1212" t="s">
        <v>45</v>
      </c>
      <c r="H1212" t="s">
        <v>46</v>
      </c>
      <c r="I1212" s="8" t="str">
        <f>IF(Tabla2[[#This Row],[precio_unitario]]&lt;=30,"Económico",IF(Tabla2[[#This Row],[precio_unitario]]&lt;=58.49,"Accesible","Caro"))</f>
        <v>Accesible</v>
      </c>
      <c r="J1212" t="s">
        <v>44</v>
      </c>
      <c r="K1212">
        <v>3</v>
      </c>
      <c r="L1212" s="19">
        <v>32.01</v>
      </c>
      <c r="M1212" s="19">
        <v>16.5</v>
      </c>
      <c r="N1212" s="11">
        <v>0</v>
      </c>
      <c r="O1212" s="17">
        <f t="shared" si="75"/>
        <v>96.03</v>
      </c>
      <c r="P1212" s="17">
        <f t="shared" si="72"/>
        <v>49.5</v>
      </c>
      <c r="Q1212" s="17">
        <f t="shared" si="73"/>
        <v>46.53</v>
      </c>
      <c r="R1212" s="24">
        <f t="shared" si="74"/>
        <v>0.4845360824742268</v>
      </c>
      <c r="S1212" t="s">
        <v>63</v>
      </c>
      <c r="T1212" t="s">
        <v>64</v>
      </c>
    </row>
    <row r="1213" spans="1:20" hidden="1">
      <c r="A1213" t="s">
        <v>1283</v>
      </c>
      <c r="B1213" s="5">
        <v>45415</v>
      </c>
      <c r="C1213" s="8">
        <f>YEAR(Tabla2[[#This Row],[fecha]])</f>
        <v>2024</v>
      </c>
      <c r="D1213" s="8">
        <f>MONTH(Tabla2[[#This Row],[fecha]])</f>
        <v>5</v>
      </c>
      <c r="E1213" s="8" t="str">
        <f>TEXT(Tabla2[[#This Row],[fecha]], "mmmm")</f>
        <v>mayo</v>
      </c>
      <c r="F1213" s="8" t="str">
        <f>"T"&amp;ROUNDUP(Tabla2[[#This Row],[mes]]/3,0)</f>
        <v>T2</v>
      </c>
      <c r="G1213" t="s">
        <v>20</v>
      </c>
      <c r="H1213" t="s">
        <v>21</v>
      </c>
      <c r="I1213" s="8" t="str">
        <f>IF(Tabla2[[#This Row],[precio_unitario]]&lt;=30,"Económico",IF(Tabla2[[#This Row],[precio_unitario]]&lt;=58.49,"Accesible","Caro"))</f>
        <v>Económico</v>
      </c>
      <c r="J1213" t="s">
        <v>17</v>
      </c>
      <c r="K1213">
        <v>6</v>
      </c>
      <c r="L1213" s="19">
        <v>18.760000000000002</v>
      </c>
      <c r="M1213" s="19">
        <v>13.3</v>
      </c>
      <c r="N1213" s="13">
        <v>0</v>
      </c>
      <c r="O1213" s="17">
        <f t="shared" si="75"/>
        <v>112.56</v>
      </c>
      <c r="P1213" s="17">
        <f t="shared" si="72"/>
        <v>79.800000000000011</v>
      </c>
      <c r="Q1213" s="17">
        <f t="shared" si="73"/>
        <v>32.759999999999991</v>
      </c>
      <c r="R1213" s="24">
        <f t="shared" si="74"/>
        <v>0.29104477611940288</v>
      </c>
      <c r="S1213" t="s">
        <v>83</v>
      </c>
      <c r="T1213" t="s">
        <v>60</v>
      </c>
    </row>
    <row r="1214" spans="1:20" hidden="1">
      <c r="A1214" t="s">
        <v>1284</v>
      </c>
      <c r="B1214" s="5">
        <v>45535</v>
      </c>
      <c r="C1214" s="8">
        <f>YEAR(Tabla2[[#This Row],[fecha]])</f>
        <v>2024</v>
      </c>
      <c r="D1214" s="8">
        <f>MONTH(Tabla2[[#This Row],[fecha]])</f>
        <v>8</v>
      </c>
      <c r="E1214" s="8" t="str">
        <f>TEXT(Tabla2[[#This Row],[fecha]], "mmmm")</f>
        <v>agosto</v>
      </c>
      <c r="F1214" s="8" t="str">
        <f>"T"&amp;ROUNDUP(Tabla2[[#This Row],[mes]]/3,0)</f>
        <v>T3</v>
      </c>
      <c r="G1214" t="s">
        <v>27</v>
      </c>
      <c r="H1214" t="s">
        <v>28</v>
      </c>
      <c r="I1214" s="8" t="str">
        <f>IF(Tabla2[[#This Row],[precio_unitario]]&lt;=30,"Económico",IF(Tabla2[[#This Row],[precio_unitario]]&lt;=58.49,"Accesible","Caro"))</f>
        <v>Económico</v>
      </c>
      <c r="J1214" t="s">
        <v>26</v>
      </c>
      <c r="K1214">
        <v>3</v>
      </c>
      <c r="L1214" s="19">
        <v>16.559999999999999</v>
      </c>
      <c r="M1214" s="19">
        <v>11.07</v>
      </c>
      <c r="N1214" s="11">
        <v>0.28999999999999998</v>
      </c>
      <c r="O1214" s="17">
        <f t="shared" si="75"/>
        <v>35.272799999999989</v>
      </c>
      <c r="P1214" s="17">
        <f t="shared" si="72"/>
        <v>33.21</v>
      </c>
      <c r="Q1214" s="17">
        <f t="shared" si="73"/>
        <v>2.0627999999999886</v>
      </c>
      <c r="R1214" s="24">
        <f t="shared" si="74"/>
        <v>5.8481322718921924E-2</v>
      </c>
      <c r="S1214" t="s">
        <v>83</v>
      </c>
      <c r="T1214" t="s">
        <v>60</v>
      </c>
    </row>
    <row r="1215" spans="1:20">
      <c r="A1215" t="s">
        <v>1285</v>
      </c>
      <c r="B1215" s="5">
        <v>45953</v>
      </c>
      <c r="C1215" s="8">
        <f>YEAR(Tabla2[[#This Row],[fecha]])</f>
        <v>2025</v>
      </c>
      <c r="D1215" s="8">
        <f>MONTH(Tabla2[[#This Row],[fecha]])</f>
        <v>10</v>
      </c>
      <c r="E1215" s="8" t="str">
        <f>TEXT(Tabla2[[#This Row],[fecha]], "mmmm")</f>
        <v>octubre</v>
      </c>
      <c r="F1215" s="8" t="str">
        <f>"T"&amp;ROUNDUP(Tabla2[[#This Row],[mes]]/3,0)</f>
        <v>T4</v>
      </c>
      <c r="G1215" t="s">
        <v>11</v>
      </c>
      <c r="H1215" t="s">
        <v>12</v>
      </c>
      <c r="I1215" s="8" t="str">
        <f>IF(Tabla2[[#This Row],[precio_unitario]]&lt;=30,"Económico",IF(Tabla2[[#This Row],[precio_unitario]]&lt;=58.49,"Accesible","Caro"))</f>
        <v>Caro</v>
      </c>
      <c r="J1215" t="s">
        <v>8</v>
      </c>
      <c r="K1215">
        <v>1</v>
      </c>
      <c r="L1215" s="19">
        <v>166.14</v>
      </c>
      <c r="M1215" s="19">
        <v>93.1</v>
      </c>
      <c r="N1215" s="11">
        <v>0.09</v>
      </c>
      <c r="O1215" s="17">
        <f t="shared" si="75"/>
        <v>151.1874</v>
      </c>
      <c r="P1215" s="17">
        <f t="shared" si="72"/>
        <v>93.1</v>
      </c>
      <c r="Q1215" s="17">
        <f t="shared" si="73"/>
        <v>58.087400000000002</v>
      </c>
      <c r="R1215" s="24">
        <f t="shared" si="74"/>
        <v>0.3842079432545305</v>
      </c>
      <c r="S1215" t="s">
        <v>67</v>
      </c>
      <c r="T1215" t="s">
        <v>64</v>
      </c>
    </row>
    <row r="1216" spans="1:20" hidden="1">
      <c r="A1216" t="s">
        <v>1286</v>
      </c>
      <c r="B1216" s="5">
        <v>45329</v>
      </c>
      <c r="C1216" s="8">
        <f>YEAR(Tabla2[[#This Row],[fecha]])</f>
        <v>2024</v>
      </c>
      <c r="D1216" s="8">
        <f>MONTH(Tabla2[[#This Row],[fecha]])</f>
        <v>2</v>
      </c>
      <c r="E1216" s="8" t="str">
        <f>TEXT(Tabla2[[#This Row],[fecha]], "mmmm")</f>
        <v>febrero</v>
      </c>
      <c r="F1216" s="8" t="str">
        <f>"T"&amp;ROUNDUP(Tabla2[[#This Row],[mes]]/3,0)</f>
        <v>T1</v>
      </c>
      <c r="G1216" t="s">
        <v>18</v>
      </c>
      <c r="H1216" t="s">
        <v>19</v>
      </c>
      <c r="I1216" s="8" t="str">
        <f>IF(Tabla2[[#This Row],[precio_unitario]]&lt;=30,"Económico",IF(Tabla2[[#This Row],[precio_unitario]]&lt;=58.49,"Accesible","Caro"))</f>
        <v>Accesible</v>
      </c>
      <c r="J1216" t="s">
        <v>17</v>
      </c>
      <c r="K1216">
        <v>1</v>
      </c>
      <c r="L1216" s="19">
        <v>50.41</v>
      </c>
      <c r="M1216" s="19">
        <v>26.45</v>
      </c>
      <c r="N1216" s="11">
        <v>0</v>
      </c>
      <c r="O1216" s="17">
        <f t="shared" si="75"/>
        <v>50.41</v>
      </c>
      <c r="P1216" s="17">
        <f t="shared" si="72"/>
        <v>26.45</v>
      </c>
      <c r="Q1216" s="17">
        <f t="shared" si="73"/>
        <v>23.959999999999997</v>
      </c>
      <c r="R1216" s="24">
        <f t="shared" si="74"/>
        <v>0.4753025193414005</v>
      </c>
      <c r="S1216" t="s">
        <v>101</v>
      </c>
      <c r="T1216" t="s">
        <v>64</v>
      </c>
    </row>
    <row r="1217" spans="1:20" hidden="1">
      <c r="A1217" t="s">
        <v>1287</v>
      </c>
      <c r="B1217" s="5">
        <v>45890</v>
      </c>
      <c r="C1217" s="8">
        <f>YEAR(Tabla2[[#This Row],[fecha]])</f>
        <v>2025</v>
      </c>
      <c r="D1217" s="8">
        <f>MONTH(Tabla2[[#This Row],[fecha]])</f>
        <v>8</v>
      </c>
      <c r="E1217" s="8" t="str">
        <f>TEXT(Tabla2[[#This Row],[fecha]], "mmmm")</f>
        <v>agosto</v>
      </c>
      <c r="F1217" s="8" t="str">
        <f>"T"&amp;ROUNDUP(Tabla2[[#This Row],[mes]]/3,0)</f>
        <v>T3</v>
      </c>
      <c r="G1217" t="s">
        <v>38</v>
      </c>
      <c r="H1217" t="s">
        <v>39</v>
      </c>
      <c r="I1217" s="8" t="str">
        <f>IF(Tabla2[[#This Row],[precio_unitario]]&lt;=30,"Económico",IF(Tabla2[[#This Row],[precio_unitario]]&lt;=58.49,"Accesible","Caro"))</f>
        <v>Caro</v>
      </c>
      <c r="J1217" t="s">
        <v>35</v>
      </c>
      <c r="K1217">
        <v>1</v>
      </c>
      <c r="L1217" s="19">
        <v>79.94</v>
      </c>
      <c r="M1217" s="19">
        <v>42.12</v>
      </c>
      <c r="N1217" s="11">
        <v>0</v>
      </c>
      <c r="O1217" s="17">
        <f t="shared" si="75"/>
        <v>79.94</v>
      </c>
      <c r="P1217" s="17">
        <f t="shared" si="72"/>
        <v>42.12</v>
      </c>
      <c r="Q1217" s="17">
        <f t="shared" si="73"/>
        <v>37.82</v>
      </c>
      <c r="R1217" s="24">
        <f t="shared" si="74"/>
        <v>0.47310482862146613</v>
      </c>
      <c r="S1217" t="s">
        <v>83</v>
      </c>
      <c r="T1217" t="s">
        <v>64</v>
      </c>
    </row>
    <row r="1218" spans="1:20" hidden="1">
      <c r="A1218" t="s">
        <v>1288</v>
      </c>
      <c r="B1218" s="5">
        <v>45992</v>
      </c>
      <c r="C1218" s="8">
        <f>YEAR(Tabla2[[#This Row],[fecha]])</f>
        <v>2025</v>
      </c>
      <c r="D1218" s="8">
        <f>MONTH(Tabla2[[#This Row],[fecha]])</f>
        <v>12</v>
      </c>
      <c r="E1218" s="8" t="str">
        <f>TEXT(Tabla2[[#This Row],[fecha]], "mmmm")</f>
        <v>diciembre</v>
      </c>
      <c r="F1218" s="8" t="str">
        <f>"T"&amp;ROUNDUP(Tabla2[[#This Row],[mes]]/3,0)</f>
        <v>T4</v>
      </c>
      <c r="G1218" t="s">
        <v>22</v>
      </c>
      <c r="H1218" t="s">
        <v>23</v>
      </c>
      <c r="I1218" s="8" t="str">
        <f>IF(Tabla2[[#This Row],[precio_unitario]]&lt;=30,"Económico",IF(Tabla2[[#This Row],[precio_unitario]]&lt;=58.49,"Accesible","Caro"))</f>
        <v>Caro</v>
      </c>
      <c r="J1218" t="s">
        <v>17</v>
      </c>
      <c r="K1218">
        <v>1</v>
      </c>
      <c r="L1218" s="19">
        <v>107.5</v>
      </c>
      <c r="M1218" s="19">
        <v>57.75</v>
      </c>
      <c r="N1218" s="11">
        <v>0</v>
      </c>
      <c r="O1218" s="17">
        <f t="shared" si="75"/>
        <v>107.5</v>
      </c>
      <c r="P1218" s="17">
        <f t="shared" ref="P1218:P1281" si="76">M1218*K1218</f>
        <v>57.75</v>
      </c>
      <c r="Q1218" s="17">
        <f t="shared" ref="Q1218:Q1281" si="77">O1218-P1218</f>
        <v>49.75</v>
      </c>
      <c r="R1218" s="24">
        <f t="shared" ref="R1218:R1281" si="78">IFERROR(Q1218/O1218,0)</f>
        <v>0.46279069767441861</v>
      </c>
      <c r="S1218" t="s">
        <v>83</v>
      </c>
      <c r="T1218" t="s">
        <v>60</v>
      </c>
    </row>
    <row r="1219" spans="1:20" hidden="1">
      <c r="A1219" t="s">
        <v>1289</v>
      </c>
      <c r="B1219" s="5">
        <v>45473</v>
      </c>
      <c r="C1219" s="8">
        <f>YEAR(Tabla2[[#This Row],[fecha]])</f>
        <v>2024</v>
      </c>
      <c r="D1219" s="8">
        <f>MONTH(Tabla2[[#This Row],[fecha]])</f>
        <v>6</v>
      </c>
      <c r="E1219" s="8" t="str">
        <f>TEXT(Tabla2[[#This Row],[fecha]], "mmmm")</f>
        <v>junio</v>
      </c>
      <c r="F1219" s="8" t="str">
        <f>"T"&amp;ROUNDUP(Tabla2[[#This Row],[mes]]/3,0)</f>
        <v>T2</v>
      </c>
      <c r="G1219" t="s">
        <v>11</v>
      </c>
      <c r="H1219" t="s">
        <v>12</v>
      </c>
      <c r="I1219" s="8" t="str">
        <f>IF(Tabla2[[#This Row],[precio_unitario]]&lt;=30,"Económico",IF(Tabla2[[#This Row],[precio_unitario]]&lt;=58.49,"Accesible","Caro"))</f>
        <v>Caro</v>
      </c>
      <c r="J1219" t="s">
        <v>8</v>
      </c>
      <c r="K1219">
        <v>1</v>
      </c>
      <c r="L1219" s="20">
        <f>INDEX(Tabla3[precio_venta_recomendado], MATCH(Tabla2[[#This Row],[id_producto]], Tabla3[id_producto], 0))</f>
        <v>177.72</v>
      </c>
      <c r="M1219" s="19">
        <v>97.16</v>
      </c>
      <c r="N1219" s="11">
        <v>0</v>
      </c>
      <c r="O1219" s="17">
        <f t="shared" ref="O1219:O1282" si="79">K1219*L1219*(1-N1219)</f>
        <v>177.72</v>
      </c>
      <c r="P1219" s="17">
        <f t="shared" si="76"/>
        <v>97.16</v>
      </c>
      <c r="Q1219" s="17">
        <f t="shared" si="77"/>
        <v>80.56</v>
      </c>
      <c r="R1219" s="24">
        <f t="shared" si="78"/>
        <v>0.45329732162952963</v>
      </c>
      <c r="S1219" t="s">
        <v>67</v>
      </c>
      <c r="T1219" t="s">
        <v>64</v>
      </c>
    </row>
    <row r="1220" spans="1:20" hidden="1">
      <c r="A1220" t="s">
        <v>1290</v>
      </c>
      <c r="B1220" s="15"/>
      <c r="C1220" s="8">
        <f>YEAR(Tabla2[[#This Row],[fecha]])</f>
        <v>1900</v>
      </c>
      <c r="D1220" s="8">
        <f>MONTH(Tabla2[[#This Row],[fecha]])</f>
        <v>1</v>
      </c>
      <c r="E1220" s="8" t="str">
        <f>TEXT(Tabla2[[#This Row],[fecha]], "mmmm")</f>
        <v>enero</v>
      </c>
      <c r="F1220" s="8" t="str">
        <f>"T"&amp;ROUNDUP(Tabla2[[#This Row],[mes]]/3,0)</f>
        <v>T1</v>
      </c>
      <c r="G1220" t="s">
        <v>20</v>
      </c>
      <c r="H1220" t="s">
        <v>21</v>
      </c>
      <c r="I1220" s="8" t="str">
        <f>IF(Tabla2[[#This Row],[precio_unitario]]&lt;=30,"Económico",IF(Tabla2[[#This Row],[precio_unitario]]&lt;=58.49,"Accesible","Caro"))</f>
        <v>Económico</v>
      </c>
      <c r="J1220" t="s">
        <v>17</v>
      </c>
      <c r="K1220">
        <v>4</v>
      </c>
      <c r="L1220" s="19">
        <v>18.309999999999999</v>
      </c>
      <c r="M1220" s="19">
        <v>13.4</v>
      </c>
      <c r="N1220" s="11">
        <v>0</v>
      </c>
      <c r="O1220" s="17">
        <f t="shared" si="79"/>
        <v>73.239999999999995</v>
      </c>
      <c r="P1220" s="17">
        <f t="shared" si="76"/>
        <v>53.6</v>
      </c>
      <c r="Q1220" s="17">
        <f t="shared" si="77"/>
        <v>19.639999999999993</v>
      </c>
      <c r="R1220" s="24">
        <f t="shared" si="78"/>
        <v>0.26815947569634074</v>
      </c>
      <c r="S1220" t="s">
        <v>67</v>
      </c>
      <c r="T1220" t="s">
        <v>64</v>
      </c>
    </row>
    <row r="1221" spans="1:20" hidden="1">
      <c r="A1221" t="s">
        <v>1291</v>
      </c>
      <c r="B1221" s="5">
        <v>45438</v>
      </c>
      <c r="C1221" s="8">
        <f>YEAR(Tabla2[[#This Row],[fecha]])</f>
        <v>2024</v>
      </c>
      <c r="D1221" s="8">
        <f>MONTH(Tabla2[[#This Row],[fecha]])</f>
        <v>5</v>
      </c>
      <c r="E1221" s="8" t="str">
        <f>TEXT(Tabla2[[#This Row],[fecha]], "mmmm")</f>
        <v>mayo</v>
      </c>
      <c r="F1221" s="8" t="str">
        <f>"T"&amp;ROUNDUP(Tabla2[[#This Row],[mes]]/3,0)</f>
        <v>T2</v>
      </c>
      <c r="G1221" t="s">
        <v>6</v>
      </c>
      <c r="H1221" t="s">
        <v>7</v>
      </c>
      <c r="I1221" s="8" t="str">
        <f>IF(Tabla2[[#This Row],[precio_unitario]]&lt;=30,"Económico",IF(Tabla2[[#This Row],[precio_unitario]]&lt;=58.49,"Accesible","Caro"))</f>
        <v>Caro</v>
      </c>
      <c r="J1221" t="s">
        <v>8</v>
      </c>
      <c r="K1221">
        <v>2</v>
      </c>
      <c r="L1221" s="19">
        <v>117.03</v>
      </c>
      <c r="M1221" s="19">
        <v>85.53</v>
      </c>
      <c r="N1221" s="11">
        <v>0</v>
      </c>
      <c r="O1221" s="17">
        <f t="shared" si="79"/>
        <v>234.06</v>
      </c>
      <c r="P1221" s="17">
        <f t="shared" si="76"/>
        <v>171.06</v>
      </c>
      <c r="Q1221" s="17">
        <f t="shared" si="77"/>
        <v>63</v>
      </c>
      <c r="R1221" s="24">
        <f t="shared" si="78"/>
        <v>0.26916175339656501</v>
      </c>
      <c r="S1221" t="s">
        <v>96</v>
      </c>
      <c r="T1221" t="s">
        <v>64</v>
      </c>
    </row>
    <row r="1222" spans="1:20" hidden="1">
      <c r="A1222" t="s">
        <v>1292</v>
      </c>
      <c r="B1222" s="5">
        <v>45948</v>
      </c>
      <c r="C1222" s="8">
        <f>YEAR(Tabla2[[#This Row],[fecha]])</f>
        <v>2025</v>
      </c>
      <c r="D1222" s="8">
        <f>MONTH(Tabla2[[#This Row],[fecha]])</f>
        <v>10</v>
      </c>
      <c r="E1222" s="8" t="str">
        <f>TEXT(Tabla2[[#This Row],[fecha]], "mmmm")</f>
        <v>octubre</v>
      </c>
      <c r="F1222" s="8" t="str">
        <f>"T"&amp;ROUNDUP(Tabla2[[#This Row],[mes]]/3,0)</f>
        <v>T4</v>
      </c>
      <c r="G1222" t="s">
        <v>15</v>
      </c>
      <c r="H1222" t="s">
        <v>16</v>
      </c>
      <c r="I1222" s="8" t="str">
        <f>IF(Tabla2[[#This Row],[precio_unitario]]&lt;=30,"Económico",IF(Tabla2[[#This Row],[precio_unitario]]&lt;=58.49,"Accesible","Caro"))</f>
        <v>Caro</v>
      </c>
      <c r="J1222" t="s">
        <v>17</v>
      </c>
      <c r="K1222">
        <v>1</v>
      </c>
      <c r="L1222" s="19">
        <v>59.37</v>
      </c>
      <c r="M1222" s="19">
        <v>42.69</v>
      </c>
      <c r="N1222" s="13">
        <v>0</v>
      </c>
      <c r="O1222" s="17">
        <f t="shared" si="79"/>
        <v>59.37</v>
      </c>
      <c r="P1222" s="17">
        <f t="shared" si="76"/>
        <v>42.69</v>
      </c>
      <c r="Q1222" s="17">
        <f t="shared" si="77"/>
        <v>16.68</v>
      </c>
      <c r="R1222" s="24">
        <f t="shared" si="78"/>
        <v>0.2809499747347145</v>
      </c>
      <c r="S1222" t="s">
        <v>540</v>
      </c>
      <c r="T1222" t="s">
        <v>64</v>
      </c>
    </row>
    <row r="1223" spans="1:20">
      <c r="A1223" t="s">
        <v>1293</v>
      </c>
      <c r="B1223" s="5">
        <v>45839</v>
      </c>
      <c r="C1223" s="8">
        <f>YEAR(Tabla2[[#This Row],[fecha]])</f>
        <v>2025</v>
      </c>
      <c r="D1223" s="8">
        <f>MONTH(Tabla2[[#This Row],[fecha]])</f>
        <v>7</v>
      </c>
      <c r="E1223" s="8" t="str">
        <f>TEXT(Tabla2[[#This Row],[fecha]], "mmmm")</f>
        <v>julio</v>
      </c>
      <c r="F1223" s="8" t="str">
        <f>"T"&amp;ROUNDUP(Tabla2[[#This Row],[mes]]/3,0)</f>
        <v>T3</v>
      </c>
      <c r="G1223" t="s">
        <v>22</v>
      </c>
      <c r="H1223" t="s">
        <v>23</v>
      </c>
      <c r="I1223" s="8" t="str">
        <f>IF(Tabla2[[#This Row],[precio_unitario]]&lt;=30,"Económico",IF(Tabla2[[#This Row],[precio_unitario]]&lt;=58.49,"Accesible","Caro"))</f>
        <v>Caro</v>
      </c>
      <c r="J1223" t="s">
        <v>17</v>
      </c>
      <c r="K1223">
        <v>8</v>
      </c>
      <c r="L1223" s="19">
        <v>99.13</v>
      </c>
      <c r="M1223" s="19">
        <v>58.78</v>
      </c>
      <c r="N1223" s="13">
        <v>0</v>
      </c>
      <c r="O1223" s="17">
        <f t="shared" si="79"/>
        <v>793.04</v>
      </c>
      <c r="P1223" s="17">
        <f t="shared" si="76"/>
        <v>470.24</v>
      </c>
      <c r="Q1223" s="17">
        <f t="shared" si="77"/>
        <v>322.79999999999995</v>
      </c>
      <c r="R1223" s="24">
        <f t="shared" si="78"/>
        <v>0.40704125895289012</v>
      </c>
      <c r="S1223" t="s">
        <v>67</v>
      </c>
      <c r="T1223" t="s">
        <v>60</v>
      </c>
    </row>
    <row r="1224" spans="1:20">
      <c r="A1224" t="s">
        <v>1294</v>
      </c>
      <c r="B1224" s="5">
        <v>45782</v>
      </c>
      <c r="C1224" s="8">
        <f>YEAR(Tabla2[[#This Row],[fecha]])</f>
        <v>2025</v>
      </c>
      <c r="D1224" s="8">
        <f>MONTH(Tabla2[[#This Row],[fecha]])</f>
        <v>5</v>
      </c>
      <c r="E1224" s="8" t="str">
        <f>TEXT(Tabla2[[#This Row],[fecha]], "mmmm")</f>
        <v>mayo</v>
      </c>
      <c r="F1224" s="8" t="str">
        <f>"T"&amp;ROUNDUP(Tabla2[[#This Row],[mes]]/3,0)</f>
        <v>T2</v>
      </c>
      <c r="G1224" t="s">
        <v>45</v>
      </c>
      <c r="H1224" t="s">
        <v>46</v>
      </c>
      <c r="I1224" s="8" t="str">
        <f>IF(Tabla2[[#This Row],[precio_unitario]]&lt;=30,"Económico",IF(Tabla2[[#This Row],[precio_unitario]]&lt;=58.49,"Accesible","Caro"))</f>
        <v>Accesible</v>
      </c>
      <c r="J1224" t="s">
        <v>44</v>
      </c>
      <c r="K1224">
        <v>1</v>
      </c>
      <c r="L1224" s="19">
        <v>32.81</v>
      </c>
      <c r="M1224" s="19">
        <v>17.350000000000001</v>
      </c>
      <c r="N1224" s="11">
        <v>0</v>
      </c>
      <c r="O1224" s="17">
        <f t="shared" si="79"/>
        <v>32.81</v>
      </c>
      <c r="P1224" s="17">
        <f t="shared" si="76"/>
        <v>17.350000000000001</v>
      </c>
      <c r="Q1224" s="17">
        <f t="shared" si="77"/>
        <v>15.46</v>
      </c>
      <c r="R1224" s="24">
        <f t="shared" si="78"/>
        <v>0.47119780554708929</v>
      </c>
      <c r="S1224" t="s">
        <v>67</v>
      </c>
      <c r="T1224" t="s">
        <v>60</v>
      </c>
    </row>
    <row r="1225" spans="1:20" hidden="1">
      <c r="A1225" t="s">
        <v>1295</v>
      </c>
      <c r="B1225" s="5">
        <v>45862</v>
      </c>
      <c r="C1225" s="8">
        <f>YEAR(Tabla2[[#This Row],[fecha]])</f>
        <v>2025</v>
      </c>
      <c r="D1225" s="8">
        <f>MONTH(Tabla2[[#This Row],[fecha]])</f>
        <v>7</v>
      </c>
      <c r="E1225" s="8" t="str">
        <f>TEXT(Tabla2[[#This Row],[fecha]], "mmmm")</f>
        <v>julio</v>
      </c>
      <c r="F1225" s="8" t="str">
        <f>"T"&amp;ROUNDUP(Tabla2[[#This Row],[mes]]/3,0)</f>
        <v>T3</v>
      </c>
      <c r="G1225" t="s">
        <v>27</v>
      </c>
      <c r="H1225" t="s">
        <v>28</v>
      </c>
      <c r="I1225" s="8" t="str">
        <f>IF(Tabla2[[#This Row],[precio_unitario]]&lt;=30,"Económico",IF(Tabla2[[#This Row],[precio_unitario]]&lt;=58.49,"Accesible","Caro"))</f>
        <v>Económico</v>
      </c>
      <c r="J1225" t="s">
        <v>26</v>
      </c>
      <c r="K1225">
        <v>3</v>
      </c>
      <c r="L1225" s="19">
        <v>16.23</v>
      </c>
      <c r="M1225" s="19">
        <v>11.71</v>
      </c>
      <c r="N1225" s="11">
        <v>0</v>
      </c>
      <c r="O1225" s="17">
        <f t="shared" si="79"/>
        <v>48.69</v>
      </c>
      <c r="P1225" s="17">
        <f t="shared" si="76"/>
        <v>35.130000000000003</v>
      </c>
      <c r="Q1225" s="17">
        <f t="shared" si="77"/>
        <v>13.559999999999995</v>
      </c>
      <c r="R1225" s="24">
        <f t="shared" si="78"/>
        <v>0.27849661121380154</v>
      </c>
      <c r="S1225" t="s">
        <v>63</v>
      </c>
      <c r="T1225" t="s">
        <v>60</v>
      </c>
    </row>
    <row r="1226" spans="1:20" hidden="1">
      <c r="A1226" t="s">
        <v>1296</v>
      </c>
      <c r="B1226" s="5">
        <v>45954</v>
      </c>
      <c r="C1226" s="8">
        <f>YEAR(Tabla2[[#This Row],[fecha]])</f>
        <v>2025</v>
      </c>
      <c r="D1226" s="8">
        <f>MONTH(Tabla2[[#This Row],[fecha]])</f>
        <v>10</v>
      </c>
      <c r="E1226" s="8" t="str">
        <f>TEXT(Tabla2[[#This Row],[fecha]], "mmmm")</f>
        <v>octubre</v>
      </c>
      <c r="F1226" s="8" t="str">
        <f>"T"&amp;ROUNDUP(Tabla2[[#This Row],[mes]]/3,0)</f>
        <v>T4</v>
      </c>
      <c r="G1226" t="s">
        <v>36</v>
      </c>
      <c r="H1226" t="s">
        <v>37</v>
      </c>
      <c r="I1226" s="8" t="str">
        <f>IF(Tabla2[[#This Row],[precio_unitario]]&lt;=30,"Económico",IF(Tabla2[[#This Row],[precio_unitario]]&lt;=58.49,"Accesible","Caro"))</f>
        <v>Económico</v>
      </c>
      <c r="J1226" t="s">
        <v>35</v>
      </c>
      <c r="K1226">
        <v>1</v>
      </c>
      <c r="L1226" s="19">
        <v>13.53</v>
      </c>
      <c r="M1226" s="19">
        <v>9.17</v>
      </c>
      <c r="N1226" s="11">
        <v>0</v>
      </c>
      <c r="O1226" s="17">
        <f t="shared" si="79"/>
        <v>13.53</v>
      </c>
      <c r="P1226" s="17">
        <f t="shared" si="76"/>
        <v>9.17</v>
      </c>
      <c r="Q1226" s="17">
        <f t="shared" si="77"/>
        <v>4.3599999999999994</v>
      </c>
      <c r="R1226" s="24">
        <f t="shared" si="78"/>
        <v>0.32224685883222465</v>
      </c>
      <c r="S1226" t="s">
        <v>63</v>
      </c>
      <c r="T1226" t="s">
        <v>60</v>
      </c>
    </row>
    <row r="1227" spans="1:20">
      <c r="A1227" t="s">
        <v>1297</v>
      </c>
      <c r="B1227" s="5">
        <v>45676</v>
      </c>
      <c r="C1227" s="8">
        <f>YEAR(Tabla2[[#This Row],[fecha]])</f>
        <v>2025</v>
      </c>
      <c r="D1227" s="8">
        <f>MONTH(Tabla2[[#This Row],[fecha]])</f>
        <v>1</v>
      </c>
      <c r="E1227" s="8" t="str">
        <f>TEXT(Tabla2[[#This Row],[fecha]], "mmmm")</f>
        <v>enero</v>
      </c>
      <c r="F1227" s="8" t="str">
        <f>"T"&amp;ROUNDUP(Tabla2[[#This Row],[mes]]/3,0)</f>
        <v>T1</v>
      </c>
      <c r="G1227" t="s">
        <v>29</v>
      </c>
      <c r="H1227" t="s">
        <v>30</v>
      </c>
      <c r="I1227" s="8" t="str">
        <f>IF(Tabla2[[#This Row],[precio_unitario]]&lt;=30,"Económico",IF(Tabla2[[#This Row],[precio_unitario]]&lt;=58.49,"Accesible","Caro"))</f>
        <v>Económico</v>
      </c>
      <c r="J1227" t="s">
        <v>26</v>
      </c>
      <c r="K1227">
        <v>1</v>
      </c>
      <c r="L1227" s="19">
        <v>20.46</v>
      </c>
      <c r="M1227" s="19">
        <v>11.5</v>
      </c>
      <c r="N1227" s="11">
        <v>0</v>
      </c>
      <c r="O1227" s="17">
        <f t="shared" si="79"/>
        <v>20.46</v>
      </c>
      <c r="P1227" s="17">
        <f t="shared" si="76"/>
        <v>11.5</v>
      </c>
      <c r="Q1227" s="17">
        <f t="shared" si="77"/>
        <v>8.9600000000000009</v>
      </c>
      <c r="R1227" s="24">
        <f t="shared" si="78"/>
        <v>0.43792766373411535</v>
      </c>
      <c r="S1227" t="s">
        <v>67</v>
      </c>
      <c r="T1227" t="s">
        <v>496</v>
      </c>
    </row>
    <row r="1228" spans="1:20" hidden="1">
      <c r="A1228" t="s">
        <v>1298</v>
      </c>
      <c r="B1228" s="5">
        <v>45647</v>
      </c>
      <c r="C1228" s="8">
        <f>YEAR(Tabla2[[#This Row],[fecha]])</f>
        <v>2024</v>
      </c>
      <c r="D1228" s="8">
        <f>MONTH(Tabla2[[#This Row],[fecha]])</f>
        <v>12</v>
      </c>
      <c r="E1228" s="8" t="str">
        <f>TEXT(Tabla2[[#This Row],[fecha]], "mmmm")</f>
        <v>diciembre</v>
      </c>
      <c r="F1228" s="8" t="str">
        <f>"T"&amp;ROUNDUP(Tabla2[[#This Row],[mes]]/3,0)</f>
        <v>T4</v>
      </c>
      <c r="G1228" t="s">
        <v>6</v>
      </c>
      <c r="H1228" t="s">
        <v>7</v>
      </c>
      <c r="I1228" s="8" t="str">
        <f>IF(Tabla2[[#This Row],[precio_unitario]]&lt;=30,"Económico",IF(Tabla2[[#This Row],[precio_unitario]]&lt;=58.49,"Accesible","Caro"))</f>
        <v>Caro</v>
      </c>
      <c r="J1228" t="s">
        <v>8</v>
      </c>
      <c r="K1228">
        <v>1</v>
      </c>
      <c r="L1228" s="19">
        <v>117.68</v>
      </c>
      <c r="M1228" s="21">
        <f>INDEX(Tabla3[coste_objetivo], MATCH(Tabla2[[#This Row],[id_producto]], Tabla3[id_producto],0))</f>
        <v>84.31</v>
      </c>
      <c r="N1228" s="11">
        <v>0.19</v>
      </c>
      <c r="O1228" s="17">
        <f t="shared" si="79"/>
        <v>95.320800000000006</v>
      </c>
      <c r="P1228" s="17">
        <f t="shared" si="76"/>
        <v>84.31</v>
      </c>
      <c r="Q1228" s="17">
        <f t="shared" si="77"/>
        <v>11.010800000000003</v>
      </c>
      <c r="R1228" s="24">
        <f t="shared" si="78"/>
        <v>0.11551308843400394</v>
      </c>
      <c r="S1228" t="s">
        <v>83</v>
      </c>
      <c r="T1228" t="s">
        <v>64</v>
      </c>
    </row>
    <row r="1229" spans="1:20" hidden="1">
      <c r="A1229" t="s">
        <v>1299</v>
      </c>
      <c r="B1229" s="5">
        <v>45866</v>
      </c>
      <c r="C1229" s="8">
        <f>YEAR(Tabla2[[#This Row],[fecha]])</f>
        <v>2025</v>
      </c>
      <c r="D1229" s="8">
        <f>MONTH(Tabla2[[#This Row],[fecha]])</f>
        <v>7</v>
      </c>
      <c r="E1229" s="8" t="str">
        <f>TEXT(Tabla2[[#This Row],[fecha]], "mmmm")</f>
        <v>julio</v>
      </c>
      <c r="F1229" s="8" t="str">
        <f>"T"&amp;ROUNDUP(Tabla2[[#This Row],[mes]]/3,0)</f>
        <v>T3</v>
      </c>
      <c r="G1229" t="s">
        <v>11</v>
      </c>
      <c r="H1229" t="s">
        <v>12</v>
      </c>
      <c r="I1229" s="8" t="str">
        <f>IF(Tabla2[[#This Row],[precio_unitario]]&lt;=30,"Económico",IF(Tabla2[[#This Row],[precio_unitario]]&lt;=58.49,"Accesible","Caro"))</f>
        <v>Caro</v>
      </c>
      <c r="J1229" t="s">
        <v>8</v>
      </c>
      <c r="K1229">
        <v>1</v>
      </c>
      <c r="L1229" s="20">
        <f>INDEX(Tabla3[precio_venta_recomendado], MATCH(Tabla2[[#This Row],[id_producto]], Tabla3[id_producto], 0))</f>
        <v>177.72</v>
      </c>
      <c r="M1229" s="19">
        <v>94.94</v>
      </c>
      <c r="N1229" s="11">
        <v>0</v>
      </c>
      <c r="O1229" s="17">
        <f t="shared" si="79"/>
        <v>177.72</v>
      </c>
      <c r="P1229" s="17">
        <f t="shared" si="76"/>
        <v>94.94</v>
      </c>
      <c r="Q1229" s="17">
        <f t="shared" si="77"/>
        <v>82.78</v>
      </c>
      <c r="R1229" s="24">
        <f t="shared" si="78"/>
        <v>0.46578888138645058</v>
      </c>
      <c r="S1229" t="s">
        <v>83</v>
      </c>
      <c r="T1229" t="s">
        <v>60</v>
      </c>
    </row>
    <row r="1230" spans="1:20" hidden="1">
      <c r="A1230" t="s">
        <v>1300</v>
      </c>
      <c r="B1230" s="5">
        <v>45604</v>
      </c>
      <c r="C1230" s="8">
        <f>YEAR(Tabla2[[#This Row],[fecha]])</f>
        <v>2024</v>
      </c>
      <c r="D1230" s="8">
        <f>MONTH(Tabla2[[#This Row],[fecha]])</f>
        <v>11</v>
      </c>
      <c r="E1230" s="8" t="str">
        <f>TEXT(Tabla2[[#This Row],[fecha]], "mmmm")</f>
        <v>noviembre</v>
      </c>
      <c r="F1230" s="8" t="str">
        <f>"T"&amp;ROUNDUP(Tabla2[[#This Row],[mes]]/3,0)</f>
        <v>T4</v>
      </c>
      <c r="G1230" t="s">
        <v>42</v>
      </c>
      <c r="H1230" t="s">
        <v>43</v>
      </c>
      <c r="I1230" s="8" t="str">
        <f>IF(Tabla2[[#This Row],[precio_unitario]]&lt;=30,"Económico",IF(Tabla2[[#This Row],[precio_unitario]]&lt;=58.49,"Accesible","Caro"))</f>
        <v>Accesible</v>
      </c>
      <c r="J1230" t="s">
        <v>44</v>
      </c>
      <c r="K1230">
        <v>1</v>
      </c>
      <c r="L1230" s="19">
        <v>48.16</v>
      </c>
      <c r="M1230" s="19">
        <v>22.97</v>
      </c>
      <c r="N1230" s="11">
        <v>0</v>
      </c>
      <c r="O1230" s="17">
        <f t="shared" si="79"/>
        <v>48.16</v>
      </c>
      <c r="P1230" s="17">
        <f t="shared" si="76"/>
        <v>22.97</v>
      </c>
      <c r="Q1230" s="17">
        <f t="shared" si="77"/>
        <v>25.189999999999998</v>
      </c>
      <c r="R1230" s="24">
        <f t="shared" si="78"/>
        <v>0.52304817275747506</v>
      </c>
      <c r="S1230" t="s">
        <v>67</v>
      </c>
      <c r="T1230" t="s">
        <v>60</v>
      </c>
    </row>
    <row r="1231" spans="1:20" hidden="1">
      <c r="A1231" t="s">
        <v>1301</v>
      </c>
      <c r="B1231" s="5">
        <v>45577</v>
      </c>
      <c r="C1231" s="8">
        <f>YEAR(Tabla2[[#This Row],[fecha]])</f>
        <v>2024</v>
      </c>
      <c r="D1231" s="8">
        <f>MONTH(Tabla2[[#This Row],[fecha]])</f>
        <v>10</v>
      </c>
      <c r="E1231" s="8" t="str">
        <f>TEXT(Tabla2[[#This Row],[fecha]], "mmmm")</f>
        <v>octubre</v>
      </c>
      <c r="F1231" s="8" t="str">
        <f>"T"&amp;ROUNDUP(Tabla2[[#This Row],[mes]]/3,0)</f>
        <v>T4</v>
      </c>
      <c r="G1231" t="s">
        <v>31</v>
      </c>
      <c r="H1231" t="s">
        <v>32</v>
      </c>
      <c r="I1231" s="8" t="str">
        <f>IF(Tabla2[[#This Row],[precio_unitario]]&lt;=30,"Económico",IF(Tabla2[[#This Row],[precio_unitario]]&lt;=58.49,"Accesible","Caro"))</f>
        <v>Económico</v>
      </c>
      <c r="J1231" t="s">
        <v>26</v>
      </c>
      <c r="K1231">
        <v>1</v>
      </c>
      <c r="L1231" s="19">
        <v>8.64</v>
      </c>
      <c r="M1231" s="19">
        <v>5.86</v>
      </c>
      <c r="N1231" s="11">
        <v>0</v>
      </c>
      <c r="O1231" s="17">
        <f t="shared" si="79"/>
        <v>8.64</v>
      </c>
      <c r="P1231" s="17">
        <f t="shared" si="76"/>
        <v>5.86</v>
      </c>
      <c r="Q1231" s="17">
        <f t="shared" si="77"/>
        <v>2.7800000000000002</v>
      </c>
      <c r="R1231" s="24">
        <f t="shared" si="78"/>
        <v>0.32175925925925924</v>
      </c>
      <c r="S1231" t="s">
        <v>63</v>
      </c>
      <c r="T1231" t="s">
        <v>64</v>
      </c>
    </row>
    <row r="1232" spans="1:20">
      <c r="A1232" t="s">
        <v>1302</v>
      </c>
      <c r="B1232" s="5">
        <v>45862</v>
      </c>
      <c r="C1232" s="8">
        <f>YEAR(Tabla2[[#This Row],[fecha]])</f>
        <v>2025</v>
      </c>
      <c r="D1232" s="8">
        <f>MONTH(Tabla2[[#This Row],[fecha]])</f>
        <v>7</v>
      </c>
      <c r="E1232" s="8" t="str">
        <f>TEXT(Tabla2[[#This Row],[fecha]], "mmmm")</f>
        <v>julio</v>
      </c>
      <c r="F1232" s="8" t="str">
        <f>"T"&amp;ROUNDUP(Tabla2[[#This Row],[mes]]/3,0)</f>
        <v>T3</v>
      </c>
      <c r="G1232" t="s">
        <v>9</v>
      </c>
      <c r="H1232" t="s">
        <v>10</v>
      </c>
      <c r="I1232" s="8" t="str">
        <f>IF(Tabla2[[#This Row],[precio_unitario]]&lt;=30,"Económico",IF(Tabla2[[#This Row],[precio_unitario]]&lt;=58.49,"Accesible","Caro"))</f>
        <v>Caro</v>
      </c>
      <c r="J1232" t="s">
        <v>8</v>
      </c>
      <c r="K1232">
        <v>5</v>
      </c>
      <c r="L1232" s="19">
        <v>75.8</v>
      </c>
      <c r="M1232" s="19">
        <v>48.2</v>
      </c>
      <c r="N1232" s="11">
        <v>0</v>
      </c>
      <c r="O1232" s="17">
        <f t="shared" si="79"/>
        <v>379</v>
      </c>
      <c r="P1232" s="17">
        <f t="shared" si="76"/>
        <v>241</v>
      </c>
      <c r="Q1232" s="17">
        <f t="shared" si="77"/>
        <v>138</v>
      </c>
      <c r="R1232" s="24">
        <f t="shared" si="78"/>
        <v>0.36411609498680741</v>
      </c>
      <c r="S1232" t="s">
        <v>67</v>
      </c>
      <c r="T1232" t="s">
        <v>60</v>
      </c>
    </row>
    <row r="1233" spans="1:20" hidden="1">
      <c r="A1233" t="s">
        <v>1303</v>
      </c>
      <c r="B1233" s="5">
        <v>45436</v>
      </c>
      <c r="C1233" s="8">
        <f>YEAR(Tabla2[[#This Row],[fecha]])</f>
        <v>2024</v>
      </c>
      <c r="D1233" s="8">
        <f>MONTH(Tabla2[[#This Row],[fecha]])</f>
        <v>5</v>
      </c>
      <c r="E1233" s="8" t="str">
        <f>TEXT(Tabla2[[#This Row],[fecha]], "mmmm")</f>
        <v>mayo</v>
      </c>
      <c r="F1233" s="8" t="str">
        <f>"T"&amp;ROUNDUP(Tabla2[[#This Row],[mes]]/3,0)</f>
        <v>T2</v>
      </c>
      <c r="G1233" t="s">
        <v>27</v>
      </c>
      <c r="H1233" t="s">
        <v>28</v>
      </c>
      <c r="I1233" s="8" t="str">
        <f>IF(Tabla2[[#This Row],[precio_unitario]]&lt;=30,"Económico",IF(Tabla2[[#This Row],[precio_unitario]]&lt;=58.49,"Accesible","Caro"))</f>
        <v>Económico</v>
      </c>
      <c r="J1233" t="s">
        <v>26</v>
      </c>
      <c r="K1233">
        <v>6</v>
      </c>
      <c r="L1233" s="19">
        <v>17.03</v>
      </c>
      <c r="M1233" s="19">
        <v>10.94</v>
      </c>
      <c r="N1233" s="11">
        <v>0</v>
      </c>
      <c r="O1233" s="17">
        <f t="shared" si="79"/>
        <v>102.18</v>
      </c>
      <c r="P1233" s="17">
        <f t="shared" si="76"/>
        <v>65.64</v>
      </c>
      <c r="Q1233" s="17">
        <f t="shared" si="77"/>
        <v>36.540000000000006</v>
      </c>
      <c r="R1233" s="24">
        <f t="shared" si="78"/>
        <v>0.35760422783323548</v>
      </c>
      <c r="S1233" t="s">
        <v>67</v>
      </c>
      <c r="T1233" t="s">
        <v>60</v>
      </c>
    </row>
    <row r="1234" spans="1:20">
      <c r="A1234" t="s">
        <v>1304</v>
      </c>
      <c r="B1234" s="5">
        <v>45781</v>
      </c>
      <c r="C1234" s="8">
        <f>YEAR(Tabla2[[#This Row],[fecha]])</f>
        <v>2025</v>
      </c>
      <c r="D1234" s="8">
        <f>MONTH(Tabla2[[#This Row],[fecha]])</f>
        <v>5</v>
      </c>
      <c r="E1234" s="8" t="str">
        <f>TEXT(Tabla2[[#This Row],[fecha]], "mmmm")</f>
        <v>mayo</v>
      </c>
      <c r="F1234" s="8" t="str">
        <f>"T"&amp;ROUNDUP(Tabla2[[#This Row],[mes]]/3,0)</f>
        <v>T2</v>
      </c>
      <c r="G1234" t="s">
        <v>15</v>
      </c>
      <c r="H1234" t="s">
        <v>16</v>
      </c>
      <c r="I1234" s="8" t="str">
        <f>IF(Tabla2[[#This Row],[precio_unitario]]&lt;=30,"Económico",IF(Tabla2[[#This Row],[precio_unitario]]&lt;=58.49,"Accesible","Caro"))</f>
        <v>Accesible</v>
      </c>
      <c r="J1234" t="s">
        <v>17</v>
      </c>
      <c r="K1234">
        <v>2</v>
      </c>
      <c r="L1234" s="19">
        <v>56.21</v>
      </c>
      <c r="M1234" s="19">
        <v>42.3</v>
      </c>
      <c r="N1234" s="11">
        <v>0</v>
      </c>
      <c r="O1234" s="17">
        <f t="shared" si="79"/>
        <v>112.42</v>
      </c>
      <c r="P1234" s="17">
        <f t="shared" si="76"/>
        <v>84.6</v>
      </c>
      <c r="Q1234" s="17">
        <f t="shared" si="77"/>
        <v>27.820000000000007</v>
      </c>
      <c r="R1234" s="24">
        <f t="shared" si="78"/>
        <v>0.24746486390322012</v>
      </c>
      <c r="S1234" t="s">
        <v>67</v>
      </c>
      <c r="T1234" t="s">
        <v>60</v>
      </c>
    </row>
    <row r="1235" spans="1:20" hidden="1">
      <c r="A1235" t="s">
        <v>1305</v>
      </c>
      <c r="B1235" s="5">
        <v>45549</v>
      </c>
      <c r="C1235" s="8">
        <f>YEAR(Tabla2[[#This Row],[fecha]])</f>
        <v>2024</v>
      </c>
      <c r="D1235" s="8">
        <f>MONTH(Tabla2[[#This Row],[fecha]])</f>
        <v>9</v>
      </c>
      <c r="E1235" s="8" t="str">
        <f>TEXT(Tabla2[[#This Row],[fecha]], "mmmm")</f>
        <v>septiembre</v>
      </c>
      <c r="F1235" s="8" t="str">
        <f>"T"&amp;ROUNDUP(Tabla2[[#This Row],[mes]]/3,0)</f>
        <v>T3</v>
      </c>
      <c r="G1235" t="s">
        <v>11</v>
      </c>
      <c r="H1235" t="s">
        <v>12</v>
      </c>
      <c r="I1235" s="8" t="str">
        <f>IF(Tabla2[[#This Row],[precio_unitario]]&lt;=30,"Económico",IF(Tabla2[[#This Row],[precio_unitario]]&lt;=58.49,"Accesible","Caro"))</f>
        <v>Caro</v>
      </c>
      <c r="J1235" t="s">
        <v>8</v>
      </c>
      <c r="K1235">
        <v>1</v>
      </c>
      <c r="L1235" s="20">
        <f>INDEX(Tabla3[precio_venta_recomendado], MATCH(Tabla2[[#This Row],[id_producto]], Tabla3[id_producto], 0))</f>
        <v>177.72</v>
      </c>
      <c r="M1235" s="19">
        <v>90.11</v>
      </c>
      <c r="N1235" s="11">
        <v>0</v>
      </c>
      <c r="O1235" s="17">
        <f t="shared" si="79"/>
        <v>177.72</v>
      </c>
      <c r="P1235" s="17">
        <f t="shared" si="76"/>
        <v>90.11</v>
      </c>
      <c r="Q1235" s="17">
        <f t="shared" si="77"/>
        <v>87.61</v>
      </c>
      <c r="R1235" s="24">
        <f t="shared" si="78"/>
        <v>0.49296646410083278</v>
      </c>
      <c r="S1235" t="s">
        <v>83</v>
      </c>
      <c r="T1235" t="s">
        <v>64</v>
      </c>
    </row>
    <row r="1236" spans="1:20">
      <c r="A1236" t="s">
        <v>1306</v>
      </c>
      <c r="B1236" s="5">
        <v>45808</v>
      </c>
      <c r="C1236" s="8">
        <f>YEAR(Tabla2[[#This Row],[fecha]])</f>
        <v>2025</v>
      </c>
      <c r="D1236" s="8">
        <f>MONTH(Tabla2[[#This Row],[fecha]])</f>
        <v>5</v>
      </c>
      <c r="E1236" s="8" t="str">
        <f>TEXT(Tabla2[[#This Row],[fecha]], "mmmm")</f>
        <v>mayo</v>
      </c>
      <c r="F1236" s="8" t="str">
        <f>"T"&amp;ROUNDUP(Tabla2[[#This Row],[mes]]/3,0)</f>
        <v>T2</v>
      </c>
      <c r="G1236" t="s">
        <v>47</v>
      </c>
      <c r="H1236" t="s">
        <v>48</v>
      </c>
      <c r="I1236" s="8" t="str">
        <f>IF(Tabla2[[#This Row],[precio_unitario]]&lt;=30,"Económico",IF(Tabla2[[#This Row],[precio_unitario]]&lt;=58.49,"Accesible","Caro"))</f>
        <v>Caro</v>
      </c>
      <c r="J1236" t="s">
        <v>44</v>
      </c>
      <c r="K1236">
        <v>1</v>
      </c>
      <c r="L1236" s="19">
        <v>64.14</v>
      </c>
      <c r="M1236" s="19">
        <v>34.270000000000003</v>
      </c>
      <c r="N1236" s="11">
        <v>0</v>
      </c>
      <c r="O1236" s="17">
        <f t="shared" si="79"/>
        <v>64.14</v>
      </c>
      <c r="P1236" s="17">
        <f t="shared" si="76"/>
        <v>34.270000000000003</v>
      </c>
      <c r="Q1236" s="17">
        <f t="shared" si="77"/>
        <v>29.869999999999997</v>
      </c>
      <c r="R1236" s="24">
        <f t="shared" si="78"/>
        <v>0.46570003118178976</v>
      </c>
      <c r="S1236" t="s">
        <v>67</v>
      </c>
      <c r="T1236" t="s">
        <v>64</v>
      </c>
    </row>
    <row r="1237" spans="1:20" hidden="1">
      <c r="A1237" t="s">
        <v>1307</v>
      </c>
      <c r="B1237" s="5">
        <v>45825</v>
      </c>
      <c r="C1237" s="8">
        <f>YEAR(Tabla2[[#This Row],[fecha]])</f>
        <v>2025</v>
      </c>
      <c r="D1237" s="8">
        <f>MONTH(Tabla2[[#This Row],[fecha]])</f>
        <v>6</v>
      </c>
      <c r="E1237" s="8" t="str">
        <f>TEXT(Tabla2[[#This Row],[fecha]], "mmmm")</f>
        <v>junio</v>
      </c>
      <c r="F1237" s="8" t="str">
        <f>"T"&amp;ROUNDUP(Tabla2[[#This Row],[mes]]/3,0)</f>
        <v>T2</v>
      </c>
      <c r="G1237" t="s">
        <v>47</v>
      </c>
      <c r="H1237" t="s">
        <v>48</v>
      </c>
      <c r="I1237" s="8" t="str">
        <f>IF(Tabla2[[#This Row],[precio_unitario]]&lt;=30,"Económico",IF(Tabla2[[#This Row],[precio_unitario]]&lt;=58.49,"Accesible","Caro"))</f>
        <v>Caro</v>
      </c>
      <c r="J1237" t="s">
        <v>44</v>
      </c>
      <c r="K1237">
        <v>5</v>
      </c>
      <c r="L1237" s="19">
        <v>63.61</v>
      </c>
      <c r="M1237" s="19">
        <v>33.340000000000003</v>
      </c>
      <c r="N1237" s="11">
        <v>0.09</v>
      </c>
      <c r="O1237" s="17">
        <f t="shared" si="79"/>
        <v>289.4255</v>
      </c>
      <c r="P1237" s="17">
        <f t="shared" si="76"/>
        <v>166.70000000000002</v>
      </c>
      <c r="Q1237" s="17">
        <f t="shared" si="77"/>
        <v>122.72549999999998</v>
      </c>
      <c r="R1237" s="24">
        <f t="shared" si="78"/>
        <v>0.42403140013578616</v>
      </c>
      <c r="S1237" t="s">
        <v>101</v>
      </c>
      <c r="T1237" t="s">
        <v>60</v>
      </c>
    </row>
    <row r="1238" spans="1:20" hidden="1">
      <c r="A1238" t="s">
        <v>1308</v>
      </c>
      <c r="B1238" s="5">
        <v>45449</v>
      </c>
      <c r="C1238" s="8">
        <f>YEAR(Tabla2[[#This Row],[fecha]])</f>
        <v>2024</v>
      </c>
      <c r="D1238" s="8">
        <f>MONTH(Tabla2[[#This Row],[fecha]])</f>
        <v>6</v>
      </c>
      <c r="E1238" s="8" t="str">
        <f>TEXT(Tabla2[[#This Row],[fecha]], "mmmm")</f>
        <v>junio</v>
      </c>
      <c r="F1238" s="8" t="str">
        <f>"T"&amp;ROUNDUP(Tabla2[[#This Row],[mes]]/3,0)</f>
        <v>T2</v>
      </c>
      <c r="G1238" t="s">
        <v>15</v>
      </c>
      <c r="H1238" t="s">
        <v>16</v>
      </c>
      <c r="I1238" s="8" t="str">
        <f>IF(Tabla2[[#This Row],[precio_unitario]]&lt;=30,"Económico",IF(Tabla2[[#This Row],[precio_unitario]]&lt;=58.49,"Accesible","Caro"))</f>
        <v>Caro</v>
      </c>
      <c r="J1238" t="s">
        <v>17</v>
      </c>
      <c r="K1238">
        <v>1</v>
      </c>
      <c r="L1238" s="19">
        <v>60.89</v>
      </c>
      <c r="M1238" s="19">
        <v>41.89</v>
      </c>
      <c r="N1238" s="11">
        <v>0</v>
      </c>
      <c r="O1238" s="17">
        <f t="shared" si="79"/>
        <v>60.89</v>
      </c>
      <c r="P1238" s="17">
        <f t="shared" si="76"/>
        <v>41.89</v>
      </c>
      <c r="Q1238" s="17">
        <f t="shared" si="77"/>
        <v>19</v>
      </c>
      <c r="R1238" s="24">
        <f t="shared" si="78"/>
        <v>0.31203810149449829</v>
      </c>
      <c r="S1238" t="s">
        <v>101</v>
      </c>
      <c r="T1238" t="s">
        <v>64</v>
      </c>
    </row>
    <row r="1239" spans="1:20">
      <c r="A1239" t="s">
        <v>1309</v>
      </c>
      <c r="B1239" s="5">
        <v>45661</v>
      </c>
      <c r="C1239" s="8">
        <f>YEAR(Tabla2[[#This Row],[fecha]])</f>
        <v>2025</v>
      </c>
      <c r="D1239" s="8">
        <f>MONTH(Tabla2[[#This Row],[fecha]])</f>
        <v>1</v>
      </c>
      <c r="E1239" s="8" t="str">
        <f>TEXT(Tabla2[[#This Row],[fecha]], "mmmm")</f>
        <v>enero</v>
      </c>
      <c r="F1239" s="8" t="str">
        <f>"T"&amp;ROUNDUP(Tabla2[[#This Row],[mes]]/3,0)</f>
        <v>T1</v>
      </c>
      <c r="G1239" t="s">
        <v>22</v>
      </c>
      <c r="H1239" t="s">
        <v>23</v>
      </c>
      <c r="I1239" s="8" t="str">
        <f>IF(Tabla2[[#This Row],[precio_unitario]]&lt;=30,"Económico",IF(Tabla2[[#This Row],[precio_unitario]]&lt;=58.49,"Accesible","Caro"))</f>
        <v>Caro</v>
      </c>
      <c r="J1239" t="s">
        <v>17</v>
      </c>
      <c r="K1239">
        <v>3</v>
      </c>
      <c r="L1239" s="19">
        <v>110.41</v>
      </c>
      <c r="M1239" s="19">
        <v>57.78</v>
      </c>
      <c r="N1239" s="11">
        <v>0</v>
      </c>
      <c r="O1239" s="17">
        <f t="shared" si="79"/>
        <v>331.23</v>
      </c>
      <c r="P1239" s="17">
        <f t="shared" si="76"/>
        <v>173.34</v>
      </c>
      <c r="Q1239" s="17">
        <f t="shared" si="77"/>
        <v>157.89000000000001</v>
      </c>
      <c r="R1239" s="24">
        <f t="shared" si="78"/>
        <v>0.47667783715243184</v>
      </c>
      <c r="S1239" t="s">
        <v>67</v>
      </c>
      <c r="T1239" t="s">
        <v>60</v>
      </c>
    </row>
    <row r="1240" spans="1:20" hidden="1">
      <c r="A1240" t="s">
        <v>1310</v>
      </c>
      <c r="B1240" s="5">
        <v>45394</v>
      </c>
      <c r="C1240" s="8">
        <f>YEAR(Tabla2[[#This Row],[fecha]])</f>
        <v>2024</v>
      </c>
      <c r="D1240" s="8">
        <f>MONTH(Tabla2[[#This Row],[fecha]])</f>
        <v>4</v>
      </c>
      <c r="E1240" s="8" t="str">
        <f>TEXT(Tabla2[[#This Row],[fecha]], "mmmm")</f>
        <v>abril</v>
      </c>
      <c r="F1240" s="8" t="str">
        <f>"T"&amp;ROUNDUP(Tabla2[[#This Row],[mes]]/3,0)</f>
        <v>T2</v>
      </c>
      <c r="G1240" t="s">
        <v>15</v>
      </c>
      <c r="H1240" t="s">
        <v>16</v>
      </c>
      <c r="I1240" s="8" t="str">
        <f>IF(Tabla2[[#This Row],[precio_unitario]]&lt;=30,"Económico",IF(Tabla2[[#This Row],[precio_unitario]]&lt;=58.49,"Accesible","Caro"))</f>
        <v>Caro</v>
      </c>
      <c r="J1240" t="s">
        <v>17</v>
      </c>
      <c r="K1240">
        <v>2</v>
      </c>
      <c r="L1240" s="19">
        <v>63.29</v>
      </c>
      <c r="M1240" s="19">
        <v>39.44</v>
      </c>
      <c r="N1240" s="11">
        <v>0.28000000000000003</v>
      </c>
      <c r="O1240" s="17">
        <f t="shared" si="79"/>
        <v>91.137599999999992</v>
      </c>
      <c r="P1240" s="17">
        <f t="shared" si="76"/>
        <v>78.88</v>
      </c>
      <c r="Q1240" s="17">
        <f t="shared" si="77"/>
        <v>12.257599999999996</v>
      </c>
      <c r="R1240" s="24">
        <f t="shared" si="78"/>
        <v>0.13449553203068765</v>
      </c>
      <c r="S1240" t="s">
        <v>63</v>
      </c>
      <c r="T1240" t="s">
        <v>64</v>
      </c>
    </row>
    <row r="1241" spans="1:20" hidden="1">
      <c r="A1241" t="s">
        <v>1311</v>
      </c>
      <c r="B1241" s="5">
        <v>45633</v>
      </c>
      <c r="C1241" s="8">
        <f>YEAR(Tabla2[[#This Row],[fecha]])</f>
        <v>2024</v>
      </c>
      <c r="D1241" s="8">
        <f>MONTH(Tabla2[[#This Row],[fecha]])</f>
        <v>12</v>
      </c>
      <c r="E1241" s="8" t="str">
        <f>TEXT(Tabla2[[#This Row],[fecha]], "mmmm")</f>
        <v>diciembre</v>
      </c>
      <c r="F1241" s="8" t="str">
        <f>"T"&amp;ROUNDUP(Tabla2[[#This Row],[mes]]/3,0)</f>
        <v>T4</v>
      </c>
      <c r="G1241" t="s">
        <v>11</v>
      </c>
      <c r="H1241" t="s">
        <v>12</v>
      </c>
      <c r="I1241" s="8" t="str">
        <f>IF(Tabla2[[#This Row],[precio_unitario]]&lt;=30,"Económico",IF(Tabla2[[#This Row],[precio_unitario]]&lt;=58.49,"Accesible","Caro"))</f>
        <v>Caro</v>
      </c>
      <c r="J1241" t="s">
        <v>8</v>
      </c>
      <c r="K1241">
        <v>7</v>
      </c>
      <c r="L1241" s="19">
        <v>172.5</v>
      </c>
      <c r="M1241" s="19">
        <v>92.36</v>
      </c>
      <c r="N1241" s="11">
        <v>0</v>
      </c>
      <c r="O1241" s="17">
        <f t="shared" si="79"/>
        <v>1207.5</v>
      </c>
      <c r="P1241" s="17">
        <f t="shared" si="76"/>
        <v>646.52</v>
      </c>
      <c r="Q1241" s="17">
        <f t="shared" si="77"/>
        <v>560.98</v>
      </c>
      <c r="R1241" s="24">
        <f t="shared" si="78"/>
        <v>0.46457971014492755</v>
      </c>
      <c r="S1241" s="10" t="s">
        <v>2377</v>
      </c>
      <c r="T1241" t="s">
        <v>64</v>
      </c>
    </row>
    <row r="1242" spans="1:20" hidden="1">
      <c r="A1242" t="s">
        <v>1312</v>
      </c>
      <c r="B1242" s="5">
        <v>45677</v>
      </c>
      <c r="C1242" s="8">
        <f>YEAR(Tabla2[[#This Row],[fecha]])</f>
        <v>2025</v>
      </c>
      <c r="D1242" s="8">
        <f>MONTH(Tabla2[[#This Row],[fecha]])</f>
        <v>1</v>
      </c>
      <c r="E1242" s="8" t="str">
        <f>TEXT(Tabla2[[#This Row],[fecha]], "mmmm")</f>
        <v>enero</v>
      </c>
      <c r="F1242" s="8" t="str">
        <f>"T"&amp;ROUNDUP(Tabla2[[#This Row],[mes]]/3,0)</f>
        <v>T1</v>
      </c>
      <c r="G1242" t="s">
        <v>24</v>
      </c>
      <c r="H1242" t="s">
        <v>25</v>
      </c>
      <c r="I1242" s="8" t="str">
        <f>IF(Tabla2[[#This Row],[precio_unitario]]&lt;=30,"Económico",IF(Tabla2[[#This Row],[precio_unitario]]&lt;=58.49,"Accesible","Caro"))</f>
        <v>Económico</v>
      </c>
      <c r="J1242" t="s">
        <v>26</v>
      </c>
      <c r="K1242">
        <v>4</v>
      </c>
      <c r="L1242" s="19">
        <v>8.2100000000000009</v>
      </c>
      <c r="M1242" s="19">
        <v>4.4000000000000004</v>
      </c>
      <c r="N1242" s="13">
        <v>0</v>
      </c>
      <c r="O1242" s="17">
        <f t="shared" si="79"/>
        <v>32.840000000000003</v>
      </c>
      <c r="P1242" s="17">
        <f t="shared" si="76"/>
        <v>17.600000000000001</v>
      </c>
      <c r="Q1242" s="17">
        <f t="shared" si="77"/>
        <v>15.240000000000002</v>
      </c>
      <c r="R1242" s="24">
        <f t="shared" si="78"/>
        <v>0.46406820950060901</v>
      </c>
      <c r="S1242" t="s">
        <v>83</v>
      </c>
      <c r="T1242" t="s">
        <v>64</v>
      </c>
    </row>
    <row r="1243" spans="1:20" hidden="1">
      <c r="A1243" t="s">
        <v>1313</v>
      </c>
      <c r="B1243" s="5">
        <v>45463</v>
      </c>
      <c r="C1243" s="8">
        <f>YEAR(Tabla2[[#This Row],[fecha]])</f>
        <v>2024</v>
      </c>
      <c r="D1243" s="8">
        <f>MONTH(Tabla2[[#This Row],[fecha]])</f>
        <v>6</v>
      </c>
      <c r="E1243" s="8" t="str">
        <f>TEXT(Tabla2[[#This Row],[fecha]], "mmmm")</f>
        <v>junio</v>
      </c>
      <c r="F1243" s="8" t="str">
        <f>"T"&amp;ROUNDUP(Tabla2[[#This Row],[mes]]/3,0)</f>
        <v>T2</v>
      </c>
      <c r="G1243" t="s">
        <v>15</v>
      </c>
      <c r="H1243" t="s">
        <v>16</v>
      </c>
      <c r="I1243" s="8" t="str">
        <f>IF(Tabla2[[#This Row],[precio_unitario]]&lt;=30,"Económico",IF(Tabla2[[#This Row],[precio_unitario]]&lt;=58.49,"Accesible","Caro"))</f>
        <v>Caro</v>
      </c>
      <c r="J1243" t="s">
        <v>17</v>
      </c>
      <c r="K1243">
        <v>2</v>
      </c>
      <c r="L1243" s="19">
        <v>58.76</v>
      </c>
      <c r="M1243" s="19">
        <v>42.85</v>
      </c>
      <c r="N1243" s="11">
        <v>0.14000000000000001</v>
      </c>
      <c r="O1243" s="17">
        <f t="shared" si="79"/>
        <v>101.0672</v>
      </c>
      <c r="P1243" s="17">
        <f t="shared" si="76"/>
        <v>85.7</v>
      </c>
      <c r="Q1243" s="17">
        <f t="shared" si="77"/>
        <v>15.367199999999997</v>
      </c>
      <c r="R1243" s="24">
        <f t="shared" si="78"/>
        <v>0.15204932955498912</v>
      </c>
      <c r="S1243" t="s">
        <v>83</v>
      </c>
      <c r="T1243" t="s">
        <v>64</v>
      </c>
    </row>
    <row r="1244" spans="1:20" hidden="1">
      <c r="A1244" t="s">
        <v>1314</v>
      </c>
      <c r="B1244" s="5">
        <v>45614</v>
      </c>
      <c r="C1244" s="8">
        <f>YEAR(Tabla2[[#This Row],[fecha]])</f>
        <v>2024</v>
      </c>
      <c r="D1244" s="8">
        <f>MONTH(Tabla2[[#This Row],[fecha]])</f>
        <v>11</v>
      </c>
      <c r="E1244" s="8" t="str">
        <f>TEXT(Tabla2[[#This Row],[fecha]], "mmmm")</f>
        <v>noviembre</v>
      </c>
      <c r="F1244" s="8" t="str">
        <f>"T"&amp;ROUNDUP(Tabla2[[#This Row],[mes]]/3,0)</f>
        <v>T4</v>
      </c>
      <c r="G1244" t="s">
        <v>29</v>
      </c>
      <c r="H1244" t="s">
        <v>30</v>
      </c>
      <c r="I1244" s="8" t="str">
        <f>IF(Tabla2[[#This Row],[precio_unitario]]&lt;=30,"Económico",IF(Tabla2[[#This Row],[precio_unitario]]&lt;=58.49,"Accesible","Caro"))</f>
        <v>Económico</v>
      </c>
      <c r="J1244" t="s">
        <v>26</v>
      </c>
      <c r="K1244">
        <v>1</v>
      </c>
      <c r="L1244" s="19">
        <v>23.2</v>
      </c>
      <c r="M1244" s="19">
        <v>11.1</v>
      </c>
      <c r="N1244" s="11">
        <v>0</v>
      </c>
      <c r="O1244" s="17">
        <f t="shared" si="79"/>
        <v>23.2</v>
      </c>
      <c r="P1244" s="17">
        <f t="shared" si="76"/>
        <v>11.1</v>
      </c>
      <c r="Q1244" s="17">
        <f t="shared" si="77"/>
        <v>12.1</v>
      </c>
      <c r="R1244" s="24">
        <f t="shared" si="78"/>
        <v>0.52155172413793105</v>
      </c>
      <c r="S1244" t="s">
        <v>101</v>
      </c>
      <c r="T1244" t="s">
        <v>64</v>
      </c>
    </row>
    <row r="1245" spans="1:20" hidden="1">
      <c r="A1245" t="s">
        <v>1315</v>
      </c>
      <c r="B1245" s="5">
        <v>45390</v>
      </c>
      <c r="C1245" s="8">
        <f>YEAR(Tabla2[[#This Row],[fecha]])</f>
        <v>2024</v>
      </c>
      <c r="D1245" s="8">
        <f>MONTH(Tabla2[[#This Row],[fecha]])</f>
        <v>4</v>
      </c>
      <c r="E1245" s="8" t="str">
        <f>TEXT(Tabla2[[#This Row],[fecha]], "mmmm")</f>
        <v>abril</v>
      </c>
      <c r="F1245" s="8" t="str">
        <f>"T"&amp;ROUNDUP(Tabla2[[#This Row],[mes]]/3,0)</f>
        <v>T2</v>
      </c>
      <c r="G1245" t="s">
        <v>15</v>
      </c>
      <c r="H1245" t="s">
        <v>16</v>
      </c>
      <c r="I1245" s="8" t="str">
        <f>IF(Tabla2[[#This Row],[precio_unitario]]&lt;=30,"Económico",IF(Tabla2[[#This Row],[precio_unitario]]&lt;=58.49,"Accesible","Caro"))</f>
        <v>Caro</v>
      </c>
      <c r="J1245" t="s">
        <v>17</v>
      </c>
      <c r="K1245">
        <v>11</v>
      </c>
      <c r="L1245" s="19">
        <v>60.05</v>
      </c>
      <c r="M1245" s="19">
        <v>42.4</v>
      </c>
      <c r="N1245" s="11">
        <v>0.26</v>
      </c>
      <c r="O1245" s="17">
        <f t="shared" si="79"/>
        <v>488.80699999999996</v>
      </c>
      <c r="P1245" s="17">
        <f t="shared" si="76"/>
        <v>466.4</v>
      </c>
      <c r="Q1245" s="17">
        <f t="shared" si="77"/>
        <v>22.406999999999982</v>
      </c>
      <c r="R1245" s="24">
        <f t="shared" si="78"/>
        <v>4.5840178229853465E-2</v>
      </c>
      <c r="S1245" t="s">
        <v>67</v>
      </c>
      <c r="T1245" t="s">
        <v>64</v>
      </c>
    </row>
    <row r="1246" spans="1:20">
      <c r="A1246" t="s">
        <v>1316</v>
      </c>
      <c r="B1246" s="5">
        <v>45973</v>
      </c>
      <c r="C1246" s="8">
        <f>YEAR(Tabla2[[#This Row],[fecha]])</f>
        <v>2025</v>
      </c>
      <c r="D1246" s="8">
        <f>MONTH(Tabla2[[#This Row],[fecha]])</f>
        <v>11</v>
      </c>
      <c r="E1246" s="8" t="str">
        <f>TEXT(Tabla2[[#This Row],[fecha]], "mmmm")</f>
        <v>noviembre</v>
      </c>
      <c r="F1246" s="8" t="str">
        <f>"T"&amp;ROUNDUP(Tabla2[[#This Row],[mes]]/3,0)</f>
        <v>T4</v>
      </c>
      <c r="G1246" t="s">
        <v>13</v>
      </c>
      <c r="H1246" t="s">
        <v>14</v>
      </c>
      <c r="I1246" s="8" t="str">
        <f>IF(Tabla2[[#This Row],[precio_unitario]]&lt;=30,"Económico",IF(Tabla2[[#This Row],[precio_unitario]]&lt;=58.49,"Accesible","Caro"))</f>
        <v>Caro</v>
      </c>
      <c r="J1246" t="s">
        <v>8</v>
      </c>
      <c r="K1246">
        <v>5</v>
      </c>
      <c r="L1246" s="19">
        <v>172.99</v>
      </c>
      <c r="M1246" s="19">
        <v>112.96</v>
      </c>
      <c r="N1246" s="13">
        <v>0</v>
      </c>
      <c r="O1246" s="17">
        <f t="shared" si="79"/>
        <v>864.95</v>
      </c>
      <c r="P1246" s="17">
        <f t="shared" si="76"/>
        <v>564.79999999999995</v>
      </c>
      <c r="Q1246" s="17">
        <f t="shared" si="77"/>
        <v>300.15000000000009</v>
      </c>
      <c r="R1246" s="24">
        <f t="shared" si="78"/>
        <v>0.34701427828198173</v>
      </c>
      <c r="S1246" t="s">
        <v>67</v>
      </c>
      <c r="T1246" t="s">
        <v>64</v>
      </c>
    </row>
    <row r="1247" spans="1:20" hidden="1">
      <c r="A1247" t="s">
        <v>1317</v>
      </c>
      <c r="B1247" s="5">
        <v>45967</v>
      </c>
      <c r="C1247" s="8">
        <f>YEAR(Tabla2[[#This Row],[fecha]])</f>
        <v>2025</v>
      </c>
      <c r="D1247" s="8">
        <f>MONTH(Tabla2[[#This Row],[fecha]])</f>
        <v>11</v>
      </c>
      <c r="E1247" s="8" t="str">
        <f>TEXT(Tabla2[[#This Row],[fecha]], "mmmm")</f>
        <v>noviembre</v>
      </c>
      <c r="F1247" s="8" t="str">
        <f>"T"&amp;ROUNDUP(Tabla2[[#This Row],[mes]]/3,0)</f>
        <v>T4</v>
      </c>
      <c r="G1247" t="s">
        <v>49</v>
      </c>
      <c r="H1247" t="s">
        <v>50</v>
      </c>
      <c r="I1247" s="8" t="str">
        <f>IF(Tabla2[[#This Row],[precio_unitario]]&lt;=30,"Económico",IF(Tabla2[[#This Row],[precio_unitario]]&lt;=58.49,"Accesible","Caro"))</f>
        <v>Caro</v>
      </c>
      <c r="J1247" t="s">
        <v>44</v>
      </c>
      <c r="K1247">
        <v>2</v>
      </c>
      <c r="L1247" s="19">
        <v>61.48</v>
      </c>
      <c r="M1247" s="19">
        <v>32.43</v>
      </c>
      <c r="N1247" s="11">
        <v>0</v>
      </c>
      <c r="O1247" s="17">
        <f t="shared" si="79"/>
        <v>122.96</v>
      </c>
      <c r="P1247" s="17">
        <f t="shared" si="76"/>
        <v>64.86</v>
      </c>
      <c r="Q1247" s="17">
        <f t="shared" si="77"/>
        <v>58.099999999999994</v>
      </c>
      <c r="R1247" s="24">
        <f t="shared" si="78"/>
        <v>0.47251138581652569</v>
      </c>
      <c r="S1247" t="s">
        <v>83</v>
      </c>
      <c r="T1247" t="s">
        <v>64</v>
      </c>
    </row>
    <row r="1248" spans="1:20" hidden="1">
      <c r="A1248" t="s">
        <v>1318</v>
      </c>
      <c r="B1248" s="5">
        <v>45896</v>
      </c>
      <c r="C1248" s="8">
        <f>YEAR(Tabla2[[#This Row],[fecha]])</f>
        <v>2025</v>
      </c>
      <c r="D1248" s="8">
        <f>MONTH(Tabla2[[#This Row],[fecha]])</f>
        <v>8</v>
      </c>
      <c r="E1248" s="8" t="str">
        <f>TEXT(Tabla2[[#This Row],[fecha]], "mmmm")</f>
        <v>agosto</v>
      </c>
      <c r="F1248" s="8" t="str">
        <f>"T"&amp;ROUNDUP(Tabla2[[#This Row],[mes]]/3,0)</f>
        <v>T3</v>
      </c>
      <c r="G1248" t="s">
        <v>20</v>
      </c>
      <c r="H1248" t="s">
        <v>21</v>
      </c>
      <c r="I1248" s="8" t="str">
        <f>IF(Tabla2[[#This Row],[precio_unitario]]&lt;=30,"Económico",IF(Tabla2[[#This Row],[precio_unitario]]&lt;=58.49,"Accesible","Caro"))</f>
        <v>Económico</v>
      </c>
      <c r="J1248" t="s">
        <v>17</v>
      </c>
      <c r="K1248">
        <v>1</v>
      </c>
      <c r="L1248" s="19">
        <v>20</v>
      </c>
      <c r="M1248" s="19">
        <v>12.83</v>
      </c>
      <c r="N1248" s="13">
        <v>0</v>
      </c>
      <c r="O1248" s="17">
        <f t="shared" si="79"/>
        <v>20</v>
      </c>
      <c r="P1248" s="17">
        <f t="shared" si="76"/>
        <v>12.83</v>
      </c>
      <c r="Q1248" s="17">
        <f t="shared" si="77"/>
        <v>7.17</v>
      </c>
      <c r="R1248" s="24">
        <f t="shared" si="78"/>
        <v>0.35849999999999999</v>
      </c>
      <c r="S1248" t="s">
        <v>540</v>
      </c>
      <c r="T1248" t="s">
        <v>64</v>
      </c>
    </row>
    <row r="1249" spans="1:20" hidden="1">
      <c r="A1249" t="s">
        <v>1319</v>
      </c>
      <c r="B1249" s="5">
        <v>45579</v>
      </c>
      <c r="C1249" s="8">
        <f>YEAR(Tabla2[[#This Row],[fecha]])</f>
        <v>2024</v>
      </c>
      <c r="D1249" s="8">
        <f>MONTH(Tabla2[[#This Row],[fecha]])</f>
        <v>10</v>
      </c>
      <c r="E1249" s="8" t="str">
        <f>TEXT(Tabla2[[#This Row],[fecha]], "mmmm")</f>
        <v>octubre</v>
      </c>
      <c r="F1249" s="8" t="str">
        <f>"T"&amp;ROUNDUP(Tabla2[[#This Row],[mes]]/3,0)</f>
        <v>T4</v>
      </c>
      <c r="G1249" t="s">
        <v>15</v>
      </c>
      <c r="H1249" t="s">
        <v>16</v>
      </c>
      <c r="I1249" s="8" t="str">
        <f>IF(Tabla2[[#This Row],[precio_unitario]]&lt;=30,"Económico",IF(Tabla2[[#This Row],[precio_unitario]]&lt;=58.49,"Accesible","Caro"))</f>
        <v>Accesible</v>
      </c>
      <c r="J1249" t="s">
        <v>17</v>
      </c>
      <c r="K1249">
        <v>1</v>
      </c>
      <c r="L1249" s="19">
        <v>55.61</v>
      </c>
      <c r="M1249" s="19">
        <v>40.380000000000003</v>
      </c>
      <c r="N1249" s="13">
        <v>0</v>
      </c>
      <c r="O1249" s="17">
        <f t="shared" si="79"/>
        <v>55.61</v>
      </c>
      <c r="P1249" s="17">
        <f t="shared" si="76"/>
        <v>40.380000000000003</v>
      </c>
      <c r="Q1249" s="17">
        <f t="shared" si="77"/>
        <v>15.229999999999997</v>
      </c>
      <c r="R1249" s="24">
        <f t="shared" si="78"/>
        <v>0.27387160582629017</v>
      </c>
      <c r="S1249" t="s">
        <v>67</v>
      </c>
      <c r="T1249" t="s">
        <v>60</v>
      </c>
    </row>
    <row r="1250" spans="1:20" hidden="1">
      <c r="A1250" t="s">
        <v>1320</v>
      </c>
      <c r="B1250" s="5">
        <v>45972</v>
      </c>
      <c r="C1250" s="8">
        <f>YEAR(Tabla2[[#This Row],[fecha]])</f>
        <v>2025</v>
      </c>
      <c r="D1250" s="8">
        <f>MONTH(Tabla2[[#This Row],[fecha]])</f>
        <v>11</v>
      </c>
      <c r="E1250" s="8" t="str">
        <f>TEXT(Tabla2[[#This Row],[fecha]], "mmmm")</f>
        <v>noviembre</v>
      </c>
      <c r="F1250" s="8" t="str">
        <f>"T"&amp;ROUNDUP(Tabla2[[#This Row],[mes]]/3,0)</f>
        <v>T4</v>
      </c>
      <c r="G1250" t="s">
        <v>49</v>
      </c>
      <c r="H1250" t="s">
        <v>50</v>
      </c>
      <c r="I1250" s="8" t="str">
        <f>IF(Tabla2[[#This Row],[precio_unitario]]&lt;=30,"Económico",IF(Tabla2[[#This Row],[precio_unitario]]&lt;=58.49,"Accesible","Caro"))</f>
        <v>Caro</v>
      </c>
      <c r="J1250" t="s">
        <v>44</v>
      </c>
      <c r="K1250">
        <v>1</v>
      </c>
      <c r="L1250" s="19">
        <v>59.77</v>
      </c>
      <c r="M1250" s="19">
        <v>33.03</v>
      </c>
      <c r="N1250" s="13">
        <v>0</v>
      </c>
      <c r="O1250" s="17">
        <f t="shared" si="79"/>
        <v>59.77</v>
      </c>
      <c r="P1250" s="17">
        <f t="shared" si="76"/>
        <v>33.03</v>
      </c>
      <c r="Q1250" s="17">
        <f t="shared" si="77"/>
        <v>26.740000000000002</v>
      </c>
      <c r="R1250" s="24">
        <f t="shared" si="78"/>
        <v>0.44738162958005689</v>
      </c>
      <c r="S1250" t="s">
        <v>83</v>
      </c>
      <c r="T1250" t="s">
        <v>60</v>
      </c>
    </row>
    <row r="1251" spans="1:20" hidden="1">
      <c r="A1251" t="s">
        <v>1321</v>
      </c>
      <c r="B1251" s="5">
        <v>45661</v>
      </c>
      <c r="C1251" s="8">
        <f>YEAR(Tabla2[[#This Row],[fecha]])</f>
        <v>2025</v>
      </c>
      <c r="D1251" s="8">
        <f>MONTH(Tabla2[[#This Row],[fecha]])</f>
        <v>1</v>
      </c>
      <c r="E1251" s="8" t="str">
        <f>TEXT(Tabla2[[#This Row],[fecha]], "mmmm")</f>
        <v>enero</v>
      </c>
      <c r="F1251" s="8" t="str">
        <f>"T"&amp;ROUNDUP(Tabla2[[#This Row],[mes]]/3,0)</f>
        <v>T1</v>
      </c>
      <c r="G1251" t="s">
        <v>31</v>
      </c>
      <c r="H1251" t="s">
        <v>32</v>
      </c>
      <c r="I1251" s="8" t="str">
        <f>IF(Tabla2[[#This Row],[precio_unitario]]&lt;=30,"Económico",IF(Tabla2[[#This Row],[precio_unitario]]&lt;=58.49,"Accesible","Caro"))</f>
        <v>Económico</v>
      </c>
      <c r="J1251" t="s">
        <v>26</v>
      </c>
      <c r="K1251">
        <v>1</v>
      </c>
      <c r="L1251" s="19">
        <v>9.4</v>
      </c>
      <c r="M1251" s="21">
        <f>INDEX(Tabla3[coste_objetivo], MATCH(Tabla2[[#This Row],[id_producto]], Tabla3[id_producto],0))</f>
        <v>5.77</v>
      </c>
      <c r="N1251" s="11">
        <v>0</v>
      </c>
      <c r="O1251" s="17">
        <f t="shared" si="79"/>
        <v>9.4</v>
      </c>
      <c r="P1251" s="17">
        <f t="shared" si="76"/>
        <v>5.77</v>
      </c>
      <c r="Q1251" s="17">
        <f t="shared" si="77"/>
        <v>3.6300000000000008</v>
      </c>
      <c r="R1251" s="24">
        <f t="shared" si="78"/>
        <v>0.38617021276595753</v>
      </c>
      <c r="S1251" t="s">
        <v>96</v>
      </c>
      <c r="T1251" t="s">
        <v>64</v>
      </c>
    </row>
    <row r="1252" spans="1:20" hidden="1">
      <c r="A1252" t="s">
        <v>1322</v>
      </c>
      <c r="B1252" s="5">
        <v>45352</v>
      </c>
      <c r="C1252" s="8">
        <f>YEAR(Tabla2[[#This Row],[fecha]])</f>
        <v>2024</v>
      </c>
      <c r="D1252" s="8">
        <f>MONTH(Tabla2[[#This Row],[fecha]])</f>
        <v>3</v>
      </c>
      <c r="E1252" s="8" t="str">
        <f>TEXT(Tabla2[[#This Row],[fecha]], "mmmm")</f>
        <v>marzo</v>
      </c>
      <c r="F1252" s="8" t="str">
        <f>"T"&amp;ROUNDUP(Tabla2[[#This Row],[mes]]/3,0)</f>
        <v>T1</v>
      </c>
      <c r="G1252" t="s">
        <v>47</v>
      </c>
      <c r="H1252" t="s">
        <v>48</v>
      </c>
      <c r="I1252" s="8" t="str">
        <f>IF(Tabla2[[#This Row],[precio_unitario]]&lt;=30,"Económico",IF(Tabla2[[#This Row],[precio_unitario]]&lt;=58.49,"Accesible","Caro"))</f>
        <v>Accesible</v>
      </c>
      <c r="J1252" t="s">
        <v>44</v>
      </c>
      <c r="K1252">
        <v>1</v>
      </c>
      <c r="L1252" s="19">
        <v>54.76</v>
      </c>
      <c r="M1252" s="19">
        <v>31.36</v>
      </c>
      <c r="N1252" s="11">
        <v>0.2</v>
      </c>
      <c r="O1252" s="17">
        <f t="shared" si="79"/>
        <v>43.808</v>
      </c>
      <c r="P1252" s="17">
        <f t="shared" si="76"/>
        <v>31.36</v>
      </c>
      <c r="Q1252" s="17">
        <f t="shared" si="77"/>
        <v>12.448</v>
      </c>
      <c r="R1252" s="24">
        <f t="shared" si="78"/>
        <v>0.28414901387874364</v>
      </c>
      <c r="S1252" t="s">
        <v>540</v>
      </c>
      <c r="T1252" t="s">
        <v>64</v>
      </c>
    </row>
    <row r="1253" spans="1:20" hidden="1">
      <c r="A1253" t="s">
        <v>1323</v>
      </c>
      <c r="B1253" s="5">
        <v>45483</v>
      </c>
      <c r="C1253" s="8">
        <f>YEAR(Tabla2[[#This Row],[fecha]])</f>
        <v>2024</v>
      </c>
      <c r="D1253" s="8">
        <f>MONTH(Tabla2[[#This Row],[fecha]])</f>
        <v>7</v>
      </c>
      <c r="E1253" s="8" t="str">
        <f>TEXT(Tabla2[[#This Row],[fecha]], "mmmm")</f>
        <v>julio</v>
      </c>
      <c r="F1253" s="8" t="str">
        <f>"T"&amp;ROUNDUP(Tabla2[[#This Row],[mes]]/3,0)</f>
        <v>T3</v>
      </c>
      <c r="G1253" t="s">
        <v>9</v>
      </c>
      <c r="H1253" t="s">
        <v>10</v>
      </c>
      <c r="I1253" s="8" t="str">
        <f>IF(Tabla2[[#This Row],[precio_unitario]]&lt;=30,"Económico",IF(Tabla2[[#This Row],[precio_unitario]]&lt;=58.49,"Accesible","Caro"))</f>
        <v>Caro</v>
      </c>
      <c r="J1253" t="s">
        <v>8</v>
      </c>
      <c r="K1253">
        <v>4</v>
      </c>
      <c r="L1253" s="19">
        <v>75.959999999999994</v>
      </c>
      <c r="M1253" s="19">
        <v>46.26</v>
      </c>
      <c r="N1253" s="13">
        <v>0</v>
      </c>
      <c r="O1253" s="17">
        <f t="shared" si="79"/>
        <v>303.83999999999997</v>
      </c>
      <c r="P1253" s="17">
        <f t="shared" si="76"/>
        <v>185.04</v>
      </c>
      <c r="Q1253" s="17">
        <f t="shared" si="77"/>
        <v>118.79999999999998</v>
      </c>
      <c r="R1253" s="24">
        <f t="shared" si="78"/>
        <v>0.39099526066350709</v>
      </c>
      <c r="S1253" t="s">
        <v>540</v>
      </c>
      <c r="T1253" t="s">
        <v>60</v>
      </c>
    </row>
    <row r="1254" spans="1:20" hidden="1">
      <c r="A1254" t="s">
        <v>1324</v>
      </c>
      <c r="B1254" s="5">
        <v>46014</v>
      </c>
      <c r="C1254" s="8">
        <f>YEAR(Tabla2[[#This Row],[fecha]])</f>
        <v>2025</v>
      </c>
      <c r="D1254" s="8">
        <f>MONTH(Tabla2[[#This Row],[fecha]])</f>
        <v>12</v>
      </c>
      <c r="E1254" s="8" t="str">
        <f>TEXT(Tabla2[[#This Row],[fecha]], "mmmm")</f>
        <v>diciembre</v>
      </c>
      <c r="F1254" s="8" t="str">
        <f>"T"&amp;ROUNDUP(Tabla2[[#This Row],[mes]]/3,0)</f>
        <v>T4</v>
      </c>
      <c r="G1254" t="s">
        <v>29</v>
      </c>
      <c r="H1254" t="s">
        <v>30</v>
      </c>
      <c r="I1254" s="8" t="str">
        <f>IF(Tabla2[[#This Row],[precio_unitario]]&lt;=30,"Económico",IF(Tabla2[[#This Row],[precio_unitario]]&lt;=58.49,"Accesible","Caro"))</f>
        <v>Económico</v>
      </c>
      <c r="J1254" t="s">
        <v>26</v>
      </c>
      <c r="K1254">
        <v>1</v>
      </c>
      <c r="L1254" s="19">
        <v>20.93</v>
      </c>
      <c r="M1254" s="19">
        <v>11.71</v>
      </c>
      <c r="N1254" s="13">
        <v>0</v>
      </c>
      <c r="O1254" s="17">
        <f t="shared" si="79"/>
        <v>20.93</v>
      </c>
      <c r="P1254" s="17">
        <f t="shared" si="76"/>
        <v>11.71</v>
      </c>
      <c r="Q1254" s="17">
        <f t="shared" si="77"/>
        <v>9.2199999999999989</v>
      </c>
      <c r="R1254" s="24">
        <f t="shared" si="78"/>
        <v>0.440516005733397</v>
      </c>
      <c r="S1254" t="s">
        <v>540</v>
      </c>
      <c r="T1254" t="s">
        <v>60</v>
      </c>
    </row>
    <row r="1255" spans="1:20" hidden="1">
      <c r="A1255" t="s">
        <v>1325</v>
      </c>
      <c r="B1255" s="5">
        <v>45418</v>
      </c>
      <c r="C1255" s="8">
        <f>YEAR(Tabla2[[#This Row],[fecha]])</f>
        <v>2024</v>
      </c>
      <c r="D1255" s="8">
        <f>MONTH(Tabla2[[#This Row],[fecha]])</f>
        <v>5</v>
      </c>
      <c r="E1255" s="8" t="str">
        <f>TEXT(Tabla2[[#This Row],[fecha]], "mmmm")</f>
        <v>mayo</v>
      </c>
      <c r="F1255" s="8" t="str">
        <f>"T"&amp;ROUNDUP(Tabla2[[#This Row],[mes]]/3,0)</f>
        <v>T2</v>
      </c>
      <c r="G1255" t="s">
        <v>47</v>
      </c>
      <c r="H1255" t="s">
        <v>48</v>
      </c>
      <c r="I1255" s="8" t="str">
        <f>IF(Tabla2[[#This Row],[precio_unitario]]&lt;=30,"Económico",IF(Tabla2[[#This Row],[precio_unitario]]&lt;=58.49,"Accesible","Caro"))</f>
        <v>Accesible</v>
      </c>
      <c r="J1255" t="s">
        <v>44</v>
      </c>
      <c r="K1255">
        <v>4</v>
      </c>
      <c r="L1255" s="19">
        <v>55.95</v>
      </c>
      <c r="M1255" s="19">
        <v>32.68</v>
      </c>
      <c r="N1255" s="11">
        <v>0</v>
      </c>
      <c r="O1255" s="17">
        <f t="shared" si="79"/>
        <v>223.8</v>
      </c>
      <c r="P1255" s="17">
        <f t="shared" si="76"/>
        <v>130.72</v>
      </c>
      <c r="Q1255" s="17">
        <f t="shared" si="77"/>
        <v>93.080000000000013</v>
      </c>
      <c r="R1255" s="24">
        <f t="shared" si="78"/>
        <v>0.41590705987488835</v>
      </c>
      <c r="S1255" t="s">
        <v>63</v>
      </c>
      <c r="T1255" t="s">
        <v>64</v>
      </c>
    </row>
    <row r="1256" spans="1:20" hidden="1">
      <c r="A1256" t="s">
        <v>1326</v>
      </c>
      <c r="B1256" s="5">
        <v>46020</v>
      </c>
      <c r="C1256" s="8">
        <f>YEAR(Tabla2[[#This Row],[fecha]])</f>
        <v>2025</v>
      </c>
      <c r="D1256" s="8">
        <f>MONTH(Tabla2[[#This Row],[fecha]])</f>
        <v>12</v>
      </c>
      <c r="E1256" s="8" t="str">
        <f>TEXT(Tabla2[[#This Row],[fecha]], "mmmm")</f>
        <v>diciembre</v>
      </c>
      <c r="F1256" s="8" t="str">
        <f>"T"&amp;ROUNDUP(Tabla2[[#This Row],[mes]]/3,0)</f>
        <v>T4</v>
      </c>
      <c r="G1256" t="s">
        <v>29</v>
      </c>
      <c r="H1256" t="s">
        <v>30</v>
      </c>
      <c r="I1256" s="8" t="str">
        <f>IF(Tabla2[[#This Row],[precio_unitario]]&lt;=30,"Económico",IF(Tabla2[[#This Row],[precio_unitario]]&lt;=58.49,"Accesible","Caro"))</f>
        <v>Económico</v>
      </c>
      <c r="J1256" t="s">
        <v>26</v>
      </c>
      <c r="K1256">
        <v>3</v>
      </c>
      <c r="L1256" s="19">
        <v>21.42</v>
      </c>
      <c r="M1256" s="19">
        <v>11.04</v>
      </c>
      <c r="N1256" s="11">
        <v>0</v>
      </c>
      <c r="O1256" s="17">
        <f t="shared" si="79"/>
        <v>64.260000000000005</v>
      </c>
      <c r="P1256" s="17">
        <f t="shared" si="76"/>
        <v>33.119999999999997</v>
      </c>
      <c r="Q1256" s="17">
        <f t="shared" si="77"/>
        <v>31.140000000000008</v>
      </c>
      <c r="R1256" s="24">
        <f t="shared" si="78"/>
        <v>0.48459383753501406</v>
      </c>
      <c r="S1256" t="s">
        <v>540</v>
      </c>
      <c r="T1256" t="s">
        <v>60</v>
      </c>
    </row>
    <row r="1257" spans="1:20">
      <c r="A1257" t="s">
        <v>1327</v>
      </c>
      <c r="B1257" s="5">
        <v>45986</v>
      </c>
      <c r="C1257" s="8">
        <f>YEAR(Tabla2[[#This Row],[fecha]])</f>
        <v>2025</v>
      </c>
      <c r="D1257" s="8">
        <f>MONTH(Tabla2[[#This Row],[fecha]])</f>
        <v>11</v>
      </c>
      <c r="E1257" s="8" t="str">
        <f>TEXT(Tabla2[[#This Row],[fecha]], "mmmm")</f>
        <v>noviembre</v>
      </c>
      <c r="F1257" s="8" t="str">
        <f>"T"&amp;ROUNDUP(Tabla2[[#This Row],[mes]]/3,0)</f>
        <v>T4</v>
      </c>
      <c r="G1257" t="s">
        <v>18</v>
      </c>
      <c r="H1257" t="s">
        <v>19</v>
      </c>
      <c r="I1257" s="8" t="str">
        <f>IF(Tabla2[[#This Row],[precio_unitario]]&lt;=30,"Económico",IF(Tabla2[[#This Row],[precio_unitario]]&lt;=58.49,"Accesible","Caro"))</f>
        <v>Accesible</v>
      </c>
      <c r="J1257" t="s">
        <v>17</v>
      </c>
      <c r="K1257">
        <v>1</v>
      </c>
      <c r="L1257" s="19">
        <v>47.9</v>
      </c>
      <c r="M1257" s="19">
        <v>26.03</v>
      </c>
      <c r="N1257" s="13">
        <v>0</v>
      </c>
      <c r="O1257" s="17">
        <f t="shared" si="79"/>
        <v>47.9</v>
      </c>
      <c r="P1257" s="17">
        <f t="shared" si="76"/>
        <v>26.03</v>
      </c>
      <c r="Q1257" s="17">
        <f t="shared" si="77"/>
        <v>21.869999999999997</v>
      </c>
      <c r="R1257" s="24">
        <f t="shared" si="78"/>
        <v>0.45657620041753649</v>
      </c>
      <c r="S1257" t="s">
        <v>67</v>
      </c>
      <c r="T1257" t="s">
        <v>60</v>
      </c>
    </row>
    <row r="1258" spans="1:20" hidden="1">
      <c r="A1258" t="s">
        <v>1328</v>
      </c>
      <c r="B1258" s="5">
        <v>45378</v>
      </c>
      <c r="C1258" s="8">
        <f>YEAR(Tabla2[[#This Row],[fecha]])</f>
        <v>2024</v>
      </c>
      <c r="D1258" s="8">
        <f>MONTH(Tabla2[[#This Row],[fecha]])</f>
        <v>3</v>
      </c>
      <c r="E1258" s="8" t="str">
        <f>TEXT(Tabla2[[#This Row],[fecha]], "mmmm")</f>
        <v>marzo</v>
      </c>
      <c r="F1258" s="8" t="str">
        <f>"T"&amp;ROUNDUP(Tabla2[[#This Row],[mes]]/3,0)</f>
        <v>T1</v>
      </c>
      <c r="G1258" t="s">
        <v>15</v>
      </c>
      <c r="H1258" t="s">
        <v>16</v>
      </c>
      <c r="I1258" s="8" t="str">
        <f>IF(Tabla2[[#This Row],[precio_unitario]]&lt;=30,"Económico",IF(Tabla2[[#This Row],[precio_unitario]]&lt;=58.49,"Accesible","Caro"))</f>
        <v>Caro</v>
      </c>
      <c r="J1258" t="s">
        <v>17</v>
      </c>
      <c r="K1258">
        <v>1</v>
      </c>
      <c r="L1258" s="19">
        <v>61.33</v>
      </c>
      <c r="M1258" s="19">
        <v>39.47</v>
      </c>
      <c r="N1258" s="11">
        <v>0</v>
      </c>
      <c r="O1258" s="17">
        <f t="shared" si="79"/>
        <v>61.33</v>
      </c>
      <c r="P1258" s="17">
        <f t="shared" si="76"/>
        <v>39.47</v>
      </c>
      <c r="Q1258" s="17">
        <f t="shared" si="77"/>
        <v>21.86</v>
      </c>
      <c r="R1258" s="24">
        <f t="shared" si="78"/>
        <v>0.35643241480515248</v>
      </c>
      <c r="S1258" t="s">
        <v>83</v>
      </c>
      <c r="T1258" t="s">
        <v>60</v>
      </c>
    </row>
    <row r="1259" spans="1:20">
      <c r="A1259" t="s">
        <v>1329</v>
      </c>
      <c r="B1259" s="5">
        <v>46010</v>
      </c>
      <c r="C1259" s="8">
        <f>YEAR(Tabla2[[#This Row],[fecha]])</f>
        <v>2025</v>
      </c>
      <c r="D1259" s="8">
        <f>MONTH(Tabla2[[#This Row],[fecha]])</f>
        <v>12</v>
      </c>
      <c r="E1259" s="8" t="str">
        <f>TEXT(Tabla2[[#This Row],[fecha]], "mmmm")</f>
        <v>diciembre</v>
      </c>
      <c r="F1259" s="8" t="str">
        <f>"T"&amp;ROUNDUP(Tabla2[[#This Row],[mes]]/3,0)</f>
        <v>T4</v>
      </c>
      <c r="G1259" t="s">
        <v>9</v>
      </c>
      <c r="H1259" t="s">
        <v>10</v>
      </c>
      <c r="I1259" s="8" t="str">
        <f>IF(Tabla2[[#This Row],[precio_unitario]]&lt;=30,"Económico",IF(Tabla2[[#This Row],[precio_unitario]]&lt;=58.49,"Accesible","Caro"))</f>
        <v>Caro</v>
      </c>
      <c r="J1259" t="s">
        <v>8</v>
      </c>
      <c r="K1259">
        <v>3</v>
      </c>
      <c r="L1259" s="19">
        <v>69.760000000000005</v>
      </c>
      <c r="M1259" s="19">
        <v>45.56</v>
      </c>
      <c r="N1259" s="11">
        <v>0.11</v>
      </c>
      <c r="O1259" s="17">
        <f t="shared" si="79"/>
        <v>186.25920000000002</v>
      </c>
      <c r="P1259" s="17">
        <f t="shared" si="76"/>
        <v>136.68</v>
      </c>
      <c r="Q1259" s="17">
        <f t="shared" si="77"/>
        <v>49.579200000000014</v>
      </c>
      <c r="R1259" s="24">
        <f t="shared" si="78"/>
        <v>0.26618389856715807</v>
      </c>
      <c r="S1259" t="s">
        <v>67</v>
      </c>
      <c r="T1259" t="s">
        <v>64</v>
      </c>
    </row>
    <row r="1260" spans="1:20" hidden="1">
      <c r="A1260" t="s">
        <v>1330</v>
      </c>
      <c r="B1260" s="5">
        <v>45834</v>
      </c>
      <c r="C1260" s="8">
        <f>YEAR(Tabla2[[#This Row],[fecha]])</f>
        <v>2025</v>
      </c>
      <c r="D1260" s="8">
        <f>MONTH(Tabla2[[#This Row],[fecha]])</f>
        <v>6</v>
      </c>
      <c r="E1260" s="8" t="str">
        <f>TEXT(Tabla2[[#This Row],[fecha]], "mmmm")</f>
        <v>junio</v>
      </c>
      <c r="F1260" s="8" t="str">
        <f>"T"&amp;ROUNDUP(Tabla2[[#This Row],[mes]]/3,0)</f>
        <v>T2</v>
      </c>
      <c r="G1260" t="s">
        <v>15</v>
      </c>
      <c r="H1260" t="s">
        <v>16</v>
      </c>
      <c r="I1260" s="8" t="str">
        <f>IF(Tabla2[[#This Row],[precio_unitario]]&lt;=30,"Económico",IF(Tabla2[[#This Row],[precio_unitario]]&lt;=58.49,"Accesible","Caro"))</f>
        <v>Caro</v>
      </c>
      <c r="J1260" t="s">
        <v>17</v>
      </c>
      <c r="K1260">
        <v>7</v>
      </c>
      <c r="L1260" s="19">
        <v>58.8</v>
      </c>
      <c r="M1260" s="19">
        <v>41</v>
      </c>
      <c r="N1260" s="11">
        <v>0</v>
      </c>
      <c r="O1260" s="17">
        <f t="shared" si="79"/>
        <v>411.59999999999997</v>
      </c>
      <c r="P1260" s="17">
        <f t="shared" si="76"/>
        <v>287</v>
      </c>
      <c r="Q1260" s="17">
        <f t="shared" si="77"/>
        <v>124.59999999999997</v>
      </c>
      <c r="R1260" s="24">
        <f t="shared" si="78"/>
        <v>0.3027210884353741</v>
      </c>
      <c r="S1260" t="s">
        <v>540</v>
      </c>
      <c r="T1260" t="s">
        <v>60</v>
      </c>
    </row>
    <row r="1261" spans="1:20" hidden="1">
      <c r="A1261" t="s">
        <v>1331</v>
      </c>
      <c r="B1261" s="5">
        <v>45423</v>
      </c>
      <c r="C1261" s="8">
        <f>YEAR(Tabla2[[#This Row],[fecha]])</f>
        <v>2024</v>
      </c>
      <c r="D1261" s="8">
        <f>MONTH(Tabla2[[#This Row],[fecha]])</f>
        <v>5</v>
      </c>
      <c r="E1261" s="8" t="str">
        <f>TEXT(Tabla2[[#This Row],[fecha]], "mmmm")</f>
        <v>mayo</v>
      </c>
      <c r="F1261" s="8" t="str">
        <f>"T"&amp;ROUNDUP(Tabla2[[#This Row],[mes]]/3,0)</f>
        <v>T2</v>
      </c>
      <c r="G1261" t="s">
        <v>24</v>
      </c>
      <c r="H1261" t="s">
        <v>25</v>
      </c>
      <c r="I1261" s="8" t="str">
        <f>IF(Tabla2[[#This Row],[precio_unitario]]&lt;=30,"Económico",IF(Tabla2[[#This Row],[precio_unitario]]&lt;=58.49,"Accesible","Caro"))</f>
        <v>Económico</v>
      </c>
      <c r="J1261" t="s">
        <v>26</v>
      </c>
      <c r="K1261">
        <v>1</v>
      </c>
      <c r="L1261" s="19">
        <v>8.27</v>
      </c>
      <c r="M1261" s="19">
        <v>4.3499999999999996</v>
      </c>
      <c r="N1261" s="13">
        <v>0</v>
      </c>
      <c r="O1261" s="17">
        <f t="shared" si="79"/>
        <v>8.27</v>
      </c>
      <c r="P1261" s="17">
        <f t="shared" si="76"/>
        <v>4.3499999999999996</v>
      </c>
      <c r="Q1261" s="17">
        <f t="shared" si="77"/>
        <v>3.92</v>
      </c>
      <c r="R1261" s="24">
        <f t="shared" si="78"/>
        <v>0.47400241837968565</v>
      </c>
      <c r="S1261" t="s">
        <v>67</v>
      </c>
      <c r="T1261" t="s">
        <v>64</v>
      </c>
    </row>
    <row r="1262" spans="1:20" hidden="1">
      <c r="A1262" t="s">
        <v>1332</v>
      </c>
      <c r="B1262" s="5">
        <v>45869</v>
      </c>
      <c r="C1262" s="8">
        <f>YEAR(Tabla2[[#This Row],[fecha]])</f>
        <v>2025</v>
      </c>
      <c r="D1262" s="8">
        <f>MONTH(Tabla2[[#This Row],[fecha]])</f>
        <v>7</v>
      </c>
      <c r="E1262" s="8" t="str">
        <f>TEXT(Tabla2[[#This Row],[fecha]], "mmmm")</f>
        <v>julio</v>
      </c>
      <c r="F1262" s="8" t="str">
        <f>"T"&amp;ROUNDUP(Tabla2[[#This Row],[mes]]/3,0)</f>
        <v>T3</v>
      </c>
      <c r="G1262" t="s">
        <v>45</v>
      </c>
      <c r="H1262" t="s">
        <v>46</v>
      </c>
      <c r="I1262" s="8" t="str">
        <f>IF(Tabla2[[#This Row],[precio_unitario]]&lt;=30,"Económico",IF(Tabla2[[#This Row],[precio_unitario]]&lt;=58.49,"Accesible","Caro"))</f>
        <v>Accesible</v>
      </c>
      <c r="J1262" t="s">
        <v>44</v>
      </c>
      <c r="K1262">
        <v>1</v>
      </c>
      <c r="L1262" s="19">
        <v>32.5</v>
      </c>
      <c r="M1262" s="19">
        <v>17.87</v>
      </c>
      <c r="N1262" s="13">
        <v>0</v>
      </c>
      <c r="O1262" s="17">
        <f t="shared" si="79"/>
        <v>32.5</v>
      </c>
      <c r="P1262" s="17">
        <f t="shared" si="76"/>
        <v>17.87</v>
      </c>
      <c r="Q1262" s="17">
        <f t="shared" si="77"/>
        <v>14.629999999999999</v>
      </c>
      <c r="R1262" s="24">
        <f t="shared" si="78"/>
        <v>0.45015384615384613</v>
      </c>
      <c r="S1262" t="s">
        <v>83</v>
      </c>
      <c r="T1262" t="s">
        <v>60</v>
      </c>
    </row>
    <row r="1263" spans="1:20" hidden="1">
      <c r="A1263" t="s">
        <v>1333</v>
      </c>
      <c r="B1263" s="5">
        <v>45356</v>
      </c>
      <c r="C1263" s="8">
        <f>YEAR(Tabla2[[#This Row],[fecha]])</f>
        <v>2024</v>
      </c>
      <c r="D1263" s="8">
        <f>MONTH(Tabla2[[#This Row],[fecha]])</f>
        <v>3</v>
      </c>
      <c r="E1263" s="8" t="str">
        <f>TEXT(Tabla2[[#This Row],[fecha]], "mmmm")</f>
        <v>marzo</v>
      </c>
      <c r="F1263" s="8" t="str">
        <f>"T"&amp;ROUNDUP(Tabla2[[#This Row],[mes]]/3,0)</f>
        <v>T1</v>
      </c>
      <c r="G1263" t="s">
        <v>6</v>
      </c>
      <c r="H1263" t="s">
        <v>7</v>
      </c>
      <c r="I1263" s="8" t="str">
        <f>IF(Tabla2[[#This Row],[precio_unitario]]&lt;=30,"Económico",IF(Tabla2[[#This Row],[precio_unitario]]&lt;=58.49,"Accesible","Caro"))</f>
        <v>Caro</v>
      </c>
      <c r="J1263" t="s">
        <v>8</v>
      </c>
      <c r="K1263">
        <v>1</v>
      </c>
      <c r="L1263" s="19">
        <v>128.24</v>
      </c>
      <c r="M1263" s="19">
        <v>86.48</v>
      </c>
      <c r="N1263" s="11">
        <v>0</v>
      </c>
      <c r="O1263" s="17">
        <f t="shared" si="79"/>
        <v>128.24</v>
      </c>
      <c r="P1263" s="17">
        <f t="shared" si="76"/>
        <v>86.48</v>
      </c>
      <c r="Q1263" s="17">
        <f t="shared" si="77"/>
        <v>41.760000000000005</v>
      </c>
      <c r="R1263" s="24">
        <f t="shared" si="78"/>
        <v>0.3256394260761073</v>
      </c>
      <c r="S1263" t="s">
        <v>83</v>
      </c>
      <c r="T1263" t="s">
        <v>64</v>
      </c>
    </row>
    <row r="1264" spans="1:20" hidden="1">
      <c r="A1264" t="s">
        <v>1334</v>
      </c>
      <c r="B1264" s="5">
        <v>45593</v>
      </c>
      <c r="C1264" s="8">
        <f>YEAR(Tabla2[[#This Row],[fecha]])</f>
        <v>2024</v>
      </c>
      <c r="D1264" s="8">
        <f>MONTH(Tabla2[[#This Row],[fecha]])</f>
        <v>10</v>
      </c>
      <c r="E1264" s="8" t="str">
        <f>TEXT(Tabla2[[#This Row],[fecha]], "mmmm")</f>
        <v>octubre</v>
      </c>
      <c r="F1264" s="8" t="str">
        <f>"T"&amp;ROUNDUP(Tabla2[[#This Row],[mes]]/3,0)</f>
        <v>T4</v>
      </c>
      <c r="G1264" t="s">
        <v>29</v>
      </c>
      <c r="H1264" t="s">
        <v>30</v>
      </c>
      <c r="I1264" s="8" t="str">
        <f>IF(Tabla2[[#This Row],[precio_unitario]]&lt;=30,"Económico",IF(Tabla2[[#This Row],[precio_unitario]]&lt;=58.49,"Accesible","Caro"))</f>
        <v>Económico</v>
      </c>
      <c r="J1264" t="s">
        <v>26</v>
      </c>
      <c r="K1264">
        <v>2</v>
      </c>
      <c r="L1264" s="19">
        <v>22.36</v>
      </c>
      <c r="M1264" s="19">
        <v>11.17</v>
      </c>
      <c r="N1264" s="11">
        <v>0</v>
      </c>
      <c r="O1264" s="17">
        <f t="shared" si="79"/>
        <v>44.72</v>
      </c>
      <c r="P1264" s="17">
        <f t="shared" si="76"/>
        <v>22.34</v>
      </c>
      <c r="Q1264" s="17">
        <f t="shared" si="77"/>
        <v>22.38</v>
      </c>
      <c r="R1264" s="24">
        <f t="shared" si="78"/>
        <v>0.50044722719141321</v>
      </c>
      <c r="S1264" t="s">
        <v>540</v>
      </c>
      <c r="T1264" t="s">
        <v>60</v>
      </c>
    </row>
    <row r="1265" spans="1:20" hidden="1">
      <c r="A1265" t="s">
        <v>1335</v>
      </c>
      <c r="B1265" s="5">
        <v>45842</v>
      </c>
      <c r="C1265" s="8">
        <f>YEAR(Tabla2[[#This Row],[fecha]])</f>
        <v>2025</v>
      </c>
      <c r="D1265" s="8">
        <f>MONTH(Tabla2[[#This Row],[fecha]])</f>
        <v>7</v>
      </c>
      <c r="E1265" s="8" t="str">
        <f>TEXT(Tabla2[[#This Row],[fecha]], "mmmm")</f>
        <v>julio</v>
      </c>
      <c r="F1265" s="8" t="str">
        <f>"T"&amp;ROUNDUP(Tabla2[[#This Row],[mes]]/3,0)</f>
        <v>T3</v>
      </c>
      <c r="G1265" t="s">
        <v>29</v>
      </c>
      <c r="H1265" t="s">
        <v>30</v>
      </c>
      <c r="I1265" s="8" t="str">
        <f>IF(Tabla2[[#This Row],[precio_unitario]]&lt;=30,"Económico",IF(Tabla2[[#This Row],[precio_unitario]]&lt;=58.49,"Accesible","Caro"))</f>
        <v>Económico</v>
      </c>
      <c r="J1265" t="s">
        <v>26</v>
      </c>
      <c r="K1265">
        <v>1</v>
      </c>
      <c r="L1265" s="19">
        <v>22</v>
      </c>
      <c r="M1265" s="19">
        <v>11.31</v>
      </c>
      <c r="N1265" s="11">
        <v>0</v>
      </c>
      <c r="O1265" s="17">
        <f t="shared" si="79"/>
        <v>22</v>
      </c>
      <c r="P1265" s="17">
        <f t="shared" si="76"/>
        <v>11.31</v>
      </c>
      <c r="Q1265" s="17">
        <f t="shared" si="77"/>
        <v>10.69</v>
      </c>
      <c r="R1265" s="24">
        <f t="shared" si="78"/>
        <v>0.4859090909090909</v>
      </c>
      <c r="S1265" t="s">
        <v>63</v>
      </c>
      <c r="T1265" t="s">
        <v>64</v>
      </c>
    </row>
    <row r="1266" spans="1:20" hidden="1">
      <c r="A1266" t="s">
        <v>1336</v>
      </c>
      <c r="B1266" s="5">
        <v>45893</v>
      </c>
      <c r="C1266" s="8">
        <f>YEAR(Tabla2[[#This Row],[fecha]])</f>
        <v>2025</v>
      </c>
      <c r="D1266" s="8">
        <f>MONTH(Tabla2[[#This Row],[fecha]])</f>
        <v>8</v>
      </c>
      <c r="E1266" s="8" t="str">
        <f>TEXT(Tabla2[[#This Row],[fecha]], "mmmm")</f>
        <v>agosto</v>
      </c>
      <c r="F1266" s="8" t="str">
        <f>"T"&amp;ROUNDUP(Tabla2[[#This Row],[mes]]/3,0)</f>
        <v>T3</v>
      </c>
      <c r="G1266" t="s">
        <v>47</v>
      </c>
      <c r="H1266" t="s">
        <v>48</v>
      </c>
      <c r="I1266" s="8" t="str">
        <f>IF(Tabla2[[#This Row],[precio_unitario]]&lt;=30,"Económico",IF(Tabla2[[#This Row],[precio_unitario]]&lt;=58.49,"Accesible","Caro"))</f>
        <v>Accesible</v>
      </c>
      <c r="J1266" t="s">
        <v>44</v>
      </c>
      <c r="K1266">
        <v>4</v>
      </c>
      <c r="L1266" s="19">
        <v>55.05</v>
      </c>
      <c r="M1266" s="19">
        <v>33.520000000000003</v>
      </c>
      <c r="N1266" s="11">
        <v>0</v>
      </c>
      <c r="O1266" s="17">
        <f t="shared" si="79"/>
        <v>220.2</v>
      </c>
      <c r="P1266" s="17">
        <f t="shared" si="76"/>
        <v>134.08000000000001</v>
      </c>
      <c r="Q1266" s="17">
        <f t="shared" si="77"/>
        <v>86.119999999999976</v>
      </c>
      <c r="R1266" s="24">
        <f t="shared" si="78"/>
        <v>0.3910990009082651</v>
      </c>
      <c r="S1266" t="s">
        <v>101</v>
      </c>
      <c r="T1266" t="s">
        <v>64</v>
      </c>
    </row>
    <row r="1267" spans="1:20" hidden="1">
      <c r="A1267" t="s">
        <v>1337</v>
      </c>
      <c r="B1267" s="5">
        <v>45743</v>
      </c>
      <c r="C1267" s="8">
        <f>YEAR(Tabla2[[#This Row],[fecha]])</f>
        <v>2025</v>
      </c>
      <c r="D1267" s="8">
        <f>MONTH(Tabla2[[#This Row],[fecha]])</f>
        <v>3</v>
      </c>
      <c r="E1267" s="8" t="str">
        <f>TEXT(Tabla2[[#This Row],[fecha]], "mmmm")</f>
        <v>marzo</v>
      </c>
      <c r="F1267" s="8" t="str">
        <f>"T"&amp;ROUNDUP(Tabla2[[#This Row],[mes]]/3,0)</f>
        <v>T1</v>
      </c>
      <c r="G1267" t="s">
        <v>11</v>
      </c>
      <c r="H1267" t="s">
        <v>12</v>
      </c>
      <c r="I1267" s="8" t="str">
        <f>IF(Tabla2[[#This Row],[precio_unitario]]&lt;=30,"Económico",IF(Tabla2[[#This Row],[precio_unitario]]&lt;=58.49,"Accesible","Caro"))</f>
        <v>Caro</v>
      </c>
      <c r="J1267" t="s">
        <v>8</v>
      </c>
      <c r="K1267">
        <v>1</v>
      </c>
      <c r="L1267" s="19">
        <v>167.12</v>
      </c>
      <c r="M1267" s="19">
        <v>95.42</v>
      </c>
      <c r="N1267" s="11">
        <v>0.2</v>
      </c>
      <c r="O1267" s="17">
        <f t="shared" si="79"/>
        <v>133.696</v>
      </c>
      <c r="P1267" s="17">
        <f t="shared" si="76"/>
        <v>95.42</v>
      </c>
      <c r="Q1267" s="17">
        <f t="shared" si="77"/>
        <v>38.275999999999996</v>
      </c>
      <c r="R1267" s="24">
        <f t="shared" si="78"/>
        <v>0.28629128769746287</v>
      </c>
      <c r="S1267" s="10" t="s">
        <v>2377</v>
      </c>
      <c r="T1267" t="s">
        <v>64</v>
      </c>
    </row>
    <row r="1268" spans="1:20" hidden="1">
      <c r="A1268" t="s">
        <v>1338</v>
      </c>
      <c r="B1268" s="5">
        <v>45494</v>
      </c>
      <c r="C1268" s="8">
        <f>YEAR(Tabla2[[#This Row],[fecha]])</f>
        <v>2024</v>
      </c>
      <c r="D1268" s="8">
        <f>MONTH(Tabla2[[#This Row],[fecha]])</f>
        <v>7</v>
      </c>
      <c r="E1268" s="8" t="str">
        <f>TEXT(Tabla2[[#This Row],[fecha]], "mmmm")</f>
        <v>julio</v>
      </c>
      <c r="F1268" s="8" t="str">
        <f>"T"&amp;ROUNDUP(Tabla2[[#This Row],[mes]]/3,0)</f>
        <v>T3</v>
      </c>
      <c r="G1268" t="s">
        <v>22</v>
      </c>
      <c r="H1268" t="s">
        <v>23</v>
      </c>
      <c r="I1268" s="8" t="str">
        <f>IF(Tabla2[[#This Row],[precio_unitario]]&lt;=30,"Económico",IF(Tabla2[[#This Row],[precio_unitario]]&lt;=58.49,"Accesible","Caro"))</f>
        <v>Caro</v>
      </c>
      <c r="J1268" t="s">
        <v>17</v>
      </c>
      <c r="K1268">
        <v>1</v>
      </c>
      <c r="L1268" s="19">
        <v>97.57</v>
      </c>
      <c r="M1268" s="21">
        <f>INDEX(Tabla3[coste_objetivo], MATCH(Tabla2[[#This Row],[id_producto]], Tabla3[id_producto],0))</f>
        <v>57.47</v>
      </c>
      <c r="N1268" s="11">
        <v>0.05</v>
      </c>
      <c r="O1268" s="17">
        <f t="shared" si="79"/>
        <v>92.691499999999991</v>
      </c>
      <c r="P1268" s="17">
        <f t="shared" si="76"/>
        <v>57.47</v>
      </c>
      <c r="Q1268" s="17">
        <f t="shared" si="77"/>
        <v>35.221499999999992</v>
      </c>
      <c r="R1268" s="24">
        <f t="shared" si="78"/>
        <v>0.37998629863579719</v>
      </c>
      <c r="S1268" t="s">
        <v>101</v>
      </c>
      <c r="T1268" t="s">
        <v>64</v>
      </c>
    </row>
    <row r="1269" spans="1:20" hidden="1">
      <c r="A1269" t="s">
        <v>1339</v>
      </c>
      <c r="B1269" s="5">
        <v>45360</v>
      </c>
      <c r="C1269" s="8">
        <f>YEAR(Tabla2[[#This Row],[fecha]])</f>
        <v>2024</v>
      </c>
      <c r="D1269" s="8">
        <f>MONTH(Tabla2[[#This Row],[fecha]])</f>
        <v>3</v>
      </c>
      <c r="E1269" s="8" t="str">
        <f>TEXT(Tabla2[[#This Row],[fecha]], "mmmm")</f>
        <v>marzo</v>
      </c>
      <c r="F1269" s="8" t="str">
        <f>"T"&amp;ROUNDUP(Tabla2[[#This Row],[mes]]/3,0)</f>
        <v>T1</v>
      </c>
      <c r="G1269" t="s">
        <v>24</v>
      </c>
      <c r="H1269" t="s">
        <v>25</v>
      </c>
      <c r="I1269" s="8" t="str">
        <f>IF(Tabla2[[#This Row],[precio_unitario]]&lt;=30,"Económico",IF(Tabla2[[#This Row],[precio_unitario]]&lt;=58.49,"Accesible","Caro"))</f>
        <v>Económico</v>
      </c>
      <c r="J1269" t="s">
        <v>26</v>
      </c>
      <c r="K1269">
        <v>1</v>
      </c>
      <c r="L1269" s="19">
        <v>7.3</v>
      </c>
      <c r="M1269" s="19">
        <v>4.21</v>
      </c>
      <c r="N1269" s="11">
        <v>0</v>
      </c>
      <c r="O1269" s="17">
        <f t="shared" si="79"/>
        <v>7.3</v>
      </c>
      <c r="P1269" s="17">
        <f t="shared" si="76"/>
        <v>4.21</v>
      </c>
      <c r="Q1269" s="17">
        <f t="shared" si="77"/>
        <v>3.09</v>
      </c>
      <c r="R1269" s="24">
        <f t="shared" si="78"/>
        <v>0.42328767123287669</v>
      </c>
      <c r="S1269" t="s">
        <v>540</v>
      </c>
      <c r="T1269" t="s">
        <v>64</v>
      </c>
    </row>
    <row r="1270" spans="1:20" hidden="1">
      <c r="A1270" t="s">
        <v>1340</v>
      </c>
      <c r="B1270" s="5">
        <v>45453</v>
      </c>
      <c r="C1270" s="8">
        <f>YEAR(Tabla2[[#This Row],[fecha]])</f>
        <v>2024</v>
      </c>
      <c r="D1270" s="8">
        <f>MONTH(Tabla2[[#This Row],[fecha]])</f>
        <v>6</v>
      </c>
      <c r="E1270" s="8" t="str">
        <f>TEXT(Tabla2[[#This Row],[fecha]], "mmmm")</f>
        <v>junio</v>
      </c>
      <c r="F1270" s="8" t="str">
        <f>"T"&amp;ROUNDUP(Tabla2[[#This Row],[mes]]/3,0)</f>
        <v>T2</v>
      </c>
      <c r="G1270" t="s">
        <v>9</v>
      </c>
      <c r="H1270" t="s">
        <v>10</v>
      </c>
      <c r="I1270" s="8" t="str">
        <f>IF(Tabla2[[#This Row],[precio_unitario]]&lt;=30,"Económico",IF(Tabla2[[#This Row],[precio_unitario]]&lt;=58.49,"Accesible","Caro"))</f>
        <v>Caro</v>
      </c>
      <c r="J1270" t="s">
        <v>8</v>
      </c>
      <c r="K1270">
        <v>1</v>
      </c>
      <c r="L1270" s="19">
        <v>71.59</v>
      </c>
      <c r="M1270" s="19">
        <v>48.26</v>
      </c>
      <c r="N1270" s="11">
        <v>0</v>
      </c>
      <c r="O1270" s="17">
        <f t="shared" si="79"/>
        <v>71.59</v>
      </c>
      <c r="P1270" s="17">
        <f t="shared" si="76"/>
        <v>48.26</v>
      </c>
      <c r="Q1270" s="17">
        <f t="shared" si="77"/>
        <v>23.330000000000005</v>
      </c>
      <c r="R1270" s="24">
        <f t="shared" si="78"/>
        <v>0.32588350328258142</v>
      </c>
      <c r="S1270" t="s">
        <v>540</v>
      </c>
      <c r="T1270" t="s">
        <v>64</v>
      </c>
    </row>
    <row r="1271" spans="1:20">
      <c r="A1271" t="s">
        <v>1341</v>
      </c>
      <c r="B1271" s="5">
        <v>45703</v>
      </c>
      <c r="C1271" s="8">
        <f>YEAR(Tabla2[[#This Row],[fecha]])</f>
        <v>2025</v>
      </c>
      <c r="D1271" s="8">
        <f>MONTH(Tabla2[[#This Row],[fecha]])</f>
        <v>2</v>
      </c>
      <c r="E1271" s="8" t="str">
        <f>TEXT(Tabla2[[#This Row],[fecha]], "mmmm")</f>
        <v>febrero</v>
      </c>
      <c r="F1271" s="8" t="str">
        <f>"T"&amp;ROUNDUP(Tabla2[[#This Row],[mes]]/3,0)</f>
        <v>T1</v>
      </c>
      <c r="G1271" t="s">
        <v>31</v>
      </c>
      <c r="H1271" t="s">
        <v>32</v>
      </c>
      <c r="I1271" s="8" t="str">
        <f>IF(Tabla2[[#This Row],[precio_unitario]]&lt;=30,"Económico",IF(Tabla2[[#This Row],[precio_unitario]]&lt;=58.49,"Accesible","Caro"))</f>
        <v>Económico</v>
      </c>
      <c r="J1271" t="s">
        <v>26</v>
      </c>
      <c r="K1271">
        <v>1</v>
      </c>
      <c r="L1271" s="19">
        <v>9.27</v>
      </c>
      <c r="M1271" s="19">
        <v>5.73</v>
      </c>
      <c r="N1271" s="11">
        <v>0</v>
      </c>
      <c r="O1271" s="17">
        <f t="shared" si="79"/>
        <v>9.27</v>
      </c>
      <c r="P1271" s="17">
        <f t="shared" si="76"/>
        <v>5.73</v>
      </c>
      <c r="Q1271" s="17">
        <f t="shared" si="77"/>
        <v>3.5399999999999991</v>
      </c>
      <c r="R1271" s="24">
        <f t="shared" si="78"/>
        <v>0.38187702265372159</v>
      </c>
      <c r="S1271" t="s">
        <v>67</v>
      </c>
      <c r="T1271" t="s">
        <v>60</v>
      </c>
    </row>
    <row r="1272" spans="1:20" hidden="1">
      <c r="A1272" t="s">
        <v>1342</v>
      </c>
      <c r="B1272" s="5">
        <v>45898</v>
      </c>
      <c r="C1272" s="8">
        <f>YEAR(Tabla2[[#This Row],[fecha]])</f>
        <v>2025</v>
      </c>
      <c r="D1272" s="8">
        <f>MONTH(Tabla2[[#This Row],[fecha]])</f>
        <v>8</v>
      </c>
      <c r="E1272" s="8" t="str">
        <f>TEXT(Tabla2[[#This Row],[fecha]], "mmmm")</f>
        <v>agosto</v>
      </c>
      <c r="F1272" s="8" t="str">
        <f>"T"&amp;ROUNDUP(Tabla2[[#This Row],[mes]]/3,0)</f>
        <v>T3</v>
      </c>
      <c r="G1272" t="s">
        <v>18</v>
      </c>
      <c r="H1272" t="s">
        <v>19</v>
      </c>
      <c r="I1272" s="8" t="str">
        <f>IF(Tabla2[[#This Row],[precio_unitario]]&lt;=30,"Económico",IF(Tabla2[[#This Row],[precio_unitario]]&lt;=58.49,"Accesible","Caro"))</f>
        <v>Accesible</v>
      </c>
      <c r="J1272" t="s">
        <v>17</v>
      </c>
      <c r="K1272">
        <v>4</v>
      </c>
      <c r="L1272" s="19">
        <v>47.51</v>
      </c>
      <c r="M1272" s="19">
        <v>27.54</v>
      </c>
      <c r="N1272" s="11">
        <v>0</v>
      </c>
      <c r="O1272" s="17">
        <f t="shared" si="79"/>
        <v>190.04</v>
      </c>
      <c r="P1272" s="17">
        <f t="shared" si="76"/>
        <v>110.16</v>
      </c>
      <c r="Q1272" s="17">
        <f t="shared" si="77"/>
        <v>79.88</v>
      </c>
      <c r="R1272" s="24">
        <f t="shared" si="78"/>
        <v>0.42033256156598608</v>
      </c>
      <c r="S1272" t="s">
        <v>101</v>
      </c>
      <c r="T1272" t="s">
        <v>145</v>
      </c>
    </row>
    <row r="1273" spans="1:20">
      <c r="A1273" t="s">
        <v>1343</v>
      </c>
      <c r="B1273" s="5">
        <v>45870</v>
      </c>
      <c r="C1273" s="8">
        <f>YEAR(Tabla2[[#This Row],[fecha]])</f>
        <v>2025</v>
      </c>
      <c r="D1273" s="8">
        <f>MONTH(Tabla2[[#This Row],[fecha]])</f>
        <v>8</v>
      </c>
      <c r="E1273" s="8" t="str">
        <f>TEXT(Tabla2[[#This Row],[fecha]], "mmmm")</f>
        <v>agosto</v>
      </c>
      <c r="F1273" s="8" t="str">
        <f>"T"&amp;ROUNDUP(Tabla2[[#This Row],[mes]]/3,0)</f>
        <v>T3</v>
      </c>
      <c r="G1273" t="s">
        <v>29</v>
      </c>
      <c r="H1273" t="s">
        <v>30</v>
      </c>
      <c r="I1273" s="8" t="str">
        <f>IF(Tabla2[[#This Row],[precio_unitario]]&lt;=30,"Económico",IF(Tabla2[[#This Row],[precio_unitario]]&lt;=58.49,"Accesible","Caro"))</f>
        <v>Económico</v>
      </c>
      <c r="J1273" t="s">
        <v>26</v>
      </c>
      <c r="K1273">
        <v>3</v>
      </c>
      <c r="L1273" s="19">
        <v>21.92</v>
      </c>
      <c r="M1273" s="19">
        <v>11.94</v>
      </c>
      <c r="N1273" s="13">
        <v>0</v>
      </c>
      <c r="O1273" s="17">
        <f t="shared" si="79"/>
        <v>65.760000000000005</v>
      </c>
      <c r="P1273" s="17">
        <f t="shared" si="76"/>
        <v>35.82</v>
      </c>
      <c r="Q1273" s="17">
        <f t="shared" si="77"/>
        <v>29.940000000000005</v>
      </c>
      <c r="R1273" s="24">
        <f t="shared" si="78"/>
        <v>0.45529197080291972</v>
      </c>
      <c r="S1273" t="s">
        <v>67</v>
      </c>
      <c r="T1273" t="s">
        <v>60</v>
      </c>
    </row>
    <row r="1274" spans="1:20" hidden="1">
      <c r="A1274" t="s">
        <v>1344</v>
      </c>
      <c r="B1274" s="5">
        <v>45345</v>
      </c>
      <c r="C1274" s="8">
        <f>YEAR(Tabla2[[#This Row],[fecha]])</f>
        <v>2024</v>
      </c>
      <c r="D1274" s="8">
        <f>MONTH(Tabla2[[#This Row],[fecha]])</f>
        <v>2</v>
      </c>
      <c r="E1274" s="8" t="str">
        <f>TEXT(Tabla2[[#This Row],[fecha]], "mmmm")</f>
        <v>febrero</v>
      </c>
      <c r="F1274" s="8" t="str">
        <f>"T"&amp;ROUNDUP(Tabla2[[#This Row],[mes]]/3,0)</f>
        <v>T1</v>
      </c>
      <c r="G1274" t="s">
        <v>18</v>
      </c>
      <c r="H1274" t="s">
        <v>19</v>
      </c>
      <c r="I1274" s="8" t="str">
        <f>IF(Tabla2[[#This Row],[precio_unitario]]&lt;=30,"Económico",IF(Tabla2[[#This Row],[precio_unitario]]&lt;=58.49,"Accesible","Caro"))</f>
        <v>Accesible</v>
      </c>
      <c r="J1274" t="s">
        <v>17</v>
      </c>
      <c r="K1274">
        <v>5</v>
      </c>
      <c r="L1274" s="19">
        <v>47.88</v>
      </c>
      <c r="M1274" s="19">
        <v>27.17</v>
      </c>
      <c r="N1274" s="11">
        <v>0.17</v>
      </c>
      <c r="O1274" s="17">
        <f t="shared" si="79"/>
        <v>198.702</v>
      </c>
      <c r="P1274" s="17">
        <f t="shared" si="76"/>
        <v>135.85000000000002</v>
      </c>
      <c r="Q1274" s="17">
        <f t="shared" si="77"/>
        <v>62.851999999999975</v>
      </c>
      <c r="R1274" s="24">
        <f t="shared" si="78"/>
        <v>0.31631287052973789</v>
      </c>
      <c r="S1274" t="s">
        <v>540</v>
      </c>
      <c r="T1274" t="s">
        <v>60</v>
      </c>
    </row>
    <row r="1275" spans="1:20">
      <c r="A1275" t="s">
        <v>1345</v>
      </c>
      <c r="B1275" s="5">
        <v>45948</v>
      </c>
      <c r="C1275" s="8">
        <f>YEAR(Tabla2[[#This Row],[fecha]])</f>
        <v>2025</v>
      </c>
      <c r="D1275" s="8">
        <f>MONTH(Tabla2[[#This Row],[fecha]])</f>
        <v>10</v>
      </c>
      <c r="E1275" s="8" t="str">
        <f>TEXT(Tabla2[[#This Row],[fecha]], "mmmm")</f>
        <v>octubre</v>
      </c>
      <c r="F1275" s="8" t="str">
        <f>"T"&amp;ROUNDUP(Tabla2[[#This Row],[mes]]/3,0)</f>
        <v>T4</v>
      </c>
      <c r="G1275" t="s">
        <v>42</v>
      </c>
      <c r="H1275" t="s">
        <v>43</v>
      </c>
      <c r="I1275" s="8" t="str">
        <f>IF(Tabla2[[#This Row],[precio_unitario]]&lt;=30,"Económico",IF(Tabla2[[#This Row],[precio_unitario]]&lt;=58.49,"Accesible","Caro"))</f>
        <v>Accesible</v>
      </c>
      <c r="J1275" t="s">
        <v>44</v>
      </c>
      <c r="K1275">
        <v>2</v>
      </c>
      <c r="L1275" s="19">
        <v>46.64</v>
      </c>
      <c r="M1275" s="21">
        <f>INDEX(Tabla3[coste_objetivo], MATCH(Tabla2[[#This Row],[id_producto]], Tabla3[id_producto],0))</f>
        <v>22.69</v>
      </c>
      <c r="N1275" s="11">
        <v>0</v>
      </c>
      <c r="O1275" s="17">
        <f t="shared" si="79"/>
        <v>93.28</v>
      </c>
      <c r="P1275" s="17">
        <f t="shared" si="76"/>
        <v>45.38</v>
      </c>
      <c r="Q1275" s="17">
        <f t="shared" si="77"/>
        <v>47.9</v>
      </c>
      <c r="R1275" s="24">
        <f t="shared" si="78"/>
        <v>0.51350771869639789</v>
      </c>
      <c r="S1275" t="s">
        <v>67</v>
      </c>
      <c r="T1275" t="s">
        <v>64</v>
      </c>
    </row>
    <row r="1276" spans="1:20" hidden="1">
      <c r="A1276" t="s">
        <v>1346</v>
      </c>
      <c r="B1276" s="5">
        <v>45716</v>
      </c>
      <c r="C1276" s="8">
        <f>YEAR(Tabla2[[#This Row],[fecha]])</f>
        <v>2025</v>
      </c>
      <c r="D1276" s="8">
        <f>MONTH(Tabla2[[#This Row],[fecha]])</f>
        <v>2</v>
      </c>
      <c r="E1276" s="8" t="str">
        <f>TEXT(Tabla2[[#This Row],[fecha]], "mmmm")</f>
        <v>febrero</v>
      </c>
      <c r="F1276" s="8" t="str">
        <f>"T"&amp;ROUNDUP(Tabla2[[#This Row],[mes]]/3,0)</f>
        <v>T1</v>
      </c>
      <c r="G1276" t="s">
        <v>22</v>
      </c>
      <c r="H1276" t="s">
        <v>23</v>
      </c>
      <c r="I1276" s="8" t="str">
        <f>IF(Tabla2[[#This Row],[precio_unitario]]&lt;=30,"Económico",IF(Tabla2[[#This Row],[precio_unitario]]&lt;=58.49,"Accesible","Caro"))</f>
        <v>Caro</v>
      </c>
      <c r="J1276" t="s">
        <v>17</v>
      </c>
      <c r="K1276">
        <v>3</v>
      </c>
      <c r="L1276" s="19">
        <v>97.87</v>
      </c>
      <c r="M1276" s="19">
        <v>55.52</v>
      </c>
      <c r="N1276" s="13">
        <v>0</v>
      </c>
      <c r="O1276" s="17">
        <f t="shared" si="79"/>
        <v>293.61</v>
      </c>
      <c r="P1276" s="17">
        <f t="shared" si="76"/>
        <v>166.56</v>
      </c>
      <c r="Q1276" s="17">
        <f t="shared" si="77"/>
        <v>127.05000000000001</v>
      </c>
      <c r="R1276" s="24">
        <f t="shared" si="78"/>
        <v>0.43271686931644021</v>
      </c>
      <c r="S1276" t="s">
        <v>63</v>
      </c>
      <c r="T1276" t="s">
        <v>64</v>
      </c>
    </row>
    <row r="1277" spans="1:20">
      <c r="A1277" t="s">
        <v>1347</v>
      </c>
      <c r="B1277" s="5">
        <v>45670</v>
      </c>
      <c r="C1277" s="8">
        <f>YEAR(Tabla2[[#This Row],[fecha]])</f>
        <v>2025</v>
      </c>
      <c r="D1277" s="8">
        <f>MONTH(Tabla2[[#This Row],[fecha]])</f>
        <v>1</v>
      </c>
      <c r="E1277" s="8" t="str">
        <f>TEXT(Tabla2[[#This Row],[fecha]], "mmmm")</f>
        <v>enero</v>
      </c>
      <c r="F1277" s="8" t="str">
        <f>"T"&amp;ROUNDUP(Tabla2[[#This Row],[mes]]/3,0)</f>
        <v>T1</v>
      </c>
      <c r="G1277" t="s">
        <v>6</v>
      </c>
      <c r="H1277" t="s">
        <v>7</v>
      </c>
      <c r="I1277" s="8" t="str">
        <f>IF(Tabla2[[#This Row],[precio_unitario]]&lt;=30,"Económico",IF(Tabla2[[#This Row],[precio_unitario]]&lt;=58.49,"Accesible","Caro"))</f>
        <v>Caro</v>
      </c>
      <c r="J1277" t="s">
        <v>8</v>
      </c>
      <c r="K1277">
        <v>3</v>
      </c>
      <c r="L1277" s="19">
        <v>122.6</v>
      </c>
      <c r="M1277" s="19">
        <v>87.1</v>
      </c>
      <c r="N1277" s="11">
        <v>0</v>
      </c>
      <c r="O1277" s="17">
        <f t="shared" si="79"/>
        <v>367.79999999999995</v>
      </c>
      <c r="P1277" s="17">
        <f t="shared" si="76"/>
        <v>261.29999999999995</v>
      </c>
      <c r="Q1277" s="17">
        <f t="shared" si="77"/>
        <v>106.5</v>
      </c>
      <c r="R1277" s="24">
        <f t="shared" si="78"/>
        <v>0.28955954323001637</v>
      </c>
      <c r="S1277" t="s">
        <v>67</v>
      </c>
      <c r="T1277" t="s">
        <v>64</v>
      </c>
    </row>
    <row r="1278" spans="1:20" hidden="1">
      <c r="A1278" t="s">
        <v>1348</v>
      </c>
      <c r="B1278" s="5">
        <v>45655</v>
      </c>
      <c r="C1278" s="8">
        <f>YEAR(Tabla2[[#This Row],[fecha]])</f>
        <v>2024</v>
      </c>
      <c r="D1278" s="8">
        <f>MONTH(Tabla2[[#This Row],[fecha]])</f>
        <v>12</v>
      </c>
      <c r="E1278" s="8" t="str">
        <f>TEXT(Tabla2[[#This Row],[fecha]], "mmmm")</f>
        <v>diciembre</v>
      </c>
      <c r="F1278" s="8" t="str">
        <f>"T"&amp;ROUNDUP(Tabla2[[#This Row],[mes]]/3,0)</f>
        <v>T4</v>
      </c>
      <c r="G1278" t="s">
        <v>13</v>
      </c>
      <c r="H1278" t="s">
        <v>14</v>
      </c>
      <c r="I1278" s="8" t="str">
        <f>IF(Tabla2[[#This Row],[precio_unitario]]&lt;=30,"Económico",IF(Tabla2[[#This Row],[precio_unitario]]&lt;=58.49,"Accesible","Caro"))</f>
        <v>Caro</v>
      </c>
      <c r="J1278" t="s">
        <v>8</v>
      </c>
      <c r="K1278">
        <v>3</v>
      </c>
      <c r="L1278" s="19">
        <v>161.49</v>
      </c>
      <c r="M1278" s="19">
        <v>111.95</v>
      </c>
      <c r="N1278" s="11">
        <v>0</v>
      </c>
      <c r="O1278" s="17">
        <f t="shared" si="79"/>
        <v>484.47</v>
      </c>
      <c r="P1278" s="17">
        <f t="shared" si="76"/>
        <v>335.85</v>
      </c>
      <c r="Q1278" s="17">
        <f t="shared" si="77"/>
        <v>148.62</v>
      </c>
      <c r="R1278" s="24">
        <f t="shared" si="78"/>
        <v>0.30676822094247319</v>
      </c>
      <c r="S1278" t="s">
        <v>540</v>
      </c>
      <c r="T1278" t="s">
        <v>64</v>
      </c>
    </row>
    <row r="1279" spans="1:20" hidden="1">
      <c r="A1279" t="s">
        <v>1349</v>
      </c>
      <c r="B1279" s="5">
        <v>45578</v>
      </c>
      <c r="C1279" s="8">
        <f>YEAR(Tabla2[[#This Row],[fecha]])</f>
        <v>2024</v>
      </c>
      <c r="D1279" s="8">
        <f>MONTH(Tabla2[[#This Row],[fecha]])</f>
        <v>10</v>
      </c>
      <c r="E1279" s="8" t="str">
        <f>TEXT(Tabla2[[#This Row],[fecha]], "mmmm")</f>
        <v>octubre</v>
      </c>
      <c r="F1279" s="8" t="str">
        <f>"T"&amp;ROUNDUP(Tabla2[[#This Row],[mes]]/3,0)</f>
        <v>T4</v>
      </c>
      <c r="G1279" t="s">
        <v>31</v>
      </c>
      <c r="H1279" t="s">
        <v>32</v>
      </c>
      <c r="I1279" s="8" t="str">
        <f>IF(Tabla2[[#This Row],[precio_unitario]]&lt;=30,"Económico",IF(Tabla2[[#This Row],[precio_unitario]]&lt;=58.49,"Accesible","Caro"))</f>
        <v>Económico</v>
      </c>
      <c r="J1279" t="s">
        <v>26</v>
      </c>
      <c r="K1279">
        <v>1</v>
      </c>
      <c r="L1279" s="19">
        <v>8.66</v>
      </c>
      <c r="M1279" s="19">
        <v>5.5</v>
      </c>
      <c r="N1279" s="13">
        <v>0</v>
      </c>
      <c r="O1279" s="17">
        <f t="shared" si="79"/>
        <v>8.66</v>
      </c>
      <c r="P1279" s="17">
        <f t="shared" si="76"/>
        <v>5.5</v>
      </c>
      <c r="Q1279" s="17">
        <f t="shared" si="77"/>
        <v>3.16</v>
      </c>
      <c r="R1279" s="24">
        <f t="shared" si="78"/>
        <v>0.36489607390300233</v>
      </c>
      <c r="S1279" t="s">
        <v>540</v>
      </c>
      <c r="T1279" t="s">
        <v>64</v>
      </c>
    </row>
    <row r="1280" spans="1:20" hidden="1">
      <c r="A1280" t="s">
        <v>1350</v>
      </c>
      <c r="B1280" s="5">
        <v>45492</v>
      </c>
      <c r="C1280" s="8">
        <f>YEAR(Tabla2[[#This Row],[fecha]])</f>
        <v>2024</v>
      </c>
      <c r="D1280" s="8">
        <f>MONTH(Tabla2[[#This Row],[fecha]])</f>
        <v>7</v>
      </c>
      <c r="E1280" s="8" t="str">
        <f>TEXT(Tabla2[[#This Row],[fecha]], "mmmm")</f>
        <v>julio</v>
      </c>
      <c r="F1280" s="8" t="str">
        <f>"T"&amp;ROUNDUP(Tabla2[[#This Row],[mes]]/3,0)</f>
        <v>T3</v>
      </c>
      <c r="G1280" t="s">
        <v>20</v>
      </c>
      <c r="H1280" t="s">
        <v>21</v>
      </c>
      <c r="I1280" s="8" t="str">
        <f>IF(Tabla2[[#This Row],[precio_unitario]]&lt;=30,"Económico",IF(Tabla2[[#This Row],[precio_unitario]]&lt;=58.49,"Accesible","Caro"))</f>
        <v>Económico</v>
      </c>
      <c r="J1280" t="s">
        <v>17</v>
      </c>
      <c r="K1280">
        <v>1</v>
      </c>
      <c r="L1280" s="19">
        <v>18.78</v>
      </c>
      <c r="M1280" s="19">
        <v>13.3</v>
      </c>
      <c r="N1280" s="11">
        <v>0</v>
      </c>
      <c r="O1280" s="17">
        <f t="shared" si="79"/>
        <v>18.78</v>
      </c>
      <c r="P1280" s="17">
        <f t="shared" si="76"/>
        <v>13.3</v>
      </c>
      <c r="Q1280" s="17">
        <f t="shared" si="77"/>
        <v>5.48</v>
      </c>
      <c r="R1280" s="24">
        <f t="shared" si="78"/>
        <v>0.29179978700745474</v>
      </c>
      <c r="S1280" t="s">
        <v>67</v>
      </c>
      <c r="T1280" t="s">
        <v>64</v>
      </c>
    </row>
    <row r="1281" spans="1:20" hidden="1">
      <c r="A1281" t="s">
        <v>1351</v>
      </c>
      <c r="B1281" s="5">
        <v>45577</v>
      </c>
      <c r="C1281" s="8">
        <f>YEAR(Tabla2[[#This Row],[fecha]])</f>
        <v>2024</v>
      </c>
      <c r="D1281" s="8">
        <f>MONTH(Tabla2[[#This Row],[fecha]])</f>
        <v>10</v>
      </c>
      <c r="E1281" s="8" t="str">
        <f>TEXT(Tabla2[[#This Row],[fecha]], "mmmm")</f>
        <v>octubre</v>
      </c>
      <c r="F1281" s="8" t="str">
        <f>"T"&amp;ROUNDUP(Tabla2[[#This Row],[mes]]/3,0)</f>
        <v>T4</v>
      </c>
      <c r="G1281" t="s">
        <v>11</v>
      </c>
      <c r="H1281" t="s">
        <v>12</v>
      </c>
      <c r="I1281" s="8" t="str">
        <f>IF(Tabla2[[#This Row],[precio_unitario]]&lt;=30,"Económico",IF(Tabla2[[#This Row],[precio_unitario]]&lt;=58.49,"Accesible","Caro"))</f>
        <v>Caro</v>
      </c>
      <c r="J1281" t="s">
        <v>8</v>
      </c>
      <c r="K1281">
        <v>2</v>
      </c>
      <c r="L1281" s="19">
        <v>174.28</v>
      </c>
      <c r="M1281" s="19">
        <v>89.75</v>
      </c>
      <c r="N1281" s="11">
        <v>0</v>
      </c>
      <c r="O1281" s="17">
        <f t="shared" si="79"/>
        <v>348.56</v>
      </c>
      <c r="P1281" s="17">
        <f t="shared" si="76"/>
        <v>179.5</v>
      </c>
      <c r="Q1281" s="17">
        <f t="shared" si="77"/>
        <v>169.06</v>
      </c>
      <c r="R1281" s="24">
        <f t="shared" si="78"/>
        <v>0.48502409915079181</v>
      </c>
      <c r="S1281" t="s">
        <v>96</v>
      </c>
      <c r="T1281" t="s">
        <v>60</v>
      </c>
    </row>
    <row r="1282" spans="1:20" hidden="1">
      <c r="A1282" t="s">
        <v>1352</v>
      </c>
      <c r="B1282" s="5">
        <v>45721</v>
      </c>
      <c r="C1282" s="8">
        <f>YEAR(Tabla2[[#This Row],[fecha]])</f>
        <v>2025</v>
      </c>
      <c r="D1282" s="8">
        <f>MONTH(Tabla2[[#This Row],[fecha]])</f>
        <v>3</v>
      </c>
      <c r="E1282" s="8" t="str">
        <f>TEXT(Tabla2[[#This Row],[fecha]], "mmmm")</f>
        <v>marzo</v>
      </c>
      <c r="F1282" s="8" t="str">
        <f>"T"&amp;ROUNDUP(Tabla2[[#This Row],[mes]]/3,0)</f>
        <v>T1</v>
      </c>
      <c r="G1282" t="s">
        <v>27</v>
      </c>
      <c r="H1282" t="s">
        <v>28</v>
      </c>
      <c r="I1282" s="8" t="str">
        <f>IF(Tabla2[[#This Row],[precio_unitario]]&lt;=30,"Económico",IF(Tabla2[[#This Row],[precio_unitario]]&lt;=58.49,"Accesible","Caro"))</f>
        <v>Económico</v>
      </c>
      <c r="J1282" t="s">
        <v>26</v>
      </c>
      <c r="K1282">
        <v>4</v>
      </c>
      <c r="L1282" s="19">
        <v>16.25</v>
      </c>
      <c r="M1282" s="19">
        <v>11.23</v>
      </c>
      <c r="N1282" s="11">
        <v>0.22</v>
      </c>
      <c r="O1282" s="17">
        <f t="shared" si="79"/>
        <v>50.7</v>
      </c>
      <c r="P1282" s="17">
        <f t="shared" ref="P1282:P1345" si="80">M1282*K1282</f>
        <v>44.92</v>
      </c>
      <c r="Q1282" s="17">
        <f t="shared" ref="Q1282:Q1345" si="81">O1282-P1282</f>
        <v>5.7800000000000011</v>
      </c>
      <c r="R1282" s="24">
        <f t="shared" ref="R1282:R1345" si="82">IFERROR(Q1282/O1282,0)</f>
        <v>0.11400394477317556</v>
      </c>
      <c r="S1282" t="s">
        <v>101</v>
      </c>
      <c r="T1282" t="s">
        <v>60</v>
      </c>
    </row>
    <row r="1283" spans="1:20">
      <c r="A1283" t="s">
        <v>1353</v>
      </c>
      <c r="B1283" s="5">
        <v>45905</v>
      </c>
      <c r="C1283" s="8">
        <f>YEAR(Tabla2[[#This Row],[fecha]])</f>
        <v>2025</v>
      </c>
      <c r="D1283" s="8">
        <f>MONTH(Tabla2[[#This Row],[fecha]])</f>
        <v>9</v>
      </c>
      <c r="E1283" s="8" t="str">
        <f>TEXT(Tabla2[[#This Row],[fecha]], "mmmm")</f>
        <v>septiembre</v>
      </c>
      <c r="F1283" s="8" t="str">
        <f>"T"&amp;ROUNDUP(Tabla2[[#This Row],[mes]]/3,0)</f>
        <v>T3</v>
      </c>
      <c r="G1283" t="s">
        <v>15</v>
      </c>
      <c r="H1283" t="s">
        <v>16</v>
      </c>
      <c r="I1283" s="8" t="str">
        <f>IF(Tabla2[[#This Row],[precio_unitario]]&lt;=30,"Económico",IF(Tabla2[[#This Row],[precio_unitario]]&lt;=58.49,"Accesible","Caro"))</f>
        <v>Caro</v>
      </c>
      <c r="J1283" t="s">
        <v>17</v>
      </c>
      <c r="K1283">
        <v>5</v>
      </c>
      <c r="L1283" s="19">
        <v>60.37</v>
      </c>
      <c r="M1283" s="19">
        <v>43.13</v>
      </c>
      <c r="N1283" s="13">
        <v>0</v>
      </c>
      <c r="O1283" s="17">
        <f t="shared" ref="O1283:O1346" si="83">K1283*L1283*(1-N1283)</f>
        <v>301.84999999999997</v>
      </c>
      <c r="P1283" s="17">
        <f t="shared" si="80"/>
        <v>215.65</v>
      </c>
      <c r="Q1283" s="17">
        <f t="shared" si="81"/>
        <v>86.19999999999996</v>
      </c>
      <c r="R1283" s="24">
        <f t="shared" si="82"/>
        <v>0.28557230412456508</v>
      </c>
      <c r="S1283" t="s">
        <v>67</v>
      </c>
      <c r="T1283" t="s">
        <v>64</v>
      </c>
    </row>
    <row r="1284" spans="1:20" hidden="1">
      <c r="A1284" t="s">
        <v>1354</v>
      </c>
      <c r="B1284" s="5">
        <v>45720</v>
      </c>
      <c r="C1284" s="8">
        <f>YEAR(Tabla2[[#This Row],[fecha]])</f>
        <v>2025</v>
      </c>
      <c r="D1284" s="8">
        <f>MONTH(Tabla2[[#This Row],[fecha]])</f>
        <v>3</v>
      </c>
      <c r="E1284" s="8" t="str">
        <f>TEXT(Tabla2[[#This Row],[fecha]], "mmmm")</f>
        <v>marzo</v>
      </c>
      <c r="F1284" s="8" t="str">
        <f>"T"&amp;ROUNDUP(Tabla2[[#This Row],[mes]]/3,0)</f>
        <v>T1</v>
      </c>
      <c r="G1284" t="s">
        <v>33</v>
      </c>
      <c r="H1284" t="s">
        <v>34</v>
      </c>
      <c r="I1284" s="8" t="str">
        <f>IF(Tabla2[[#This Row],[precio_unitario]]&lt;=30,"Económico",IF(Tabla2[[#This Row],[precio_unitario]]&lt;=58.49,"Accesible","Caro"))</f>
        <v>Caro</v>
      </c>
      <c r="J1284" t="s">
        <v>35</v>
      </c>
      <c r="K1284">
        <v>2</v>
      </c>
      <c r="L1284" s="19">
        <v>72.489999999999995</v>
      </c>
      <c r="M1284" s="19">
        <v>45.98</v>
      </c>
      <c r="N1284" s="11">
        <v>0.2</v>
      </c>
      <c r="O1284" s="17">
        <f t="shared" si="83"/>
        <v>115.98399999999999</v>
      </c>
      <c r="P1284" s="17">
        <f t="shared" si="80"/>
        <v>91.96</v>
      </c>
      <c r="Q1284" s="17">
        <f t="shared" si="81"/>
        <v>24.024000000000001</v>
      </c>
      <c r="R1284" s="24">
        <f t="shared" si="82"/>
        <v>0.20713201820940821</v>
      </c>
      <c r="S1284" t="s">
        <v>63</v>
      </c>
      <c r="T1284" t="s">
        <v>60</v>
      </c>
    </row>
    <row r="1285" spans="1:20" hidden="1">
      <c r="A1285" t="s">
        <v>1355</v>
      </c>
      <c r="B1285" s="5">
        <v>45439</v>
      </c>
      <c r="C1285" s="8">
        <f>YEAR(Tabla2[[#This Row],[fecha]])</f>
        <v>2024</v>
      </c>
      <c r="D1285" s="8">
        <f>MONTH(Tabla2[[#This Row],[fecha]])</f>
        <v>5</v>
      </c>
      <c r="E1285" s="8" t="str">
        <f>TEXT(Tabla2[[#This Row],[fecha]], "mmmm")</f>
        <v>mayo</v>
      </c>
      <c r="F1285" s="8" t="str">
        <f>"T"&amp;ROUNDUP(Tabla2[[#This Row],[mes]]/3,0)</f>
        <v>T2</v>
      </c>
      <c r="G1285" t="s">
        <v>40</v>
      </c>
      <c r="H1285" t="s">
        <v>41</v>
      </c>
      <c r="I1285" s="8" t="str">
        <f>IF(Tabla2[[#This Row],[precio_unitario]]&lt;=30,"Económico",IF(Tabla2[[#This Row],[precio_unitario]]&lt;=58.49,"Accesible","Caro"))</f>
        <v>Caro</v>
      </c>
      <c r="J1285" t="s">
        <v>35</v>
      </c>
      <c r="K1285">
        <v>2</v>
      </c>
      <c r="L1285" s="19">
        <v>78.13</v>
      </c>
      <c r="M1285" s="19">
        <v>42.85</v>
      </c>
      <c r="N1285" s="11">
        <v>0</v>
      </c>
      <c r="O1285" s="17">
        <f t="shared" si="83"/>
        <v>156.26</v>
      </c>
      <c r="P1285" s="17">
        <f t="shared" si="80"/>
        <v>85.7</v>
      </c>
      <c r="Q1285" s="17">
        <f t="shared" si="81"/>
        <v>70.559999999999988</v>
      </c>
      <c r="R1285" s="24">
        <f t="shared" si="82"/>
        <v>0.45155510047356962</v>
      </c>
      <c r="S1285" t="s">
        <v>540</v>
      </c>
      <c r="T1285" t="s">
        <v>64</v>
      </c>
    </row>
    <row r="1286" spans="1:20">
      <c r="A1286" t="s">
        <v>1356</v>
      </c>
      <c r="B1286" s="5">
        <v>45980</v>
      </c>
      <c r="C1286" s="8">
        <f>YEAR(Tabla2[[#This Row],[fecha]])</f>
        <v>2025</v>
      </c>
      <c r="D1286" s="8">
        <f>MONTH(Tabla2[[#This Row],[fecha]])</f>
        <v>11</v>
      </c>
      <c r="E1286" s="8" t="str">
        <f>TEXT(Tabla2[[#This Row],[fecha]], "mmmm")</f>
        <v>noviembre</v>
      </c>
      <c r="F1286" s="8" t="str">
        <f>"T"&amp;ROUNDUP(Tabla2[[#This Row],[mes]]/3,0)</f>
        <v>T4</v>
      </c>
      <c r="G1286" t="s">
        <v>22</v>
      </c>
      <c r="H1286" t="s">
        <v>23</v>
      </c>
      <c r="I1286" s="8" t="str">
        <f>IF(Tabla2[[#This Row],[precio_unitario]]&lt;=30,"Económico",IF(Tabla2[[#This Row],[precio_unitario]]&lt;=58.49,"Accesible","Caro"))</f>
        <v>Caro</v>
      </c>
      <c r="J1286" t="s">
        <v>17</v>
      </c>
      <c r="K1286">
        <v>6</v>
      </c>
      <c r="L1286" s="19">
        <v>108.96</v>
      </c>
      <c r="M1286" s="19">
        <v>57.9</v>
      </c>
      <c r="N1286" s="11">
        <v>0</v>
      </c>
      <c r="O1286" s="17">
        <f t="shared" si="83"/>
        <v>653.76</v>
      </c>
      <c r="P1286" s="17">
        <f t="shared" si="80"/>
        <v>347.4</v>
      </c>
      <c r="Q1286" s="17">
        <f t="shared" si="81"/>
        <v>306.36</v>
      </c>
      <c r="R1286" s="24">
        <f t="shared" si="82"/>
        <v>0.46861233480176212</v>
      </c>
      <c r="S1286" t="s">
        <v>67</v>
      </c>
      <c r="T1286" t="s">
        <v>64</v>
      </c>
    </row>
    <row r="1287" spans="1:20" hidden="1">
      <c r="A1287" t="s">
        <v>1357</v>
      </c>
      <c r="B1287" s="5">
        <v>45311</v>
      </c>
      <c r="C1287" s="8">
        <f>YEAR(Tabla2[[#This Row],[fecha]])</f>
        <v>2024</v>
      </c>
      <c r="D1287" s="8">
        <f>MONTH(Tabla2[[#This Row],[fecha]])</f>
        <v>1</v>
      </c>
      <c r="E1287" s="8" t="str">
        <f>TEXT(Tabla2[[#This Row],[fecha]], "mmmm")</f>
        <v>enero</v>
      </c>
      <c r="F1287" s="8" t="str">
        <f>"T"&amp;ROUNDUP(Tabla2[[#This Row],[mes]]/3,0)</f>
        <v>T1</v>
      </c>
      <c r="G1287" t="s">
        <v>45</v>
      </c>
      <c r="H1287" t="s">
        <v>46</v>
      </c>
      <c r="I1287" s="8" t="str">
        <f>IF(Tabla2[[#This Row],[precio_unitario]]&lt;=30,"Económico",IF(Tabla2[[#This Row],[precio_unitario]]&lt;=58.49,"Accesible","Caro"))</f>
        <v>Accesible</v>
      </c>
      <c r="J1287" t="s">
        <v>44</v>
      </c>
      <c r="K1287">
        <v>2</v>
      </c>
      <c r="L1287" s="19">
        <v>30.83</v>
      </c>
      <c r="M1287" s="19">
        <v>18.02</v>
      </c>
      <c r="N1287" s="11">
        <v>0</v>
      </c>
      <c r="O1287" s="17">
        <f t="shared" si="83"/>
        <v>61.66</v>
      </c>
      <c r="P1287" s="17">
        <f t="shared" si="80"/>
        <v>36.04</v>
      </c>
      <c r="Q1287" s="17">
        <f t="shared" si="81"/>
        <v>25.619999999999997</v>
      </c>
      <c r="R1287" s="24">
        <f t="shared" si="82"/>
        <v>0.41550437885176772</v>
      </c>
      <c r="S1287" t="s">
        <v>101</v>
      </c>
      <c r="T1287" t="s">
        <v>64</v>
      </c>
    </row>
    <row r="1288" spans="1:20">
      <c r="A1288" t="s">
        <v>1358</v>
      </c>
      <c r="B1288" s="5">
        <v>45737</v>
      </c>
      <c r="C1288" s="8">
        <f>YEAR(Tabla2[[#This Row],[fecha]])</f>
        <v>2025</v>
      </c>
      <c r="D1288" s="8">
        <f>MONTH(Tabla2[[#This Row],[fecha]])</f>
        <v>3</v>
      </c>
      <c r="E1288" s="8" t="str">
        <f>TEXT(Tabla2[[#This Row],[fecha]], "mmmm")</f>
        <v>marzo</v>
      </c>
      <c r="F1288" s="8" t="str">
        <f>"T"&amp;ROUNDUP(Tabla2[[#This Row],[mes]]/3,0)</f>
        <v>T1</v>
      </c>
      <c r="G1288" t="s">
        <v>27</v>
      </c>
      <c r="H1288" t="s">
        <v>28</v>
      </c>
      <c r="I1288" s="8" t="str">
        <f>IF(Tabla2[[#This Row],[precio_unitario]]&lt;=30,"Económico",IF(Tabla2[[#This Row],[precio_unitario]]&lt;=58.49,"Accesible","Caro"))</f>
        <v>Económico</v>
      </c>
      <c r="J1288" t="s">
        <v>26</v>
      </c>
      <c r="K1288">
        <v>5</v>
      </c>
      <c r="L1288" s="19">
        <v>17.57</v>
      </c>
      <c r="M1288" s="19">
        <v>11.74</v>
      </c>
      <c r="N1288" s="11">
        <v>0</v>
      </c>
      <c r="O1288" s="17">
        <f t="shared" si="83"/>
        <v>87.85</v>
      </c>
      <c r="P1288" s="17">
        <f t="shared" si="80"/>
        <v>58.7</v>
      </c>
      <c r="Q1288" s="17">
        <f t="shared" si="81"/>
        <v>29.149999999999991</v>
      </c>
      <c r="R1288" s="24">
        <f t="shared" si="82"/>
        <v>0.33181559476380185</v>
      </c>
      <c r="S1288" t="s">
        <v>67</v>
      </c>
      <c r="T1288" t="s">
        <v>60</v>
      </c>
    </row>
    <row r="1289" spans="1:20">
      <c r="A1289" t="s">
        <v>1359</v>
      </c>
      <c r="B1289" s="5">
        <v>45662</v>
      </c>
      <c r="C1289" s="8">
        <f>YEAR(Tabla2[[#This Row],[fecha]])</f>
        <v>2025</v>
      </c>
      <c r="D1289" s="8">
        <f>MONTH(Tabla2[[#This Row],[fecha]])</f>
        <v>1</v>
      </c>
      <c r="E1289" s="8" t="str">
        <f>TEXT(Tabla2[[#This Row],[fecha]], "mmmm")</f>
        <v>enero</v>
      </c>
      <c r="F1289" s="8" t="str">
        <f>"T"&amp;ROUNDUP(Tabla2[[#This Row],[mes]]/3,0)</f>
        <v>T1</v>
      </c>
      <c r="G1289" t="s">
        <v>22</v>
      </c>
      <c r="H1289" t="s">
        <v>23</v>
      </c>
      <c r="I1289" s="8" t="str">
        <f>IF(Tabla2[[#This Row],[precio_unitario]]&lt;=30,"Económico",IF(Tabla2[[#This Row],[precio_unitario]]&lt;=58.49,"Accesible","Caro"))</f>
        <v>Caro</v>
      </c>
      <c r="J1289" t="s">
        <v>17</v>
      </c>
      <c r="K1289">
        <v>2</v>
      </c>
      <c r="L1289" s="19">
        <v>101.14</v>
      </c>
      <c r="M1289" s="19">
        <v>55.05</v>
      </c>
      <c r="N1289" s="11">
        <v>0</v>
      </c>
      <c r="O1289" s="17">
        <f t="shared" si="83"/>
        <v>202.28</v>
      </c>
      <c r="P1289" s="17">
        <f t="shared" si="80"/>
        <v>110.1</v>
      </c>
      <c r="Q1289" s="17">
        <f t="shared" si="81"/>
        <v>92.18</v>
      </c>
      <c r="R1289" s="24">
        <f t="shared" si="82"/>
        <v>0.45570496341704569</v>
      </c>
      <c r="S1289" t="s">
        <v>67</v>
      </c>
      <c r="T1289" t="s">
        <v>60</v>
      </c>
    </row>
    <row r="1290" spans="1:20">
      <c r="A1290" t="s">
        <v>1360</v>
      </c>
      <c r="B1290" s="5">
        <v>45986</v>
      </c>
      <c r="C1290" s="8">
        <f>YEAR(Tabla2[[#This Row],[fecha]])</f>
        <v>2025</v>
      </c>
      <c r="D1290" s="8">
        <f>MONTH(Tabla2[[#This Row],[fecha]])</f>
        <v>11</v>
      </c>
      <c r="E1290" s="8" t="str">
        <f>TEXT(Tabla2[[#This Row],[fecha]], "mmmm")</f>
        <v>noviembre</v>
      </c>
      <c r="F1290" s="8" t="str">
        <f>"T"&amp;ROUNDUP(Tabla2[[#This Row],[mes]]/3,0)</f>
        <v>T4</v>
      </c>
      <c r="G1290" t="s">
        <v>20</v>
      </c>
      <c r="H1290" t="s">
        <v>21</v>
      </c>
      <c r="I1290" s="8" t="str">
        <f>IF(Tabla2[[#This Row],[precio_unitario]]&lt;=30,"Económico",IF(Tabla2[[#This Row],[precio_unitario]]&lt;=58.49,"Accesible","Caro"))</f>
        <v>Económico</v>
      </c>
      <c r="J1290" t="s">
        <v>17</v>
      </c>
      <c r="K1290">
        <v>4</v>
      </c>
      <c r="L1290" s="19">
        <v>20.420000000000002</v>
      </c>
      <c r="M1290" s="19">
        <v>13.39</v>
      </c>
      <c r="N1290" s="11">
        <v>0.16</v>
      </c>
      <c r="O1290" s="17">
        <f t="shared" si="83"/>
        <v>68.611199999999997</v>
      </c>
      <c r="P1290" s="17">
        <f t="shared" si="80"/>
        <v>53.56</v>
      </c>
      <c r="Q1290" s="17">
        <f t="shared" si="81"/>
        <v>15.051199999999994</v>
      </c>
      <c r="R1290" s="24">
        <f t="shared" si="82"/>
        <v>0.21936943239587697</v>
      </c>
      <c r="S1290" t="s">
        <v>67</v>
      </c>
      <c r="T1290" t="s">
        <v>64</v>
      </c>
    </row>
    <row r="1291" spans="1:20" hidden="1">
      <c r="A1291" t="s">
        <v>1361</v>
      </c>
      <c r="B1291" s="5">
        <v>45923</v>
      </c>
      <c r="C1291" s="8">
        <f>YEAR(Tabla2[[#This Row],[fecha]])</f>
        <v>2025</v>
      </c>
      <c r="D1291" s="8">
        <f>MONTH(Tabla2[[#This Row],[fecha]])</f>
        <v>9</v>
      </c>
      <c r="E1291" s="8" t="str">
        <f>TEXT(Tabla2[[#This Row],[fecha]], "mmmm")</f>
        <v>septiembre</v>
      </c>
      <c r="F1291" s="8" t="str">
        <f>"T"&amp;ROUNDUP(Tabla2[[#This Row],[mes]]/3,0)</f>
        <v>T3</v>
      </c>
      <c r="G1291" t="s">
        <v>29</v>
      </c>
      <c r="H1291" t="s">
        <v>30</v>
      </c>
      <c r="I1291" s="8" t="str">
        <f>IF(Tabla2[[#This Row],[precio_unitario]]&lt;=30,"Económico",IF(Tabla2[[#This Row],[precio_unitario]]&lt;=58.49,"Accesible","Caro"))</f>
        <v>Económico</v>
      </c>
      <c r="J1291" t="s">
        <v>26</v>
      </c>
      <c r="K1291">
        <v>1</v>
      </c>
      <c r="L1291" s="19">
        <v>22.57</v>
      </c>
      <c r="M1291" s="19">
        <v>11.92</v>
      </c>
      <c r="N1291" s="11">
        <v>0.13</v>
      </c>
      <c r="O1291" s="17">
        <f t="shared" si="83"/>
        <v>19.635899999999999</v>
      </c>
      <c r="P1291" s="17">
        <f t="shared" si="80"/>
        <v>11.92</v>
      </c>
      <c r="Q1291" s="17">
        <f t="shared" si="81"/>
        <v>7.7158999999999995</v>
      </c>
      <c r="R1291" s="24">
        <f t="shared" si="82"/>
        <v>0.39294862980561113</v>
      </c>
      <c r="S1291" t="s">
        <v>83</v>
      </c>
      <c r="T1291" t="s">
        <v>64</v>
      </c>
    </row>
    <row r="1292" spans="1:20" hidden="1">
      <c r="A1292" t="s">
        <v>1362</v>
      </c>
      <c r="B1292" s="5">
        <v>45501</v>
      </c>
      <c r="C1292" s="8">
        <f>YEAR(Tabla2[[#This Row],[fecha]])</f>
        <v>2024</v>
      </c>
      <c r="D1292" s="8">
        <f>MONTH(Tabla2[[#This Row],[fecha]])</f>
        <v>7</v>
      </c>
      <c r="E1292" s="8" t="str">
        <f>TEXT(Tabla2[[#This Row],[fecha]], "mmmm")</f>
        <v>julio</v>
      </c>
      <c r="F1292" s="8" t="str">
        <f>"T"&amp;ROUNDUP(Tabla2[[#This Row],[mes]]/3,0)</f>
        <v>T3</v>
      </c>
      <c r="G1292" t="s">
        <v>20</v>
      </c>
      <c r="H1292" t="s">
        <v>21</v>
      </c>
      <c r="I1292" s="8" t="str">
        <f>IF(Tabla2[[#This Row],[precio_unitario]]&lt;=30,"Económico",IF(Tabla2[[#This Row],[precio_unitario]]&lt;=58.49,"Accesible","Caro"))</f>
        <v>Económico</v>
      </c>
      <c r="J1292" t="s">
        <v>17</v>
      </c>
      <c r="K1292">
        <v>3</v>
      </c>
      <c r="L1292" s="19">
        <v>18.399999999999999</v>
      </c>
      <c r="M1292" s="19">
        <v>13</v>
      </c>
      <c r="N1292" s="11">
        <v>0</v>
      </c>
      <c r="O1292" s="17">
        <f t="shared" si="83"/>
        <v>55.199999999999996</v>
      </c>
      <c r="P1292" s="17">
        <f t="shared" si="80"/>
        <v>39</v>
      </c>
      <c r="Q1292" s="17">
        <f t="shared" si="81"/>
        <v>16.199999999999996</v>
      </c>
      <c r="R1292" s="24">
        <f t="shared" si="82"/>
        <v>0.29347826086956519</v>
      </c>
      <c r="S1292" t="s">
        <v>63</v>
      </c>
      <c r="T1292" t="s">
        <v>60</v>
      </c>
    </row>
    <row r="1293" spans="1:20">
      <c r="A1293" t="s">
        <v>1363</v>
      </c>
      <c r="B1293" s="5">
        <v>45894</v>
      </c>
      <c r="C1293" s="8">
        <f>YEAR(Tabla2[[#This Row],[fecha]])</f>
        <v>2025</v>
      </c>
      <c r="D1293" s="8">
        <f>MONTH(Tabla2[[#This Row],[fecha]])</f>
        <v>8</v>
      </c>
      <c r="E1293" s="8" t="str">
        <f>TEXT(Tabla2[[#This Row],[fecha]], "mmmm")</f>
        <v>agosto</v>
      </c>
      <c r="F1293" s="8" t="str">
        <f>"T"&amp;ROUNDUP(Tabla2[[#This Row],[mes]]/3,0)</f>
        <v>T3</v>
      </c>
      <c r="G1293" t="s">
        <v>11</v>
      </c>
      <c r="H1293" t="s">
        <v>12</v>
      </c>
      <c r="I1293" s="8" t="str">
        <f>IF(Tabla2[[#This Row],[precio_unitario]]&lt;=30,"Económico",IF(Tabla2[[#This Row],[precio_unitario]]&lt;=58.49,"Accesible","Caro"))</f>
        <v>Caro</v>
      </c>
      <c r="J1293" t="s">
        <v>8</v>
      </c>
      <c r="K1293">
        <v>1</v>
      </c>
      <c r="L1293" s="19">
        <v>169.98</v>
      </c>
      <c r="M1293" s="19">
        <v>94.41</v>
      </c>
      <c r="N1293" s="11">
        <v>0</v>
      </c>
      <c r="O1293" s="17">
        <f t="shared" si="83"/>
        <v>169.98</v>
      </c>
      <c r="P1293" s="17">
        <f t="shared" si="80"/>
        <v>94.41</v>
      </c>
      <c r="Q1293" s="17">
        <f t="shared" si="81"/>
        <v>75.569999999999993</v>
      </c>
      <c r="R1293" s="24">
        <f t="shared" si="82"/>
        <v>0.44458171549594067</v>
      </c>
      <c r="S1293" t="s">
        <v>67</v>
      </c>
      <c r="T1293" t="s">
        <v>60</v>
      </c>
    </row>
    <row r="1294" spans="1:20" hidden="1">
      <c r="A1294" t="s">
        <v>1364</v>
      </c>
      <c r="B1294" s="5">
        <v>45910</v>
      </c>
      <c r="C1294" s="8">
        <f>YEAR(Tabla2[[#This Row],[fecha]])</f>
        <v>2025</v>
      </c>
      <c r="D1294" s="8">
        <f>MONTH(Tabla2[[#This Row],[fecha]])</f>
        <v>9</v>
      </c>
      <c r="E1294" s="8" t="str">
        <f>TEXT(Tabla2[[#This Row],[fecha]], "mmmm")</f>
        <v>septiembre</v>
      </c>
      <c r="F1294" s="8" t="str">
        <f>"T"&amp;ROUNDUP(Tabla2[[#This Row],[mes]]/3,0)</f>
        <v>T3</v>
      </c>
      <c r="G1294" t="s">
        <v>13</v>
      </c>
      <c r="H1294" t="s">
        <v>14</v>
      </c>
      <c r="I1294" s="8" t="str">
        <f>IF(Tabla2[[#This Row],[precio_unitario]]&lt;=30,"Económico",IF(Tabla2[[#This Row],[precio_unitario]]&lt;=58.49,"Accesible","Caro"))</f>
        <v>Caro</v>
      </c>
      <c r="J1294" t="s">
        <v>8</v>
      </c>
      <c r="K1294">
        <v>3</v>
      </c>
      <c r="L1294" s="19">
        <v>167.3</v>
      </c>
      <c r="M1294" s="19">
        <v>113.82</v>
      </c>
      <c r="N1294" s="11">
        <v>0</v>
      </c>
      <c r="O1294" s="17">
        <f t="shared" si="83"/>
        <v>501.90000000000003</v>
      </c>
      <c r="P1294" s="17">
        <f t="shared" si="80"/>
        <v>341.46</v>
      </c>
      <c r="Q1294" s="17">
        <f t="shared" si="81"/>
        <v>160.44000000000005</v>
      </c>
      <c r="R1294" s="24">
        <f t="shared" si="82"/>
        <v>0.31966527196652728</v>
      </c>
      <c r="S1294" t="s">
        <v>63</v>
      </c>
      <c r="T1294" t="s">
        <v>64</v>
      </c>
    </row>
    <row r="1295" spans="1:20" hidden="1">
      <c r="A1295" t="s">
        <v>1365</v>
      </c>
      <c r="B1295" s="5">
        <v>45877</v>
      </c>
      <c r="C1295" s="8">
        <f>YEAR(Tabla2[[#This Row],[fecha]])</f>
        <v>2025</v>
      </c>
      <c r="D1295" s="8">
        <f>MONTH(Tabla2[[#This Row],[fecha]])</f>
        <v>8</v>
      </c>
      <c r="E1295" s="8" t="str">
        <f>TEXT(Tabla2[[#This Row],[fecha]], "mmmm")</f>
        <v>agosto</v>
      </c>
      <c r="F1295" s="8" t="str">
        <f>"T"&amp;ROUNDUP(Tabla2[[#This Row],[mes]]/3,0)</f>
        <v>T3</v>
      </c>
      <c r="G1295" t="s">
        <v>13</v>
      </c>
      <c r="H1295" t="s">
        <v>14</v>
      </c>
      <c r="I1295" s="8" t="str">
        <f>IF(Tabla2[[#This Row],[precio_unitario]]&lt;=30,"Económico",IF(Tabla2[[#This Row],[precio_unitario]]&lt;=58.49,"Accesible","Caro"))</f>
        <v>Caro</v>
      </c>
      <c r="J1295" t="s">
        <v>8</v>
      </c>
      <c r="K1295">
        <v>5</v>
      </c>
      <c r="L1295" s="19">
        <v>174.4</v>
      </c>
      <c r="M1295" s="19">
        <v>107.69</v>
      </c>
      <c r="N1295" s="11">
        <v>0</v>
      </c>
      <c r="O1295" s="17">
        <f t="shared" si="83"/>
        <v>872</v>
      </c>
      <c r="P1295" s="17">
        <f t="shared" si="80"/>
        <v>538.45000000000005</v>
      </c>
      <c r="Q1295" s="17">
        <f t="shared" si="81"/>
        <v>333.54999999999995</v>
      </c>
      <c r="R1295" s="24">
        <f t="shared" si="82"/>
        <v>0.3825114678899082</v>
      </c>
      <c r="S1295" t="s">
        <v>63</v>
      </c>
      <c r="T1295" t="s">
        <v>64</v>
      </c>
    </row>
    <row r="1296" spans="1:20" hidden="1">
      <c r="A1296" t="s">
        <v>1366</v>
      </c>
      <c r="B1296" s="5">
        <v>45481</v>
      </c>
      <c r="C1296" s="8">
        <f>YEAR(Tabla2[[#This Row],[fecha]])</f>
        <v>2024</v>
      </c>
      <c r="D1296" s="8">
        <f>MONTH(Tabla2[[#This Row],[fecha]])</f>
        <v>7</v>
      </c>
      <c r="E1296" s="8" t="str">
        <f>TEXT(Tabla2[[#This Row],[fecha]], "mmmm")</f>
        <v>julio</v>
      </c>
      <c r="F1296" s="8" t="str">
        <f>"T"&amp;ROUNDUP(Tabla2[[#This Row],[mes]]/3,0)</f>
        <v>T3</v>
      </c>
      <c r="G1296" t="s">
        <v>47</v>
      </c>
      <c r="H1296" t="s">
        <v>48</v>
      </c>
      <c r="I1296" s="8" t="str">
        <f>IF(Tabla2[[#This Row],[precio_unitario]]&lt;=30,"Económico",IF(Tabla2[[#This Row],[precio_unitario]]&lt;=58.49,"Accesible","Caro"))</f>
        <v>Caro</v>
      </c>
      <c r="J1296" t="s">
        <v>44</v>
      </c>
      <c r="K1296">
        <v>1</v>
      </c>
      <c r="L1296" s="19">
        <v>63.57</v>
      </c>
      <c r="M1296" s="19">
        <v>33.130000000000003</v>
      </c>
      <c r="N1296" s="11">
        <v>0</v>
      </c>
      <c r="O1296" s="17">
        <f t="shared" si="83"/>
        <v>63.57</v>
      </c>
      <c r="P1296" s="17">
        <f t="shared" si="80"/>
        <v>33.130000000000003</v>
      </c>
      <c r="Q1296" s="17">
        <f t="shared" si="81"/>
        <v>30.439999999999998</v>
      </c>
      <c r="R1296" s="24">
        <f t="shared" si="82"/>
        <v>0.4788422211735095</v>
      </c>
      <c r="S1296" t="s">
        <v>96</v>
      </c>
      <c r="T1296" t="s">
        <v>64</v>
      </c>
    </row>
    <row r="1297" spans="1:20" hidden="1">
      <c r="A1297" t="s">
        <v>1367</v>
      </c>
      <c r="B1297" s="5">
        <v>45795</v>
      </c>
      <c r="C1297" s="8">
        <f>YEAR(Tabla2[[#This Row],[fecha]])</f>
        <v>2025</v>
      </c>
      <c r="D1297" s="8">
        <f>MONTH(Tabla2[[#This Row],[fecha]])</f>
        <v>5</v>
      </c>
      <c r="E1297" s="8" t="str">
        <f>TEXT(Tabla2[[#This Row],[fecha]], "mmmm")</f>
        <v>mayo</v>
      </c>
      <c r="F1297" s="8" t="str">
        <f>"T"&amp;ROUNDUP(Tabla2[[#This Row],[mes]]/3,0)</f>
        <v>T2</v>
      </c>
      <c r="G1297" t="s">
        <v>27</v>
      </c>
      <c r="H1297" t="s">
        <v>28</v>
      </c>
      <c r="I1297" s="8" t="str">
        <f>IF(Tabla2[[#This Row],[precio_unitario]]&lt;=30,"Económico",IF(Tabla2[[#This Row],[precio_unitario]]&lt;=58.49,"Accesible","Caro"))</f>
        <v>Económico</v>
      </c>
      <c r="J1297" t="s">
        <v>26</v>
      </c>
      <c r="K1297">
        <v>2</v>
      </c>
      <c r="L1297" s="19">
        <v>15.25</v>
      </c>
      <c r="M1297" s="19">
        <v>12.01</v>
      </c>
      <c r="N1297" s="11">
        <v>0</v>
      </c>
      <c r="O1297" s="17">
        <f t="shared" si="83"/>
        <v>30.5</v>
      </c>
      <c r="P1297" s="17">
        <f t="shared" si="80"/>
        <v>24.02</v>
      </c>
      <c r="Q1297" s="17">
        <f t="shared" si="81"/>
        <v>6.48</v>
      </c>
      <c r="R1297" s="24">
        <f t="shared" si="82"/>
        <v>0.21245901639344264</v>
      </c>
      <c r="S1297" t="s">
        <v>96</v>
      </c>
      <c r="T1297" t="s">
        <v>60</v>
      </c>
    </row>
    <row r="1298" spans="1:20" hidden="1">
      <c r="A1298" t="s">
        <v>1368</v>
      </c>
      <c r="B1298" s="5">
        <v>45467</v>
      </c>
      <c r="C1298" s="8">
        <f>YEAR(Tabla2[[#This Row],[fecha]])</f>
        <v>2024</v>
      </c>
      <c r="D1298" s="8">
        <f>MONTH(Tabla2[[#This Row],[fecha]])</f>
        <v>6</v>
      </c>
      <c r="E1298" s="8" t="str">
        <f>TEXT(Tabla2[[#This Row],[fecha]], "mmmm")</f>
        <v>junio</v>
      </c>
      <c r="F1298" s="8" t="str">
        <f>"T"&amp;ROUNDUP(Tabla2[[#This Row],[mes]]/3,0)</f>
        <v>T2</v>
      </c>
      <c r="G1298" t="s">
        <v>13</v>
      </c>
      <c r="H1298" t="s">
        <v>14</v>
      </c>
      <c r="I1298" s="8" t="str">
        <f>IF(Tabla2[[#This Row],[precio_unitario]]&lt;=30,"Económico",IF(Tabla2[[#This Row],[precio_unitario]]&lt;=58.49,"Accesible","Caro"))</f>
        <v>Caro</v>
      </c>
      <c r="J1298" t="s">
        <v>8</v>
      </c>
      <c r="K1298">
        <v>1</v>
      </c>
      <c r="L1298" s="19">
        <v>162.6</v>
      </c>
      <c r="M1298" s="19">
        <v>113.78</v>
      </c>
      <c r="N1298" s="11">
        <v>0</v>
      </c>
      <c r="O1298" s="17">
        <f t="shared" si="83"/>
        <v>162.6</v>
      </c>
      <c r="P1298" s="17">
        <f t="shared" si="80"/>
        <v>113.78</v>
      </c>
      <c r="Q1298" s="17">
        <f t="shared" si="81"/>
        <v>48.819999999999993</v>
      </c>
      <c r="R1298" s="24">
        <f t="shared" si="82"/>
        <v>0.30024600246002459</v>
      </c>
      <c r="S1298" t="s">
        <v>63</v>
      </c>
      <c r="T1298" t="s">
        <v>60</v>
      </c>
    </row>
    <row r="1299" spans="1:20" hidden="1">
      <c r="A1299" t="s">
        <v>1369</v>
      </c>
      <c r="B1299" s="5">
        <v>45750</v>
      </c>
      <c r="C1299" s="8">
        <f>YEAR(Tabla2[[#This Row],[fecha]])</f>
        <v>2025</v>
      </c>
      <c r="D1299" s="8">
        <f>MONTH(Tabla2[[#This Row],[fecha]])</f>
        <v>4</v>
      </c>
      <c r="E1299" s="8" t="str">
        <f>TEXT(Tabla2[[#This Row],[fecha]], "mmmm")</f>
        <v>abril</v>
      </c>
      <c r="F1299" s="8" t="str">
        <f>"T"&amp;ROUNDUP(Tabla2[[#This Row],[mes]]/3,0)</f>
        <v>T2</v>
      </c>
      <c r="G1299" t="s">
        <v>36</v>
      </c>
      <c r="H1299" t="s">
        <v>37</v>
      </c>
      <c r="I1299" s="8" t="str">
        <f>IF(Tabla2[[#This Row],[precio_unitario]]&lt;=30,"Económico",IF(Tabla2[[#This Row],[precio_unitario]]&lt;=58.49,"Accesible","Caro"))</f>
        <v>Económico</v>
      </c>
      <c r="J1299" t="s">
        <v>35</v>
      </c>
      <c r="K1299">
        <v>10</v>
      </c>
      <c r="L1299" s="19">
        <v>14.1</v>
      </c>
      <c r="M1299" s="19">
        <v>9.6300000000000008</v>
      </c>
      <c r="N1299" s="11">
        <v>0</v>
      </c>
      <c r="O1299" s="17">
        <f t="shared" si="83"/>
        <v>141</v>
      </c>
      <c r="P1299" s="17">
        <f t="shared" si="80"/>
        <v>96.300000000000011</v>
      </c>
      <c r="Q1299" s="17">
        <f t="shared" si="81"/>
        <v>44.699999999999989</v>
      </c>
      <c r="R1299" s="24">
        <f t="shared" si="82"/>
        <v>0.31702127659574458</v>
      </c>
      <c r="S1299" s="10" t="s">
        <v>2377</v>
      </c>
      <c r="T1299" t="s">
        <v>64</v>
      </c>
    </row>
    <row r="1300" spans="1:20">
      <c r="A1300" t="s">
        <v>1370</v>
      </c>
      <c r="B1300" s="5">
        <v>45691</v>
      </c>
      <c r="C1300" s="8">
        <f>YEAR(Tabla2[[#This Row],[fecha]])</f>
        <v>2025</v>
      </c>
      <c r="D1300" s="8">
        <f>MONTH(Tabla2[[#This Row],[fecha]])</f>
        <v>2</v>
      </c>
      <c r="E1300" s="8" t="str">
        <f>TEXT(Tabla2[[#This Row],[fecha]], "mmmm")</f>
        <v>febrero</v>
      </c>
      <c r="F1300" s="8" t="str">
        <f>"T"&amp;ROUNDUP(Tabla2[[#This Row],[mes]]/3,0)</f>
        <v>T1</v>
      </c>
      <c r="G1300" t="s">
        <v>9</v>
      </c>
      <c r="H1300" t="s">
        <v>10</v>
      </c>
      <c r="I1300" s="8" t="str">
        <f>IF(Tabla2[[#This Row],[precio_unitario]]&lt;=30,"Económico",IF(Tabla2[[#This Row],[precio_unitario]]&lt;=58.49,"Accesible","Caro"))</f>
        <v>Caro</v>
      </c>
      <c r="J1300" t="s">
        <v>8</v>
      </c>
      <c r="K1300">
        <v>2</v>
      </c>
      <c r="L1300" s="19">
        <v>76.760000000000005</v>
      </c>
      <c r="M1300" s="19">
        <v>48.45</v>
      </c>
      <c r="N1300" s="11">
        <v>0</v>
      </c>
      <c r="O1300" s="17">
        <f t="shared" si="83"/>
        <v>153.52000000000001</v>
      </c>
      <c r="P1300" s="17">
        <f t="shared" si="80"/>
        <v>96.9</v>
      </c>
      <c r="Q1300" s="17">
        <f t="shared" si="81"/>
        <v>56.620000000000005</v>
      </c>
      <c r="R1300" s="24">
        <f t="shared" si="82"/>
        <v>0.36881188118811881</v>
      </c>
      <c r="S1300" t="s">
        <v>67</v>
      </c>
      <c r="T1300" t="s">
        <v>64</v>
      </c>
    </row>
    <row r="1301" spans="1:20" hidden="1">
      <c r="A1301" t="s">
        <v>1371</v>
      </c>
      <c r="B1301" s="5">
        <v>45516</v>
      </c>
      <c r="C1301" s="8">
        <f>YEAR(Tabla2[[#This Row],[fecha]])</f>
        <v>2024</v>
      </c>
      <c r="D1301" s="8">
        <f>MONTH(Tabla2[[#This Row],[fecha]])</f>
        <v>8</v>
      </c>
      <c r="E1301" s="8" t="str">
        <f>TEXT(Tabla2[[#This Row],[fecha]], "mmmm")</f>
        <v>agosto</v>
      </c>
      <c r="F1301" s="8" t="str">
        <f>"T"&amp;ROUNDUP(Tabla2[[#This Row],[mes]]/3,0)</f>
        <v>T3</v>
      </c>
      <c r="G1301" t="s">
        <v>33</v>
      </c>
      <c r="H1301" t="s">
        <v>34</v>
      </c>
      <c r="I1301" s="8" t="str">
        <f>IF(Tabla2[[#This Row],[precio_unitario]]&lt;=30,"Económico",IF(Tabla2[[#This Row],[precio_unitario]]&lt;=58.49,"Accesible","Caro"))</f>
        <v>Caro</v>
      </c>
      <c r="J1301" t="s">
        <v>35</v>
      </c>
      <c r="K1301">
        <v>5</v>
      </c>
      <c r="L1301" s="19">
        <v>73.44</v>
      </c>
      <c r="M1301" s="19">
        <v>48.31</v>
      </c>
      <c r="N1301" s="11">
        <v>0.22</v>
      </c>
      <c r="O1301" s="17">
        <f t="shared" si="83"/>
        <v>286.416</v>
      </c>
      <c r="P1301" s="17">
        <f t="shared" si="80"/>
        <v>241.55</v>
      </c>
      <c r="Q1301" s="17">
        <f t="shared" si="81"/>
        <v>44.865999999999985</v>
      </c>
      <c r="R1301" s="24">
        <f t="shared" si="82"/>
        <v>0.15664627674431592</v>
      </c>
      <c r="S1301" t="s">
        <v>83</v>
      </c>
      <c r="T1301" t="s">
        <v>374</v>
      </c>
    </row>
    <row r="1302" spans="1:20" hidden="1">
      <c r="A1302" t="s">
        <v>1372</v>
      </c>
      <c r="B1302" s="5">
        <v>45682</v>
      </c>
      <c r="C1302" s="8">
        <f>YEAR(Tabla2[[#This Row],[fecha]])</f>
        <v>2025</v>
      </c>
      <c r="D1302" s="8">
        <f>MONTH(Tabla2[[#This Row],[fecha]])</f>
        <v>1</v>
      </c>
      <c r="E1302" s="8" t="str">
        <f>TEXT(Tabla2[[#This Row],[fecha]], "mmmm")</f>
        <v>enero</v>
      </c>
      <c r="F1302" s="8" t="str">
        <f>"T"&amp;ROUNDUP(Tabla2[[#This Row],[mes]]/3,0)</f>
        <v>T1</v>
      </c>
      <c r="G1302" t="s">
        <v>29</v>
      </c>
      <c r="H1302" t="s">
        <v>30</v>
      </c>
      <c r="I1302" s="8" t="str">
        <f>IF(Tabla2[[#This Row],[precio_unitario]]&lt;=30,"Económico",IF(Tabla2[[#This Row],[precio_unitario]]&lt;=58.49,"Accesible","Caro"))</f>
        <v>Económico</v>
      </c>
      <c r="J1302" t="s">
        <v>26</v>
      </c>
      <c r="K1302">
        <v>2</v>
      </c>
      <c r="L1302" s="19">
        <v>22.51</v>
      </c>
      <c r="M1302" s="19">
        <v>11.58</v>
      </c>
      <c r="N1302" s="11">
        <v>0.2</v>
      </c>
      <c r="O1302" s="17">
        <f t="shared" si="83"/>
        <v>36.016000000000005</v>
      </c>
      <c r="P1302" s="17">
        <f t="shared" si="80"/>
        <v>23.16</v>
      </c>
      <c r="Q1302" s="17">
        <f t="shared" si="81"/>
        <v>12.856000000000005</v>
      </c>
      <c r="R1302" s="24">
        <f t="shared" si="82"/>
        <v>0.35695246557085747</v>
      </c>
      <c r="S1302" t="s">
        <v>101</v>
      </c>
      <c r="T1302" t="s">
        <v>64</v>
      </c>
    </row>
    <row r="1303" spans="1:20">
      <c r="A1303" t="s">
        <v>1373</v>
      </c>
      <c r="B1303" s="5">
        <v>45963</v>
      </c>
      <c r="C1303" s="8">
        <f>YEAR(Tabla2[[#This Row],[fecha]])</f>
        <v>2025</v>
      </c>
      <c r="D1303" s="8">
        <f>MONTH(Tabla2[[#This Row],[fecha]])</f>
        <v>11</v>
      </c>
      <c r="E1303" s="8" t="str">
        <f>TEXT(Tabla2[[#This Row],[fecha]], "mmmm")</f>
        <v>noviembre</v>
      </c>
      <c r="F1303" s="8" t="str">
        <f>"T"&amp;ROUNDUP(Tabla2[[#This Row],[mes]]/3,0)</f>
        <v>T4</v>
      </c>
      <c r="G1303" t="s">
        <v>47</v>
      </c>
      <c r="H1303" t="s">
        <v>48</v>
      </c>
      <c r="I1303" s="8" t="str">
        <f>IF(Tabla2[[#This Row],[precio_unitario]]&lt;=30,"Económico",IF(Tabla2[[#This Row],[precio_unitario]]&lt;=58.49,"Accesible","Caro"))</f>
        <v>Accesible</v>
      </c>
      <c r="J1303" t="s">
        <v>44</v>
      </c>
      <c r="K1303">
        <v>5</v>
      </c>
      <c r="L1303" s="19">
        <v>56.89</v>
      </c>
      <c r="M1303" s="19">
        <v>32.96</v>
      </c>
      <c r="N1303" s="11">
        <v>0</v>
      </c>
      <c r="O1303" s="17">
        <f t="shared" si="83"/>
        <v>284.45</v>
      </c>
      <c r="P1303" s="17">
        <f t="shared" si="80"/>
        <v>164.8</v>
      </c>
      <c r="Q1303" s="17">
        <f t="shared" si="81"/>
        <v>119.64999999999998</v>
      </c>
      <c r="R1303" s="24">
        <f t="shared" si="82"/>
        <v>0.42063631569695897</v>
      </c>
      <c r="S1303" t="s">
        <v>67</v>
      </c>
      <c r="T1303" t="s">
        <v>64</v>
      </c>
    </row>
    <row r="1304" spans="1:20" hidden="1">
      <c r="A1304" t="s">
        <v>1374</v>
      </c>
      <c r="B1304" s="5">
        <v>45325</v>
      </c>
      <c r="C1304" s="8">
        <f>YEAR(Tabla2[[#This Row],[fecha]])</f>
        <v>2024</v>
      </c>
      <c r="D1304" s="8">
        <f>MONTH(Tabla2[[#This Row],[fecha]])</f>
        <v>2</v>
      </c>
      <c r="E1304" s="8" t="str">
        <f>TEXT(Tabla2[[#This Row],[fecha]], "mmmm")</f>
        <v>febrero</v>
      </c>
      <c r="F1304" s="8" t="str">
        <f>"T"&amp;ROUNDUP(Tabla2[[#This Row],[mes]]/3,0)</f>
        <v>T1</v>
      </c>
      <c r="G1304" t="s">
        <v>47</v>
      </c>
      <c r="H1304" t="s">
        <v>48</v>
      </c>
      <c r="I1304" s="8" t="str">
        <f>IF(Tabla2[[#This Row],[precio_unitario]]&lt;=30,"Económico",IF(Tabla2[[#This Row],[precio_unitario]]&lt;=58.49,"Accesible","Caro"))</f>
        <v>Caro</v>
      </c>
      <c r="J1304" t="s">
        <v>44</v>
      </c>
      <c r="K1304">
        <v>7</v>
      </c>
      <c r="L1304" s="19">
        <v>60.75</v>
      </c>
      <c r="M1304" s="19">
        <v>31.39</v>
      </c>
      <c r="N1304" s="11">
        <v>0</v>
      </c>
      <c r="O1304" s="17">
        <f t="shared" si="83"/>
        <v>425.25</v>
      </c>
      <c r="P1304" s="17">
        <f t="shared" si="80"/>
        <v>219.73000000000002</v>
      </c>
      <c r="Q1304" s="17">
        <f t="shared" si="81"/>
        <v>205.51999999999998</v>
      </c>
      <c r="R1304" s="24">
        <f t="shared" si="82"/>
        <v>0.4832921810699588</v>
      </c>
      <c r="S1304" t="s">
        <v>67</v>
      </c>
      <c r="T1304" t="s">
        <v>60</v>
      </c>
    </row>
    <row r="1305" spans="1:20" hidden="1">
      <c r="A1305" t="s">
        <v>1375</v>
      </c>
      <c r="B1305" s="5">
        <v>45799</v>
      </c>
      <c r="C1305" s="8">
        <f>YEAR(Tabla2[[#This Row],[fecha]])</f>
        <v>2025</v>
      </c>
      <c r="D1305" s="8">
        <f>MONTH(Tabla2[[#This Row],[fecha]])</f>
        <v>5</v>
      </c>
      <c r="E1305" s="8" t="str">
        <f>TEXT(Tabla2[[#This Row],[fecha]], "mmmm")</f>
        <v>mayo</v>
      </c>
      <c r="F1305" s="8" t="str">
        <f>"T"&amp;ROUNDUP(Tabla2[[#This Row],[mes]]/3,0)</f>
        <v>T2</v>
      </c>
      <c r="G1305" t="s">
        <v>13</v>
      </c>
      <c r="H1305" t="s">
        <v>14</v>
      </c>
      <c r="I1305" s="8" t="str">
        <f>IF(Tabla2[[#This Row],[precio_unitario]]&lt;=30,"Económico",IF(Tabla2[[#This Row],[precio_unitario]]&lt;=58.49,"Accesible","Caro"))</f>
        <v>Caro</v>
      </c>
      <c r="J1305" t="s">
        <v>8</v>
      </c>
      <c r="K1305">
        <v>1</v>
      </c>
      <c r="L1305" s="19">
        <v>163.08000000000001</v>
      </c>
      <c r="M1305" s="19">
        <v>105.54</v>
      </c>
      <c r="N1305" s="11">
        <v>0</v>
      </c>
      <c r="O1305" s="17">
        <f t="shared" si="83"/>
        <v>163.08000000000001</v>
      </c>
      <c r="P1305" s="17">
        <f t="shared" si="80"/>
        <v>105.54</v>
      </c>
      <c r="Q1305" s="17">
        <f t="shared" si="81"/>
        <v>57.540000000000006</v>
      </c>
      <c r="R1305" s="24">
        <f t="shared" si="82"/>
        <v>0.35283296541574688</v>
      </c>
      <c r="S1305" t="s">
        <v>101</v>
      </c>
      <c r="T1305" t="s">
        <v>64</v>
      </c>
    </row>
    <row r="1306" spans="1:20" hidden="1">
      <c r="A1306" t="s">
        <v>1376</v>
      </c>
      <c r="B1306" s="14">
        <v>45502</v>
      </c>
      <c r="C1306" s="8">
        <f>YEAR(Tabla2[[#This Row],[fecha]])</f>
        <v>2024</v>
      </c>
      <c r="D1306" s="8">
        <f>MONTH(Tabla2[[#This Row],[fecha]])</f>
        <v>7</v>
      </c>
      <c r="E1306" s="8" t="str">
        <f>TEXT(Tabla2[[#This Row],[fecha]], "mmmm")</f>
        <v>julio</v>
      </c>
      <c r="F1306" s="8" t="str">
        <f>"T"&amp;ROUNDUP(Tabla2[[#This Row],[mes]]/3,0)</f>
        <v>T3</v>
      </c>
      <c r="G1306" t="s">
        <v>11</v>
      </c>
      <c r="H1306" t="s">
        <v>12</v>
      </c>
      <c r="I1306" s="8" t="str">
        <f>IF(Tabla2[[#This Row],[precio_unitario]]&lt;=30,"Económico",IF(Tabla2[[#This Row],[precio_unitario]]&lt;=58.49,"Accesible","Caro"))</f>
        <v>Caro</v>
      </c>
      <c r="J1306" t="s">
        <v>8</v>
      </c>
      <c r="K1306">
        <v>2</v>
      </c>
      <c r="L1306" s="19">
        <v>166.9</v>
      </c>
      <c r="M1306" s="19">
        <v>93.93</v>
      </c>
      <c r="N1306" s="11">
        <v>0.18</v>
      </c>
      <c r="O1306" s="17">
        <f t="shared" si="83"/>
        <v>273.71600000000001</v>
      </c>
      <c r="P1306" s="17">
        <f t="shared" si="80"/>
        <v>187.86</v>
      </c>
      <c r="Q1306" s="17">
        <f t="shared" si="81"/>
        <v>85.855999999999995</v>
      </c>
      <c r="R1306" s="24">
        <f t="shared" si="82"/>
        <v>0.31366818161890425</v>
      </c>
      <c r="S1306" t="s">
        <v>101</v>
      </c>
      <c r="T1306" t="s">
        <v>60</v>
      </c>
    </row>
    <row r="1307" spans="1:20" hidden="1">
      <c r="A1307" t="s">
        <v>1377</v>
      </c>
      <c r="B1307" s="5">
        <v>45806</v>
      </c>
      <c r="C1307" s="8">
        <f>YEAR(Tabla2[[#This Row],[fecha]])</f>
        <v>2025</v>
      </c>
      <c r="D1307" s="8">
        <f>MONTH(Tabla2[[#This Row],[fecha]])</f>
        <v>5</v>
      </c>
      <c r="E1307" s="8" t="str">
        <f>TEXT(Tabla2[[#This Row],[fecha]], "mmmm")</f>
        <v>mayo</v>
      </c>
      <c r="F1307" s="8" t="str">
        <f>"T"&amp;ROUNDUP(Tabla2[[#This Row],[mes]]/3,0)</f>
        <v>T2</v>
      </c>
      <c r="G1307" t="s">
        <v>15</v>
      </c>
      <c r="H1307" t="s">
        <v>16</v>
      </c>
      <c r="I1307" s="8" t="str">
        <f>IF(Tabla2[[#This Row],[precio_unitario]]&lt;=30,"Económico",IF(Tabla2[[#This Row],[precio_unitario]]&lt;=58.49,"Accesible","Caro"))</f>
        <v>Caro</v>
      </c>
      <c r="J1307" t="s">
        <v>17</v>
      </c>
      <c r="K1307">
        <v>4</v>
      </c>
      <c r="L1307" s="19">
        <v>58.6</v>
      </c>
      <c r="M1307" s="19">
        <v>41.06</v>
      </c>
      <c r="N1307" s="11">
        <v>0.11</v>
      </c>
      <c r="O1307" s="17">
        <f t="shared" si="83"/>
        <v>208.61600000000001</v>
      </c>
      <c r="P1307" s="17">
        <f t="shared" si="80"/>
        <v>164.24</v>
      </c>
      <c r="Q1307" s="17">
        <f t="shared" si="81"/>
        <v>44.376000000000005</v>
      </c>
      <c r="R1307" s="24">
        <f t="shared" si="82"/>
        <v>0.21271618667791542</v>
      </c>
      <c r="S1307" t="s">
        <v>96</v>
      </c>
      <c r="T1307" t="s">
        <v>64</v>
      </c>
    </row>
    <row r="1308" spans="1:20" hidden="1">
      <c r="A1308" t="s">
        <v>1378</v>
      </c>
      <c r="B1308" s="5">
        <v>46001</v>
      </c>
      <c r="C1308" s="8">
        <f>YEAR(Tabla2[[#This Row],[fecha]])</f>
        <v>2025</v>
      </c>
      <c r="D1308" s="8">
        <f>MONTH(Tabla2[[#This Row],[fecha]])</f>
        <v>12</v>
      </c>
      <c r="E1308" s="8" t="str">
        <f>TEXT(Tabla2[[#This Row],[fecha]], "mmmm")</f>
        <v>diciembre</v>
      </c>
      <c r="F1308" s="8" t="str">
        <f>"T"&amp;ROUNDUP(Tabla2[[#This Row],[mes]]/3,0)</f>
        <v>T4</v>
      </c>
      <c r="G1308" t="s">
        <v>45</v>
      </c>
      <c r="H1308" t="s">
        <v>46</v>
      </c>
      <c r="I1308" s="8" t="str">
        <f>IF(Tabla2[[#This Row],[precio_unitario]]&lt;=30,"Económico",IF(Tabla2[[#This Row],[precio_unitario]]&lt;=58.49,"Accesible","Caro"))</f>
        <v>Accesible</v>
      </c>
      <c r="J1308" t="s">
        <v>44</v>
      </c>
      <c r="K1308">
        <v>1</v>
      </c>
      <c r="L1308" s="19">
        <v>33.340000000000003</v>
      </c>
      <c r="M1308" s="19">
        <v>17.87</v>
      </c>
      <c r="N1308" s="11">
        <v>0.15</v>
      </c>
      <c r="O1308" s="17">
        <f t="shared" si="83"/>
        <v>28.339000000000002</v>
      </c>
      <c r="P1308" s="17">
        <f t="shared" si="80"/>
        <v>17.87</v>
      </c>
      <c r="Q1308" s="17">
        <f t="shared" si="81"/>
        <v>10.469000000000001</v>
      </c>
      <c r="R1308" s="24">
        <f t="shared" si="82"/>
        <v>0.36942023360033877</v>
      </c>
      <c r="S1308" s="10" t="s">
        <v>2377</v>
      </c>
      <c r="T1308" t="s">
        <v>64</v>
      </c>
    </row>
    <row r="1309" spans="1:20" hidden="1">
      <c r="A1309" t="s">
        <v>1379</v>
      </c>
      <c r="B1309" s="5">
        <v>45706</v>
      </c>
      <c r="C1309" s="8">
        <f>YEAR(Tabla2[[#This Row],[fecha]])</f>
        <v>2025</v>
      </c>
      <c r="D1309" s="8">
        <f>MONTH(Tabla2[[#This Row],[fecha]])</f>
        <v>2</v>
      </c>
      <c r="E1309" s="8" t="str">
        <f>TEXT(Tabla2[[#This Row],[fecha]], "mmmm")</f>
        <v>febrero</v>
      </c>
      <c r="F1309" s="8" t="str">
        <f>"T"&amp;ROUNDUP(Tabla2[[#This Row],[mes]]/3,0)</f>
        <v>T1</v>
      </c>
      <c r="G1309" t="s">
        <v>49</v>
      </c>
      <c r="H1309" t="s">
        <v>50</v>
      </c>
      <c r="I1309" s="8" t="str">
        <f>IF(Tabla2[[#This Row],[precio_unitario]]&lt;=30,"Económico",IF(Tabla2[[#This Row],[precio_unitario]]&lt;=58.49,"Accesible","Caro"))</f>
        <v>Accesible</v>
      </c>
      <c r="J1309" t="s">
        <v>44</v>
      </c>
      <c r="K1309">
        <v>1</v>
      </c>
      <c r="L1309" s="19">
        <v>56.67</v>
      </c>
      <c r="M1309" s="19">
        <v>33.74</v>
      </c>
      <c r="N1309" s="11">
        <v>0</v>
      </c>
      <c r="O1309" s="17">
        <f t="shared" si="83"/>
        <v>56.67</v>
      </c>
      <c r="P1309" s="17">
        <f t="shared" si="80"/>
        <v>33.74</v>
      </c>
      <c r="Q1309" s="17">
        <f t="shared" si="81"/>
        <v>22.93</v>
      </c>
      <c r="R1309" s="24">
        <f t="shared" si="82"/>
        <v>0.40462325745544381</v>
      </c>
      <c r="S1309" t="s">
        <v>101</v>
      </c>
      <c r="T1309" t="s">
        <v>64</v>
      </c>
    </row>
    <row r="1310" spans="1:20">
      <c r="A1310" t="s">
        <v>1380</v>
      </c>
      <c r="B1310" s="5">
        <v>45774</v>
      </c>
      <c r="C1310" s="8">
        <f>YEAR(Tabla2[[#This Row],[fecha]])</f>
        <v>2025</v>
      </c>
      <c r="D1310" s="8">
        <f>MONTH(Tabla2[[#This Row],[fecha]])</f>
        <v>4</v>
      </c>
      <c r="E1310" s="8" t="str">
        <f>TEXT(Tabla2[[#This Row],[fecha]], "mmmm")</f>
        <v>abril</v>
      </c>
      <c r="F1310" s="8" t="str">
        <f>"T"&amp;ROUNDUP(Tabla2[[#This Row],[mes]]/3,0)</f>
        <v>T2</v>
      </c>
      <c r="G1310" t="s">
        <v>27</v>
      </c>
      <c r="H1310" t="s">
        <v>28</v>
      </c>
      <c r="I1310" s="8" t="str">
        <f>IF(Tabla2[[#This Row],[precio_unitario]]&lt;=30,"Económico",IF(Tabla2[[#This Row],[precio_unitario]]&lt;=58.49,"Accesible","Caro"))</f>
        <v>Económico</v>
      </c>
      <c r="J1310" t="s">
        <v>26</v>
      </c>
      <c r="K1310">
        <v>1</v>
      </c>
      <c r="L1310" s="19">
        <v>16.399999999999999</v>
      </c>
      <c r="M1310" s="19">
        <v>11.66</v>
      </c>
      <c r="N1310" s="11">
        <v>0</v>
      </c>
      <c r="O1310" s="17">
        <f t="shared" si="83"/>
        <v>16.399999999999999</v>
      </c>
      <c r="P1310" s="17">
        <f t="shared" si="80"/>
        <v>11.66</v>
      </c>
      <c r="Q1310" s="17">
        <f t="shared" si="81"/>
        <v>4.7399999999999984</v>
      </c>
      <c r="R1310" s="24">
        <f t="shared" si="82"/>
        <v>0.28902439024390236</v>
      </c>
      <c r="S1310" t="s">
        <v>67</v>
      </c>
      <c r="T1310" t="s">
        <v>64</v>
      </c>
    </row>
    <row r="1311" spans="1:20" hidden="1">
      <c r="A1311" t="s">
        <v>1381</v>
      </c>
      <c r="B1311" s="5">
        <v>45541</v>
      </c>
      <c r="C1311" s="8">
        <f>YEAR(Tabla2[[#This Row],[fecha]])</f>
        <v>2024</v>
      </c>
      <c r="D1311" s="8">
        <f>MONTH(Tabla2[[#This Row],[fecha]])</f>
        <v>9</v>
      </c>
      <c r="E1311" s="8" t="str">
        <f>TEXT(Tabla2[[#This Row],[fecha]], "mmmm")</f>
        <v>septiembre</v>
      </c>
      <c r="F1311" s="8" t="str">
        <f>"T"&amp;ROUNDUP(Tabla2[[#This Row],[mes]]/3,0)</f>
        <v>T3</v>
      </c>
      <c r="G1311" t="s">
        <v>36</v>
      </c>
      <c r="H1311" t="s">
        <v>37</v>
      </c>
      <c r="I1311" s="8" t="str">
        <f>IF(Tabla2[[#This Row],[precio_unitario]]&lt;=30,"Económico",IF(Tabla2[[#This Row],[precio_unitario]]&lt;=58.49,"Accesible","Caro"))</f>
        <v>Económico</v>
      </c>
      <c r="J1311" t="s">
        <v>35</v>
      </c>
      <c r="K1311">
        <v>3</v>
      </c>
      <c r="L1311" s="19">
        <v>14.95</v>
      </c>
      <c r="M1311" s="19">
        <v>9.58</v>
      </c>
      <c r="N1311" s="11">
        <v>0</v>
      </c>
      <c r="O1311" s="17">
        <f t="shared" si="83"/>
        <v>44.849999999999994</v>
      </c>
      <c r="P1311" s="17">
        <f t="shared" si="80"/>
        <v>28.740000000000002</v>
      </c>
      <c r="Q1311" s="17">
        <f t="shared" si="81"/>
        <v>16.109999999999992</v>
      </c>
      <c r="R1311" s="24">
        <f t="shared" si="82"/>
        <v>0.35919732441471558</v>
      </c>
      <c r="S1311" t="s">
        <v>96</v>
      </c>
      <c r="T1311" t="s">
        <v>60</v>
      </c>
    </row>
    <row r="1312" spans="1:20" hidden="1">
      <c r="A1312" t="s">
        <v>1382</v>
      </c>
      <c r="B1312" s="5">
        <v>45331</v>
      </c>
      <c r="C1312" s="8">
        <f>YEAR(Tabla2[[#This Row],[fecha]])</f>
        <v>2024</v>
      </c>
      <c r="D1312" s="8">
        <f>MONTH(Tabla2[[#This Row],[fecha]])</f>
        <v>2</v>
      </c>
      <c r="E1312" s="8" t="str">
        <f>TEXT(Tabla2[[#This Row],[fecha]], "mmmm")</f>
        <v>febrero</v>
      </c>
      <c r="F1312" s="8" t="str">
        <f>"T"&amp;ROUNDUP(Tabla2[[#This Row],[mes]]/3,0)</f>
        <v>T1</v>
      </c>
      <c r="G1312" t="s">
        <v>31</v>
      </c>
      <c r="H1312" t="s">
        <v>32</v>
      </c>
      <c r="I1312" s="8" t="str">
        <f>IF(Tabla2[[#This Row],[precio_unitario]]&lt;=30,"Económico",IF(Tabla2[[#This Row],[precio_unitario]]&lt;=58.49,"Accesible","Caro"))</f>
        <v>Económico</v>
      </c>
      <c r="J1312" t="s">
        <v>26</v>
      </c>
      <c r="K1312">
        <v>1</v>
      </c>
      <c r="L1312" s="19">
        <v>8.83</v>
      </c>
      <c r="M1312" s="19">
        <v>5.95</v>
      </c>
      <c r="N1312" s="11">
        <v>0</v>
      </c>
      <c r="O1312" s="17">
        <f t="shared" si="83"/>
        <v>8.83</v>
      </c>
      <c r="P1312" s="17">
        <f t="shared" si="80"/>
        <v>5.95</v>
      </c>
      <c r="Q1312" s="17">
        <f t="shared" si="81"/>
        <v>2.88</v>
      </c>
      <c r="R1312" s="24">
        <f t="shared" si="82"/>
        <v>0.32616081540203851</v>
      </c>
      <c r="S1312" s="10" t="s">
        <v>2377</v>
      </c>
      <c r="T1312" t="s">
        <v>60</v>
      </c>
    </row>
    <row r="1313" spans="1:20" hidden="1">
      <c r="A1313" t="s">
        <v>1383</v>
      </c>
      <c r="B1313" s="5">
        <v>45499</v>
      </c>
      <c r="C1313" s="8">
        <f>YEAR(Tabla2[[#This Row],[fecha]])</f>
        <v>2024</v>
      </c>
      <c r="D1313" s="8">
        <f>MONTH(Tabla2[[#This Row],[fecha]])</f>
        <v>7</v>
      </c>
      <c r="E1313" s="8" t="str">
        <f>TEXT(Tabla2[[#This Row],[fecha]], "mmmm")</f>
        <v>julio</v>
      </c>
      <c r="F1313" s="8" t="str">
        <f>"T"&amp;ROUNDUP(Tabla2[[#This Row],[mes]]/3,0)</f>
        <v>T3</v>
      </c>
      <c r="G1313" t="s">
        <v>36</v>
      </c>
      <c r="H1313" t="s">
        <v>37</v>
      </c>
      <c r="I1313" s="8" t="str">
        <f>IF(Tabla2[[#This Row],[precio_unitario]]&lt;=30,"Económico",IF(Tabla2[[#This Row],[precio_unitario]]&lt;=58.49,"Accesible","Caro"))</f>
        <v>Económico</v>
      </c>
      <c r="J1313" t="s">
        <v>35</v>
      </c>
      <c r="K1313">
        <v>9</v>
      </c>
      <c r="L1313" s="19">
        <v>13.17</v>
      </c>
      <c r="M1313" s="19">
        <v>9.4499999999999993</v>
      </c>
      <c r="N1313" s="11">
        <v>0.22</v>
      </c>
      <c r="O1313" s="17">
        <f t="shared" si="83"/>
        <v>92.453400000000002</v>
      </c>
      <c r="P1313" s="17">
        <f t="shared" si="80"/>
        <v>85.05</v>
      </c>
      <c r="Q1313" s="17">
        <f t="shared" si="81"/>
        <v>7.4034000000000049</v>
      </c>
      <c r="R1313" s="24">
        <f t="shared" si="82"/>
        <v>8.007709830033298E-2</v>
      </c>
      <c r="S1313" t="s">
        <v>101</v>
      </c>
      <c r="T1313" t="s">
        <v>64</v>
      </c>
    </row>
    <row r="1314" spans="1:20" hidden="1">
      <c r="A1314" t="s">
        <v>1384</v>
      </c>
      <c r="B1314" s="5">
        <v>45865</v>
      </c>
      <c r="C1314" s="8">
        <f>YEAR(Tabla2[[#This Row],[fecha]])</f>
        <v>2025</v>
      </c>
      <c r="D1314" s="8">
        <f>MONTH(Tabla2[[#This Row],[fecha]])</f>
        <v>7</v>
      </c>
      <c r="E1314" s="8" t="str">
        <f>TEXT(Tabla2[[#This Row],[fecha]], "mmmm")</f>
        <v>julio</v>
      </c>
      <c r="F1314" s="8" t="str">
        <f>"T"&amp;ROUNDUP(Tabla2[[#This Row],[mes]]/3,0)</f>
        <v>T3</v>
      </c>
      <c r="G1314" t="s">
        <v>49</v>
      </c>
      <c r="H1314" t="s">
        <v>50</v>
      </c>
      <c r="I1314" s="8" t="str">
        <f>IF(Tabla2[[#This Row],[precio_unitario]]&lt;=30,"Económico",IF(Tabla2[[#This Row],[precio_unitario]]&lt;=58.49,"Accesible","Caro"))</f>
        <v>Accesible</v>
      </c>
      <c r="J1314" t="s">
        <v>44</v>
      </c>
      <c r="K1314">
        <v>2</v>
      </c>
      <c r="L1314" s="19">
        <v>56.86</v>
      </c>
      <c r="M1314" s="19">
        <v>34.47</v>
      </c>
      <c r="N1314" s="11">
        <v>0</v>
      </c>
      <c r="O1314" s="17">
        <f t="shared" si="83"/>
        <v>113.72</v>
      </c>
      <c r="P1314" s="17">
        <f t="shared" si="80"/>
        <v>68.94</v>
      </c>
      <c r="Q1314" s="17">
        <f t="shared" si="81"/>
        <v>44.78</v>
      </c>
      <c r="R1314" s="24">
        <f t="shared" si="82"/>
        <v>0.39377418220189941</v>
      </c>
      <c r="S1314" t="s">
        <v>540</v>
      </c>
      <c r="T1314" t="s">
        <v>60</v>
      </c>
    </row>
    <row r="1315" spans="1:20" hidden="1">
      <c r="A1315" t="s">
        <v>1385</v>
      </c>
      <c r="B1315" s="5">
        <v>45869</v>
      </c>
      <c r="C1315" s="8">
        <f>YEAR(Tabla2[[#This Row],[fecha]])</f>
        <v>2025</v>
      </c>
      <c r="D1315" s="8">
        <f>MONTH(Tabla2[[#This Row],[fecha]])</f>
        <v>7</v>
      </c>
      <c r="E1315" s="8" t="str">
        <f>TEXT(Tabla2[[#This Row],[fecha]], "mmmm")</f>
        <v>julio</v>
      </c>
      <c r="F1315" s="8" t="str">
        <f>"T"&amp;ROUNDUP(Tabla2[[#This Row],[mes]]/3,0)</f>
        <v>T3</v>
      </c>
      <c r="G1315" t="s">
        <v>9</v>
      </c>
      <c r="H1315" t="s">
        <v>10</v>
      </c>
      <c r="I1315" s="8" t="str">
        <f>IF(Tabla2[[#This Row],[precio_unitario]]&lt;=30,"Económico",IF(Tabla2[[#This Row],[precio_unitario]]&lt;=58.49,"Accesible","Caro"))</f>
        <v>Caro</v>
      </c>
      <c r="J1315" t="s">
        <v>8</v>
      </c>
      <c r="K1315">
        <v>2</v>
      </c>
      <c r="L1315" s="19">
        <v>76.77</v>
      </c>
      <c r="M1315" s="19">
        <v>49.4</v>
      </c>
      <c r="N1315" s="11">
        <v>0</v>
      </c>
      <c r="O1315" s="17">
        <f t="shared" si="83"/>
        <v>153.54</v>
      </c>
      <c r="P1315" s="17">
        <f t="shared" si="80"/>
        <v>98.8</v>
      </c>
      <c r="Q1315" s="17">
        <f t="shared" si="81"/>
        <v>54.739999999999995</v>
      </c>
      <c r="R1315" s="24">
        <f t="shared" si="82"/>
        <v>0.35651947375276799</v>
      </c>
      <c r="S1315" t="s">
        <v>101</v>
      </c>
      <c r="T1315" t="s">
        <v>64</v>
      </c>
    </row>
    <row r="1316" spans="1:20" hidden="1">
      <c r="A1316" t="s">
        <v>1386</v>
      </c>
      <c r="B1316" s="5">
        <v>45693</v>
      </c>
      <c r="C1316" s="8">
        <f>YEAR(Tabla2[[#This Row],[fecha]])</f>
        <v>2025</v>
      </c>
      <c r="D1316" s="8">
        <f>MONTH(Tabla2[[#This Row],[fecha]])</f>
        <v>2</v>
      </c>
      <c r="E1316" s="8" t="str">
        <f>TEXT(Tabla2[[#This Row],[fecha]], "mmmm")</f>
        <v>febrero</v>
      </c>
      <c r="F1316" s="8" t="str">
        <f>"T"&amp;ROUNDUP(Tabla2[[#This Row],[mes]]/3,0)</f>
        <v>T1</v>
      </c>
      <c r="G1316" t="s">
        <v>42</v>
      </c>
      <c r="H1316" t="s">
        <v>43</v>
      </c>
      <c r="I1316" s="8" t="str">
        <f>IF(Tabla2[[#This Row],[precio_unitario]]&lt;=30,"Económico",IF(Tabla2[[#This Row],[precio_unitario]]&lt;=58.49,"Accesible","Caro"))</f>
        <v>Accesible</v>
      </c>
      <c r="J1316" t="s">
        <v>44</v>
      </c>
      <c r="K1316">
        <v>2</v>
      </c>
      <c r="L1316" s="19">
        <v>50.9</v>
      </c>
      <c r="M1316" s="19">
        <v>22.46</v>
      </c>
      <c r="N1316" s="11">
        <v>0.08</v>
      </c>
      <c r="O1316" s="17">
        <f t="shared" si="83"/>
        <v>93.656000000000006</v>
      </c>
      <c r="P1316" s="17">
        <f t="shared" si="80"/>
        <v>44.92</v>
      </c>
      <c r="Q1316" s="17">
        <f t="shared" si="81"/>
        <v>48.736000000000004</v>
      </c>
      <c r="R1316" s="24">
        <f t="shared" si="82"/>
        <v>0.52037242675322459</v>
      </c>
      <c r="S1316" t="s">
        <v>96</v>
      </c>
      <c r="T1316" t="s">
        <v>64</v>
      </c>
    </row>
    <row r="1317" spans="1:20" hidden="1">
      <c r="A1317" t="s">
        <v>1387</v>
      </c>
      <c r="B1317" s="5">
        <v>45597</v>
      </c>
      <c r="C1317" s="8">
        <f>YEAR(Tabla2[[#This Row],[fecha]])</f>
        <v>2024</v>
      </c>
      <c r="D1317" s="8">
        <f>MONTH(Tabla2[[#This Row],[fecha]])</f>
        <v>11</v>
      </c>
      <c r="E1317" s="8" t="str">
        <f>TEXT(Tabla2[[#This Row],[fecha]], "mmmm")</f>
        <v>noviembre</v>
      </c>
      <c r="F1317" s="8" t="str">
        <f>"T"&amp;ROUNDUP(Tabla2[[#This Row],[mes]]/3,0)</f>
        <v>T4</v>
      </c>
      <c r="G1317" t="s">
        <v>40</v>
      </c>
      <c r="H1317" t="s">
        <v>41</v>
      </c>
      <c r="I1317" s="8" t="str">
        <f>IF(Tabla2[[#This Row],[precio_unitario]]&lt;=30,"Económico",IF(Tabla2[[#This Row],[precio_unitario]]&lt;=58.49,"Accesible","Caro"))</f>
        <v>Caro</v>
      </c>
      <c r="J1317" t="s">
        <v>35</v>
      </c>
      <c r="K1317">
        <v>1</v>
      </c>
      <c r="L1317" s="19">
        <v>81.319999999999993</v>
      </c>
      <c r="M1317" s="19">
        <v>41.72</v>
      </c>
      <c r="N1317" s="11">
        <v>7.0000000000000007E-2</v>
      </c>
      <c r="O1317" s="17">
        <f t="shared" si="83"/>
        <v>75.627599999999987</v>
      </c>
      <c r="P1317" s="17">
        <f t="shared" si="80"/>
        <v>41.72</v>
      </c>
      <c r="Q1317" s="17">
        <f t="shared" si="81"/>
        <v>33.907599999999988</v>
      </c>
      <c r="R1317" s="24">
        <f t="shared" si="82"/>
        <v>0.44834954434624386</v>
      </c>
      <c r="S1317" t="s">
        <v>63</v>
      </c>
      <c r="T1317" t="s">
        <v>60</v>
      </c>
    </row>
    <row r="1318" spans="1:20" hidden="1">
      <c r="A1318" t="s">
        <v>1388</v>
      </c>
      <c r="B1318" s="5">
        <v>45415</v>
      </c>
      <c r="C1318" s="8">
        <f>YEAR(Tabla2[[#This Row],[fecha]])</f>
        <v>2024</v>
      </c>
      <c r="D1318" s="8">
        <f>MONTH(Tabla2[[#This Row],[fecha]])</f>
        <v>5</v>
      </c>
      <c r="E1318" s="8" t="str">
        <f>TEXT(Tabla2[[#This Row],[fecha]], "mmmm")</f>
        <v>mayo</v>
      </c>
      <c r="F1318" s="8" t="str">
        <f>"T"&amp;ROUNDUP(Tabla2[[#This Row],[mes]]/3,0)</f>
        <v>T2</v>
      </c>
      <c r="G1318" t="s">
        <v>11</v>
      </c>
      <c r="H1318" t="s">
        <v>12</v>
      </c>
      <c r="I1318" s="8" t="str">
        <f>IF(Tabla2[[#This Row],[precio_unitario]]&lt;=30,"Económico",IF(Tabla2[[#This Row],[precio_unitario]]&lt;=58.49,"Accesible","Caro"))</f>
        <v>Caro</v>
      </c>
      <c r="J1318" t="s">
        <v>8</v>
      </c>
      <c r="K1318">
        <v>1</v>
      </c>
      <c r="L1318" s="19">
        <v>168.19</v>
      </c>
      <c r="M1318" s="19">
        <v>91.78</v>
      </c>
      <c r="N1318" s="11">
        <v>0</v>
      </c>
      <c r="O1318" s="17">
        <f t="shared" si="83"/>
        <v>168.19</v>
      </c>
      <c r="P1318" s="17">
        <f t="shared" si="80"/>
        <v>91.78</v>
      </c>
      <c r="Q1318" s="17">
        <f t="shared" si="81"/>
        <v>76.41</v>
      </c>
      <c r="R1318" s="24">
        <f t="shared" si="82"/>
        <v>0.45430762827754323</v>
      </c>
      <c r="S1318" t="s">
        <v>67</v>
      </c>
      <c r="T1318" t="s">
        <v>64</v>
      </c>
    </row>
    <row r="1319" spans="1:20">
      <c r="A1319" t="s">
        <v>1389</v>
      </c>
      <c r="B1319" s="5">
        <v>45897</v>
      </c>
      <c r="C1319" s="8">
        <f>YEAR(Tabla2[[#This Row],[fecha]])</f>
        <v>2025</v>
      </c>
      <c r="D1319" s="8">
        <f>MONTH(Tabla2[[#This Row],[fecha]])</f>
        <v>8</v>
      </c>
      <c r="E1319" s="8" t="str">
        <f>TEXT(Tabla2[[#This Row],[fecha]], "mmmm")</f>
        <v>agosto</v>
      </c>
      <c r="F1319" s="8" t="str">
        <f>"T"&amp;ROUNDUP(Tabla2[[#This Row],[mes]]/3,0)</f>
        <v>T3</v>
      </c>
      <c r="G1319" t="s">
        <v>20</v>
      </c>
      <c r="H1319" t="s">
        <v>21</v>
      </c>
      <c r="I1319" s="8" t="str">
        <f>IF(Tabla2[[#This Row],[precio_unitario]]&lt;=30,"Económico",IF(Tabla2[[#This Row],[precio_unitario]]&lt;=58.49,"Accesible","Caro"))</f>
        <v>Económico</v>
      </c>
      <c r="J1319" t="s">
        <v>17</v>
      </c>
      <c r="K1319">
        <v>4</v>
      </c>
      <c r="L1319" s="19">
        <v>19.07</v>
      </c>
      <c r="M1319" s="19">
        <v>12.75</v>
      </c>
      <c r="N1319" s="13">
        <v>0</v>
      </c>
      <c r="O1319" s="17">
        <f t="shared" si="83"/>
        <v>76.28</v>
      </c>
      <c r="P1319" s="17">
        <f t="shared" si="80"/>
        <v>51</v>
      </c>
      <c r="Q1319" s="17">
        <f t="shared" si="81"/>
        <v>25.28</v>
      </c>
      <c r="R1319" s="24">
        <f t="shared" si="82"/>
        <v>0.33141059255374933</v>
      </c>
      <c r="S1319" t="s">
        <v>67</v>
      </c>
      <c r="T1319" t="s">
        <v>60</v>
      </c>
    </row>
    <row r="1320" spans="1:20" hidden="1">
      <c r="A1320" t="s">
        <v>1390</v>
      </c>
      <c r="B1320" s="5">
        <v>45372</v>
      </c>
      <c r="C1320" s="8">
        <f>YEAR(Tabla2[[#This Row],[fecha]])</f>
        <v>2024</v>
      </c>
      <c r="D1320" s="8">
        <f>MONTH(Tabla2[[#This Row],[fecha]])</f>
        <v>3</v>
      </c>
      <c r="E1320" s="8" t="str">
        <f>TEXT(Tabla2[[#This Row],[fecha]], "mmmm")</f>
        <v>marzo</v>
      </c>
      <c r="F1320" s="8" t="str">
        <f>"T"&amp;ROUNDUP(Tabla2[[#This Row],[mes]]/3,0)</f>
        <v>T1</v>
      </c>
      <c r="G1320" t="s">
        <v>42</v>
      </c>
      <c r="H1320" t="s">
        <v>43</v>
      </c>
      <c r="I1320" s="8" t="str">
        <f>IF(Tabla2[[#This Row],[precio_unitario]]&lt;=30,"Económico",IF(Tabla2[[#This Row],[precio_unitario]]&lt;=58.49,"Accesible","Caro"))</f>
        <v>Accesible</v>
      </c>
      <c r="J1320" t="s">
        <v>44</v>
      </c>
      <c r="K1320">
        <v>1</v>
      </c>
      <c r="L1320" s="19">
        <v>50.62</v>
      </c>
      <c r="M1320" s="19">
        <v>23.07</v>
      </c>
      <c r="N1320" s="11">
        <v>0</v>
      </c>
      <c r="O1320" s="17">
        <f t="shared" si="83"/>
        <v>50.62</v>
      </c>
      <c r="P1320" s="17">
        <f t="shared" si="80"/>
        <v>23.07</v>
      </c>
      <c r="Q1320" s="17">
        <f t="shared" si="81"/>
        <v>27.549999999999997</v>
      </c>
      <c r="R1320" s="24">
        <f t="shared" si="82"/>
        <v>0.54425128407743972</v>
      </c>
      <c r="S1320" t="s">
        <v>540</v>
      </c>
      <c r="T1320" t="s">
        <v>64</v>
      </c>
    </row>
    <row r="1321" spans="1:20" hidden="1">
      <c r="A1321" t="s">
        <v>1391</v>
      </c>
      <c r="B1321" s="5">
        <v>45456</v>
      </c>
      <c r="C1321" s="8">
        <f>YEAR(Tabla2[[#This Row],[fecha]])</f>
        <v>2024</v>
      </c>
      <c r="D1321" s="8">
        <f>MONTH(Tabla2[[#This Row],[fecha]])</f>
        <v>6</v>
      </c>
      <c r="E1321" s="8" t="str">
        <f>TEXT(Tabla2[[#This Row],[fecha]], "mmmm")</f>
        <v>junio</v>
      </c>
      <c r="F1321" s="8" t="str">
        <f>"T"&amp;ROUNDUP(Tabla2[[#This Row],[mes]]/3,0)</f>
        <v>T2</v>
      </c>
      <c r="G1321" t="s">
        <v>13</v>
      </c>
      <c r="H1321" t="s">
        <v>14</v>
      </c>
      <c r="I1321" s="8" t="str">
        <f>IF(Tabla2[[#This Row],[precio_unitario]]&lt;=30,"Económico",IF(Tabla2[[#This Row],[precio_unitario]]&lt;=58.49,"Accesible","Caro"))</f>
        <v>Caro</v>
      </c>
      <c r="J1321" t="s">
        <v>8</v>
      </c>
      <c r="K1321">
        <v>1</v>
      </c>
      <c r="L1321" s="19">
        <v>169.93</v>
      </c>
      <c r="M1321" s="19">
        <v>110.58</v>
      </c>
      <c r="N1321" s="11">
        <v>0</v>
      </c>
      <c r="O1321" s="17">
        <f t="shared" si="83"/>
        <v>169.93</v>
      </c>
      <c r="P1321" s="17">
        <f t="shared" si="80"/>
        <v>110.58</v>
      </c>
      <c r="Q1321" s="17">
        <f t="shared" si="81"/>
        <v>59.350000000000009</v>
      </c>
      <c r="R1321" s="24">
        <f t="shared" si="82"/>
        <v>0.34926146060142416</v>
      </c>
      <c r="S1321" t="s">
        <v>67</v>
      </c>
      <c r="T1321" t="s">
        <v>64</v>
      </c>
    </row>
    <row r="1322" spans="1:20" hidden="1">
      <c r="A1322" t="s">
        <v>1392</v>
      </c>
      <c r="B1322" s="5">
        <v>45488</v>
      </c>
      <c r="C1322" s="8">
        <f>YEAR(Tabla2[[#This Row],[fecha]])</f>
        <v>2024</v>
      </c>
      <c r="D1322" s="8">
        <f>MONTH(Tabla2[[#This Row],[fecha]])</f>
        <v>7</v>
      </c>
      <c r="E1322" s="8" t="str">
        <f>TEXT(Tabla2[[#This Row],[fecha]], "mmmm")</f>
        <v>julio</v>
      </c>
      <c r="F1322" s="8" t="str">
        <f>"T"&amp;ROUNDUP(Tabla2[[#This Row],[mes]]/3,0)</f>
        <v>T3</v>
      </c>
      <c r="G1322" t="s">
        <v>18</v>
      </c>
      <c r="H1322" t="s">
        <v>19</v>
      </c>
      <c r="I1322" s="8" t="str">
        <f>IF(Tabla2[[#This Row],[precio_unitario]]&lt;=30,"Económico",IF(Tabla2[[#This Row],[precio_unitario]]&lt;=58.49,"Accesible","Caro"))</f>
        <v>Accesible</v>
      </c>
      <c r="J1322" t="s">
        <v>17</v>
      </c>
      <c r="K1322">
        <v>5</v>
      </c>
      <c r="L1322" s="19">
        <v>46.9</v>
      </c>
      <c r="M1322" s="21">
        <f>INDEX(Tabla3[coste_objetivo], MATCH(Tabla2[[#This Row],[id_producto]], Tabla3[id_producto],0))</f>
        <v>26.63</v>
      </c>
      <c r="N1322" s="11">
        <v>0.1</v>
      </c>
      <c r="O1322" s="17">
        <f t="shared" si="83"/>
        <v>211.05</v>
      </c>
      <c r="P1322" s="17">
        <f t="shared" si="80"/>
        <v>133.15</v>
      </c>
      <c r="Q1322" s="17">
        <f t="shared" si="81"/>
        <v>77.900000000000006</v>
      </c>
      <c r="R1322" s="24">
        <f t="shared" si="82"/>
        <v>0.36910684671878702</v>
      </c>
      <c r="S1322" t="s">
        <v>67</v>
      </c>
      <c r="T1322" t="s">
        <v>64</v>
      </c>
    </row>
    <row r="1323" spans="1:20" hidden="1">
      <c r="A1323" t="s">
        <v>1393</v>
      </c>
      <c r="B1323" s="5">
        <v>45661</v>
      </c>
      <c r="C1323" s="8">
        <f>YEAR(Tabla2[[#This Row],[fecha]])</f>
        <v>2025</v>
      </c>
      <c r="D1323" s="8">
        <f>MONTH(Tabla2[[#This Row],[fecha]])</f>
        <v>1</v>
      </c>
      <c r="E1323" s="8" t="str">
        <f>TEXT(Tabla2[[#This Row],[fecha]], "mmmm")</f>
        <v>enero</v>
      </c>
      <c r="F1323" s="8" t="str">
        <f>"T"&amp;ROUNDUP(Tabla2[[#This Row],[mes]]/3,0)</f>
        <v>T1</v>
      </c>
      <c r="G1323" t="s">
        <v>29</v>
      </c>
      <c r="H1323" t="s">
        <v>30</v>
      </c>
      <c r="I1323" s="8" t="str">
        <f>IF(Tabla2[[#This Row],[precio_unitario]]&lt;=30,"Económico",IF(Tabla2[[#This Row],[precio_unitario]]&lt;=58.49,"Accesible","Caro"))</f>
        <v>Económico</v>
      </c>
      <c r="J1323" t="s">
        <v>26</v>
      </c>
      <c r="K1323">
        <v>2</v>
      </c>
      <c r="L1323" s="19">
        <v>20.94</v>
      </c>
      <c r="M1323" s="19">
        <v>11.6</v>
      </c>
      <c r="N1323" s="11">
        <v>0</v>
      </c>
      <c r="O1323" s="17">
        <f t="shared" si="83"/>
        <v>41.88</v>
      </c>
      <c r="P1323" s="17">
        <f t="shared" si="80"/>
        <v>23.2</v>
      </c>
      <c r="Q1323" s="17">
        <f t="shared" si="81"/>
        <v>18.680000000000003</v>
      </c>
      <c r="R1323" s="24">
        <f t="shared" si="82"/>
        <v>0.44603629417383006</v>
      </c>
      <c r="S1323" t="s">
        <v>96</v>
      </c>
      <c r="T1323" t="s">
        <v>64</v>
      </c>
    </row>
    <row r="1324" spans="1:20" hidden="1">
      <c r="A1324" t="s">
        <v>1394</v>
      </c>
      <c r="B1324" s="5">
        <v>45947</v>
      </c>
      <c r="C1324" s="8">
        <f>YEAR(Tabla2[[#This Row],[fecha]])</f>
        <v>2025</v>
      </c>
      <c r="D1324" s="8">
        <f>MONTH(Tabla2[[#This Row],[fecha]])</f>
        <v>10</v>
      </c>
      <c r="E1324" s="8" t="str">
        <f>TEXT(Tabla2[[#This Row],[fecha]], "mmmm")</f>
        <v>octubre</v>
      </c>
      <c r="F1324" s="8" t="str">
        <f>"T"&amp;ROUNDUP(Tabla2[[#This Row],[mes]]/3,0)</f>
        <v>T4</v>
      </c>
      <c r="G1324" t="s">
        <v>15</v>
      </c>
      <c r="H1324" t="s">
        <v>16</v>
      </c>
      <c r="I1324" s="8" t="str">
        <f>IF(Tabla2[[#This Row],[precio_unitario]]&lt;=30,"Económico",IF(Tabla2[[#This Row],[precio_unitario]]&lt;=58.49,"Accesible","Caro"))</f>
        <v>Caro</v>
      </c>
      <c r="J1324" t="s">
        <v>17</v>
      </c>
      <c r="K1324">
        <v>6</v>
      </c>
      <c r="L1324" s="19">
        <v>62.02</v>
      </c>
      <c r="M1324" s="19">
        <v>42.5</v>
      </c>
      <c r="N1324" s="11">
        <v>0</v>
      </c>
      <c r="O1324" s="17">
        <f t="shared" si="83"/>
        <v>372.12</v>
      </c>
      <c r="P1324" s="17">
        <f t="shared" si="80"/>
        <v>255</v>
      </c>
      <c r="Q1324" s="17">
        <f t="shared" si="81"/>
        <v>117.12</v>
      </c>
      <c r="R1324" s="24">
        <f t="shared" si="82"/>
        <v>0.31473718155433733</v>
      </c>
      <c r="S1324" t="s">
        <v>96</v>
      </c>
      <c r="T1324" t="s">
        <v>60</v>
      </c>
    </row>
    <row r="1325" spans="1:20" hidden="1">
      <c r="A1325" t="s">
        <v>1395</v>
      </c>
      <c r="B1325" s="5">
        <v>45884</v>
      </c>
      <c r="C1325" s="8">
        <f>YEAR(Tabla2[[#This Row],[fecha]])</f>
        <v>2025</v>
      </c>
      <c r="D1325" s="8">
        <f>MONTH(Tabla2[[#This Row],[fecha]])</f>
        <v>8</v>
      </c>
      <c r="E1325" s="8" t="str">
        <f>TEXT(Tabla2[[#This Row],[fecha]], "mmmm")</f>
        <v>agosto</v>
      </c>
      <c r="F1325" s="8" t="str">
        <f>"T"&amp;ROUNDUP(Tabla2[[#This Row],[mes]]/3,0)</f>
        <v>T3</v>
      </c>
      <c r="G1325" t="s">
        <v>42</v>
      </c>
      <c r="H1325" t="s">
        <v>43</v>
      </c>
      <c r="I1325" s="8" t="str">
        <f>IF(Tabla2[[#This Row],[precio_unitario]]&lt;=30,"Económico",IF(Tabla2[[#This Row],[precio_unitario]]&lt;=58.49,"Accesible","Caro"))</f>
        <v>Accesible</v>
      </c>
      <c r="J1325" t="s">
        <v>44</v>
      </c>
      <c r="K1325">
        <v>3</v>
      </c>
      <c r="L1325" s="19">
        <v>51.3</v>
      </c>
      <c r="M1325" s="19">
        <v>22.27</v>
      </c>
      <c r="N1325" s="13">
        <v>0</v>
      </c>
      <c r="O1325" s="17">
        <f t="shared" si="83"/>
        <v>153.89999999999998</v>
      </c>
      <c r="P1325" s="17">
        <f t="shared" si="80"/>
        <v>66.81</v>
      </c>
      <c r="Q1325" s="17">
        <f t="shared" si="81"/>
        <v>87.089999999999975</v>
      </c>
      <c r="R1325" s="24">
        <f t="shared" si="82"/>
        <v>0.56588693957114999</v>
      </c>
      <c r="S1325" t="s">
        <v>63</v>
      </c>
      <c r="T1325" t="s">
        <v>60</v>
      </c>
    </row>
    <row r="1326" spans="1:20" hidden="1">
      <c r="A1326" t="s">
        <v>1396</v>
      </c>
      <c r="B1326" s="5">
        <v>45616</v>
      </c>
      <c r="C1326" s="8">
        <f>YEAR(Tabla2[[#This Row],[fecha]])</f>
        <v>2024</v>
      </c>
      <c r="D1326" s="8">
        <f>MONTH(Tabla2[[#This Row],[fecha]])</f>
        <v>11</v>
      </c>
      <c r="E1326" s="8" t="str">
        <f>TEXT(Tabla2[[#This Row],[fecha]], "mmmm")</f>
        <v>noviembre</v>
      </c>
      <c r="F1326" s="8" t="str">
        <f>"T"&amp;ROUNDUP(Tabla2[[#This Row],[mes]]/3,0)</f>
        <v>T4</v>
      </c>
      <c r="G1326" t="s">
        <v>40</v>
      </c>
      <c r="H1326" t="s">
        <v>41</v>
      </c>
      <c r="I1326" s="8" t="str">
        <f>IF(Tabla2[[#This Row],[precio_unitario]]&lt;=30,"Económico",IF(Tabla2[[#This Row],[precio_unitario]]&lt;=58.49,"Accesible","Caro"))</f>
        <v>Caro</v>
      </c>
      <c r="J1326" t="s">
        <v>35</v>
      </c>
      <c r="K1326">
        <v>2</v>
      </c>
      <c r="L1326" s="19">
        <v>73.52</v>
      </c>
      <c r="M1326" s="19">
        <v>42.66</v>
      </c>
      <c r="N1326" s="11">
        <v>0</v>
      </c>
      <c r="O1326" s="17">
        <f t="shared" si="83"/>
        <v>147.04</v>
      </c>
      <c r="P1326" s="17">
        <f t="shared" si="80"/>
        <v>85.32</v>
      </c>
      <c r="Q1326" s="17">
        <f t="shared" si="81"/>
        <v>61.72</v>
      </c>
      <c r="R1326" s="24">
        <f t="shared" si="82"/>
        <v>0.41974972796517956</v>
      </c>
      <c r="S1326" t="s">
        <v>67</v>
      </c>
      <c r="T1326" t="s">
        <v>60</v>
      </c>
    </row>
    <row r="1327" spans="1:20">
      <c r="A1327" t="s">
        <v>1397</v>
      </c>
      <c r="B1327" s="5">
        <v>46017</v>
      </c>
      <c r="C1327" s="8">
        <f>YEAR(Tabla2[[#This Row],[fecha]])</f>
        <v>2025</v>
      </c>
      <c r="D1327" s="8">
        <f>MONTH(Tabla2[[#This Row],[fecha]])</f>
        <v>12</v>
      </c>
      <c r="E1327" s="8" t="str">
        <f>TEXT(Tabla2[[#This Row],[fecha]], "mmmm")</f>
        <v>diciembre</v>
      </c>
      <c r="F1327" s="8" t="str">
        <f>"T"&amp;ROUNDUP(Tabla2[[#This Row],[mes]]/3,0)</f>
        <v>T4</v>
      </c>
      <c r="G1327" t="s">
        <v>38</v>
      </c>
      <c r="H1327" t="s">
        <v>39</v>
      </c>
      <c r="I1327" s="8" t="str">
        <f>IF(Tabla2[[#This Row],[precio_unitario]]&lt;=30,"Económico",IF(Tabla2[[#This Row],[precio_unitario]]&lt;=58.49,"Accesible","Caro"))</f>
        <v>Caro</v>
      </c>
      <c r="J1327" t="s">
        <v>35</v>
      </c>
      <c r="K1327">
        <v>8</v>
      </c>
      <c r="L1327" s="19">
        <v>79.95</v>
      </c>
      <c r="M1327" s="19">
        <v>41.25</v>
      </c>
      <c r="N1327" s="11">
        <v>0</v>
      </c>
      <c r="O1327" s="17">
        <f t="shared" si="83"/>
        <v>639.6</v>
      </c>
      <c r="P1327" s="17">
        <f t="shared" si="80"/>
        <v>330</v>
      </c>
      <c r="Q1327" s="17">
        <f t="shared" si="81"/>
        <v>309.60000000000002</v>
      </c>
      <c r="R1327" s="24">
        <f t="shared" si="82"/>
        <v>0.48405253283302063</v>
      </c>
      <c r="S1327" t="s">
        <v>67</v>
      </c>
      <c r="T1327" t="s">
        <v>64</v>
      </c>
    </row>
    <row r="1328" spans="1:20" hidden="1">
      <c r="A1328" t="s">
        <v>1398</v>
      </c>
      <c r="B1328" s="5">
        <v>45704</v>
      </c>
      <c r="C1328" s="8">
        <f>YEAR(Tabla2[[#This Row],[fecha]])</f>
        <v>2025</v>
      </c>
      <c r="D1328" s="8">
        <f>MONTH(Tabla2[[#This Row],[fecha]])</f>
        <v>2</v>
      </c>
      <c r="E1328" s="8" t="str">
        <f>TEXT(Tabla2[[#This Row],[fecha]], "mmmm")</f>
        <v>febrero</v>
      </c>
      <c r="F1328" s="8" t="str">
        <f>"T"&amp;ROUNDUP(Tabla2[[#This Row],[mes]]/3,0)</f>
        <v>T1</v>
      </c>
      <c r="G1328" t="s">
        <v>15</v>
      </c>
      <c r="H1328" t="s">
        <v>16</v>
      </c>
      <c r="I1328" s="8" t="str">
        <f>IF(Tabla2[[#This Row],[precio_unitario]]&lt;=30,"Económico",IF(Tabla2[[#This Row],[precio_unitario]]&lt;=58.49,"Accesible","Caro"))</f>
        <v>Caro</v>
      </c>
      <c r="J1328" t="s">
        <v>17</v>
      </c>
      <c r="K1328">
        <v>6</v>
      </c>
      <c r="L1328" s="19">
        <v>62.91</v>
      </c>
      <c r="M1328" s="19">
        <v>39.46</v>
      </c>
      <c r="N1328" s="11">
        <v>0</v>
      </c>
      <c r="O1328" s="17">
        <f t="shared" si="83"/>
        <v>377.46</v>
      </c>
      <c r="P1328" s="17">
        <f t="shared" si="80"/>
        <v>236.76</v>
      </c>
      <c r="Q1328" s="17">
        <f t="shared" si="81"/>
        <v>140.69999999999999</v>
      </c>
      <c r="R1328" s="24">
        <f t="shared" si="82"/>
        <v>0.37275472897790496</v>
      </c>
      <c r="S1328" t="s">
        <v>83</v>
      </c>
      <c r="T1328" t="s">
        <v>64</v>
      </c>
    </row>
    <row r="1329" spans="1:20" hidden="1">
      <c r="A1329" t="s">
        <v>1399</v>
      </c>
      <c r="B1329" s="5">
        <v>45415</v>
      </c>
      <c r="C1329" s="8">
        <f>YEAR(Tabla2[[#This Row],[fecha]])</f>
        <v>2024</v>
      </c>
      <c r="D1329" s="8">
        <f>MONTH(Tabla2[[#This Row],[fecha]])</f>
        <v>5</v>
      </c>
      <c r="E1329" s="8" t="str">
        <f>TEXT(Tabla2[[#This Row],[fecha]], "mmmm")</f>
        <v>mayo</v>
      </c>
      <c r="F1329" s="8" t="str">
        <f>"T"&amp;ROUNDUP(Tabla2[[#This Row],[mes]]/3,0)</f>
        <v>T2</v>
      </c>
      <c r="G1329" t="s">
        <v>20</v>
      </c>
      <c r="H1329" t="s">
        <v>21</v>
      </c>
      <c r="I1329" s="8" t="str">
        <f>IF(Tabla2[[#This Row],[precio_unitario]]&lt;=30,"Económico",IF(Tabla2[[#This Row],[precio_unitario]]&lt;=58.49,"Accesible","Caro"))</f>
        <v>Económico</v>
      </c>
      <c r="J1329" t="s">
        <v>17</v>
      </c>
      <c r="K1329">
        <v>1</v>
      </c>
      <c r="L1329" s="19">
        <v>20.100000000000001</v>
      </c>
      <c r="M1329" s="19">
        <v>12.97</v>
      </c>
      <c r="N1329" s="11">
        <v>0</v>
      </c>
      <c r="O1329" s="17">
        <f t="shared" si="83"/>
        <v>20.100000000000001</v>
      </c>
      <c r="P1329" s="17">
        <f t="shared" si="80"/>
        <v>12.97</v>
      </c>
      <c r="Q1329" s="17">
        <f t="shared" si="81"/>
        <v>7.1300000000000008</v>
      </c>
      <c r="R1329" s="24">
        <f t="shared" si="82"/>
        <v>0.354726368159204</v>
      </c>
      <c r="S1329" t="s">
        <v>96</v>
      </c>
      <c r="T1329" t="s">
        <v>64</v>
      </c>
    </row>
    <row r="1330" spans="1:20" hidden="1">
      <c r="A1330" t="s">
        <v>1400</v>
      </c>
      <c r="B1330" s="5">
        <v>45543</v>
      </c>
      <c r="C1330" s="8">
        <f>YEAR(Tabla2[[#This Row],[fecha]])</f>
        <v>2024</v>
      </c>
      <c r="D1330" s="8">
        <f>MONTH(Tabla2[[#This Row],[fecha]])</f>
        <v>9</v>
      </c>
      <c r="E1330" s="8" t="str">
        <f>TEXT(Tabla2[[#This Row],[fecha]], "mmmm")</f>
        <v>septiembre</v>
      </c>
      <c r="F1330" s="8" t="str">
        <f>"T"&amp;ROUNDUP(Tabla2[[#This Row],[mes]]/3,0)</f>
        <v>T3</v>
      </c>
      <c r="G1330" t="s">
        <v>38</v>
      </c>
      <c r="H1330" t="s">
        <v>39</v>
      </c>
      <c r="I1330" s="8" t="str">
        <f>IF(Tabla2[[#This Row],[precio_unitario]]&lt;=30,"Económico",IF(Tabla2[[#This Row],[precio_unitario]]&lt;=58.49,"Accesible","Caro"))</f>
        <v>Caro</v>
      </c>
      <c r="J1330" t="s">
        <v>35</v>
      </c>
      <c r="K1330">
        <v>4</v>
      </c>
      <c r="L1330" s="19">
        <v>81.75</v>
      </c>
      <c r="M1330" s="19">
        <v>43.6</v>
      </c>
      <c r="N1330" s="11">
        <v>0.24</v>
      </c>
      <c r="O1330" s="17">
        <f t="shared" si="83"/>
        <v>248.52</v>
      </c>
      <c r="P1330" s="17">
        <f t="shared" si="80"/>
        <v>174.4</v>
      </c>
      <c r="Q1330" s="17">
        <f t="shared" si="81"/>
        <v>74.12</v>
      </c>
      <c r="R1330" s="24">
        <f t="shared" si="82"/>
        <v>0.2982456140350877</v>
      </c>
      <c r="S1330" t="s">
        <v>67</v>
      </c>
      <c r="T1330" t="s">
        <v>64</v>
      </c>
    </row>
    <row r="1331" spans="1:20" hidden="1">
      <c r="A1331" t="s">
        <v>1401</v>
      </c>
      <c r="B1331" s="5">
        <v>45888</v>
      </c>
      <c r="C1331" s="8">
        <f>YEAR(Tabla2[[#This Row],[fecha]])</f>
        <v>2025</v>
      </c>
      <c r="D1331" s="8">
        <f>MONTH(Tabla2[[#This Row],[fecha]])</f>
        <v>8</v>
      </c>
      <c r="E1331" s="8" t="str">
        <f>TEXT(Tabla2[[#This Row],[fecha]], "mmmm")</f>
        <v>agosto</v>
      </c>
      <c r="F1331" s="8" t="str">
        <f>"T"&amp;ROUNDUP(Tabla2[[#This Row],[mes]]/3,0)</f>
        <v>T3</v>
      </c>
      <c r="G1331" t="s">
        <v>42</v>
      </c>
      <c r="H1331" t="s">
        <v>43</v>
      </c>
      <c r="I1331" s="8" t="str">
        <f>IF(Tabla2[[#This Row],[precio_unitario]]&lt;=30,"Económico",IF(Tabla2[[#This Row],[precio_unitario]]&lt;=58.49,"Accesible","Caro"))</f>
        <v>Accesible</v>
      </c>
      <c r="J1331" t="s">
        <v>44</v>
      </c>
      <c r="K1331">
        <v>1</v>
      </c>
      <c r="L1331" s="19">
        <v>45.45</v>
      </c>
      <c r="M1331" s="19">
        <v>23.58</v>
      </c>
      <c r="N1331" s="11">
        <v>0</v>
      </c>
      <c r="O1331" s="17">
        <f t="shared" si="83"/>
        <v>45.45</v>
      </c>
      <c r="P1331" s="17">
        <f t="shared" si="80"/>
        <v>23.58</v>
      </c>
      <c r="Q1331" s="17">
        <f t="shared" si="81"/>
        <v>21.870000000000005</v>
      </c>
      <c r="R1331" s="24">
        <f t="shared" si="82"/>
        <v>0.48118811881188128</v>
      </c>
      <c r="S1331" t="s">
        <v>96</v>
      </c>
      <c r="T1331" t="s">
        <v>60</v>
      </c>
    </row>
    <row r="1332" spans="1:20">
      <c r="A1332" t="s">
        <v>1402</v>
      </c>
      <c r="B1332" s="5">
        <v>45902</v>
      </c>
      <c r="C1332" s="8">
        <f>YEAR(Tabla2[[#This Row],[fecha]])</f>
        <v>2025</v>
      </c>
      <c r="D1332" s="8">
        <f>MONTH(Tabla2[[#This Row],[fecha]])</f>
        <v>9</v>
      </c>
      <c r="E1332" s="8" t="str">
        <f>TEXT(Tabla2[[#This Row],[fecha]], "mmmm")</f>
        <v>septiembre</v>
      </c>
      <c r="F1332" s="8" t="str">
        <f>"T"&amp;ROUNDUP(Tabla2[[#This Row],[mes]]/3,0)</f>
        <v>T3</v>
      </c>
      <c r="G1332" t="s">
        <v>15</v>
      </c>
      <c r="H1332" t="s">
        <v>16</v>
      </c>
      <c r="I1332" s="8" t="str">
        <f>IF(Tabla2[[#This Row],[precio_unitario]]&lt;=30,"Económico",IF(Tabla2[[#This Row],[precio_unitario]]&lt;=58.49,"Accesible","Caro"))</f>
        <v>Accesible</v>
      </c>
      <c r="J1332" t="s">
        <v>17</v>
      </c>
      <c r="K1332">
        <v>1</v>
      </c>
      <c r="L1332" s="19">
        <v>57.29</v>
      </c>
      <c r="M1332" s="19">
        <v>39.83</v>
      </c>
      <c r="N1332" s="11">
        <v>0</v>
      </c>
      <c r="O1332" s="17">
        <f t="shared" si="83"/>
        <v>57.29</v>
      </c>
      <c r="P1332" s="17">
        <f t="shared" si="80"/>
        <v>39.83</v>
      </c>
      <c r="Q1332" s="17">
        <f t="shared" si="81"/>
        <v>17.46</v>
      </c>
      <c r="R1332" s="24">
        <f t="shared" si="82"/>
        <v>0.30476522953395008</v>
      </c>
      <c r="S1332" t="s">
        <v>67</v>
      </c>
      <c r="T1332" t="s">
        <v>64</v>
      </c>
    </row>
    <row r="1333" spans="1:20">
      <c r="A1333" t="s">
        <v>1403</v>
      </c>
      <c r="B1333" s="5">
        <v>45840</v>
      </c>
      <c r="C1333" s="8">
        <f>YEAR(Tabla2[[#This Row],[fecha]])</f>
        <v>2025</v>
      </c>
      <c r="D1333" s="8">
        <f>MONTH(Tabla2[[#This Row],[fecha]])</f>
        <v>7</v>
      </c>
      <c r="E1333" s="8" t="str">
        <f>TEXT(Tabla2[[#This Row],[fecha]], "mmmm")</f>
        <v>julio</v>
      </c>
      <c r="F1333" s="8" t="str">
        <f>"T"&amp;ROUNDUP(Tabla2[[#This Row],[mes]]/3,0)</f>
        <v>T3</v>
      </c>
      <c r="G1333" t="s">
        <v>11</v>
      </c>
      <c r="H1333" t="s">
        <v>12</v>
      </c>
      <c r="I1333" s="8" t="str">
        <f>IF(Tabla2[[#This Row],[precio_unitario]]&lt;=30,"Económico",IF(Tabla2[[#This Row],[precio_unitario]]&lt;=58.49,"Accesible","Caro"))</f>
        <v>Caro</v>
      </c>
      <c r="J1333" t="s">
        <v>8</v>
      </c>
      <c r="K1333">
        <v>1</v>
      </c>
      <c r="L1333" s="20">
        <f>INDEX(Tabla3[precio_venta_recomendado], MATCH(Tabla2[[#This Row],[id_producto]], Tabla3[id_producto], 0))</f>
        <v>177.72</v>
      </c>
      <c r="M1333" s="19">
        <v>95.36</v>
      </c>
      <c r="N1333" s="11">
        <v>0</v>
      </c>
      <c r="O1333" s="17">
        <f t="shared" si="83"/>
        <v>177.72</v>
      </c>
      <c r="P1333" s="17">
        <f t="shared" si="80"/>
        <v>95.36</v>
      </c>
      <c r="Q1333" s="17">
        <f t="shared" si="81"/>
        <v>82.36</v>
      </c>
      <c r="R1333" s="24">
        <f t="shared" si="82"/>
        <v>0.46342561332433041</v>
      </c>
      <c r="S1333" t="s">
        <v>67</v>
      </c>
      <c r="T1333" t="s">
        <v>60</v>
      </c>
    </row>
    <row r="1334" spans="1:20" hidden="1">
      <c r="A1334" t="s">
        <v>1404</v>
      </c>
      <c r="B1334" s="5">
        <v>45943</v>
      </c>
      <c r="C1334" s="8">
        <f>YEAR(Tabla2[[#This Row],[fecha]])</f>
        <v>2025</v>
      </c>
      <c r="D1334" s="8">
        <f>MONTH(Tabla2[[#This Row],[fecha]])</f>
        <v>10</v>
      </c>
      <c r="E1334" s="8" t="str">
        <f>TEXT(Tabla2[[#This Row],[fecha]], "mmmm")</f>
        <v>octubre</v>
      </c>
      <c r="F1334" s="8" t="str">
        <f>"T"&amp;ROUNDUP(Tabla2[[#This Row],[mes]]/3,0)</f>
        <v>T4</v>
      </c>
      <c r="G1334" t="s">
        <v>36</v>
      </c>
      <c r="H1334" t="s">
        <v>37</v>
      </c>
      <c r="I1334" s="8" t="str">
        <f>IF(Tabla2[[#This Row],[precio_unitario]]&lt;=30,"Económico",IF(Tabla2[[#This Row],[precio_unitario]]&lt;=58.49,"Accesible","Caro"))</f>
        <v>Económico</v>
      </c>
      <c r="J1334" t="s">
        <v>35</v>
      </c>
      <c r="K1334">
        <v>1</v>
      </c>
      <c r="L1334" s="19">
        <v>15.07</v>
      </c>
      <c r="M1334" s="19">
        <v>9.59</v>
      </c>
      <c r="N1334" s="13">
        <v>0</v>
      </c>
      <c r="O1334" s="17">
        <f t="shared" si="83"/>
        <v>15.07</v>
      </c>
      <c r="P1334" s="17">
        <f t="shared" si="80"/>
        <v>9.59</v>
      </c>
      <c r="Q1334" s="17">
        <f t="shared" si="81"/>
        <v>5.48</v>
      </c>
      <c r="R1334" s="24">
        <f t="shared" si="82"/>
        <v>0.36363636363636365</v>
      </c>
      <c r="S1334" t="s">
        <v>96</v>
      </c>
      <c r="T1334" t="s">
        <v>60</v>
      </c>
    </row>
    <row r="1335" spans="1:20" hidden="1">
      <c r="A1335" t="s">
        <v>1405</v>
      </c>
      <c r="B1335" s="5">
        <v>46013</v>
      </c>
      <c r="C1335" s="8">
        <f>YEAR(Tabla2[[#This Row],[fecha]])</f>
        <v>2025</v>
      </c>
      <c r="D1335" s="8">
        <f>MONTH(Tabla2[[#This Row],[fecha]])</f>
        <v>12</v>
      </c>
      <c r="E1335" s="8" t="str">
        <f>TEXT(Tabla2[[#This Row],[fecha]], "mmmm")</f>
        <v>diciembre</v>
      </c>
      <c r="F1335" s="8" t="str">
        <f>"T"&amp;ROUNDUP(Tabla2[[#This Row],[mes]]/3,0)</f>
        <v>T4</v>
      </c>
      <c r="G1335" t="s">
        <v>22</v>
      </c>
      <c r="H1335" t="s">
        <v>23</v>
      </c>
      <c r="I1335" s="8" t="str">
        <f>IF(Tabla2[[#This Row],[precio_unitario]]&lt;=30,"Económico",IF(Tabla2[[#This Row],[precio_unitario]]&lt;=58.49,"Accesible","Caro"))</f>
        <v>Caro</v>
      </c>
      <c r="J1335" t="s">
        <v>17</v>
      </c>
      <c r="K1335">
        <v>4</v>
      </c>
      <c r="L1335" s="19">
        <v>96.9</v>
      </c>
      <c r="M1335" s="19">
        <v>60.05</v>
      </c>
      <c r="N1335" s="11">
        <v>7.0000000000000007E-2</v>
      </c>
      <c r="O1335" s="17">
        <f t="shared" si="83"/>
        <v>360.46800000000002</v>
      </c>
      <c r="P1335" s="17">
        <f t="shared" si="80"/>
        <v>240.2</v>
      </c>
      <c r="Q1335" s="17">
        <f t="shared" si="81"/>
        <v>120.26800000000003</v>
      </c>
      <c r="R1335" s="24">
        <f t="shared" si="82"/>
        <v>0.33364404052509522</v>
      </c>
      <c r="S1335" t="s">
        <v>96</v>
      </c>
      <c r="T1335" t="s">
        <v>60</v>
      </c>
    </row>
    <row r="1336" spans="1:20" hidden="1">
      <c r="A1336" t="s">
        <v>1406</v>
      </c>
      <c r="B1336" s="5">
        <v>45328</v>
      </c>
      <c r="C1336" s="8">
        <f>YEAR(Tabla2[[#This Row],[fecha]])</f>
        <v>2024</v>
      </c>
      <c r="D1336" s="8">
        <f>MONTH(Tabla2[[#This Row],[fecha]])</f>
        <v>2</v>
      </c>
      <c r="E1336" s="8" t="str">
        <f>TEXT(Tabla2[[#This Row],[fecha]], "mmmm")</f>
        <v>febrero</v>
      </c>
      <c r="F1336" s="8" t="str">
        <f>"T"&amp;ROUNDUP(Tabla2[[#This Row],[mes]]/3,0)</f>
        <v>T1</v>
      </c>
      <c r="G1336" t="s">
        <v>38</v>
      </c>
      <c r="H1336" t="s">
        <v>39</v>
      </c>
      <c r="I1336" s="8" t="str">
        <f>IF(Tabla2[[#This Row],[precio_unitario]]&lt;=30,"Económico",IF(Tabla2[[#This Row],[precio_unitario]]&lt;=58.49,"Accesible","Caro"))</f>
        <v>Caro</v>
      </c>
      <c r="J1336" t="s">
        <v>35</v>
      </c>
      <c r="K1336">
        <v>5</v>
      </c>
      <c r="L1336" s="19">
        <v>73.25</v>
      </c>
      <c r="M1336" s="19">
        <v>43.71</v>
      </c>
      <c r="N1336" s="11">
        <v>0</v>
      </c>
      <c r="O1336" s="17">
        <f t="shared" si="83"/>
        <v>366.25</v>
      </c>
      <c r="P1336" s="17">
        <f t="shared" si="80"/>
        <v>218.55</v>
      </c>
      <c r="Q1336" s="17">
        <f t="shared" si="81"/>
        <v>147.69999999999999</v>
      </c>
      <c r="R1336" s="24">
        <f t="shared" si="82"/>
        <v>0.40327645051194538</v>
      </c>
      <c r="S1336" t="s">
        <v>67</v>
      </c>
      <c r="T1336" t="s">
        <v>64</v>
      </c>
    </row>
    <row r="1337" spans="1:20" hidden="1">
      <c r="A1337" t="s">
        <v>1407</v>
      </c>
      <c r="B1337" s="5">
        <v>45574</v>
      </c>
      <c r="C1337" s="8">
        <f>YEAR(Tabla2[[#This Row],[fecha]])</f>
        <v>2024</v>
      </c>
      <c r="D1337" s="8">
        <f>MONTH(Tabla2[[#This Row],[fecha]])</f>
        <v>10</v>
      </c>
      <c r="E1337" s="8" t="str">
        <f>TEXT(Tabla2[[#This Row],[fecha]], "mmmm")</f>
        <v>octubre</v>
      </c>
      <c r="F1337" s="8" t="str">
        <f>"T"&amp;ROUNDUP(Tabla2[[#This Row],[mes]]/3,0)</f>
        <v>T4</v>
      </c>
      <c r="G1337" t="s">
        <v>42</v>
      </c>
      <c r="H1337" t="s">
        <v>43</v>
      </c>
      <c r="I1337" s="8" t="str">
        <f>IF(Tabla2[[#This Row],[precio_unitario]]&lt;=30,"Económico",IF(Tabla2[[#This Row],[precio_unitario]]&lt;=58.49,"Accesible","Caro"))</f>
        <v>Accesible</v>
      </c>
      <c r="J1337" t="s">
        <v>44</v>
      </c>
      <c r="K1337">
        <v>10</v>
      </c>
      <c r="L1337" s="19">
        <v>51.82</v>
      </c>
      <c r="M1337" s="19">
        <v>21.62</v>
      </c>
      <c r="N1337" s="13">
        <v>0</v>
      </c>
      <c r="O1337" s="17">
        <f t="shared" si="83"/>
        <v>518.20000000000005</v>
      </c>
      <c r="P1337" s="17">
        <f t="shared" si="80"/>
        <v>216.20000000000002</v>
      </c>
      <c r="Q1337" s="17">
        <f t="shared" si="81"/>
        <v>302</v>
      </c>
      <c r="R1337" s="24">
        <f t="shared" si="82"/>
        <v>0.5827865688923195</v>
      </c>
      <c r="S1337" t="s">
        <v>63</v>
      </c>
      <c r="T1337" t="s">
        <v>64</v>
      </c>
    </row>
    <row r="1338" spans="1:20" hidden="1">
      <c r="A1338" t="s">
        <v>1408</v>
      </c>
      <c r="B1338" s="5">
        <v>45446</v>
      </c>
      <c r="C1338" s="8">
        <f>YEAR(Tabla2[[#This Row],[fecha]])</f>
        <v>2024</v>
      </c>
      <c r="D1338" s="8">
        <f>MONTH(Tabla2[[#This Row],[fecha]])</f>
        <v>6</v>
      </c>
      <c r="E1338" s="8" t="str">
        <f>TEXT(Tabla2[[#This Row],[fecha]], "mmmm")</f>
        <v>junio</v>
      </c>
      <c r="F1338" s="8" t="str">
        <f>"T"&amp;ROUNDUP(Tabla2[[#This Row],[mes]]/3,0)</f>
        <v>T2</v>
      </c>
      <c r="G1338" t="s">
        <v>42</v>
      </c>
      <c r="H1338" t="s">
        <v>43</v>
      </c>
      <c r="I1338" s="8" t="str">
        <f>IF(Tabla2[[#This Row],[precio_unitario]]&lt;=30,"Económico",IF(Tabla2[[#This Row],[precio_unitario]]&lt;=58.49,"Accesible","Caro"))</f>
        <v>Accesible</v>
      </c>
      <c r="J1338" t="s">
        <v>44</v>
      </c>
      <c r="K1338">
        <v>7</v>
      </c>
      <c r="L1338" s="19">
        <v>53.14</v>
      </c>
      <c r="M1338" s="19">
        <v>21.75</v>
      </c>
      <c r="N1338" s="13">
        <v>0.13500000000000001</v>
      </c>
      <c r="O1338" s="17">
        <f t="shared" si="83"/>
        <v>321.7627</v>
      </c>
      <c r="P1338" s="17">
        <f t="shared" si="80"/>
        <v>152.25</v>
      </c>
      <c r="Q1338" s="17">
        <f t="shared" si="81"/>
        <v>169.5127</v>
      </c>
      <c r="R1338" s="24">
        <f t="shared" si="82"/>
        <v>0.52682520379148978</v>
      </c>
      <c r="S1338" t="s">
        <v>101</v>
      </c>
      <c r="T1338" t="s">
        <v>64</v>
      </c>
    </row>
    <row r="1339" spans="1:20" hidden="1">
      <c r="A1339" t="s">
        <v>1409</v>
      </c>
      <c r="B1339" s="5">
        <v>45369</v>
      </c>
      <c r="C1339" s="8">
        <f>YEAR(Tabla2[[#This Row],[fecha]])</f>
        <v>2024</v>
      </c>
      <c r="D1339" s="8">
        <f>MONTH(Tabla2[[#This Row],[fecha]])</f>
        <v>3</v>
      </c>
      <c r="E1339" s="8" t="str">
        <f>TEXT(Tabla2[[#This Row],[fecha]], "mmmm")</f>
        <v>marzo</v>
      </c>
      <c r="F1339" s="8" t="str">
        <f>"T"&amp;ROUNDUP(Tabla2[[#This Row],[mes]]/3,0)</f>
        <v>T1</v>
      </c>
      <c r="G1339" t="s">
        <v>29</v>
      </c>
      <c r="H1339" t="s">
        <v>30</v>
      </c>
      <c r="I1339" s="8" t="str">
        <f>IF(Tabla2[[#This Row],[precio_unitario]]&lt;=30,"Económico",IF(Tabla2[[#This Row],[precio_unitario]]&lt;=58.49,"Accesible","Caro"))</f>
        <v>Económico</v>
      </c>
      <c r="J1339" t="s">
        <v>26</v>
      </c>
      <c r="K1339">
        <v>2</v>
      </c>
      <c r="L1339" s="19">
        <v>21.76</v>
      </c>
      <c r="M1339" s="19">
        <v>11.04</v>
      </c>
      <c r="N1339" s="11">
        <v>0</v>
      </c>
      <c r="O1339" s="17">
        <f t="shared" si="83"/>
        <v>43.52</v>
      </c>
      <c r="P1339" s="17">
        <f t="shared" si="80"/>
        <v>22.08</v>
      </c>
      <c r="Q1339" s="17">
        <f t="shared" si="81"/>
        <v>21.440000000000005</v>
      </c>
      <c r="R1339" s="24">
        <f t="shared" si="82"/>
        <v>0.49264705882352949</v>
      </c>
      <c r="S1339" s="10" t="s">
        <v>2377</v>
      </c>
      <c r="T1339" t="s">
        <v>60</v>
      </c>
    </row>
    <row r="1340" spans="1:20" hidden="1">
      <c r="A1340" t="s">
        <v>1410</v>
      </c>
      <c r="B1340" s="5">
        <v>45966</v>
      </c>
      <c r="C1340" s="8">
        <f>YEAR(Tabla2[[#This Row],[fecha]])</f>
        <v>2025</v>
      </c>
      <c r="D1340" s="8">
        <f>MONTH(Tabla2[[#This Row],[fecha]])</f>
        <v>11</v>
      </c>
      <c r="E1340" s="8" t="str">
        <f>TEXT(Tabla2[[#This Row],[fecha]], "mmmm")</f>
        <v>noviembre</v>
      </c>
      <c r="F1340" s="8" t="str">
        <f>"T"&amp;ROUNDUP(Tabla2[[#This Row],[mes]]/3,0)</f>
        <v>T4</v>
      </c>
      <c r="G1340" t="s">
        <v>40</v>
      </c>
      <c r="H1340" t="s">
        <v>41</v>
      </c>
      <c r="I1340" s="8" t="str">
        <f>IF(Tabla2[[#This Row],[precio_unitario]]&lt;=30,"Económico",IF(Tabla2[[#This Row],[precio_unitario]]&lt;=58.49,"Accesible","Caro"))</f>
        <v>Caro</v>
      </c>
      <c r="J1340" t="s">
        <v>35</v>
      </c>
      <c r="K1340">
        <v>5</v>
      </c>
      <c r="L1340" s="19">
        <v>75.02</v>
      </c>
      <c r="M1340" s="19">
        <v>39.549999999999997</v>
      </c>
      <c r="N1340" s="11">
        <v>0</v>
      </c>
      <c r="O1340" s="17">
        <f t="shared" si="83"/>
        <v>375.09999999999997</v>
      </c>
      <c r="P1340" s="17">
        <f t="shared" si="80"/>
        <v>197.75</v>
      </c>
      <c r="Q1340" s="17">
        <f t="shared" si="81"/>
        <v>177.34999999999997</v>
      </c>
      <c r="R1340" s="24">
        <f t="shared" si="82"/>
        <v>0.4728072513996267</v>
      </c>
      <c r="S1340" t="s">
        <v>96</v>
      </c>
      <c r="T1340" t="s">
        <v>64</v>
      </c>
    </row>
    <row r="1341" spans="1:20" hidden="1">
      <c r="A1341" t="s">
        <v>560</v>
      </c>
      <c r="B1341" s="5">
        <v>45349</v>
      </c>
      <c r="C1341" s="8">
        <f>YEAR(Tabla2[[#This Row],[fecha]])</f>
        <v>2024</v>
      </c>
      <c r="D1341" s="8">
        <f>MONTH(Tabla2[[#This Row],[fecha]])</f>
        <v>2</v>
      </c>
      <c r="E1341" s="8" t="str">
        <f>TEXT(Tabla2[[#This Row],[fecha]], "mmmm")</f>
        <v>febrero</v>
      </c>
      <c r="F1341" s="8" t="str">
        <f>"T"&amp;ROUNDUP(Tabla2[[#This Row],[mes]]/3,0)</f>
        <v>T1</v>
      </c>
      <c r="G1341" t="s">
        <v>22</v>
      </c>
      <c r="H1341" t="s">
        <v>23</v>
      </c>
      <c r="I1341" s="8" t="str">
        <f>IF(Tabla2[[#This Row],[precio_unitario]]&lt;=30,"Económico",IF(Tabla2[[#This Row],[precio_unitario]]&lt;=58.49,"Accesible","Caro"))</f>
        <v>Caro</v>
      </c>
      <c r="J1341" t="s">
        <v>17</v>
      </c>
      <c r="K1341">
        <v>5</v>
      </c>
      <c r="L1341" s="19">
        <v>106.45</v>
      </c>
      <c r="M1341" s="19">
        <v>58.6</v>
      </c>
      <c r="N1341" s="11">
        <v>0</v>
      </c>
      <c r="O1341" s="17">
        <f t="shared" si="83"/>
        <v>532.25</v>
      </c>
      <c r="P1341" s="17">
        <f t="shared" si="80"/>
        <v>293</v>
      </c>
      <c r="Q1341" s="17">
        <f t="shared" si="81"/>
        <v>239.25</v>
      </c>
      <c r="R1341" s="24">
        <f t="shared" si="82"/>
        <v>0.44950681070925319</v>
      </c>
      <c r="S1341" t="s">
        <v>63</v>
      </c>
      <c r="T1341" t="s">
        <v>60</v>
      </c>
    </row>
    <row r="1342" spans="1:20">
      <c r="A1342" t="s">
        <v>1411</v>
      </c>
      <c r="B1342" s="5">
        <v>46020</v>
      </c>
      <c r="C1342" s="8">
        <f>YEAR(Tabla2[[#This Row],[fecha]])</f>
        <v>2025</v>
      </c>
      <c r="D1342" s="8">
        <f>MONTH(Tabla2[[#This Row],[fecha]])</f>
        <v>12</v>
      </c>
      <c r="E1342" s="8" t="str">
        <f>TEXT(Tabla2[[#This Row],[fecha]], "mmmm")</f>
        <v>diciembre</v>
      </c>
      <c r="F1342" s="8" t="str">
        <f>"T"&amp;ROUNDUP(Tabla2[[#This Row],[mes]]/3,0)</f>
        <v>T4</v>
      </c>
      <c r="G1342" t="s">
        <v>31</v>
      </c>
      <c r="H1342" t="s">
        <v>32</v>
      </c>
      <c r="I1342" s="8" t="str">
        <f>IF(Tabla2[[#This Row],[precio_unitario]]&lt;=30,"Económico",IF(Tabla2[[#This Row],[precio_unitario]]&lt;=58.49,"Accesible","Caro"))</f>
        <v>Económico</v>
      </c>
      <c r="J1342" t="s">
        <v>26</v>
      </c>
      <c r="K1342">
        <v>5</v>
      </c>
      <c r="L1342" s="19">
        <v>9.25</v>
      </c>
      <c r="M1342" s="19">
        <v>5.87</v>
      </c>
      <c r="N1342" s="11">
        <v>0</v>
      </c>
      <c r="O1342" s="17">
        <f t="shared" si="83"/>
        <v>46.25</v>
      </c>
      <c r="P1342" s="17">
        <f t="shared" si="80"/>
        <v>29.35</v>
      </c>
      <c r="Q1342" s="17">
        <f t="shared" si="81"/>
        <v>16.899999999999999</v>
      </c>
      <c r="R1342" s="24">
        <f t="shared" si="82"/>
        <v>0.36540540540540539</v>
      </c>
      <c r="S1342" t="s">
        <v>67</v>
      </c>
      <c r="T1342" t="s">
        <v>64</v>
      </c>
    </row>
    <row r="1343" spans="1:20" hidden="1">
      <c r="A1343" t="s">
        <v>1412</v>
      </c>
      <c r="B1343" s="5">
        <v>45762</v>
      </c>
      <c r="C1343" s="8">
        <f>YEAR(Tabla2[[#This Row],[fecha]])</f>
        <v>2025</v>
      </c>
      <c r="D1343" s="8">
        <f>MONTH(Tabla2[[#This Row],[fecha]])</f>
        <v>4</v>
      </c>
      <c r="E1343" s="8" t="str">
        <f>TEXT(Tabla2[[#This Row],[fecha]], "mmmm")</f>
        <v>abril</v>
      </c>
      <c r="F1343" s="8" t="str">
        <f>"T"&amp;ROUNDUP(Tabla2[[#This Row],[mes]]/3,0)</f>
        <v>T2</v>
      </c>
      <c r="G1343" t="s">
        <v>29</v>
      </c>
      <c r="H1343" t="s">
        <v>30</v>
      </c>
      <c r="I1343" s="8" t="str">
        <f>IF(Tabla2[[#This Row],[precio_unitario]]&lt;=30,"Económico",IF(Tabla2[[#This Row],[precio_unitario]]&lt;=58.49,"Accesible","Caro"))</f>
        <v>Económico</v>
      </c>
      <c r="J1343" t="s">
        <v>26</v>
      </c>
      <c r="K1343">
        <v>1</v>
      </c>
      <c r="L1343" s="19">
        <v>20.83</v>
      </c>
      <c r="M1343" s="19">
        <v>11.28</v>
      </c>
      <c r="N1343" s="11">
        <v>0</v>
      </c>
      <c r="O1343" s="17">
        <f t="shared" si="83"/>
        <v>20.83</v>
      </c>
      <c r="P1343" s="17">
        <f t="shared" si="80"/>
        <v>11.28</v>
      </c>
      <c r="Q1343" s="17">
        <f t="shared" si="81"/>
        <v>9.5499999999999989</v>
      </c>
      <c r="R1343" s="24">
        <f t="shared" si="82"/>
        <v>0.45847335573691789</v>
      </c>
      <c r="S1343" t="s">
        <v>63</v>
      </c>
      <c r="T1343" t="s">
        <v>64</v>
      </c>
    </row>
    <row r="1344" spans="1:20" hidden="1">
      <c r="A1344" t="s">
        <v>1413</v>
      </c>
      <c r="B1344" s="5">
        <v>45726</v>
      </c>
      <c r="C1344" s="8">
        <f>YEAR(Tabla2[[#This Row],[fecha]])</f>
        <v>2025</v>
      </c>
      <c r="D1344" s="8">
        <f>MONTH(Tabla2[[#This Row],[fecha]])</f>
        <v>3</v>
      </c>
      <c r="E1344" s="8" t="str">
        <f>TEXT(Tabla2[[#This Row],[fecha]], "mmmm")</f>
        <v>marzo</v>
      </c>
      <c r="F1344" s="8" t="str">
        <f>"T"&amp;ROUNDUP(Tabla2[[#This Row],[mes]]/3,0)</f>
        <v>T1</v>
      </c>
      <c r="G1344" t="s">
        <v>45</v>
      </c>
      <c r="H1344" t="s">
        <v>46</v>
      </c>
      <c r="I1344" s="8" t="str">
        <f>IF(Tabla2[[#This Row],[precio_unitario]]&lt;=30,"Económico",IF(Tabla2[[#This Row],[precio_unitario]]&lt;=58.49,"Accesible","Caro"))</f>
        <v>Económico</v>
      </c>
      <c r="J1344" t="s">
        <v>44</v>
      </c>
      <c r="K1344">
        <v>1</v>
      </c>
      <c r="L1344" s="19">
        <v>29.8</v>
      </c>
      <c r="M1344" s="19">
        <v>18.07</v>
      </c>
      <c r="N1344" s="11">
        <v>0</v>
      </c>
      <c r="O1344" s="17">
        <f t="shared" si="83"/>
        <v>29.8</v>
      </c>
      <c r="P1344" s="17">
        <f t="shared" si="80"/>
        <v>18.07</v>
      </c>
      <c r="Q1344" s="17">
        <f t="shared" si="81"/>
        <v>11.73</v>
      </c>
      <c r="R1344" s="24">
        <f t="shared" si="82"/>
        <v>0.39362416107382553</v>
      </c>
      <c r="S1344" t="s">
        <v>540</v>
      </c>
      <c r="T1344" t="s">
        <v>64</v>
      </c>
    </row>
    <row r="1345" spans="1:20">
      <c r="A1345" t="s">
        <v>1414</v>
      </c>
      <c r="B1345" s="5">
        <v>45791</v>
      </c>
      <c r="C1345" s="8">
        <f>YEAR(Tabla2[[#This Row],[fecha]])</f>
        <v>2025</v>
      </c>
      <c r="D1345" s="8">
        <f>MONTH(Tabla2[[#This Row],[fecha]])</f>
        <v>5</v>
      </c>
      <c r="E1345" s="8" t="str">
        <f>TEXT(Tabla2[[#This Row],[fecha]], "mmmm")</f>
        <v>mayo</v>
      </c>
      <c r="F1345" s="8" t="str">
        <f>"T"&amp;ROUNDUP(Tabla2[[#This Row],[mes]]/3,0)</f>
        <v>T2</v>
      </c>
      <c r="G1345" t="s">
        <v>18</v>
      </c>
      <c r="H1345" t="s">
        <v>19</v>
      </c>
      <c r="I1345" s="8" t="str">
        <f>IF(Tabla2[[#This Row],[precio_unitario]]&lt;=30,"Económico",IF(Tabla2[[#This Row],[precio_unitario]]&lt;=58.49,"Accesible","Caro"))</f>
        <v>Accesible</v>
      </c>
      <c r="J1345" t="s">
        <v>17</v>
      </c>
      <c r="K1345">
        <v>2</v>
      </c>
      <c r="L1345" s="19">
        <v>48.22</v>
      </c>
      <c r="M1345" s="19">
        <v>26.03</v>
      </c>
      <c r="N1345" s="11">
        <v>0.28999999999999998</v>
      </c>
      <c r="O1345" s="17">
        <f t="shared" si="83"/>
        <v>68.472399999999993</v>
      </c>
      <c r="P1345" s="17">
        <f t="shared" si="80"/>
        <v>52.06</v>
      </c>
      <c r="Q1345" s="17">
        <f t="shared" si="81"/>
        <v>16.412399999999991</v>
      </c>
      <c r="R1345" s="24">
        <f t="shared" si="82"/>
        <v>0.23969365759050351</v>
      </c>
      <c r="S1345" t="s">
        <v>67</v>
      </c>
      <c r="T1345" t="s">
        <v>265</v>
      </c>
    </row>
    <row r="1346" spans="1:20" hidden="1">
      <c r="A1346" t="s">
        <v>1415</v>
      </c>
      <c r="B1346" s="5">
        <v>45868</v>
      </c>
      <c r="C1346" s="8">
        <f>YEAR(Tabla2[[#This Row],[fecha]])</f>
        <v>2025</v>
      </c>
      <c r="D1346" s="8">
        <f>MONTH(Tabla2[[#This Row],[fecha]])</f>
        <v>7</v>
      </c>
      <c r="E1346" s="8" t="str">
        <f>TEXT(Tabla2[[#This Row],[fecha]], "mmmm")</f>
        <v>julio</v>
      </c>
      <c r="F1346" s="8" t="str">
        <f>"T"&amp;ROUNDUP(Tabla2[[#This Row],[mes]]/3,0)</f>
        <v>T3</v>
      </c>
      <c r="G1346" t="s">
        <v>27</v>
      </c>
      <c r="H1346" t="s">
        <v>28</v>
      </c>
      <c r="I1346" s="8" t="str">
        <f>IF(Tabla2[[#This Row],[precio_unitario]]&lt;=30,"Económico",IF(Tabla2[[#This Row],[precio_unitario]]&lt;=58.49,"Accesible","Caro"))</f>
        <v>Económico</v>
      </c>
      <c r="J1346" t="s">
        <v>26</v>
      </c>
      <c r="K1346">
        <v>8</v>
      </c>
      <c r="L1346" s="19">
        <v>16.22</v>
      </c>
      <c r="M1346" s="19">
        <v>11.61</v>
      </c>
      <c r="N1346" s="11">
        <v>0</v>
      </c>
      <c r="O1346" s="17">
        <f t="shared" si="83"/>
        <v>129.76</v>
      </c>
      <c r="P1346" s="17">
        <f t="shared" ref="P1346:P1409" si="84">M1346*K1346</f>
        <v>92.88</v>
      </c>
      <c r="Q1346" s="17">
        <f t="shared" ref="Q1346:Q1409" si="85">O1346-P1346</f>
        <v>36.879999999999995</v>
      </c>
      <c r="R1346" s="24">
        <f t="shared" ref="R1346:R1409" si="86">IFERROR(Q1346/O1346,0)</f>
        <v>0.28421701602959309</v>
      </c>
      <c r="S1346" t="s">
        <v>63</v>
      </c>
      <c r="T1346" t="s">
        <v>60</v>
      </c>
    </row>
    <row r="1347" spans="1:20">
      <c r="A1347" t="s">
        <v>1416</v>
      </c>
      <c r="B1347" s="5">
        <v>45998</v>
      </c>
      <c r="C1347" s="8">
        <f>YEAR(Tabla2[[#This Row],[fecha]])</f>
        <v>2025</v>
      </c>
      <c r="D1347" s="8">
        <f>MONTH(Tabla2[[#This Row],[fecha]])</f>
        <v>12</v>
      </c>
      <c r="E1347" s="8" t="str">
        <f>TEXT(Tabla2[[#This Row],[fecha]], "mmmm")</f>
        <v>diciembre</v>
      </c>
      <c r="F1347" s="8" t="str">
        <f>"T"&amp;ROUNDUP(Tabla2[[#This Row],[mes]]/3,0)</f>
        <v>T4</v>
      </c>
      <c r="G1347" t="s">
        <v>9</v>
      </c>
      <c r="H1347" t="s">
        <v>10</v>
      </c>
      <c r="I1347" s="8" t="str">
        <f>IF(Tabla2[[#This Row],[precio_unitario]]&lt;=30,"Económico",IF(Tabla2[[#This Row],[precio_unitario]]&lt;=58.49,"Accesible","Caro"))</f>
        <v>Caro</v>
      </c>
      <c r="J1347" t="s">
        <v>8</v>
      </c>
      <c r="K1347">
        <v>1</v>
      </c>
      <c r="L1347" s="19">
        <v>74.33</v>
      </c>
      <c r="M1347" s="19">
        <v>49.49</v>
      </c>
      <c r="N1347" s="11">
        <v>0</v>
      </c>
      <c r="O1347" s="17">
        <f t="shared" ref="O1347:O1410" si="87">K1347*L1347*(1-N1347)</f>
        <v>74.33</v>
      </c>
      <c r="P1347" s="17">
        <f t="shared" si="84"/>
        <v>49.49</v>
      </c>
      <c r="Q1347" s="17">
        <f t="shared" si="85"/>
        <v>24.839999999999996</v>
      </c>
      <c r="R1347" s="24">
        <f t="shared" si="86"/>
        <v>0.33418538947934878</v>
      </c>
      <c r="S1347" t="s">
        <v>67</v>
      </c>
      <c r="T1347" t="s">
        <v>64</v>
      </c>
    </row>
    <row r="1348" spans="1:20" hidden="1">
      <c r="A1348" t="s">
        <v>1417</v>
      </c>
      <c r="B1348" s="5">
        <v>45990</v>
      </c>
      <c r="C1348" s="8">
        <f>YEAR(Tabla2[[#This Row],[fecha]])</f>
        <v>2025</v>
      </c>
      <c r="D1348" s="8">
        <f>MONTH(Tabla2[[#This Row],[fecha]])</f>
        <v>11</v>
      </c>
      <c r="E1348" s="8" t="str">
        <f>TEXT(Tabla2[[#This Row],[fecha]], "mmmm")</f>
        <v>noviembre</v>
      </c>
      <c r="F1348" s="8" t="str">
        <f>"T"&amp;ROUNDUP(Tabla2[[#This Row],[mes]]/3,0)</f>
        <v>T4</v>
      </c>
      <c r="G1348" t="s">
        <v>6</v>
      </c>
      <c r="H1348" t="s">
        <v>7</v>
      </c>
      <c r="I1348" s="8" t="str">
        <f>IF(Tabla2[[#This Row],[precio_unitario]]&lt;=30,"Económico",IF(Tabla2[[#This Row],[precio_unitario]]&lt;=58.49,"Accesible","Caro"))</f>
        <v>Caro</v>
      </c>
      <c r="J1348" t="s">
        <v>8</v>
      </c>
      <c r="K1348">
        <v>5</v>
      </c>
      <c r="L1348" s="19">
        <v>130.69</v>
      </c>
      <c r="M1348" s="19">
        <v>83.8</v>
      </c>
      <c r="N1348" s="11">
        <v>0</v>
      </c>
      <c r="O1348" s="17">
        <f t="shared" si="87"/>
        <v>653.45000000000005</v>
      </c>
      <c r="P1348" s="17">
        <f t="shared" si="84"/>
        <v>419</v>
      </c>
      <c r="Q1348" s="17">
        <f t="shared" si="85"/>
        <v>234.45000000000005</v>
      </c>
      <c r="R1348" s="24">
        <f t="shared" si="86"/>
        <v>0.35878797153569519</v>
      </c>
      <c r="S1348" t="s">
        <v>101</v>
      </c>
      <c r="T1348" t="s">
        <v>60</v>
      </c>
    </row>
    <row r="1349" spans="1:20" hidden="1">
      <c r="A1349" t="s">
        <v>1418</v>
      </c>
      <c r="B1349" s="5">
        <v>45732</v>
      </c>
      <c r="C1349" s="8">
        <f>YEAR(Tabla2[[#This Row],[fecha]])</f>
        <v>2025</v>
      </c>
      <c r="D1349" s="8">
        <f>MONTH(Tabla2[[#This Row],[fecha]])</f>
        <v>3</v>
      </c>
      <c r="E1349" s="8" t="str">
        <f>TEXT(Tabla2[[#This Row],[fecha]], "mmmm")</f>
        <v>marzo</v>
      </c>
      <c r="F1349" s="8" t="str">
        <f>"T"&amp;ROUNDUP(Tabla2[[#This Row],[mes]]/3,0)</f>
        <v>T1</v>
      </c>
      <c r="G1349" t="s">
        <v>20</v>
      </c>
      <c r="H1349" t="s">
        <v>21</v>
      </c>
      <c r="I1349" s="8" t="str">
        <f>IF(Tabla2[[#This Row],[precio_unitario]]&lt;=30,"Económico",IF(Tabla2[[#This Row],[precio_unitario]]&lt;=58.49,"Accesible","Caro"))</f>
        <v>Económico</v>
      </c>
      <c r="J1349" t="s">
        <v>17</v>
      </c>
      <c r="K1349">
        <v>3</v>
      </c>
      <c r="L1349" s="19">
        <v>20.57</v>
      </c>
      <c r="M1349" s="19">
        <v>12.98</v>
      </c>
      <c r="N1349" s="13">
        <v>0</v>
      </c>
      <c r="O1349" s="17">
        <f t="shared" si="87"/>
        <v>61.71</v>
      </c>
      <c r="P1349" s="17">
        <f t="shared" si="84"/>
        <v>38.94</v>
      </c>
      <c r="Q1349" s="17">
        <f t="shared" si="85"/>
        <v>22.770000000000003</v>
      </c>
      <c r="R1349" s="24">
        <f t="shared" si="86"/>
        <v>0.36898395721925137</v>
      </c>
      <c r="S1349" t="s">
        <v>540</v>
      </c>
      <c r="T1349" t="s">
        <v>60</v>
      </c>
    </row>
    <row r="1350" spans="1:20" hidden="1">
      <c r="A1350" t="s">
        <v>1419</v>
      </c>
      <c r="B1350" s="5">
        <v>45417</v>
      </c>
      <c r="C1350" s="8">
        <f>YEAR(Tabla2[[#This Row],[fecha]])</f>
        <v>2024</v>
      </c>
      <c r="D1350" s="8">
        <f>MONTH(Tabla2[[#This Row],[fecha]])</f>
        <v>5</v>
      </c>
      <c r="E1350" s="8" t="str">
        <f>TEXT(Tabla2[[#This Row],[fecha]], "mmmm")</f>
        <v>mayo</v>
      </c>
      <c r="F1350" s="8" t="str">
        <f>"T"&amp;ROUNDUP(Tabla2[[#This Row],[mes]]/3,0)</f>
        <v>T2</v>
      </c>
      <c r="G1350" t="s">
        <v>9</v>
      </c>
      <c r="H1350" t="s">
        <v>10</v>
      </c>
      <c r="I1350" s="8" t="str">
        <f>IF(Tabla2[[#This Row],[precio_unitario]]&lt;=30,"Económico",IF(Tabla2[[#This Row],[precio_unitario]]&lt;=58.49,"Accesible","Caro"))</f>
        <v>Caro</v>
      </c>
      <c r="J1350" t="s">
        <v>8</v>
      </c>
      <c r="K1350">
        <v>3</v>
      </c>
      <c r="L1350" s="19">
        <v>78.7</v>
      </c>
      <c r="M1350" s="19">
        <v>48.36</v>
      </c>
      <c r="N1350" s="11">
        <v>0</v>
      </c>
      <c r="O1350" s="17">
        <f t="shared" si="87"/>
        <v>236.10000000000002</v>
      </c>
      <c r="P1350" s="17">
        <f t="shared" si="84"/>
        <v>145.07999999999998</v>
      </c>
      <c r="Q1350" s="17">
        <f t="shared" si="85"/>
        <v>91.020000000000039</v>
      </c>
      <c r="R1350" s="24">
        <f t="shared" si="86"/>
        <v>0.3855146124523508</v>
      </c>
      <c r="S1350" t="s">
        <v>96</v>
      </c>
      <c r="T1350" t="s">
        <v>60</v>
      </c>
    </row>
    <row r="1351" spans="1:20" hidden="1">
      <c r="A1351" t="s">
        <v>1420</v>
      </c>
      <c r="B1351" s="5">
        <v>45384</v>
      </c>
      <c r="C1351" s="8">
        <f>YEAR(Tabla2[[#This Row],[fecha]])</f>
        <v>2024</v>
      </c>
      <c r="D1351" s="8">
        <f>MONTH(Tabla2[[#This Row],[fecha]])</f>
        <v>4</v>
      </c>
      <c r="E1351" s="8" t="str">
        <f>TEXT(Tabla2[[#This Row],[fecha]], "mmmm")</f>
        <v>abril</v>
      </c>
      <c r="F1351" s="8" t="str">
        <f>"T"&amp;ROUNDUP(Tabla2[[#This Row],[mes]]/3,0)</f>
        <v>T2</v>
      </c>
      <c r="G1351" t="s">
        <v>22</v>
      </c>
      <c r="H1351" t="s">
        <v>23</v>
      </c>
      <c r="I1351" s="8" t="str">
        <f>IF(Tabla2[[#This Row],[precio_unitario]]&lt;=30,"Económico",IF(Tabla2[[#This Row],[precio_unitario]]&lt;=58.49,"Accesible","Caro"))</f>
        <v>Caro</v>
      </c>
      <c r="J1351" t="s">
        <v>17</v>
      </c>
      <c r="K1351">
        <v>4</v>
      </c>
      <c r="L1351" s="19">
        <v>101.7</v>
      </c>
      <c r="M1351" s="19">
        <v>58.58</v>
      </c>
      <c r="N1351" s="11">
        <v>0</v>
      </c>
      <c r="O1351" s="17">
        <f t="shared" si="87"/>
        <v>406.8</v>
      </c>
      <c r="P1351" s="17">
        <f t="shared" si="84"/>
        <v>234.32</v>
      </c>
      <c r="Q1351" s="17">
        <f t="shared" si="85"/>
        <v>172.48000000000002</v>
      </c>
      <c r="R1351" s="24">
        <f t="shared" si="86"/>
        <v>0.42399213372664701</v>
      </c>
      <c r="S1351" t="s">
        <v>540</v>
      </c>
      <c r="T1351" t="s">
        <v>60</v>
      </c>
    </row>
    <row r="1352" spans="1:20">
      <c r="A1352" t="s">
        <v>1421</v>
      </c>
      <c r="B1352" s="5">
        <v>45766</v>
      </c>
      <c r="C1352" s="8">
        <f>YEAR(Tabla2[[#This Row],[fecha]])</f>
        <v>2025</v>
      </c>
      <c r="D1352" s="8">
        <f>MONTH(Tabla2[[#This Row],[fecha]])</f>
        <v>4</v>
      </c>
      <c r="E1352" s="8" t="str">
        <f>TEXT(Tabla2[[#This Row],[fecha]], "mmmm")</f>
        <v>abril</v>
      </c>
      <c r="F1352" s="8" t="str">
        <f>"T"&amp;ROUNDUP(Tabla2[[#This Row],[mes]]/3,0)</f>
        <v>T2</v>
      </c>
      <c r="G1352" t="s">
        <v>22</v>
      </c>
      <c r="H1352" t="s">
        <v>23</v>
      </c>
      <c r="I1352" s="8" t="str">
        <f>IF(Tabla2[[#This Row],[precio_unitario]]&lt;=30,"Económico",IF(Tabla2[[#This Row],[precio_unitario]]&lt;=58.49,"Accesible","Caro"))</f>
        <v>Caro</v>
      </c>
      <c r="J1352" t="s">
        <v>17</v>
      </c>
      <c r="K1352">
        <v>1</v>
      </c>
      <c r="L1352" s="19">
        <v>105.23</v>
      </c>
      <c r="M1352" s="19">
        <v>59.52</v>
      </c>
      <c r="N1352" s="11">
        <v>0</v>
      </c>
      <c r="O1352" s="17">
        <f t="shared" si="87"/>
        <v>105.23</v>
      </c>
      <c r="P1352" s="17">
        <f t="shared" si="84"/>
        <v>59.52</v>
      </c>
      <c r="Q1352" s="17">
        <f t="shared" si="85"/>
        <v>45.71</v>
      </c>
      <c r="R1352" s="24">
        <f t="shared" si="86"/>
        <v>0.4343818302765371</v>
      </c>
      <c r="S1352" t="s">
        <v>67</v>
      </c>
      <c r="T1352" t="s">
        <v>60</v>
      </c>
    </row>
    <row r="1353" spans="1:20" hidden="1">
      <c r="A1353" t="s">
        <v>1422</v>
      </c>
      <c r="B1353" s="5">
        <v>45588</v>
      </c>
      <c r="C1353" s="8">
        <f>YEAR(Tabla2[[#This Row],[fecha]])</f>
        <v>2024</v>
      </c>
      <c r="D1353" s="8">
        <f>MONTH(Tabla2[[#This Row],[fecha]])</f>
        <v>10</v>
      </c>
      <c r="E1353" s="8" t="str">
        <f>TEXT(Tabla2[[#This Row],[fecha]], "mmmm")</f>
        <v>octubre</v>
      </c>
      <c r="F1353" s="8" t="str">
        <f>"T"&amp;ROUNDUP(Tabla2[[#This Row],[mes]]/3,0)</f>
        <v>T4</v>
      </c>
      <c r="G1353" t="s">
        <v>49</v>
      </c>
      <c r="H1353" t="s">
        <v>50</v>
      </c>
      <c r="I1353" s="8" t="str">
        <f>IF(Tabla2[[#This Row],[precio_unitario]]&lt;=30,"Económico",IF(Tabla2[[#This Row],[precio_unitario]]&lt;=58.49,"Accesible","Caro"))</f>
        <v>Accesible</v>
      </c>
      <c r="J1353" t="s">
        <v>44</v>
      </c>
      <c r="K1353">
        <v>1</v>
      </c>
      <c r="L1353" s="19">
        <v>58.13</v>
      </c>
      <c r="M1353" s="19">
        <v>32.94</v>
      </c>
      <c r="N1353" s="11">
        <v>0</v>
      </c>
      <c r="O1353" s="17">
        <f t="shared" si="87"/>
        <v>58.13</v>
      </c>
      <c r="P1353" s="17">
        <f t="shared" si="84"/>
        <v>32.94</v>
      </c>
      <c r="Q1353" s="17">
        <f t="shared" si="85"/>
        <v>25.190000000000005</v>
      </c>
      <c r="R1353" s="24">
        <f t="shared" si="86"/>
        <v>0.43333906760708762</v>
      </c>
      <c r="S1353" t="s">
        <v>83</v>
      </c>
      <c r="T1353" t="s">
        <v>60</v>
      </c>
    </row>
    <row r="1354" spans="1:20" hidden="1">
      <c r="A1354" t="s">
        <v>1423</v>
      </c>
      <c r="B1354" s="5">
        <v>45676</v>
      </c>
      <c r="C1354" s="8">
        <f>YEAR(Tabla2[[#This Row],[fecha]])</f>
        <v>2025</v>
      </c>
      <c r="D1354" s="8">
        <f>MONTH(Tabla2[[#This Row],[fecha]])</f>
        <v>1</v>
      </c>
      <c r="E1354" s="8" t="str">
        <f>TEXT(Tabla2[[#This Row],[fecha]], "mmmm")</f>
        <v>enero</v>
      </c>
      <c r="F1354" s="8" t="str">
        <f>"T"&amp;ROUNDUP(Tabla2[[#This Row],[mes]]/3,0)</f>
        <v>T1</v>
      </c>
      <c r="G1354" t="s">
        <v>47</v>
      </c>
      <c r="H1354" t="s">
        <v>48</v>
      </c>
      <c r="I1354" s="8" t="str">
        <f>IF(Tabla2[[#This Row],[precio_unitario]]&lt;=30,"Económico",IF(Tabla2[[#This Row],[precio_unitario]]&lt;=58.49,"Accesible","Caro"))</f>
        <v>Caro</v>
      </c>
      <c r="J1354" t="s">
        <v>44</v>
      </c>
      <c r="K1354">
        <v>1</v>
      </c>
      <c r="L1354" s="19">
        <v>58.53</v>
      </c>
      <c r="M1354" s="21">
        <f>INDEX(Tabla3[coste_objetivo], MATCH(Tabla2[[#This Row],[id_producto]], Tabla3[id_producto],0))</f>
        <v>32.68</v>
      </c>
      <c r="N1354" s="11">
        <v>0</v>
      </c>
      <c r="O1354" s="17">
        <f t="shared" si="87"/>
        <v>58.53</v>
      </c>
      <c r="P1354" s="17">
        <f t="shared" si="84"/>
        <v>32.68</v>
      </c>
      <c r="Q1354" s="17">
        <f t="shared" si="85"/>
        <v>25.85</v>
      </c>
      <c r="R1354" s="24">
        <f t="shared" si="86"/>
        <v>0.44165385272509827</v>
      </c>
      <c r="S1354" t="s">
        <v>63</v>
      </c>
      <c r="T1354" t="s">
        <v>64</v>
      </c>
    </row>
    <row r="1355" spans="1:20" hidden="1">
      <c r="A1355" t="s">
        <v>1424</v>
      </c>
      <c r="B1355" s="5">
        <v>45667</v>
      </c>
      <c r="C1355" s="8">
        <f>YEAR(Tabla2[[#This Row],[fecha]])</f>
        <v>2025</v>
      </c>
      <c r="D1355" s="8">
        <f>MONTH(Tabla2[[#This Row],[fecha]])</f>
        <v>1</v>
      </c>
      <c r="E1355" s="8" t="str">
        <f>TEXT(Tabla2[[#This Row],[fecha]], "mmmm")</f>
        <v>enero</v>
      </c>
      <c r="F1355" s="8" t="str">
        <f>"T"&amp;ROUNDUP(Tabla2[[#This Row],[mes]]/3,0)</f>
        <v>T1</v>
      </c>
      <c r="G1355" t="s">
        <v>20</v>
      </c>
      <c r="H1355" t="s">
        <v>21</v>
      </c>
      <c r="I1355" s="8" t="str">
        <f>IF(Tabla2[[#This Row],[precio_unitario]]&lt;=30,"Económico",IF(Tabla2[[#This Row],[precio_unitario]]&lt;=58.49,"Accesible","Caro"))</f>
        <v>Económico</v>
      </c>
      <c r="J1355" t="s">
        <v>17</v>
      </c>
      <c r="K1355">
        <v>1</v>
      </c>
      <c r="L1355" s="19">
        <v>18.75</v>
      </c>
      <c r="M1355" s="19">
        <v>12.34</v>
      </c>
      <c r="N1355" s="11">
        <v>0</v>
      </c>
      <c r="O1355" s="17">
        <f t="shared" si="87"/>
        <v>18.75</v>
      </c>
      <c r="P1355" s="17">
        <f t="shared" si="84"/>
        <v>12.34</v>
      </c>
      <c r="Q1355" s="17">
        <f t="shared" si="85"/>
        <v>6.41</v>
      </c>
      <c r="R1355" s="24">
        <f t="shared" si="86"/>
        <v>0.34186666666666665</v>
      </c>
      <c r="S1355" t="s">
        <v>83</v>
      </c>
      <c r="T1355" t="s">
        <v>64</v>
      </c>
    </row>
    <row r="1356" spans="1:20" hidden="1">
      <c r="A1356" t="s">
        <v>1425</v>
      </c>
      <c r="B1356" s="5">
        <v>45333</v>
      </c>
      <c r="C1356" s="8">
        <f>YEAR(Tabla2[[#This Row],[fecha]])</f>
        <v>2024</v>
      </c>
      <c r="D1356" s="8">
        <f>MONTH(Tabla2[[#This Row],[fecha]])</f>
        <v>2</v>
      </c>
      <c r="E1356" s="8" t="str">
        <f>TEXT(Tabla2[[#This Row],[fecha]], "mmmm")</f>
        <v>febrero</v>
      </c>
      <c r="F1356" s="8" t="str">
        <f>"T"&amp;ROUNDUP(Tabla2[[#This Row],[mes]]/3,0)</f>
        <v>T1</v>
      </c>
      <c r="G1356" t="s">
        <v>40</v>
      </c>
      <c r="H1356" t="s">
        <v>41</v>
      </c>
      <c r="I1356" s="8" t="str">
        <f>IF(Tabla2[[#This Row],[precio_unitario]]&lt;=30,"Económico",IF(Tabla2[[#This Row],[precio_unitario]]&lt;=58.49,"Accesible","Caro"))</f>
        <v>Caro</v>
      </c>
      <c r="J1356" t="s">
        <v>35</v>
      </c>
      <c r="K1356">
        <v>3</v>
      </c>
      <c r="L1356" s="19">
        <v>73.98</v>
      </c>
      <c r="M1356" s="19">
        <v>41.91</v>
      </c>
      <c r="N1356" s="11">
        <v>0.14000000000000001</v>
      </c>
      <c r="O1356" s="17">
        <f t="shared" si="87"/>
        <v>190.86840000000001</v>
      </c>
      <c r="P1356" s="17">
        <f t="shared" si="84"/>
        <v>125.72999999999999</v>
      </c>
      <c r="Q1356" s="17">
        <f t="shared" si="85"/>
        <v>65.138400000000019</v>
      </c>
      <c r="R1356" s="24">
        <f t="shared" si="86"/>
        <v>0.34127388294762262</v>
      </c>
      <c r="S1356" t="s">
        <v>540</v>
      </c>
      <c r="T1356" t="s">
        <v>64</v>
      </c>
    </row>
    <row r="1357" spans="1:20">
      <c r="A1357" t="s">
        <v>1426</v>
      </c>
      <c r="B1357" s="5">
        <v>45724</v>
      </c>
      <c r="C1357" s="8">
        <f>YEAR(Tabla2[[#This Row],[fecha]])</f>
        <v>2025</v>
      </c>
      <c r="D1357" s="8">
        <f>MONTH(Tabla2[[#This Row],[fecha]])</f>
        <v>3</v>
      </c>
      <c r="E1357" s="8" t="str">
        <f>TEXT(Tabla2[[#This Row],[fecha]], "mmmm")</f>
        <v>marzo</v>
      </c>
      <c r="F1357" s="8" t="str">
        <f>"T"&amp;ROUNDUP(Tabla2[[#This Row],[mes]]/3,0)</f>
        <v>T1</v>
      </c>
      <c r="G1357" t="s">
        <v>33</v>
      </c>
      <c r="H1357" t="s">
        <v>34</v>
      </c>
      <c r="I1357" s="8" t="str">
        <f>IF(Tabla2[[#This Row],[precio_unitario]]&lt;=30,"Económico",IF(Tabla2[[#This Row],[precio_unitario]]&lt;=58.49,"Accesible","Caro"))</f>
        <v>Caro</v>
      </c>
      <c r="J1357" t="s">
        <v>35</v>
      </c>
      <c r="K1357">
        <v>3</v>
      </c>
      <c r="L1357" s="19">
        <v>72.13</v>
      </c>
      <c r="M1357" s="19">
        <v>49.51</v>
      </c>
      <c r="N1357" s="13">
        <v>0</v>
      </c>
      <c r="O1357" s="17">
        <f t="shared" si="87"/>
        <v>216.39</v>
      </c>
      <c r="P1357" s="17">
        <f t="shared" si="84"/>
        <v>148.53</v>
      </c>
      <c r="Q1357" s="17">
        <f t="shared" si="85"/>
        <v>67.859999999999985</v>
      </c>
      <c r="R1357" s="24">
        <f t="shared" si="86"/>
        <v>0.31360044364342154</v>
      </c>
      <c r="S1357" t="s">
        <v>67</v>
      </c>
      <c r="T1357" t="s">
        <v>60</v>
      </c>
    </row>
    <row r="1358" spans="1:20" hidden="1">
      <c r="A1358" t="s">
        <v>1427</v>
      </c>
      <c r="B1358" s="5">
        <v>45607</v>
      </c>
      <c r="C1358" s="8">
        <f>YEAR(Tabla2[[#This Row],[fecha]])</f>
        <v>2024</v>
      </c>
      <c r="D1358" s="8">
        <f>MONTH(Tabla2[[#This Row],[fecha]])</f>
        <v>11</v>
      </c>
      <c r="E1358" s="8" t="str">
        <f>TEXT(Tabla2[[#This Row],[fecha]], "mmmm")</f>
        <v>noviembre</v>
      </c>
      <c r="F1358" s="8" t="str">
        <f>"T"&amp;ROUNDUP(Tabla2[[#This Row],[mes]]/3,0)</f>
        <v>T4</v>
      </c>
      <c r="G1358" t="s">
        <v>20</v>
      </c>
      <c r="H1358" t="s">
        <v>21</v>
      </c>
      <c r="I1358" s="8" t="str">
        <f>IF(Tabla2[[#This Row],[precio_unitario]]&lt;=30,"Económico",IF(Tabla2[[#This Row],[precio_unitario]]&lt;=58.49,"Accesible","Caro"))</f>
        <v>Económico</v>
      </c>
      <c r="J1358" t="s">
        <v>17</v>
      </c>
      <c r="K1358">
        <v>2</v>
      </c>
      <c r="L1358" s="19">
        <v>20.39</v>
      </c>
      <c r="M1358" s="19">
        <v>13.07</v>
      </c>
      <c r="N1358" s="11">
        <v>0.16</v>
      </c>
      <c r="O1358" s="17">
        <f t="shared" si="87"/>
        <v>34.255200000000002</v>
      </c>
      <c r="P1358" s="17">
        <f t="shared" si="84"/>
        <v>26.14</v>
      </c>
      <c r="Q1358" s="17">
        <f t="shared" si="85"/>
        <v>8.1152000000000015</v>
      </c>
      <c r="R1358" s="24">
        <f t="shared" si="86"/>
        <v>0.23690417805179947</v>
      </c>
      <c r="S1358" t="s">
        <v>83</v>
      </c>
      <c r="T1358" t="s">
        <v>64</v>
      </c>
    </row>
    <row r="1359" spans="1:20">
      <c r="A1359" t="s">
        <v>1428</v>
      </c>
      <c r="B1359" s="5">
        <v>45724</v>
      </c>
      <c r="C1359" s="8">
        <f>YEAR(Tabla2[[#This Row],[fecha]])</f>
        <v>2025</v>
      </c>
      <c r="D1359" s="8">
        <f>MONTH(Tabla2[[#This Row],[fecha]])</f>
        <v>3</v>
      </c>
      <c r="E1359" s="8" t="str">
        <f>TEXT(Tabla2[[#This Row],[fecha]], "mmmm")</f>
        <v>marzo</v>
      </c>
      <c r="F1359" s="8" t="str">
        <f>"T"&amp;ROUNDUP(Tabla2[[#This Row],[mes]]/3,0)</f>
        <v>T1</v>
      </c>
      <c r="G1359" t="s">
        <v>9</v>
      </c>
      <c r="H1359" t="s">
        <v>10</v>
      </c>
      <c r="I1359" s="8" t="str">
        <f>IF(Tabla2[[#This Row],[precio_unitario]]&lt;=30,"Económico",IF(Tabla2[[#This Row],[precio_unitario]]&lt;=58.49,"Accesible","Caro"))</f>
        <v>Caro</v>
      </c>
      <c r="J1359" t="s">
        <v>8</v>
      </c>
      <c r="K1359">
        <v>3</v>
      </c>
      <c r="L1359" s="19">
        <v>71.180000000000007</v>
      </c>
      <c r="M1359" s="19">
        <v>45.65</v>
      </c>
      <c r="N1359" s="11">
        <v>0</v>
      </c>
      <c r="O1359" s="17">
        <f t="shared" si="87"/>
        <v>213.54000000000002</v>
      </c>
      <c r="P1359" s="17">
        <f t="shared" si="84"/>
        <v>136.94999999999999</v>
      </c>
      <c r="Q1359" s="17">
        <f t="shared" si="85"/>
        <v>76.590000000000032</v>
      </c>
      <c r="R1359" s="24">
        <f t="shared" si="86"/>
        <v>0.35866816521494815</v>
      </c>
      <c r="S1359" t="s">
        <v>67</v>
      </c>
      <c r="T1359" t="s">
        <v>64</v>
      </c>
    </row>
    <row r="1360" spans="1:20" hidden="1">
      <c r="A1360" t="s">
        <v>1429</v>
      </c>
      <c r="B1360" s="5">
        <v>45970</v>
      </c>
      <c r="C1360" s="8">
        <f>YEAR(Tabla2[[#This Row],[fecha]])</f>
        <v>2025</v>
      </c>
      <c r="D1360" s="8">
        <f>MONTH(Tabla2[[#This Row],[fecha]])</f>
        <v>11</v>
      </c>
      <c r="E1360" s="8" t="str">
        <f>TEXT(Tabla2[[#This Row],[fecha]], "mmmm")</f>
        <v>noviembre</v>
      </c>
      <c r="F1360" s="8" t="str">
        <f>"T"&amp;ROUNDUP(Tabla2[[#This Row],[mes]]/3,0)</f>
        <v>T4</v>
      </c>
      <c r="G1360" t="s">
        <v>18</v>
      </c>
      <c r="H1360" t="s">
        <v>19</v>
      </c>
      <c r="I1360" s="8" t="str">
        <f>IF(Tabla2[[#This Row],[precio_unitario]]&lt;=30,"Económico",IF(Tabla2[[#This Row],[precio_unitario]]&lt;=58.49,"Accesible","Caro"))</f>
        <v>Accesible</v>
      </c>
      <c r="J1360" t="s">
        <v>17</v>
      </c>
      <c r="K1360">
        <v>1</v>
      </c>
      <c r="L1360" s="19">
        <v>50.36</v>
      </c>
      <c r="M1360" s="19">
        <v>25.74</v>
      </c>
      <c r="N1360" s="11">
        <v>0.16</v>
      </c>
      <c r="O1360" s="17">
        <f t="shared" si="87"/>
        <v>42.302399999999999</v>
      </c>
      <c r="P1360" s="17">
        <f t="shared" si="84"/>
        <v>25.74</v>
      </c>
      <c r="Q1360" s="17">
        <f t="shared" si="85"/>
        <v>16.5624</v>
      </c>
      <c r="R1360" s="24">
        <f t="shared" si="86"/>
        <v>0.39152388516963577</v>
      </c>
      <c r="S1360" t="s">
        <v>83</v>
      </c>
      <c r="T1360" t="s">
        <v>64</v>
      </c>
    </row>
    <row r="1361" spans="1:20" hidden="1">
      <c r="A1361" t="s">
        <v>1430</v>
      </c>
      <c r="B1361" s="5">
        <v>45607</v>
      </c>
      <c r="C1361" s="8">
        <f>YEAR(Tabla2[[#This Row],[fecha]])</f>
        <v>2024</v>
      </c>
      <c r="D1361" s="8">
        <f>MONTH(Tabla2[[#This Row],[fecha]])</f>
        <v>11</v>
      </c>
      <c r="E1361" s="8" t="str">
        <f>TEXT(Tabla2[[#This Row],[fecha]], "mmmm")</f>
        <v>noviembre</v>
      </c>
      <c r="F1361" s="8" t="str">
        <f>"T"&amp;ROUNDUP(Tabla2[[#This Row],[mes]]/3,0)</f>
        <v>T4</v>
      </c>
      <c r="G1361" t="s">
        <v>11</v>
      </c>
      <c r="H1361" t="s">
        <v>12</v>
      </c>
      <c r="I1361" s="8" t="str">
        <f>IF(Tabla2[[#This Row],[precio_unitario]]&lt;=30,"Económico",IF(Tabla2[[#This Row],[precio_unitario]]&lt;=58.49,"Accesible","Caro"))</f>
        <v>Caro</v>
      </c>
      <c r="J1361" t="s">
        <v>8</v>
      </c>
      <c r="K1361">
        <v>2</v>
      </c>
      <c r="L1361" s="19">
        <v>179.68</v>
      </c>
      <c r="M1361" s="19">
        <v>98.52</v>
      </c>
      <c r="N1361" s="11">
        <v>0</v>
      </c>
      <c r="O1361" s="17">
        <f t="shared" si="87"/>
        <v>359.36</v>
      </c>
      <c r="P1361" s="17">
        <f t="shared" si="84"/>
        <v>197.04</v>
      </c>
      <c r="Q1361" s="17">
        <f t="shared" si="85"/>
        <v>162.32000000000002</v>
      </c>
      <c r="R1361" s="24">
        <f t="shared" si="86"/>
        <v>0.45169189670525384</v>
      </c>
      <c r="S1361" t="s">
        <v>67</v>
      </c>
      <c r="T1361" t="s">
        <v>64</v>
      </c>
    </row>
    <row r="1362" spans="1:20" hidden="1">
      <c r="A1362" t="s">
        <v>1431</v>
      </c>
      <c r="B1362" s="5">
        <v>45511</v>
      </c>
      <c r="C1362" s="8">
        <f>YEAR(Tabla2[[#This Row],[fecha]])</f>
        <v>2024</v>
      </c>
      <c r="D1362" s="8">
        <f>MONTH(Tabla2[[#This Row],[fecha]])</f>
        <v>8</v>
      </c>
      <c r="E1362" s="8" t="str">
        <f>TEXT(Tabla2[[#This Row],[fecha]], "mmmm")</f>
        <v>agosto</v>
      </c>
      <c r="F1362" s="8" t="str">
        <f>"T"&amp;ROUNDUP(Tabla2[[#This Row],[mes]]/3,0)</f>
        <v>T3</v>
      </c>
      <c r="G1362" t="s">
        <v>9</v>
      </c>
      <c r="H1362" t="s">
        <v>10</v>
      </c>
      <c r="I1362" s="8" t="str">
        <f>IF(Tabla2[[#This Row],[precio_unitario]]&lt;=30,"Económico",IF(Tabla2[[#This Row],[precio_unitario]]&lt;=58.49,"Accesible","Caro"))</f>
        <v>Caro</v>
      </c>
      <c r="J1362" t="s">
        <v>8</v>
      </c>
      <c r="K1362">
        <v>5</v>
      </c>
      <c r="L1362" s="19">
        <v>68.66</v>
      </c>
      <c r="M1362" s="19">
        <v>47.43</v>
      </c>
      <c r="N1362" s="11">
        <v>0</v>
      </c>
      <c r="O1362" s="17">
        <f t="shared" si="87"/>
        <v>343.29999999999995</v>
      </c>
      <c r="P1362" s="17">
        <f t="shared" si="84"/>
        <v>237.15</v>
      </c>
      <c r="Q1362" s="17">
        <f t="shared" si="85"/>
        <v>106.14999999999995</v>
      </c>
      <c r="R1362" s="24">
        <f t="shared" si="86"/>
        <v>0.30920477716283123</v>
      </c>
      <c r="S1362" t="s">
        <v>540</v>
      </c>
      <c r="T1362" t="s">
        <v>64</v>
      </c>
    </row>
    <row r="1363" spans="1:20" hidden="1">
      <c r="A1363" t="s">
        <v>1432</v>
      </c>
      <c r="B1363" s="5">
        <v>45387</v>
      </c>
      <c r="C1363" s="8">
        <f>YEAR(Tabla2[[#This Row],[fecha]])</f>
        <v>2024</v>
      </c>
      <c r="D1363" s="8">
        <f>MONTH(Tabla2[[#This Row],[fecha]])</f>
        <v>4</v>
      </c>
      <c r="E1363" s="8" t="str">
        <f>TEXT(Tabla2[[#This Row],[fecha]], "mmmm")</f>
        <v>abril</v>
      </c>
      <c r="F1363" s="8" t="str">
        <f>"T"&amp;ROUNDUP(Tabla2[[#This Row],[mes]]/3,0)</f>
        <v>T2</v>
      </c>
      <c r="G1363" t="s">
        <v>36</v>
      </c>
      <c r="H1363" t="s">
        <v>37</v>
      </c>
      <c r="I1363" s="8" t="str">
        <f>IF(Tabla2[[#This Row],[precio_unitario]]&lt;=30,"Económico",IF(Tabla2[[#This Row],[precio_unitario]]&lt;=58.49,"Accesible","Caro"))</f>
        <v>Económico</v>
      </c>
      <c r="J1363" t="s">
        <v>35</v>
      </c>
      <c r="K1363">
        <v>1</v>
      </c>
      <c r="L1363" s="19">
        <v>13.5</v>
      </c>
      <c r="M1363" s="19">
        <v>9.68</v>
      </c>
      <c r="N1363" s="11">
        <v>0</v>
      </c>
      <c r="O1363" s="17">
        <f t="shared" si="87"/>
        <v>13.5</v>
      </c>
      <c r="P1363" s="17">
        <f t="shared" si="84"/>
        <v>9.68</v>
      </c>
      <c r="Q1363" s="17">
        <f t="shared" si="85"/>
        <v>3.8200000000000003</v>
      </c>
      <c r="R1363" s="24">
        <f t="shared" si="86"/>
        <v>0.28296296296296297</v>
      </c>
      <c r="S1363" t="s">
        <v>540</v>
      </c>
      <c r="T1363" t="s">
        <v>64</v>
      </c>
    </row>
    <row r="1364" spans="1:20" hidden="1">
      <c r="A1364" t="s">
        <v>1433</v>
      </c>
      <c r="B1364" s="5">
        <v>45796</v>
      </c>
      <c r="C1364" s="8">
        <f>YEAR(Tabla2[[#This Row],[fecha]])</f>
        <v>2025</v>
      </c>
      <c r="D1364" s="8">
        <f>MONTH(Tabla2[[#This Row],[fecha]])</f>
        <v>5</v>
      </c>
      <c r="E1364" s="8" t="str">
        <f>TEXT(Tabla2[[#This Row],[fecha]], "mmmm")</f>
        <v>mayo</v>
      </c>
      <c r="F1364" s="8" t="str">
        <f>"T"&amp;ROUNDUP(Tabla2[[#This Row],[mes]]/3,0)</f>
        <v>T2</v>
      </c>
      <c r="G1364" t="s">
        <v>40</v>
      </c>
      <c r="H1364" t="s">
        <v>41</v>
      </c>
      <c r="I1364" s="8" t="str">
        <f>IF(Tabla2[[#This Row],[precio_unitario]]&lt;=30,"Económico",IF(Tabla2[[#This Row],[precio_unitario]]&lt;=58.49,"Accesible","Caro"))</f>
        <v>Caro</v>
      </c>
      <c r="J1364" t="s">
        <v>35</v>
      </c>
      <c r="K1364">
        <v>2</v>
      </c>
      <c r="L1364" s="19">
        <v>77.23</v>
      </c>
      <c r="M1364" s="19">
        <v>41.35</v>
      </c>
      <c r="N1364" s="11">
        <v>0.27</v>
      </c>
      <c r="O1364" s="17">
        <f t="shared" si="87"/>
        <v>112.75580000000001</v>
      </c>
      <c r="P1364" s="17">
        <f t="shared" si="84"/>
        <v>82.7</v>
      </c>
      <c r="Q1364" s="17">
        <f t="shared" si="85"/>
        <v>30.055800000000005</v>
      </c>
      <c r="R1364" s="24">
        <f t="shared" si="86"/>
        <v>0.26655657624707557</v>
      </c>
      <c r="S1364" t="s">
        <v>540</v>
      </c>
      <c r="T1364" t="s">
        <v>64</v>
      </c>
    </row>
    <row r="1365" spans="1:20" hidden="1">
      <c r="A1365" t="s">
        <v>1434</v>
      </c>
      <c r="B1365" s="5">
        <v>45463</v>
      </c>
      <c r="C1365" s="8">
        <f>YEAR(Tabla2[[#This Row],[fecha]])</f>
        <v>2024</v>
      </c>
      <c r="D1365" s="8">
        <f>MONTH(Tabla2[[#This Row],[fecha]])</f>
        <v>6</v>
      </c>
      <c r="E1365" s="8" t="str">
        <f>TEXT(Tabla2[[#This Row],[fecha]], "mmmm")</f>
        <v>junio</v>
      </c>
      <c r="F1365" s="8" t="str">
        <f>"T"&amp;ROUNDUP(Tabla2[[#This Row],[mes]]/3,0)</f>
        <v>T2</v>
      </c>
      <c r="G1365" t="s">
        <v>27</v>
      </c>
      <c r="H1365" t="s">
        <v>28</v>
      </c>
      <c r="I1365" s="8" t="str">
        <f>IF(Tabla2[[#This Row],[precio_unitario]]&lt;=30,"Económico",IF(Tabla2[[#This Row],[precio_unitario]]&lt;=58.49,"Accesible","Caro"))</f>
        <v>Económico</v>
      </c>
      <c r="J1365" t="s">
        <v>26</v>
      </c>
      <c r="K1365">
        <v>3</v>
      </c>
      <c r="L1365" s="19">
        <v>17.37</v>
      </c>
      <c r="M1365" s="19">
        <v>11.19</v>
      </c>
      <c r="N1365" s="11">
        <v>0</v>
      </c>
      <c r="O1365" s="17">
        <f t="shared" si="87"/>
        <v>52.11</v>
      </c>
      <c r="P1365" s="17">
        <f t="shared" si="84"/>
        <v>33.57</v>
      </c>
      <c r="Q1365" s="17">
        <f t="shared" si="85"/>
        <v>18.54</v>
      </c>
      <c r="R1365" s="24">
        <f t="shared" si="86"/>
        <v>0.35578583765112259</v>
      </c>
      <c r="S1365" t="s">
        <v>67</v>
      </c>
      <c r="T1365" t="s">
        <v>64</v>
      </c>
    </row>
    <row r="1366" spans="1:20" hidden="1">
      <c r="A1366" t="s">
        <v>1435</v>
      </c>
      <c r="B1366" s="5">
        <v>45820</v>
      </c>
      <c r="C1366" s="8">
        <f>YEAR(Tabla2[[#This Row],[fecha]])</f>
        <v>2025</v>
      </c>
      <c r="D1366" s="8">
        <f>MONTH(Tabla2[[#This Row],[fecha]])</f>
        <v>6</v>
      </c>
      <c r="E1366" s="8" t="str">
        <f>TEXT(Tabla2[[#This Row],[fecha]], "mmmm")</f>
        <v>junio</v>
      </c>
      <c r="F1366" s="8" t="str">
        <f>"T"&amp;ROUNDUP(Tabla2[[#This Row],[mes]]/3,0)</f>
        <v>T2</v>
      </c>
      <c r="G1366" t="s">
        <v>22</v>
      </c>
      <c r="H1366" t="s">
        <v>23</v>
      </c>
      <c r="I1366" s="8" t="str">
        <f>IF(Tabla2[[#This Row],[precio_unitario]]&lt;=30,"Económico",IF(Tabla2[[#This Row],[precio_unitario]]&lt;=58.49,"Accesible","Caro"))</f>
        <v>Caro</v>
      </c>
      <c r="J1366" t="s">
        <v>17</v>
      </c>
      <c r="K1366">
        <v>2</v>
      </c>
      <c r="L1366" s="19">
        <v>108.98</v>
      </c>
      <c r="M1366" s="19">
        <v>54.63</v>
      </c>
      <c r="N1366" s="11">
        <v>0</v>
      </c>
      <c r="O1366" s="17">
        <f t="shared" si="87"/>
        <v>217.96</v>
      </c>
      <c r="P1366" s="17">
        <f t="shared" si="84"/>
        <v>109.26</v>
      </c>
      <c r="Q1366" s="17">
        <f t="shared" si="85"/>
        <v>108.7</v>
      </c>
      <c r="R1366" s="24">
        <f t="shared" si="86"/>
        <v>0.49871536061662691</v>
      </c>
      <c r="S1366" t="s">
        <v>540</v>
      </c>
      <c r="T1366" t="s">
        <v>64</v>
      </c>
    </row>
    <row r="1367" spans="1:20">
      <c r="A1367" t="s">
        <v>1436</v>
      </c>
      <c r="B1367" s="5">
        <v>45828</v>
      </c>
      <c r="C1367" s="8">
        <f>YEAR(Tabla2[[#This Row],[fecha]])</f>
        <v>2025</v>
      </c>
      <c r="D1367" s="8">
        <f>MONTH(Tabla2[[#This Row],[fecha]])</f>
        <v>6</v>
      </c>
      <c r="E1367" s="8" t="str">
        <f>TEXT(Tabla2[[#This Row],[fecha]], "mmmm")</f>
        <v>junio</v>
      </c>
      <c r="F1367" s="8" t="str">
        <f>"T"&amp;ROUNDUP(Tabla2[[#This Row],[mes]]/3,0)</f>
        <v>T2</v>
      </c>
      <c r="G1367" t="s">
        <v>27</v>
      </c>
      <c r="H1367" t="s">
        <v>28</v>
      </c>
      <c r="I1367" s="8" t="str">
        <f>IF(Tabla2[[#This Row],[precio_unitario]]&lt;=30,"Económico",IF(Tabla2[[#This Row],[precio_unitario]]&lt;=58.49,"Accesible","Caro"))</f>
        <v>Económico</v>
      </c>
      <c r="J1367" t="s">
        <v>26</v>
      </c>
      <c r="K1367">
        <v>1</v>
      </c>
      <c r="L1367" s="19">
        <v>15.61</v>
      </c>
      <c r="M1367" s="19">
        <v>10.93</v>
      </c>
      <c r="N1367" s="11">
        <v>0</v>
      </c>
      <c r="O1367" s="17">
        <f t="shared" si="87"/>
        <v>15.61</v>
      </c>
      <c r="P1367" s="17">
        <f t="shared" si="84"/>
        <v>10.93</v>
      </c>
      <c r="Q1367" s="17">
        <f t="shared" si="85"/>
        <v>4.68</v>
      </c>
      <c r="R1367" s="24">
        <f t="shared" si="86"/>
        <v>0.29980781550288277</v>
      </c>
      <c r="S1367" t="s">
        <v>67</v>
      </c>
      <c r="T1367" t="s">
        <v>64</v>
      </c>
    </row>
    <row r="1368" spans="1:20">
      <c r="A1368" t="s">
        <v>1437</v>
      </c>
      <c r="B1368" s="5">
        <v>45960</v>
      </c>
      <c r="C1368" s="8">
        <f>YEAR(Tabla2[[#This Row],[fecha]])</f>
        <v>2025</v>
      </c>
      <c r="D1368" s="8">
        <f>MONTH(Tabla2[[#This Row],[fecha]])</f>
        <v>10</v>
      </c>
      <c r="E1368" s="8" t="str">
        <f>TEXT(Tabla2[[#This Row],[fecha]], "mmmm")</f>
        <v>octubre</v>
      </c>
      <c r="F1368" s="8" t="str">
        <f>"T"&amp;ROUNDUP(Tabla2[[#This Row],[mes]]/3,0)</f>
        <v>T4</v>
      </c>
      <c r="G1368" t="s">
        <v>24</v>
      </c>
      <c r="H1368" t="s">
        <v>25</v>
      </c>
      <c r="I1368" s="8" t="str">
        <f>IF(Tabla2[[#This Row],[precio_unitario]]&lt;=30,"Económico",IF(Tabla2[[#This Row],[precio_unitario]]&lt;=58.49,"Accesible","Caro"))</f>
        <v>Económico</v>
      </c>
      <c r="J1368" t="s">
        <v>26</v>
      </c>
      <c r="K1368">
        <v>1</v>
      </c>
      <c r="L1368" s="19">
        <v>8.18</v>
      </c>
      <c r="M1368" s="19">
        <v>4.16</v>
      </c>
      <c r="N1368" s="11">
        <v>0</v>
      </c>
      <c r="O1368" s="17">
        <f t="shared" si="87"/>
        <v>8.18</v>
      </c>
      <c r="P1368" s="17">
        <f t="shared" si="84"/>
        <v>4.16</v>
      </c>
      <c r="Q1368" s="17">
        <f t="shared" si="85"/>
        <v>4.0199999999999996</v>
      </c>
      <c r="R1368" s="24">
        <f t="shared" si="86"/>
        <v>0.49144254278728605</v>
      </c>
      <c r="S1368" t="s">
        <v>67</v>
      </c>
      <c r="T1368" t="s">
        <v>60</v>
      </c>
    </row>
    <row r="1369" spans="1:20" hidden="1">
      <c r="A1369" t="s">
        <v>1438</v>
      </c>
      <c r="B1369" s="5">
        <v>45928</v>
      </c>
      <c r="C1369" s="8">
        <f>YEAR(Tabla2[[#This Row],[fecha]])</f>
        <v>2025</v>
      </c>
      <c r="D1369" s="8">
        <f>MONTH(Tabla2[[#This Row],[fecha]])</f>
        <v>9</v>
      </c>
      <c r="E1369" s="8" t="str">
        <f>TEXT(Tabla2[[#This Row],[fecha]], "mmmm")</f>
        <v>septiembre</v>
      </c>
      <c r="F1369" s="8" t="str">
        <f>"T"&amp;ROUNDUP(Tabla2[[#This Row],[mes]]/3,0)</f>
        <v>T3</v>
      </c>
      <c r="G1369" t="s">
        <v>11</v>
      </c>
      <c r="H1369" t="s">
        <v>12</v>
      </c>
      <c r="I1369" s="8" t="str">
        <f>IF(Tabla2[[#This Row],[precio_unitario]]&lt;=30,"Económico",IF(Tabla2[[#This Row],[precio_unitario]]&lt;=58.49,"Accesible","Caro"))</f>
        <v>Caro</v>
      </c>
      <c r="J1369" t="s">
        <v>8</v>
      </c>
      <c r="K1369">
        <v>2</v>
      </c>
      <c r="L1369" s="19">
        <v>178.02</v>
      </c>
      <c r="M1369" s="19">
        <v>97.43</v>
      </c>
      <c r="N1369" s="11">
        <v>0</v>
      </c>
      <c r="O1369" s="17">
        <f t="shared" si="87"/>
        <v>356.04</v>
      </c>
      <c r="P1369" s="17">
        <f t="shared" si="84"/>
        <v>194.86</v>
      </c>
      <c r="Q1369" s="17">
        <f t="shared" si="85"/>
        <v>161.18</v>
      </c>
      <c r="R1369" s="24">
        <f t="shared" si="86"/>
        <v>0.45270194360184246</v>
      </c>
      <c r="S1369" t="s">
        <v>96</v>
      </c>
      <c r="T1369" t="s">
        <v>64</v>
      </c>
    </row>
    <row r="1370" spans="1:20" hidden="1">
      <c r="A1370" t="s">
        <v>1439</v>
      </c>
      <c r="B1370" s="5">
        <v>45426</v>
      </c>
      <c r="C1370" s="8">
        <f>YEAR(Tabla2[[#This Row],[fecha]])</f>
        <v>2024</v>
      </c>
      <c r="D1370" s="8">
        <f>MONTH(Tabla2[[#This Row],[fecha]])</f>
        <v>5</v>
      </c>
      <c r="E1370" s="8" t="str">
        <f>TEXT(Tabla2[[#This Row],[fecha]], "mmmm")</f>
        <v>mayo</v>
      </c>
      <c r="F1370" s="8" t="str">
        <f>"T"&amp;ROUNDUP(Tabla2[[#This Row],[mes]]/3,0)</f>
        <v>T2</v>
      </c>
      <c r="G1370" t="s">
        <v>22</v>
      </c>
      <c r="H1370" t="s">
        <v>23</v>
      </c>
      <c r="I1370" s="8" t="str">
        <f>IF(Tabla2[[#This Row],[precio_unitario]]&lt;=30,"Económico",IF(Tabla2[[#This Row],[precio_unitario]]&lt;=58.49,"Accesible","Caro"))</f>
        <v>Caro</v>
      </c>
      <c r="J1370" t="s">
        <v>17</v>
      </c>
      <c r="K1370">
        <v>2</v>
      </c>
      <c r="L1370" s="19">
        <v>105.83</v>
      </c>
      <c r="M1370" s="19">
        <v>55.19</v>
      </c>
      <c r="N1370" s="11">
        <v>0</v>
      </c>
      <c r="O1370" s="17">
        <f t="shared" si="87"/>
        <v>211.66</v>
      </c>
      <c r="P1370" s="17">
        <f t="shared" si="84"/>
        <v>110.38</v>
      </c>
      <c r="Q1370" s="17">
        <f t="shared" si="85"/>
        <v>101.28</v>
      </c>
      <c r="R1370" s="24">
        <f t="shared" si="86"/>
        <v>0.47850325994519516</v>
      </c>
      <c r="S1370" t="s">
        <v>67</v>
      </c>
      <c r="T1370" t="s">
        <v>64</v>
      </c>
    </row>
    <row r="1371" spans="1:20" hidden="1">
      <c r="A1371" t="s">
        <v>1440</v>
      </c>
      <c r="B1371" s="5">
        <v>45989</v>
      </c>
      <c r="C1371" s="8">
        <f>YEAR(Tabla2[[#This Row],[fecha]])</f>
        <v>2025</v>
      </c>
      <c r="D1371" s="8">
        <f>MONTH(Tabla2[[#This Row],[fecha]])</f>
        <v>11</v>
      </c>
      <c r="E1371" s="8" t="str">
        <f>TEXT(Tabla2[[#This Row],[fecha]], "mmmm")</f>
        <v>noviembre</v>
      </c>
      <c r="F1371" s="8" t="str">
        <f>"T"&amp;ROUNDUP(Tabla2[[#This Row],[mes]]/3,0)</f>
        <v>T4</v>
      </c>
      <c r="G1371" t="s">
        <v>45</v>
      </c>
      <c r="H1371" t="s">
        <v>46</v>
      </c>
      <c r="I1371" s="8" t="str">
        <f>IF(Tabla2[[#This Row],[precio_unitario]]&lt;=30,"Económico",IF(Tabla2[[#This Row],[precio_unitario]]&lt;=58.49,"Accesible","Caro"))</f>
        <v>Accesible</v>
      </c>
      <c r="J1371" t="s">
        <v>44</v>
      </c>
      <c r="K1371">
        <v>2</v>
      </c>
      <c r="L1371" s="19">
        <v>30.66</v>
      </c>
      <c r="M1371" s="19">
        <v>17.72</v>
      </c>
      <c r="N1371" s="11">
        <v>0</v>
      </c>
      <c r="O1371" s="17">
        <f t="shared" si="87"/>
        <v>61.32</v>
      </c>
      <c r="P1371" s="17">
        <f t="shared" si="84"/>
        <v>35.44</v>
      </c>
      <c r="Q1371" s="17">
        <f t="shared" si="85"/>
        <v>25.880000000000003</v>
      </c>
      <c r="R1371" s="24">
        <f t="shared" si="86"/>
        <v>0.42204827136333989</v>
      </c>
      <c r="S1371" t="s">
        <v>101</v>
      </c>
      <c r="T1371" t="s">
        <v>60</v>
      </c>
    </row>
    <row r="1372" spans="1:20" hidden="1">
      <c r="A1372" t="s">
        <v>1441</v>
      </c>
      <c r="B1372" s="5">
        <v>45458</v>
      </c>
      <c r="C1372" s="8">
        <f>YEAR(Tabla2[[#This Row],[fecha]])</f>
        <v>2024</v>
      </c>
      <c r="D1372" s="8">
        <f>MONTH(Tabla2[[#This Row],[fecha]])</f>
        <v>6</v>
      </c>
      <c r="E1372" s="8" t="str">
        <f>TEXT(Tabla2[[#This Row],[fecha]], "mmmm")</f>
        <v>junio</v>
      </c>
      <c r="F1372" s="8" t="str">
        <f>"T"&amp;ROUNDUP(Tabla2[[#This Row],[mes]]/3,0)</f>
        <v>T2</v>
      </c>
      <c r="G1372" t="s">
        <v>47</v>
      </c>
      <c r="H1372" t="s">
        <v>48</v>
      </c>
      <c r="I1372" s="8" t="str">
        <f>IF(Tabla2[[#This Row],[precio_unitario]]&lt;=30,"Económico",IF(Tabla2[[#This Row],[precio_unitario]]&lt;=58.49,"Accesible","Caro"))</f>
        <v>Caro</v>
      </c>
      <c r="J1372" t="s">
        <v>44</v>
      </c>
      <c r="K1372">
        <v>1</v>
      </c>
      <c r="L1372" s="19">
        <v>61.53</v>
      </c>
      <c r="M1372" s="19">
        <v>32.71</v>
      </c>
      <c r="N1372" s="11">
        <v>0</v>
      </c>
      <c r="O1372" s="17">
        <f t="shared" si="87"/>
        <v>61.53</v>
      </c>
      <c r="P1372" s="17">
        <f t="shared" si="84"/>
        <v>32.71</v>
      </c>
      <c r="Q1372" s="17">
        <f t="shared" si="85"/>
        <v>28.82</v>
      </c>
      <c r="R1372" s="24">
        <f t="shared" si="86"/>
        <v>0.46838940354298714</v>
      </c>
      <c r="S1372" t="s">
        <v>67</v>
      </c>
      <c r="T1372" t="s">
        <v>64</v>
      </c>
    </row>
    <row r="1373" spans="1:20" hidden="1">
      <c r="A1373" t="s">
        <v>1442</v>
      </c>
      <c r="B1373" s="5">
        <v>45770</v>
      </c>
      <c r="C1373" s="8">
        <f>YEAR(Tabla2[[#This Row],[fecha]])</f>
        <v>2025</v>
      </c>
      <c r="D1373" s="8">
        <f>MONTH(Tabla2[[#This Row],[fecha]])</f>
        <v>4</v>
      </c>
      <c r="E1373" s="8" t="str">
        <f>TEXT(Tabla2[[#This Row],[fecha]], "mmmm")</f>
        <v>abril</v>
      </c>
      <c r="F1373" s="8" t="str">
        <f>"T"&amp;ROUNDUP(Tabla2[[#This Row],[mes]]/3,0)</f>
        <v>T2</v>
      </c>
      <c r="G1373" t="s">
        <v>27</v>
      </c>
      <c r="H1373" t="s">
        <v>28</v>
      </c>
      <c r="I1373" s="8" t="str">
        <f>IF(Tabla2[[#This Row],[precio_unitario]]&lt;=30,"Económico",IF(Tabla2[[#This Row],[precio_unitario]]&lt;=58.49,"Accesible","Caro"))</f>
        <v>Económico</v>
      </c>
      <c r="J1373" t="s">
        <v>26</v>
      </c>
      <c r="K1373">
        <v>3</v>
      </c>
      <c r="L1373" s="19">
        <v>15.54</v>
      </c>
      <c r="M1373" s="19">
        <v>11.07</v>
      </c>
      <c r="N1373" s="13">
        <v>0</v>
      </c>
      <c r="O1373" s="17">
        <f t="shared" si="87"/>
        <v>46.62</v>
      </c>
      <c r="P1373" s="17">
        <f t="shared" si="84"/>
        <v>33.21</v>
      </c>
      <c r="Q1373" s="17">
        <f t="shared" si="85"/>
        <v>13.409999999999997</v>
      </c>
      <c r="R1373" s="24">
        <f t="shared" si="86"/>
        <v>0.28764478764478757</v>
      </c>
      <c r="S1373" t="s">
        <v>63</v>
      </c>
      <c r="T1373" t="s">
        <v>64</v>
      </c>
    </row>
    <row r="1374" spans="1:20" hidden="1">
      <c r="A1374" t="s">
        <v>1443</v>
      </c>
      <c r="B1374" s="5">
        <v>45964</v>
      </c>
      <c r="C1374" s="8">
        <f>YEAR(Tabla2[[#This Row],[fecha]])</f>
        <v>2025</v>
      </c>
      <c r="D1374" s="8">
        <f>MONTH(Tabla2[[#This Row],[fecha]])</f>
        <v>11</v>
      </c>
      <c r="E1374" s="8" t="str">
        <f>TEXT(Tabla2[[#This Row],[fecha]], "mmmm")</f>
        <v>noviembre</v>
      </c>
      <c r="F1374" s="8" t="str">
        <f>"T"&amp;ROUNDUP(Tabla2[[#This Row],[mes]]/3,0)</f>
        <v>T4</v>
      </c>
      <c r="G1374" t="s">
        <v>20</v>
      </c>
      <c r="H1374" t="s">
        <v>21</v>
      </c>
      <c r="I1374" s="8" t="str">
        <f>IF(Tabla2[[#This Row],[precio_unitario]]&lt;=30,"Económico",IF(Tabla2[[#This Row],[precio_unitario]]&lt;=58.49,"Accesible","Caro"))</f>
        <v>Económico</v>
      </c>
      <c r="J1374" t="s">
        <v>17</v>
      </c>
      <c r="K1374">
        <v>1</v>
      </c>
      <c r="L1374" s="19">
        <v>19.88</v>
      </c>
      <c r="M1374" s="19">
        <v>13.16</v>
      </c>
      <c r="N1374" s="11">
        <v>0</v>
      </c>
      <c r="O1374" s="17">
        <f t="shared" si="87"/>
        <v>19.88</v>
      </c>
      <c r="P1374" s="17">
        <f t="shared" si="84"/>
        <v>13.16</v>
      </c>
      <c r="Q1374" s="17">
        <f t="shared" si="85"/>
        <v>6.7199999999999989</v>
      </c>
      <c r="R1374" s="24">
        <f t="shared" si="86"/>
        <v>0.33802816901408445</v>
      </c>
      <c r="S1374" t="s">
        <v>101</v>
      </c>
      <c r="T1374" t="s">
        <v>64</v>
      </c>
    </row>
    <row r="1375" spans="1:20" hidden="1">
      <c r="A1375" t="s">
        <v>1444</v>
      </c>
      <c r="B1375" s="5">
        <v>45524</v>
      </c>
      <c r="C1375" s="8">
        <f>YEAR(Tabla2[[#This Row],[fecha]])</f>
        <v>2024</v>
      </c>
      <c r="D1375" s="8">
        <f>MONTH(Tabla2[[#This Row],[fecha]])</f>
        <v>8</v>
      </c>
      <c r="E1375" s="8" t="str">
        <f>TEXT(Tabla2[[#This Row],[fecha]], "mmmm")</f>
        <v>agosto</v>
      </c>
      <c r="F1375" s="8" t="str">
        <f>"T"&amp;ROUNDUP(Tabla2[[#This Row],[mes]]/3,0)</f>
        <v>T3</v>
      </c>
      <c r="G1375" t="s">
        <v>20</v>
      </c>
      <c r="H1375" t="s">
        <v>21</v>
      </c>
      <c r="I1375" s="8" t="str">
        <f>IF(Tabla2[[#This Row],[precio_unitario]]&lt;=30,"Económico",IF(Tabla2[[#This Row],[precio_unitario]]&lt;=58.49,"Accesible","Caro"))</f>
        <v>Económico</v>
      </c>
      <c r="J1375" t="s">
        <v>17</v>
      </c>
      <c r="K1375">
        <v>1</v>
      </c>
      <c r="L1375" s="19">
        <v>18.559999999999999</v>
      </c>
      <c r="M1375" s="19">
        <v>12.59</v>
      </c>
      <c r="N1375" s="11">
        <v>0</v>
      </c>
      <c r="O1375" s="17">
        <f t="shared" si="87"/>
        <v>18.559999999999999</v>
      </c>
      <c r="P1375" s="17">
        <f t="shared" si="84"/>
        <v>12.59</v>
      </c>
      <c r="Q1375" s="17">
        <f t="shared" si="85"/>
        <v>5.9699999999999989</v>
      </c>
      <c r="R1375" s="24">
        <f t="shared" si="86"/>
        <v>0.32165948275862066</v>
      </c>
      <c r="S1375" t="s">
        <v>67</v>
      </c>
      <c r="T1375" t="s">
        <v>64</v>
      </c>
    </row>
    <row r="1376" spans="1:20" hidden="1">
      <c r="A1376" t="s">
        <v>1445</v>
      </c>
      <c r="B1376" s="5">
        <v>45523</v>
      </c>
      <c r="C1376" s="8">
        <f>YEAR(Tabla2[[#This Row],[fecha]])</f>
        <v>2024</v>
      </c>
      <c r="D1376" s="8">
        <f>MONTH(Tabla2[[#This Row],[fecha]])</f>
        <v>8</v>
      </c>
      <c r="E1376" s="8" t="str">
        <f>TEXT(Tabla2[[#This Row],[fecha]], "mmmm")</f>
        <v>agosto</v>
      </c>
      <c r="F1376" s="8" t="str">
        <f>"T"&amp;ROUNDUP(Tabla2[[#This Row],[mes]]/3,0)</f>
        <v>T3</v>
      </c>
      <c r="G1376" t="s">
        <v>49</v>
      </c>
      <c r="H1376" t="s">
        <v>50</v>
      </c>
      <c r="I1376" s="8" t="str">
        <f>IF(Tabla2[[#This Row],[precio_unitario]]&lt;=30,"Económico",IF(Tabla2[[#This Row],[precio_unitario]]&lt;=58.49,"Accesible","Caro"))</f>
        <v>Caro</v>
      </c>
      <c r="J1376" t="s">
        <v>44</v>
      </c>
      <c r="K1376">
        <v>1</v>
      </c>
      <c r="L1376" s="19">
        <v>61.38</v>
      </c>
      <c r="M1376" s="19">
        <v>34.99</v>
      </c>
      <c r="N1376" s="11">
        <v>0</v>
      </c>
      <c r="O1376" s="17">
        <f t="shared" si="87"/>
        <v>61.38</v>
      </c>
      <c r="P1376" s="17">
        <f t="shared" si="84"/>
        <v>34.99</v>
      </c>
      <c r="Q1376" s="17">
        <f t="shared" si="85"/>
        <v>26.39</v>
      </c>
      <c r="R1376" s="24">
        <f t="shared" si="86"/>
        <v>0.42994460736396217</v>
      </c>
      <c r="S1376" t="s">
        <v>96</v>
      </c>
      <c r="T1376" t="s">
        <v>64</v>
      </c>
    </row>
    <row r="1377" spans="1:20" hidden="1">
      <c r="A1377" t="s">
        <v>1446</v>
      </c>
      <c r="B1377" s="5">
        <v>45627</v>
      </c>
      <c r="C1377" s="8">
        <f>YEAR(Tabla2[[#This Row],[fecha]])</f>
        <v>2024</v>
      </c>
      <c r="D1377" s="8">
        <f>MONTH(Tabla2[[#This Row],[fecha]])</f>
        <v>12</v>
      </c>
      <c r="E1377" s="8" t="str">
        <f>TEXT(Tabla2[[#This Row],[fecha]], "mmmm")</f>
        <v>diciembre</v>
      </c>
      <c r="F1377" s="8" t="str">
        <f>"T"&amp;ROUNDUP(Tabla2[[#This Row],[mes]]/3,0)</f>
        <v>T4</v>
      </c>
      <c r="G1377" t="s">
        <v>6</v>
      </c>
      <c r="H1377" t="s">
        <v>7</v>
      </c>
      <c r="I1377" s="8" t="str">
        <f>IF(Tabla2[[#This Row],[precio_unitario]]&lt;=30,"Económico",IF(Tabla2[[#This Row],[precio_unitario]]&lt;=58.49,"Accesible","Caro"))</f>
        <v>Caro</v>
      </c>
      <c r="J1377" t="s">
        <v>8</v>
      </c>
      <c r="K1377">
        <v>5</v>
      </c>
      <c r="L1377" s="19">
        <v>117.77</v>
      </c>
      <c r="M1377" s="19">
        <v>81.77</v>
      </c>
      <c r="N1377" s="11">
        <v>0.23</v>
      </c>
      <c r="O1377" s="17">
        <f t="shared" si="87"/>
        <v>453.41450000000003</v>
      </c>
      <c r="P1377" s="17">
        <f t="shared" si="84"/>
        <v>408.84999999999997</v>
      </c>
      <c r="Q1377" s="17">
        <f t="shared" si="85"/>
        <v>44.564500000000066</v>
      </c>
      <c r="R1377" s="24">
        <f t="shared" si="86"/>
        <v>9.8286446507555594E-2</v>
      </c>
      <c r="S1377" t="s">
        <v>67</v>
      </c>
      <c r="T1377" t="s">
        <v>60</v>
      </c>
    </row>
    <row r="1378" spans="1:20" hidden="1">
      <c r="A1378" t="s">
        <v>1447</v>
      </c>
      <c r="B1378" s="15"/>
      <c r="C1378" s="8">
        <f>YEAR(Tabla2[[#This Row],[fecha]])</f>
        <v>1900</v>
      </c>
      <c r="D1378" s="8">
        <f>MONTH(Tabla2[[#This Row],[fecha]])</f>
        <v>1</v>
      </c>
      <c r="E1378" s="8" t="str">
        <f>TEXT(Tabla2[[#This Row],[fecha]], "mmmm")</f>
        <v>enero</v>
      </c>
      <c r="F1378" s="8" t="str">
        <f>"T"&amp;ROUNDUP(Tabla2[[#This Row],[mes]]/3,0)</f>
        <v>T1</v>
      </c>
      <c r="G1378" t="s">
        <v>42</v>
      </c>
      <c r="H1378" t="s">
        <v>43</v>
      </c>
      <c r="I1378" s="8" t="str">
        <f>IF(Tabla2[[#This Row],[precio_unitario]]&lt;=30,"Económico",IF(Tabla2[[#This Row],[precio_unitario]]&lt;=58.49,"Accesible","Caro"))</f>
        <v>Accesible</v>
      </c>
      <c r="J1378" t="s">
        <v>44</v>
      </c>
      <c r="K1378">
        <v>1</v>
      </c>
      <c r="L1378" s="19">
        <v>49.57</v>
      </c>
      <c r="M1378" s="19">
        <v>22.41</v>
      </c>
      <c r="N1378" s="11">
        <v>0.09</v>
      </c>
      <c r="O1378" s="17">
        <f t="shared" si="87"/>
        <v>45.108699999999999</v>
      </c>
      <c r="P1378" s="17">
        <f t="shared" si="84"/>
        <v>22.41</v>
      </c>
      <c r="Q1378" s="17">
        <f t="shared" si="85"/>
        <v>22.698699999999999</v>
      </c>
      <c r="R1378" s="24">
        <f t="shared" si="86"/>
        <v>0.5032000478843327</v>
      </c>
      <c r="S1378" t="s">
        <v>63</v>
      </c>
      <c r="T1378" t="s">
        <v>60</v>
      </c>
    </row>
    <row r="1379" spans="1:20" hidden="1">
      <c r="A1379" t="s">
        <v>1448</v>
      </c>
      <c r="B1379" s="5">
        <v>45437</v>
      </c>
      <c r="C1379" s="8">
        <f>YEAR(Tabla2[[#This Row],[fecha]])</f>
        <v>2024</v>
      </c>
      <c r="D1379" s="8">
        <f>MONTH(Tabla2[[#This Row],[fecha]])</f>
        <v>5</v>
      </c>
      <c r="E1379" s="8" t="str">
        <f>TEXT(Tabla2[[#This Row],[fecha]], "mmmm")</f>
        <v>mayo</v>
      </c>
      <c r="F1379" s="8" t="str">
        <f>"T"&amp;ROUNDUP(Tabla2[[#This Row],[mes]]/3,0)</f>
        <v>T2</v>
      </c>
      <c r="G1379" t="s">
        <v>38</v>
      </c>
      <c r="H1379" t="s">
        <v>39</v>
      </c>
      <c r="I1379" s="8" t="str">
        <f>IF(Tabla2[[#This Row],[precio_unitario]]&lt;=30,"Económico",IF(Tabla2[[#This Row],[precio_unitario]]&lt;=58.49,"Accesible","Caro"))</f>
        <v>Caro</v>
      </c>
      <c r="J1379" t="s">
        <v>35</v>
      </c>
      <c r="K1379">
        <v>2</v>
      </c>
      <c r="L1379" s="19">
        <v>83.7</v>
      </c>
      <c r="M1379" s="19">
        <v>44.42</v>
      </c>
      <c r="N1379" s="11">
        <v>0.24</v>
      </c>
      <c r="O1379" s="17">
        <f t="shared" si="87"/>
        <v>127.224</v>
      </c>
      <c r="P1379" s="17">
        <f t="shared" si="84"/>
        <v>88.84</v>
      </c>
      <c r="Q1379" s="17">
        <f t="shared" si="85"/>
        <v>38.384</v>
      </c>
      <c r="R1379" s="24">
        <f t="shared" si="86"/>
        <v>0.30170408099100798</v>
      </c>
      <c r="S1379" t="s">
        <v>101</v>
      </c>
      <c r="T1379" t="s">
        <v>64</v>
      </c>
    </row>
    <row r="1380" spans="1:20">
      <c r="A1380" t="s">
        <v>1449</v>
      </c>
      <c r="B1380" s="5">
        <v>45670</v>
      </c>
      <c r="C1380" s="8">
        <f>YEAR(Tabla2[[#This Row],[fecha]])</f>
        <v>2025</v>
      </c>
      <c r="D1380" s="8">
        <f>MONTH(Tabla2[[#This Row],[fecha]])</f>
        <v>1</v>
      </c>
      <c r="E1380" s="8" t="str">
        <f>TEXT(Tabla2[[#This Row],[fecha]], "mmmm")</f>
        <v>enero</v>
      </c>
      <c r="F1380" s="8" t="str">
        <f>"T"&amp;ROUNDUP(Tabla2[[#This Row],[mes]]/3,0)</f>
        <v>T1</v>
      </c>
      <c r="G1380" t="s">
        <v>33</v>
      </c>
      <c r="H1380" t="s">
        <v>34</v>
      </c>
      <c r="I1380" s="8" t="str">
        <f>IF(Tabla2[[#This Row],[precio_unitario]]&lt;=30,"Económico",IF(Tabla2[[#This Row],[precio_unitario]]&lt;=58.49,"Accesible","Caro"))</f>
        <v>Caro</v>
      </c>
      <c r="J1380" t="s">
        <v>35</v>
      </c>
      <c r="K1380">
        <v>3</v>
      </c>
      <c r="L1380" s="19">
        <v>75.41</v>
      </c>
      <c r="M1380" s="19">
        <v>49.29</v>
      </c>
      <c r="N1380" s="11">
        <v>0</v>
      </c>
      <c r="O1380" s="17">
        <f t="shared" si="87"/>
        <v>226.23</v>
      </c>
      <c r="P1380" s="17">
        <f t="shared" si="84"/>
        <v>147.87</v>
      </c>
      <c r="Q1380" s="17">
        <f t="shared" si="85"/>
        <v>78.359999999999985</v>
      </c>
      <c r="R1380" s="24">
        <f t="shared" si="86"/>
        <v>0.34637316005834767</v>
      </c>
      <c r="S1380" t="s">
        <v>67</v>
      </c>
      <c r="T1380" t="s">
        <v>64</v>
      </c>
    </row>
    <row r="1381" spans="1:20" hidden="1">
      <c r="A1381" t="s">
        <v>1450</v>
      </c>
      <c r="B1381" s="5">
        <v>45454</v>
      </c>
      <c r="C1381" s="8">
        <f>YEAR(Tabla2[[#This Row],[fecha]])</f>
        <v>2024</v>
      </c>
      <c r="D1381" s="8">
        <f>MONTH(Tabla2[[#This Row],[fecha]])</f>
        <v>6</v>
      </c>
      <c r="E1381" s="8" t="str">
        <f>TEXT(Tabla2[[#This Row],[fecha]], "mmmm")</f>
        <v>junio</v>
      </c>
      <c r="F1381" s="8" t="str">
        <f>"T"&amp;ROUNDUP(Tabla2[[#This Row],[mes]]/3,0)</f>
        <v>T2</v>
      </c>
      <c r="G1381" t="s">
        <v>45</v>
      </c>
      <c r="H1381" t="s">
        <v>46</v>
      </c>
      <c r="I1381" s="8" t="str">
        <f>IF(Tabla2[[#This Row],[precio_unitario]]&lt;=30,"Económico",IF(Tabla2[[#This Row],[precio_unitario]]&lt;=58.49,"Accesible","Caro"))</f>
        <v>Accesible</v>
      </c>
      <c r="J1381" t="s">
        <v>44</v>
      </c>
      <c r="K1381">
        <v>1</v>
      </c>
      <c r="L1381" s="19">
        <v>31.72</v>
      </c>
      <c r="M1381" s="19">
        <v>17.54</v>
      </c>
      <c r="N1381" s="11">
        <v>0.27</v>
      </c>
      <c r="O1381" s="17">
        <f t="shared" si="87"/>
        <v>23.1556</v>
      </c>
      <c r="P1381" s="17">
        <f t="shared" si="84"/>
        <v>17.54</v>
      </c>
      <c r="Q1381" s="17">
        <f t="shared" si="85"/>
        <v>5.6156000000000006</v>
      </c>
      <c r="R1381" s="24">
        <f t="shared" si="86"/>
        <v>0.24251584929779407</v>
      </c>
      <c r="S1381" t="s">
        <v>67</v>
      </c>
      <c r="T1381" t="s">
        <v>64</v>
      </c>
    </row>
    <row r="1382" spans="1:20" hidden="1">
      <c r="A1382" t="s">
        <v>1451</v>
      </c>
      <c r="B1382" s="5">
        <v>45564</v>
      </c>
      <c r="C1382" s="8">
        <f>YEAR(Tabla2[[#This Row],[fecha]])</f>
        <v>2024</v>
      </c>
      <c r="D1382" s="8">
        <f>MONTH(Tabla2[[#This Row],[fecha]])</f>
        <v>9</v>
      </c>
      <c r="E1382" s="8" t="str">
        <f>TEXT(Tabla2[[#This Row],[fecha]], "mmmm")</f>
        <v>septiembre</v>
      </c>
      <c r="F1382" s="8" t="str">
        <f>"T"&amp;ROUNDUP(Tabla2[[#This Row],[mes]]/3,0)</f>
        <v>T3</v>
      </c>
      <c r="G1382" t="s">
        <v>13</v>
      </c>
      <c r="H1382" t="s">
        <v>14</v>
      </c>
      <c r="I1382" s="8" t="str">
        <f>IF(Tabla2[[#This Row],[precio_unitario]]&lt;=30,"Económico",IF(Tabla2[[#This Row],[precio_unitario]]&lt;=58.49,"Accesible","Caro"))</f>
        <v>Caro</v>
      </c>
      <c r="J1382" t="s">
        <v>8</v>
      </c>
      <c r="K1382">
        <v>3</v>
      </c>
      <c r="L1382" s="19">
        <v>159.80000000000001</v>
      </c>
      <c r="M1382" s="19">
        <v>104.81</v>
      </c>
      <c r="N1382" s="11">
        <v>0.17</v>
      </c>
      <c r="O1382" s="17">
        <f t="shared" si="87"/>
        <v>397.90199999999999</v>
      </c>
      <c r="P1382" s="17">
        <f t="shared" si="84"/>
        <v>314.43</v>
      </c>
      <c r="Q1382" s="17">
        <f t="shared" si="85"/>
        <v>83.47199999999998</v>
      </c>
      <c r="R1382" s="24">
        <f t="shared" si="86"/>
        <v>0.20978029766123313</v>
      </c>
      <c r="S1382" t="s">
        <v>67</v>
      </c>
      <c r="T1382" t="s">
        <v>60</v>
      </c>
    </row>
    <row r="1383" spans="1:20" hidden="1">
      <c r="A1383" t="s">
        <v>1452</v>
      </c>
      <c r="B1383" s="5">
        <v>45573</v>
      </c>
      <c r="C1383" s="8">
        <f>YEAR(Tabla2[[#This Row],[fecha]])</f>
        <v>2024</v>
      </c>
      <c r="D1383" s="8">
        <f>MONTH(Tabla2[[#This Row],[fecha]])</f>
        <v>10</v>
      </c>
      <c r="E1383" s="8" t="str">
        <f>TEXT(Tabla2[[#This Row],[fecha]], "mmmm")</f>
        <v>octubre</v>
      </c>
      <c r="F1383" s="8" t="str">
        <f>"T"&amp;ROUNDUP(Tabla2[[#This Row],[mes]]/3,0)</f>
        <v>T4</v>
      </c>
      <c r="G1383" t="s">
        <v>18</v>
      </c>
      <c r="H1383" t="s">
        <v>19</v>
      </c>
      <c r="I1383" s="8" t="str">
        <f>IF(Tabla2[[#This Row],[precio_unitario]]&lt;=30,"Económico",IF(Tabla2[[#This Row],[precio_unitario]]&lt;=58.49,"Accesible","Caro"))</f>
        <v>Accesible</v>
      </c>
      <c r="J1383" t="s">
        <v>17</v>
      </c>
      <c r="K1383">
        <v>1</v>
      </c>
      <c r="L1383" s="19">
        <v>44.82</v>
      </c>
      <c r="M1383" s="19">
        <v>26.08</v>
      </c>
      <c r="N1383" s="11">
        <v>0</v>
      </c>
      <c r="O1383" s="17">
        <f t="shared" si="87"/>
        <v>44.82</v>
      </c>
      <c r="P1383" s="17">
        <f t="shared" si="84"/>
        <v>26.08</v>
      </c>
      <c r="Q1383" s="17">
        <f t="shared" si="85"/>
        <v>18.740000000000002</v>
      </c>
      <c r="R1383" s="24">
        <f t="shared" si="86"/>
        <v>0.41811691209281576</v>
      </c>
      <c r="S1383" t="s">
        <v>67</v>
      </c>
      <c r="T1383" t="s">
        <v>64</v>
      </c>
    </row>
    <row r="1384" spans="1:20" hidden="1">
      <c r="A1384" t="s">
        <v>1453</v>
      </c>
      <c r="B1384" s="5">
        <v>45436</v>
      </c>
      <c r="C1384" s="8">
        <f>YEAR(Tabla2[[#This Row],[fecha]])</f>
        <v>2024</v>
      </c>
      <c r="D1384" s="8">
        <f>MONTH(Tabla2[[#This Row],[fecha]])</f>
        <v>5</v>
      </c>
      <c r="E1384" s="8" t="str">
        <f>TEXT(Tabla2[[#This Row],[fecha]], "mmmm")</f>
        <v>mayo</v>
      </c>
      <c r="F1384" s="8" t="str">
        <f>"T"&amp;ROUNDUP(Tabla2[[#This Row],[mes]]/3,0)</f>
        <v>T2</v>
      </c>
      <c r="G1384" t="s">
        <v>6</v>
      </c>
      <c r="H1384" t="s">
        <v>7</v>
      </c>
      <c r="I1384" s="8" t="str">
        <f>IF(Tabla2[[#This Row],[precio_unitario]]&lt;=30,"Económico",IF(Tabla2[[#This Row],[precio_unitario]]&lt;=58.49,"Accesible","Caro"))</f>
        <v>Caro</v>
      </c>
      <c r="J1384" t="s">
        <v>8</v>
      </c>
      <c r="K1384">
        <v>1</v>
      </c>
      <c r="L1384" s="19">
        <v>116.4</v>
      </c>
      <c r="M1384" s="19">
        <v>87.38</v>
      </c>
      <c r="N1384" s="11">
        <v>0</v>
      </c>
      <c r="O1384" s="17">
        <f t="shared" si="87"/>
        <v>116.4</v>
      </c>
      <c r="P1384" s="17">
        <f t="shared" si="84"/>
        <v>87.38</v>
      </c>
      <c r="Q1384" s="17">
        <f t="shared" si="85"/>
        <v>29.02000000000001</v>
      </c>
      <c r="R1384" s="24">
        <f t="shared" si="86"/>
        <v>0.24931271477663239</v>
      </c>
      <c r="S1384" t="s">
        <v>96</v>
      </c>
      <c r="T1384" t="s">
        <v>64</v>
      </c>
    </row>
    <row r="1385" spans="1:20" hidden="1">
      <c r="A1385" t="s">
        <v>1454</v>
      </c>
      <c r="B1385" s="5">
        <v>45949</v>
      </c>
      <c r="C1385" s="8">
        <f>YEAR(Tabla2[[#This Row],[fecha]])</f>
        <v>2025</v>
      </c>
      <c r="D1385" s="8">
        <f>MONTH(Tabla2[[#This Row],[fecha]])</f>
        <v>10</v>
      </c>
      <c r="E1385" s="8" t="str">
        <f>TEXT(Tabla2[[#This Row],[fecha]], "mmmm")</f>
        <v>octubre</v>
      </c>
      <c r="F1385" s="8" t="str">
        <f>"T"&amp;ROUNDUP(Tabla2[[#This Row],[mes]]/3,0)</f>
        <v>T4</v>
      </c>
      <c r="G1385" t="s">
        <v>11</v>
      </c>
      <c r="H1385" t="s">
        <v>12</v>
      </c>
      <c r="I1385" s="8" t="str">
        <f>IF(Tabla2[[#This Row],[precio_unitario]]&lt;=30,"Económico",IF(Tabla2[[#This Row],[precio_unitario]]&lt;=58.49,"Accesible","Caro"))</f>
        <v>Caro</v>
      </c>
      <c r="J1385" t="s">
        <v>8</v>
      </c>
      <c r="K1385">
        <v>1</v>
      </c>
      <c r="L1385" s="19">
        <v>173.75</v>
      </c>
      <c r="M1385" s="19">
        <v>98.66</v>
      </c>
      <c r="N1385" s="11">
        <v>0</v>
      </c>
      <c r="O1385" s="17">
        <f t="shared" si="87"/>
        <v>173.75</v>
      </c>
      <c r="P1385" s="17">
        <f t="shared" si="84"/>
        <v>98.66</v>
      </c>
      <c r="Q1385" s="17">
        <f t="shared" si="85"/>
        <v>75.09</v>
      </c>
      <c r="R1385" s="24">
        <f t="shared" si="86"/>
        <v>0.43217266187050363</v>
      </c>
      <c r="S1385" t="s">
        <v>540</v>
      </c>
      <c r="T1385" t="s">
        <v>60</v>
      </c>
    </row>
    <row r="1386" spans="1:20" hidden="1">
      <c r="A1386" t="s">
        <v>1455</v>
      </c>
      <c r="B1386" s="5">
        <v>45610</v>
      </c>
      <c r="C1386" s="8">
        <f>YEAR(Tabla2[[#This Row],[fecha]])</f>
        <v>2024</v>
      </c>
      <c r="D1386" s="8">
        <f>MONTH(Tabla2[[#This Row],[fecha]])</f>
        <v>11</v>
      </c>
      <c r="E1386" s="8" t="str">
        <f>TEXT(Tabla2[[#This Row],[fecha]], "mmmm")</f>
        <v>noviembre</v>
      </c>
      <c r="F1386" s="8" t="str">
        <f>"T"&amp;ROUNDUP(Tabla2[[#This Row],[mes]]/3,0)</f>
        <v>T4</v>
      </c>
      <c r="G1386" t="s">
        <v>27</v>
      </c>
      <c r="H1386" t="s">
        <v>28</v>
      </c>
      <c r="I1386" s="8" t="str">
        <f>IF(Tabla2[[#This Row],[precio_unitario]]&lt;=30,"Económico",IF(Tabla2[[#This Row],[precio_unitario]]&lt;=58.49,"Accesible","Caro"))</f>
        <v>Económico</v>
      </c>
      <c r="J1386" t="s">
        <v>26</v>
      </c>
      <c r="K1386">
        <v>2</v>
      </c>
      <c r="L1386" s="19">
        <v>15.52</v>
      </c>
      <c r="M1386" s="19">
        <v>11.11</v>
      </c>
      <c r="N1386" s="11">
        <v>0</v>
      </c>
      <c r="O1386" s="17">
        <f t="shared" si="87"/>
        <v>31.04</v>
      </c>
      <c r="P1386" s="17">
        <f t="shared" si="84"/>
        <v>22.22</v>
      </c>
      <c r="Q1386" s="17">
        <f t="shared" si="85"/>
        <v>8.82</v>
      </c>
      <c r="R1386" s="24">
        <f t="shared" si="86"/>
        <v>0.28414948453608246</v>
      </c>
      <c r="S1386" t="s">
        <v>67</v>
      </c>
      <c r="T1386" t="s">
        <v>64</v>
      </c>
    </row>
    <row r="1387" spans="1:20" hidden="1">
      <c r="A1387" t="s">
        <v>1456</v>
      </c>
      <c r="B1387" s="5">
        <v>45934</v>
      </c>
      <c r="C1387" s="8">
        <f>YEAR(Tabla2[[#This Row],[fecha]])</f>
        <v>2025</v>
      </c>
      <c r="D1387" s="8">
        <f>MONTH(Tabla2[[#This Row],[fecha]])</f>
        <v>10</v>
      </c>
      <c r="E1387" s="8" t="str">
        <f>TEXT(Tabla2[[#This Row],[fecha]], "mmmm")</f>
        <v>octubre</v>
      </c>
      <c r="F1387" s="8" t="str">
        <f>"T"&amp;ROUNDUP(Tabla2[[#This Row],[mes]]/3,0)</f>
        <v>T4</v>
      </c>
      <c r="G1387" t="s">
        <v>33</v>
      </c>
      <c r="H1387" t="s">
        <v>34</v>
      </c>
      <c r="I1387" s="8" t="str">
        <f>IF(Tabla2[[#This Row],[precio_unitario]]&lt;=30,"Económico",IF(Tabla2[[#This Row],[precio_unitario]]&lt;=58.49,"Accesible","Caro"))</f>
        <v>Caro</v>
      </c>
      <c r="J1387" t="s">
        <v>35</v>
      </c>
      <c r="K1387">
        <v>1</v>
      </c>
      <c r="L1387" s="19">
        <v>71.81</v>
      </c>
      <c r="M1387" s="19">
        <v>45.36</v>
      </c>
      <c r="N1387" s="11">
        <v>0.24</v>
      </c>
      <c r="O1387" s="17">
        <f t="shared" si="87"/>
        <v>54.575600000000001</v>
      </c>
      <c r="P1387" s="17">
        <f t="shared" si="84"/>
        <v>45.36</v>
      </c>
      <c r="Q1387" s="17">
        <f t="shared" si="85"/>
        <v>9.215600000000002</v>
      </c>
      <c r="R1387" s="24">
        <f t="shared" si="86"/>
        <v>0.16885934373602859</v>
      </c>
      <c r="S1387" t="s">
        <v>96</v>
      </c>
      <c r="T1387" t="s">
        <v>64</v>
      </c>
    </row>
    <row r="1388" spans="1:20">
      <c r="A1388" t="s">
        <v>1457</v>
      </c>
      <c r="B1388" s="5">
        <v>46013</v>
      </c>
      <c r="C1388" s="8">
        <f>YEAR(Tabla2[[#This Row],[fecha]])</f>
        <v>2025</v>
      </c>
      <c r="D1388" s="8">
        <f>MONTH(Tabla2[[#This Row],[fecha]])</f>
        <v>12</v>
      </c>
      <c r="E1388" s="8" t="str">
        <f>TEXT(Tabla2[[#This Row],[fecha]], "mmmm")</f>
        <v>diciembre</v>
      </c>
      <c r="F1388" s="8" t="str">
        <f>"T"&amp;ROUNDUP(Tabla2[[#This Row],[mes]]/3,0)</f>
        <v>T4</v>
      </c>
      <c r="G1388" t="s">
        <v>40</v>
      </c>
      <c r="H1388" t="s">
        <v>41</v>
      </c>
      <c r="I1388" s="8" t="str">
        <f>IF(Tabla2[[#This Row],[precio_unitario]]&lt;=30,"Económico",IF(Tabla2[[#This Row],[precio_unitario]]&lt;=58.49,"Accesible","Caro"))</f>
        <v>Caro</v>
      </c>
      <c r="J1388" t="s">
        <v>35</v>
      </c>
      <c r="K1388">
        <v>5</v>
      </c>
      <c r="L1388" s="19">
        <v>83.4</v>
      </c>
      <c r="M1388" s="19">
        <v>42.04</v>
      </c>
      <c r="N1388" s="11">
        <v>0</v>
      </c>
      <c r="O1388" s="17">
        <f t="shared" si="87"/>
        <v>417</v>
      </c>
      <c r="P1388" s="17">
        <f t="shared" si="84"/>
        <v>210.2</v>
      </c>
      <c r="Q1388" s="17">
        <f t="shared" si="85"/>
        <v>206.8</v>
      </c>
      <c r="R1388" s="24">
        <f t="shared" si="86"/>
        <v>0.49592326139088733</v>
      </c>
      <c r="S1388" t="s">
        <v>67</v>
      </c>
      <c r="T1388" t="s">
        <v>64</v>
      </c>
    </row>
    <row r="1389" spans="1:20" hidden="1">
      <c r="A1389" t="s">
        <v>1458</v>
      </c>
      <c r="B1389" s="5">
        <v>45471</v>
      </c>
      <c r="C1389" s="8">
        <f>YEAR(Tabla2[[#This Row],[fecha]])</f>
        <v>2024</v>
      </c>
      <c r="D1389" s="8">
        <f>MONTH(Tabla2[[#This Row],[fecha]])</f>
        <v>6</v>
      </c>
      <c r="E1389" s="8" t="str">
        <f>TEXT(Tabla2[[#This Row],[fecha]], "mmmm")</f>
        <v>junio</v>
      </c>
      <c r="F1389" s="8" t="str">
        <f>"T"&amp;ROUNDUP(Tabla2[[#This Row],[mes]]/3,0)</f>
        <v>T2</v>
      </c>
      <c r="G1389" t="s">
        <v>18</v>
      </c>
      <c r="H1389" t="s">
        <v>19</v>
      </c>
      <c r="I1389" s="8" t="str">
        <f>IF(Tabla2[[#This Row],[precio_unitario]]&lt;=30,"Económico",IF(Tabla2[[#This Row],[precio_unitario]]&lt;=58.49,"Accesible","Caro"))</f>
        <v>Accesible</v>
      </c>
      <c r="J1389" t="s">
        <v>17</v>
      </c>
      <c r="K1389">
        <v>4</v>
      </c>
      <c r="L1389" s="19">
        <v>49.81</v>
      </c>
      <c r="M1389" s="19">
        <v>25.68</v>
      </c>
      <c r="N1389" s="13">
        <v>0</v>
      </c>
      <c r="O1389" s="17">
        <f t="shared" si="87"/>
        <v>199.24</v>
      </c>
      <c r="P1389" s="17">
        <f t="shared" si="84"/>
        <v>102.72</v>
      </c>
      <c r="Q1389" s="17">
        <f t="shared" si="85"/>
        <v>96.52000000000001</v>
      </c>
      <c r="R1389" s="24">
        <f t="shared" si="86"/>
        <v>0.48444087532623975</v>
      </c>
      <c r="S1389" t="s">
        <v>67</v>
      </c>
      <c r="T1389" t="s">
        <v>64</v>
      </c>
    </row>
    <row r="1390" spans="1:20" hidden="1">
      <c r="A1390" t="s">
        <v>1459</v>
      </c>
      <c r="B1390" s="5">
        <v>45619</v>
      </c>
      <c r="C1390" s="8">
        <f>YEAR(Tabla2[[#This Row],[fecha]])</f>
        <v>2024</v>
      </c>
      <c r="D1390" s="8">
        <f>MONTH(Tabla2[[#This Row],[fecha]])</f>
        <v>11</v>
      </c>
      <c r="E1390" s="8" t="str">
        <f>TEXT(Tabla2[[#This Row],[fecha]], "mmmm")</f>
        <v>noviembre</v>
      </c>
      <c r="F1390" s="8" t="str">
        <f>"T"&amp;ROUNDUP(Tabla2[[#This Row],[mes]]/3,0)</f>
        <v>T4</v>
      </c>
      <c r="G1390" t="s">
        <v>36</v>
      </c>
      <c r="H1390" t="s">
        <v>37</v>
      </c>
      <c r="I1390" s="8" t="str">
        <f>IF(Tabla2[[#This Row],[precio_unitario]]&lt;=30,"Económico",IF(Tabla2[[#This Row],[precio_unitario]]&lt;=58.49,"Accesible","Caro"))</f>
        <v>Económico</v>
      </c>
      <c r="J1390" t="s">
        <v>35</v>
      </c>
      <c r="K1390">
        <v>4</v>
      </c>
      <c r="L1390" s="19">
        <v>13.2</v>
      </c>
      <c r="M1390" s="19">
        <v>9.11</v>
      </c>
      <c r="N1390" s="13">
        <v>0</v>
      </c>
      <c r="O1390" s="17">
        <f t="shared" si="87"/>
        <v>52.8</v>
      </c>
      <c r="P1390" s="17">
        <f t="shared" si="84"/>
        <v>36.44</v>
      </c>
      <c r="Q1390" s="17">
        <f t="shared" si="85"/>
        <v>16.36</v>
      </c>
      <c r="R1390" s="24">
        <f t="shared" si="86"/>
        <v>0.30984848484848487</v>
      </c>
      <c r="S1390" t="s">
        <v>63</v>
      </c>
      <c r="T1390" t="s">
        <v>64</v>
      </c>
    </row>
    <row r="1391" spans="1:20" hidden="1">
      <c r="A1391" t="s">
        <v>1460</v>
      </c>
      <c r="B1391" s="5">
        <v>45553</v>
      </c>
      <c r="C1391" s="8">
        <f>YEAR(Tabla2[[#This Row],[fecha]])</f>
        <v>2024</v>
      </c>
      <c r="D1391" s="8">
        <f>MONTH(Tabla2[[#This Row],[fecha]])</f>
        <v>9</v>
      </c>
      <c r="E1391" s="8" t="str">
        <f>TEXT(Tabla2[[#This Row],[fecha]], "mmmm")</f>
        <v>septiembre</v>
      </c>
      <c r="F1391" s="8" t="str">
        <f>"T"&amp;ROUNDUP(Tabla2[[#This Row],[mes]]/3,0)</f>
        <v>T3</v>
      </c>
      <c r="G1391" t="s">
        <v>36</v>
      </c>
      <c r="H1391" t="s">
        <v>37</v>
      </c>
      <c r="I1391" s="8" t="str">
        <f>IF(Tabla2[[#This Row],[precio_unitario]]&lt;=30,"Económico",IF(Tabla2[[#This Row],[precio_unitario]]&lt;=58.49,"Accesible","Caro"))</f>
        <v>Económico</v>
      </c>
      <c r="J1391" t="s">
        <v>35</v>
      </c>
      <c r="K1391">
        <v>10</v>
      </c>
      <c r="L1391" s="19">
        <v>14.48</v>
      </c>
      <c r="M1391" s="19">
        <v>9.2200000000000006</v>
      </c>
      <c r="N1391" s="11">
        <v>0</v>
      </c>
      <c r="O1391" s="17">
        <f t="shared" si="87"/>
        <v>144.80000000000001</v>
      </c>
      <c r="P1391" s="17">
        <f t="shared" si="84"/>
        <v>92.2</v>
      </c>
      <c r="Q1391" s="17">
        <f t="shared" si="85"/>
        <v>52.600000000000009</v>
      </c>
      <c r="R1391" s="24">
        <f t="shared" si="86"/>
        <v>0.36325966850828734</v>
      </c>
      <c r="S1391" t="s">
        <v>540</v>
      </c>
      <c r="T1391" t="s">
        <v>64</v>
      </c>
    </row>
    <row r="1392" spans="1:20" hidden="1">
      <c r="A1392" t="s">
        <v>1461</v>
      </c>
      <c r="B1392" s="5">
        <v>45969</v>
      </c>
      <c r="C1392" s="8">
        <f>YEAR(Tabla2[[#This Row],[fecha]])</f>
        <v>2025</v>
      </c>
      <c r="D1392" s="8">
        <f>MONTH(Tabla2[[#This Row],[fecha]])</f>
        <v>11</v>
      </c>
      <c r="E1392" s="8" t="str">
        <f>TEXT(Tabla2[[#This Row],[fecha]], "mmmm")</f>
        <v>noviembre</v>
      </c>
      <c r="F1392" s="8" t="str">
        <f>"T"&amp;ROUNDUP(Tabla2[[#This Row],[mes]]/3,0)</f>
        <v>T4</v>
      </c>
      <c r="G1392" t="s">
        <v>20</v>
      </c>
      <c r="H1392" t="s">
        <v>21</v>
      </c>
      <c r="I1392" s="8" t="str">
        <f>IF(Tabla2[[#This Row],[precio_unitario]]&lt;=30,"Económico",IF(Tabla2[[#This Row],[precio_unitario]]&lt;=58.49,"Accesible","Caro"))</f>
        <v>Económico</v>
      </c>
      <c r="J1392" t="s">
        <v>17</v>
      </c>
      <c r="K1392">
        <v>2</v>
      </c>
      <c r="L1392" s="19">
        <v>20.77</v>
      </c>
      <c r="M1392" s="19">
        <v>12.68</v>
      </c>
      <c r="N1392" s="11">
        <v>0</v>
      </c>
      <c r="O1392" s="17">
        <f t="shared" si="87"/>
        <v>41.54</v>
      </c>
      <c r="P1392" s="17">
        <f t="shared" si="84"/>
        <v>25.36</v>
      </c>
      <c r="Q1392" s="17">
        <f t="shared" si="85"/>
        <v>16.18</v>
      </c>
      <c r="R1392" s="24">
        <f t="shared" si="86"/>
        <v>0.38950409244102069</v>
      </c>
      <c r="S1392" t="s">
        <v>63</v>
      </c>
      <c r="T1392" t="s">
        <v>60</v>
      </c>
    </row>
    <row r="1393" spans="1:20" hidden="1">
      <c r="A1393" t="s">
        <v>1462</v>
      </c>
      <c r="B1393" s="5">
        <v>45459</v>
      </c>
      <c r="C1393" s="8">
        <f>YEAR(Tabla2[[#This Row],[fecha]])</f>
        <v>2024</v>
      </c>
      <c r="D1393" s="8">
        <f>MONTH(Tabla2[[#This Row],[fecha]])</f>
        <v>6</v>
      </c>
      <c r="E1393" s="8" t="str">
        <f>TEXT(Tabla2[[#This Row],[fecha]], "mmmm")</f>
        <v>junio</v>
      </c>
      <c r="F1393" s="8" t="str">
        <f>"T"&amp;ROUNDUP(Tabla2[[#This Row],[mes]]/3,0)</f>
        <v>T2</v>
      </c>
      <c r="G1393" t="s">
        <v>18</v>
      </c>
      <c r="H1393" t="s">
        <v>19</v>
      </c>
      <c r="I1393" s="8" t="str">
        <f>IF(Tabla2[[#This Row],[precio_unitario]]&lt;=30,"Económico",IF(Tabla2[[#This Row],[precio_unitario]]&lt;=58.49,"Accesible","Caro"))</f>
        <v>Accesible</v>
      </c>
      <c r="J1393" t="s">
        <v>17</v>
      </c>
      <c r="K1393">
        <v>1</v>
      </c>
      <c r="L1393" s="19">
        <v>46.27</v>
      </c>
      <c r="M1393" s="19">
        <v>27.64</v>
      </c>
      <c r="N1393" s="13">
        <v>0</v>
      </c>
      <c r="O1393" s="17">
        <f t="shared" si="87"/>
        <v>46.27</v>
      </c>
      <c r="P1393" s="17">
        <f t="shared" si="84"/>
        <v>27.64</v>
      </c>
      <c r="Q1393" s="17">
        <f t="shared" si="85"/>
        <v>18.630000000000003</v>
      </c>
      <c r="R1393" s="24">
        <f t="shared" si="86"/>
        <v>0.40263669764426196</v>
      </c>
      <c r="S1393" t="s">
        <v>83</v>
      </c>
      <c r="T1393" t="s">
        <v>60</v>
      </c>
    </row>
    <row r="1394" spans="1:20" hidden="1">
      <c r="A1394" t="s">
        <v>1463</v>
      </c>
      <c r="B1394" s="5">
        <v>45756</v>
      </c>
      <c r="C1394" s="8">
        <f>YEAR(Tabla2[[#This Row],[fecha]])</f>
        <v>2025</v>
      </c>
      <c r="D1394" s="8">
        <f>MONTH(Tabla2[[#This Row],[fecha]])</f>
        <v>4</v>
      </c>
      <c r="E1394" s="8" t="str">
        <f>TEXT(Tabla2[[#This Row],[fecha]], "mmmm")</f>
        <v>abril</v>
      </c>
      <c r="F1394" s="8" t="str">
        <f>"T"&amp;ROUNDUP(Tabla2[[#This Row],[mes]]/3,0)</f>
        <v>T2</v>
      </c>
      <c r="G1394" t="s">
        <v>40</v>
      </c>
      <c r="H1394" t="s">
        <v>41</v>
      </c>
      <c r="I1394" s="8" t="str">
        <f>IF(Tabla2[[#This Row],[precio_unitario]]&lt;=30,"Económico",IF(Tabla2[[#This Row],[precio_unitario]]&lt;=58.49,"Accesible","Caro"))</f>
        <v>Caro</v>
      </c>
      <c r="J1394" t="s">
        <v>35</v>
      </c>
      <c r="K1394">
        <v>4</v>
      </c>
      <c r="L1394" s="19">
        <v>73.11</v>
      </c>
      <c r="M1394" s="19">
        <v>41.51</v>
      </c>
      <c r="N1394" s="11">
        <v>0</v>
      </c>
      <c r="O1394" s="17">
        <f t="shared" si="87"/>
        <v>292.44</v>
      </c>
      <c r="P1394" s="17">
        <f t="shared" si="84"/>
        <v>166.04</v>
      </c>
      <c r="Q1394" s="17">
        <f t="shared" si="85"/>
        <v>126.4</v>
      </c>
      <c r="R1394" s="24">
        <f t="shared" si="86"/>
        <v>0.43222541376008755</v>
      </c>
      <c r="S1394" t="s">
        <v>83</v>
      </c>
      <c r="T1394" t="s">
        <v>60</v>
      </c>
    </row>
    <row r="1395" spans="1:20" hidden="1">
      <c r="A1395" t="s">
        <v>1464</v>
      </c>
      <c r="B1395" s="5">
        <v>45873</v>
      </c>
      <c r="C1395" s="8">
        <f>YEAR(Tabla2[[#This Row],[fecha]])</f>
        <v>2025</v>
      </c>
      <c r="D1395" s="8">
        <f>MONTH(Tabla2[[#This Row],[fecha]])</f>
        <v>8</v>
      </c>
      <c r="E1395" s="8" t="str">
        <f>TEXT(Tabla2[[#This Row],[fecha]], "mmmm")</f>
        <v>agosto</v>
      </c>
      <c r="F1395" s="8" t="str">
        <f>"T"&amp;ROUNDUP(Tabla2[[#This Row],[mes]]/3,0)</f>
        <v>T3</v>
      </c>
      <c r="G1395" t="s">
        <v>36</v>
      </c>
      <c r="H1395" t="s">
        <v>37</v>
      </c>
      <c r="I1395" s="8" t="str">
        <f>IF(Tabla2[[#This Row],[precio_unitario]]&lt;=30,"Económico",IF(Tabla2[[#This Row],[precio_unitario]]&lt;=58.49,"Accesible","Caro"))</f>
        <v>Económico</v>
      </c>
      <c r="J1395" t="s">
        <v>35</v>
      </c>
      <c r="K1395">
        <v>1</v>
      </c>
      <c r="L1395" s="19">
        <v>15.02</v>
      </c>
      <c r="M1395" s="19">
        <v>9.7200000000000006</v>
      </c>
      <c r="N1395" s="11">
        <v>0</v>
      </c>
      <c r="O1395" s="17">
        <f t="shared" si="87"/>
        <v>15.02</v>
      </c>
      <c r="P1395" s="17">
        <f t="shared" si="84"/>
        <v>9.7200000000000006</v>
      </c>
      <c r="Q1395" s="17">
        <f t="shared" si="85"/>
        <v>5.2999999999999989</v>
      </c>
      <c r="R1395" s="24">
        <f t="shared" si="86"/>
        <v>0.35286284953395469</v>
      </c>
      <c r="S1395" t="s">
        <v>540</v>
      </c>
      <c r="T1395" t="s">
        <v>60</v>
      </c>
    </row>
    <row r="1396" spans="1:20" hidden="1">
      <c r="A1396" t="s">
        <v>1465</v>
      </c>
      <c r="B1396" s="5">
        <v>45481</v>
      </c>
      <c r="C1396" s="8">
        <f>YEAR(Tabla2[[#This Row],[fecha]])</f>
        <v>2024</v>
      </c>
      <c r="D1396" s="8">
        <f>MONTH(Tabla2[[#This Row],[fecha]])</f>
        <v>7</v>
      </c>
      <c r="E1396" s="8" t="str">
        <f>TEXT(Tabla2[[#This Row],[fecha]], "mmmm")</f>
        <v>julio</v>
      </c>
      <c r="F1396" s="8" t="str">
        <f>"T"&amp;ROUNDUP(Tabla2[[#This Row],[mes]]/3,0)</f>
        <v>T3</v>
      </c>
      <c r="G1396" t="s">
        <v>31</v>
      </c>
      <c r="H1396" t="s">
        <v>32</v>
      </c>
      <c r="I1396" s="8" t="str">
        <f>IF(Tabla2[[#This Row],[precio_unitario]]&lt;=30,"Económico",IF(Tabla2[[#This Row],[precio_unitario]]&lt;=58.49,"Accesible","Caro"))</f>
        <v>Económico</v>
      </c>
      <c r="J1396" t="s">
        <v>26</v>
      </c>
      <c r="K1396">
        <v>1</v>
      </c>
      <c r="L1396" s="19">
        <v>8.9700000000000006</v>
      </c>
      <c r="M1396" s="19">
        <v>5.52</v>
      </c>
      <c r="N1396" s="11">
        <v>0</v>
      </c>
      <c r="O1396" s="17">
        <f t="shared" si="87"/>
        <v>8.9700000000000006</v>
      </c>
      <c r="P1396" s="17">
        <f t="shared" si="84"/>
        <v>5.52</v>
      </c>
      <c r="Q1396" s="17">
        <f t="shared" si="85"/>
        <v>3.4500000000000011</v>
      </c>
      <c r="R1396" s="24">
        <f t="shared" si="86"/>
        <v>0.38461538461538469</v>
      </c>
      <c r="S1396" t="s">
        <v>67</v>
      </c>
      <c r="T1396" t="s">
        <v>64</v>
      </c>
    </row>
    <row r="1397" spans="1:20" hidden="1">
      <c r="A1397" t="s">
        <v>1466</v>
      </c>
      <c r="B1397" s="5">
        <v>45343</v>
      </c>
      <c r="C1397" s="8">
        <f>YEAR(Tabla2[[#This Row],[fecha]])</f>
        <v>2024</v>
      </c>
      <c r="D1397" s="8">
        <f>MONTH(Tabla2[[#This Row],[fecha]])</f>
        <v>2</v>
      </c>
      <c r="E1397" s="8" t="str">
        <f>TEXT(Tabla2[[#This Row],[fecha]], "mmmm")</f>
        <v>febrero</v>
      </c>
      <c r="F1397" s="8" t="str">
        <f>"T"&amp;ROUNDUP(Tabla2[[#This Row],[mes]]/3,0)</f>
        <v>T1</v>
      </c>
      <c r="G1397" t="s">
        <v>11</v>
      </c>
      <c r="H1397" t="s">
        <v>12</v>
      </c>
      <c r="I1397" s="8" t="str">
        <f>IF(Tabla2[[#This Row],[precio_unitario]]&lt;=30,"Económico",IF(Tabla2[[#This Row],[precio_unitario]]&lt;=58.49,"Accesible","Caro"))</f>
        <v>Caro</v>
      </c>
      <c r="J1397" t="s">
        <v>8</v>
      </c>
      <c r="K1397">
        <v>1</v>
      </c>
      <c r="L1397" s="19">
        <v>169.21</v>
      </c>
      <c r="M1397" s="19">
        <v>95.31</v>
      </c>
      <c r="N1397" s="11">
        <v>0.12</v>
      </c>
      <c r="O1397" s="17">
        <f t="shared" si="87"/>
        <v>148.90479999999999</v>
      </c>
      <c r="P1397" s="17">
        <f t="shared" si="84"/>
        <v>95.31</v>
      </c>
      <c r="Q1397" s="17">
        <f t="shared" si="85"/>
        <v>53.594799999999992</v>
      </c>
      <c r="R1397" s="24">
        <f t="shared" si="86"/>
        <v>0.35992661082785776</v>
      </c>
      <c r="S1397" t="s">
        <v>63</v>
      </c>
      <c r="T1397" t="s">
        <v>60</v>
      </c>
    </row>
    <row r="1398" spans="1:20" hidden="1">
      <c r="A1398" t="s">
        <v>1467</v>
      </c>
      <c r="B1398" s="5">
        <v>45902</v>
      </c>
      <c r="C1398" s="8">
        <f>YEAR(Tabla2[[#This Row],[fecha]])</f>
        <v>2025</v>
      </c>
      <c r="D1398" s="8">
        <f>MONTH(Tabla2[[#This Row],[fecha]])</f>
        <v>9</v>
      </c>
      <c r="E1398" s="8" t="str">
        <f>TEXT(Tabla2[[#This Row],[fecha]], "mmmm")</f>
        <v>septiembre</v>
      </c>
      <c r="F1398" s="8" t="str">
        <f>"T"&amp;ROUNDUP(Tabla2[[#This Row],[mes]]/3,0)</f>
        <v>T3</v>
      </c>
      <c r="G1398" t="s">
        <v>22</v>
      </c>
      <c r="H1398" t="s">
        <v>23</v>
      </c>
      <c r="I1398" s="8" t="str">
        <f>IF(Tabla2[[#This Row],[precio_unitario]]&lt;=30,"Económico",IF(Tabla2[[#This Row],[precio_unitario]]&lt;=58.49,"Accesible","Caro"))</f>
        <v>Caro</v>
      </c>
      <c r="J1398" t="s">
        <v>17</v>
      </c>
      <c r="K1398">
        <v>2</v>
      </c>
      <c r="L1398" s="19">
        <v>106.06</v>
      </c>
      <c r="M1398" s="19">
        <v>55.32</v>
      </c>
      <c r="N1398" s="11">
        <v>0</v>
      </c>
      <c r="O1398" s="17">
        <f t="shared" si="87"/>
        <v>212.12</v>
      </c>
      <c r="P1398" s="17">
        <f t="shared" si="84"/>
        <v>110.64</v>
      </c>
      <c r="Q1398" s="17">
        <f t="shared" si="85"/>
        <v>101.48</v>
      </c>
      <c r="R1398" s="24">
        <f t="shared" si="86"/>
        <v>0.47840844804827459</v>
      </c>
      <c r="S1398" t="s">
        <v>540</v>
      </c>
      <c r="T1398" t="s">
        <v>64</v>
      </c>
    </row>
    <row r="1399" spans="1:20">
      <c r="A1399" t="s">
        <v>1468</v>
      </c>
      <c r="B1399" s="5">
        <v>45719</v>
      </c>
      <c r="C1399" s="8">
        <f>YEAR(Tabla2[[#This Row],[fecha]])</f>
        <v>2025</v>
      </c>
      <c r="D1399" s="8">
        <f>MONTH(Tabla2[[#This Row],[fecha]])</f>
        <v>3</v>
      </c>
      <c r="E1399" s="8" t="str">
        <f>TEXT(Tabla2[[#This Row],[fecha]], "mmmm")</f>
        <v>marzo</v>
      </c>
      <c r="F1399" s="8" t="str">
        <f>"T"&amp;ROUNDUP(Tabla2[[#This Row],[mes]]/3,0)</f>
        <v>T1</v>
      </c>
      <c r="G1399" t="s">
        <v>47</v>
      </c>
      <c r="H1399" t="s">
        <v>48</v>
      </c>
      <c r="I1399" s="8" t="str">
        <f>IF(Tabla2[[#This Row],[precio_unitario]]&lt;=30,"Económico",IF(Tabla2[[#This Row],[precio_unitario]]&lt;=58.49,"Accesible","Caro"))</f>
        <v>Accesible</v>
      </c>
      <c r="J1399" t="s">
        <v>44</v>
      </c>
      <c r="K1399">
        <v>1</v>
      </c>
      <c r="L1399" s="19">
        <v>57</v>
      </c>
      <c r="M1399" s="19">
        <v>32.85</v>
      </c>
      <c r="N1399" s="13">
        <v>0</v>
      </c>
      <c r="O1399" s="17">
        <f t="shared" si="87"/>
        <v>57</v>
      </c>
      <c r="P1399" s="17">
        <f t="shared" si="84"/>
        <v>32.85</v>
      </c>
      <c r="Q1399" s="17">
        <f t="shared" si="85"/>
        <v>24.15</v>
      </c>
      <c r="R1399" s="24">
        <f t="shared" si="86"/>
        <v>0.42368421052631577</v>
      </c>
      <c r="S1399" t="s">
        <v>67</v>
      </c>
      <c r="T1399" t="s">
        <v>60</v>
      </c>
    </row>
    <row r="1400" spans="1:20" hidden="1">
      <c r="A1400" t="s">
        <v>1469</v>
      </c>
      <c r="B1400" s="5">
        <v>45462</v>
      </c>
      <c r="C1400" s="8">
        <f>YEAR(Tabla2[[#This Row],[fecha]])</f>
        <v>2024</v>
      </c>
      <c r="D1400" s="8">
        <f>MONTH(Tabla2[[#This Row],[fecha]])</f>
        <v>6</v>
      </c>
      <c r="E1400" s="8" t="str">
        <f>TEXT(Tabla2[[#This Row],[fecha]], "mmmm")</f>
        <v>junio</v>
      </c>
      <c r="F1400" s="8" t="str">
        <f>"T"&amp;ROUNDUP(Tabla2[[#This Row],[mes]]/3,0)</f>
        <v>T2</v>
      </c>
      <c r="G1400" t="s">
        <v>36</v>
      </c>
      <c r="H1400" t="s">
        <v>37</v>
      </c>
      <c r="I1400" s="8" t="str">
        <f>IF(Tabla2[[#This Row],[precio_unitario]]&lt;=30,"Económico",IF(Tabla2[[#This Row],[precio_unitario]]&lt;=58.49,"Accesible","Caro"))</f>
        <v>Económico</v>
      </c>
      <c r="J1400" t="s">
        <v>35</v>
      </c>
      <c r="K1400">
        <v>2</v>
      </c>
      <c r="L1400" s="19">
        <v>13.19</v>
      </c>
      <c r="M1400" s="21">
        <f>INDEX(Tabla3[coste_objetivo], MATCH(Tabla2[[#This Row],[id_producto]], Tabla3[id_producto],0))</f>
        <v>9.58</v>
      </c>
      <c r="N1400" s="11">
        <v>0</v>
      </c>
      <c r="O1400" s="17">
        <f t="shared" si="87"/>
        <v>26.38</v>
      </c>
      <c r="P1400" s="17">
        <f t="shared" si="84"/>
        <v>19.16</v>
      </c>
      <c r="Q1400" s="17">
        <f t="shared" si="85"/>
        <v>7.2199999999999989</v>
      </c>
      <c r="R1400" s="24">
        <f t="shared" si="86"/>
        <v>0.27369219105382864</v>
      </c>
      <c r="S1400" t="s">
        <v>96</v>
      </c>
      <c r="T1400" t="s">
        <v>64</v>
      </c>
    </row>
    <row r="1401" spans="1:20" hidden="1">
      <c r="A1401" t="s">
        <v>1470</v>
      </c>
      <c r="B1401" s="5">
        <v>45612</v>
      </c>
      <c r="C1401" s="8">
        <f>YEAR(Tabla2[[#This Row],[fecha]])</f>
        <v>2024</v>
      </c>
      <c r="D1401" s="8">
        <f>MONTH(Tabla2[[#This Row],[fecha]])</f>
        <v>11</v>
      </c>
      <c r="E1401" s="8" t="str">
        <f>TEXT(Tabla2[[#This Row],[fecha]], "mmmm")</f>
        <v>noviembre</v>
      </c>
      <c r="F1401" s="8" t="str">
        <f>"T"&amp;ROUNDUP(Tabla2[[#This Row],[mes]]/3,0)</f>
        <v>T4</v>
      </c>
      <c r="G1401" t="s">
        <v>33</v>
      </c>
      <c r="H1401" t="s">
        <v>34</v>
      </c>
      <c r="I1401" s="8" t="str">
        <f>IF(Tabla2[[#This Row],[precio_unitario]]&lt;=30,"Económico",IF(Tabla2[[#This Row],[precio_unitario]]&lt;=58.49,"Accesible","Caro"))</f>
        <v>Caro</v>
      </c>
      <c r="J1401" t="s">
        <v>35</v>
      </c>
      <c r="K1401">
        <v>3</v>
      </c>
      <c r="L1401" s="19">
        <v>78.55</v>
      </c>
      <c r="M1401" s="19">
        <v>48.59</v>
      </c>
      <c r="N1401" s="13">
        <v>0</v>
      </c>
      <c r="O1401" s="17">
        <f t="shared" si="87"/>
        <v>235.64999999999998</v>
      </c>
      <c r="P1401" s="17">
        <f t="shared" si="84"/>
        <v>145.77000000000001</v>
      </c>
      <c r="Q1401" s="17">
        <f t="shared" si="85"/>
        <v>89.879999999999967</v>
      </c>
      <c r="R1401" s="24">
        <f t="shared" si="86"/>
        <v>0.38141311266709094</v>
      </c>
      <c r="S1401" t="s">
        <v>540</v>
      </c>
      <c r="T1401" t="s">
        <v>64</v>
      </c>
    </row>
    <row r="1402" spans="1:20" hidden="1">
      <c r="A1402" t="s">
        <v>1471</v>
      </c>
      <c r="B1402" s="5">
        <v>46009</v>
      </c>
      <c r="C1402" s="8">
        <f>YEAR(Tabla2[[#This Row],[fecha]])</f>
        <v>2025</v>
      </c>
      <c r="D1402" s="8">
        <f>MONTH(Tabla2[[#This Row],[fecha]])</f>
        <v>12</v>
      </c>
      <c r="E1402" s="8" t="str">
        <f>TEXT(Tabla2[[#This Row],[fecha]], "mmmm")</f>
        <v>diciembre</v>
      </c>
      <c r="F1402" s="8" t="str">
        <f>"T"&amp;ROUNDUP(Tabla2[[#This Row],[mes]]/3,0)</f>
        <v>T4</v>
      </c>
      <c r="G1402" t="s">
        <v>22</v>
      </c>
      <c r="H1402" t="s">
        <v>23</v>
      </c>
      <c r="I1402" s="8" t="str">
        <f>IF(Tabla2[[#This Row],[precio_unitario]]&lt;=30,"Económico",IF(Tabla2[[#This Row],[precio_unitario]]&lt;=58.49,"Accesible","Caro"))</f>
        <v>Caro</v>
      </c>
      <c r="J1402" t="s">
        <v>17</v>
      </c>
      <c r="K1402">
        <v>6</v>
      </c>
      <c r="L1402" s="19">
        <v>106.35</v>
      </c>
      <c r="M1402" s="19">
        <v>56.32</v>
      </c>
      <c r="N1402" s="11">
        <v>0</v>
      </c>
      <c r="O1402" s="17">
        <f t="shared" si="87"/>
        <v>638.09999999999991</v>
      </c>
      <c r="P1402" s="17">
        <f t="shared" si="84"/>
        <v>337.92</v>
      </c>
      <c r="Q1402" s="17">
        <f t="shared" si="85"/>
        <v>300.17999999999989</v>
      </c>
      <c r="R1402" s="24">
        <f t="shared" si="86"/>
        <v>0.47042783262811461</v>
      </c>
      <c r="S1402" t="s">
        <v>63</v>
      </c>
      <c r="T1402" t="s">
        <v>64</v>
      </c>
    </row>
    <row r="1403" spans="1:20" hidden="1">
      <c r="A1403" t="s">
        <v>1472</v>
      </c>
      <c r="B1403" s="14">
        <v>45851</v>
      </c>
      <c r="C1403" s="8">
        <f>YEAR(Tabla2[[#This Row],[fecha]])</f>
        <v>2025</v>
      </c>
      <c r="D1403" s="8">
        <f>MONTH(Tabla2[[#This Row],[fecha]])</f>
        <v>7</v>
      </c>
      <c r="E1403" s="8" t="str">
        <f>TEXT(Tabla2[[#This Row],[fecha]], "mmmm")</f>
        <v>julio</v>
      </c>
      <c r="F1403" s="8" t="str">
        <f>"T"&amp;ROUNDUP(Tabla2[[#This Row],[mes]]/3,0)</f>
        <v>T3</v>
      </c>
      <c r="G1403" t="s">
        <v>6</v>
      </c>
      <c r="H1403" t="s">
        <v>7</v>
      </c>
      <c r="I1403" s="8" t="str">
        <f>IF(Tabla2[[#This Row],[precio_unitario]]&lt;=30,"Económico",IF(Tabla2[[#This Row],[precio_unitario]]&lt;=58.49,"Accesible","Caro"))</f>
        <v>Caro</v>
      </c>
      <c r="J1403" t="s">
        <v>8</v>
      </c>
      <c r="K1403">
        <v>5</v>
      </c>
      <c r="L1403" s="19">
        <v>118.08</v>
      </c>
      <c r="M1403" s="21">
        <f>INDEX(Tabla3[coste_objetivo], MATCH(Tabla2[[#This Row],[id_producto]], Tabla3[id_producto],0))</f>
        <v>84.31</v>
      </c>
      <c r="N1403" s="11">
        <v>0</v>
      </c>
      <c r="O1403" s="17">
        <f t="shared" si="87"/>
        <v>590.4</v>
      </c>
      <c r="P1403" s="17">
        <f t="shared" si="84"/>
        <v>421.55</v>
      </c>
      <c r="Q1403" s="17">
        <f t="shared" si="85"/>
        <v>168.84999999999997</v>
      </c>
      <c r="R1403" s="24">
        <f t="shared" si="86"/>
        <v>0.2859925474254742</v>
      </c>
      <c r="S1403" t="s">
        <v>101</v>
      </c>
      <c r="T1403" t="s">
        <v>60</v>
      </c>
    </row>
    <row r="1404" spans="1:20" hidden="1">
      <c r="A1404" t="s">
        <v>1473</v>
      </c>
      <c r="B1404" s="5">
        <v>46007</v>
      </c>
      <c r="C1404" s="8">
        <f>YEAR(Tabla2[[#This Row],[fecha]])</f>
        <v>2025</v>
      </c>
      <c r="D1404" s="8">
        <f>MONTH(Tabla2[[#This Row],[fecha]])</f>
        <v>12</v>
      </c>
      <c r="E1404" s="8" t="str">
        <f>TEXT(Tabla2[[#This Row],[fecha]], "mmmm")</f>
        <v>diciembre</v>
      </c>
      <c r="F1404" s="8" t="str">
        <f>"T"&amp;ROUNDUP(Tabla2[[#This Row],[mes]]/3,0)</f>
        <v>T4</v>
      </c>
      <c r="G1404" t="s">
        <v>18</v>
      </c>
      <c r="H1404" t="s">
        <v>19</v>
      </c>
      <c r="I1404" s="8" t="str">
        <f>IF(Tabla2[[#This Row],[precio_unitario]]&lt;=30,"Económico",IF(Tabla2[[#This Row],[precio_unitario]]&lt;=58.49,"Accesible","Caro"))</f>
        <v>Accesible</v>
      </c>
      <c r="J1404" t="s">
        <v>17</v>
      </c>
      <c r="K1404" s="10">
        <v>4</v>
      </c>
      <c r="L1404" s="19">
        <v>49.83</v>
      </c>
      <c r="M1404" s="19">
        <v>27.16</v>
      </c>
      <c r="N1404" s="11">
        <v>0</v>
      </c>
      <c r="O1404" s="17">
        <f t="shared" si="87"/>
        <v>199.32</v>
      </c>
      <c r="P1404" s="17">
        <f t="shared" si="84"/>
        <v>108.64</v>
      </c>
      <c r="Q1404" s="17">
        <f t="shared" si="85"/>
        <v>90.679999999999993</v>
      </c>
      <c r="R1404" s="24">
        <f t="shared" si="86"/>
        <v>0.45494681918522978</v>
      </c>
      <c r="S1404" t="s">
        <v>83</v>
      </c>
      <c r="T1404" t="s">
        <v>60</v>
      </c>
    </row>
    <row r="1405" spans="1:20" hidden="1">
      <c r="A1405" t="s">
        <v>1474</v>
      </c>
      <c r="B1405" s="5">
        <v>45735</v>
      </c>
      <c r="C1405" s="8">
        <f>YEAR(Tabla2[[#This Row],[fecha]])</f>
        <v>2025</v>
      </c>
      <c r="D1405" s="8">
        <f>MONTH(Tabla2[[#This Row],[fecha]])</f>
        <v>3</v>
      </c>
      <c r="E1405" s="8" t="str">
        <f>TEXT(Tabla2[[#This Row],[fecha]], "mmmm")</f>
        <v>marzo</v>
      </c>
      <c r="F1405" s="8" t="str">
        <f>"T"&amp;ROUNDUP(Tabla2[[#This Row],[mes]]/3,0)</f>
        <v>T1</v>
      </c>
      <c r="G1405" t="s">
        <v>11</v>
      </c>
      <c r="H1405" t="s">
        <v>12</v>
      </c>
      <c r="I1405" s="8" t="str">
        <f>IF(Tabla2[[#This Row],[precio_unitario]]&lt;=30,"Económico",IF(Tabla2[[#This Row],[precio_unitario]]&lt;=58.49,"Accesible","Caro"))</f>
        <v>Caro</v>
      </c>
      <c r="J1405" t="s">
        <v>8</v>
      </c>
      <c r="K1405">
        <v>3</v>
      </c>
      <c r="L1405" s="20">
        <f>INDEX(Tabla3[precio_venta_recomendado], MATCH(Tabla2[[#This Row],[id_producto]], Tabla3[id_producto], 0))</f>
        <v>177.72</v>
      </c>
      <c r="M1405" s="19">
        <v>94.56</v>
      </c>
      <c r="N1405" s="11">
        <v>0</v>
      </c>
      <c r="O1405" s="17">
        <f t="shared" si="87"/>
        <v>533.16</v>
      </c>
      <c r="P1405" s="17">
        <f t="shared" si="84"/>
        <v>283.68</v>
      </c>
      <c r="Q1405" s="17">
        <f t="shared" si="85"/>
        <v>249.47999999999996</v>
      </c>
      <c r="R1405" s="24">
        <f t="shared" si="86"/>
        <v>0.46792707629979741</v>
      </c>
      <c r="S1405" t="s">
        <v>101</v>
      </c>
      <c r="T1405" t="s">
        <v>64</v>
      </c>
    </row>
    <row r="1406" spans="1:20" hidden="1">
      <c r="A1406" t="s">
        <v>1475</v>
      </c>
      <c r="B1406" s="5">
        <v>45398</v>
      </c>
      <c r="C1406" s="8">
        <f>YEAR(Tabla2[[#This Row],[fecha]])</f>
        <v>2024</v>
      </c>
      <c r="D1406" s="8">
        <f>MONTH(Tabla2[[#This Row],[fecha]])</f>
        <v>4</v>
      </c>
      <c r="E1406" s="8" t="str">
        <f>TEXT(Tabla2[[#This Row],[fecha]], "mmmm")</f>
        <v>abril</v>
      </c>
      <c r="F1406" s="8" t="str">
        <f>"T"&amp;ROUNDUP(Tabla2[[#This Row],[mes]]/3,0)</f>
        <v>T2</v>
      </c>
      <c r="G1406" t="s">
        <v>24</v>
      </c>
      <c r="H1406" t="s">
        <v>25</v>
      </c>
      <c r="I1406" s="8" t="str">
        <f>IF(Tabla2[[#This Row],[precio_unitario]]&lt;=30,"Económico",IF(Tabla2[[#This Row],[precio_unitario]]&lt;=58.49,"Accesible","Caro"))</f>
        <v>Económico</v>
      </c>
      <c r="J1406" t="s">
        <v>26</v>
      </c>
      <c r="K1406">
        <v>3</v>
      </c>
      <c r="L1406" s="19">
        <v>7.93</v>
      </c>
      <c r="M1406" s="19">
        <v>4.37</v>
      </c>
      <c r="N1406" s="13">
        <v>0</v>
      </c>
      <c r="O1406" s="17">
        <f t="shared" si="87"/>
        <v>23.79</v>
      </c>
      <c r="P1406" s="17">
        <f t="shared" si="84"/>
        <v>13.11</v>
      </c>
      <c r="Q1406" s="17">
        <f t="shared" si="85"/>
        <v>10.68</v>
      </c>
      <c r="R1406" s="24">
        <f t="shared" si="86"/>
        <v>0.4489281210592686</v>
      </c>
      <c r="S1406" t="s">
        <v>101</v>
      </c>
      <c r="T1406" t="s">
        <v>64</v>
      </c>
    </row>
    <row r="1407" spans="1:20">
      <c r="A1407" t="s">
        <v>1476</v>
      </c>
      <c r="B1407" s="5">
        <v>45799</v>
      </c>
      <c r="C1407" s="8">
        <f>YEAR(Tabla2[[#This Row],[fecha]])</f>
        <v>2025</v>
      </c>
      <c r="D1407" s="8">
        <f>MONTH(Tabla2[[#This Row],[fecha]])</f>
        <v>5</v>
      </c>
      <c r="E1407" s="8" t="str">
        <f>TEXT(Tabla2[[#This Row],[fecha]], "mmmm")</f>
        <v>mayo</v>
      </c>
      <c r="F1407" s="8" t="str">
        <f>"T"&amp;ROUNDUP(Tabla2[[#This Row],[mes]]/3,0)</f>
        <v>T2</v>
      </c>
      <c r="G1407" t="s">
        <v>24</v>
      </c>
      <c r="H1407" t="s">
        <v>25</v>
      </c>
      <c r="I1407" s="8" t="str">
        <f>IF(Tabla2[[#This Row],[precio_unitario]]&lt;=30,"Económico",IF(Tabla2[[#This Row],[precio_unitario]]&lt;=58.49,"Accesible","Caro"))</f>
        <v>Económico</v>
      </c>
      <c r="J1407" t="s">
        <v>26</v>
      </c>
      <c r="K1407">
        <v>2</v>
      </c>
      <c r="L1407" s="19">
        <v>7.97</v>
      </c>
      <c r="M1407" s="19">
        <v>4.42</v>
      </c>
      <c r="N1407" s="11">
        <v>0.18</v>
      </c>
      <c r="O1407" s="17">
        <f t="shared" si="87"/>
        <v>13.0708</v>
      </c>
      <c r="P1407" s="17">
        <f t="shared" si="84"/>
        <v>8.84</v>
      </c>
      <c r="Q1407" s="17">
        <f t="shared" si="85"/>
        <v>4.2308000000000003</v>
      </c>
      <c r="R1407" s="24">
        <f t="shared" si="86"/>
        <v>0.32368332466260674</v>
      </c>
      <c r="S1407" t="s">
        <v>67</v>
      </c>
      <c r="T1407" t="s">
        <v>64</v>
      </c>
    </row>
    <row r="1408" spans="1:20" hidden="1">
      <c r="A1408" t="s">
        <v>1477</v>
      </c>
      <c r="B1408" s="5">
        <v>45644</v>
      </c>
      <c r="C1408" s="8">
        <f>YEAR(Tabla2[[#This Row],[fecha]])</f>
        <v>2024</v>
      </c>
      <c r="D1408" s="8">
        <f>MONTH(Tabla2[[#This Row],[fecha]])</f>
        <v>12</v>
      </c>
      <c r="E1408" s="8" t="str">
        <f>TEXT(Tabla2[[#This Row],[fecha]], "mmmm")</f>
        <v>diciembre</v>
      </c>
      <c r="F1408" s="8" t="str">
        <f>"T"&amp;ROUNDUP(Tabla2[[#This Row],[mes]]/3,0)</f>
        <v>T4</v>
      </c>
      <c r="G1408" t="s">
        <v>36</v>
      </c>
      <c r="H1408" t="s">
        <v>37</v>
      </c>
      <c r="I1408" s="8" t="str">
        <f>IF(Tabla2[[#This Row],[precio_unitario]]&lt;=30,"Económico",IF(Tabla2[[#This Row],[precio_unitario]]&lt;=58.49,"Accesible","Caro"))</f>
        <v>Económico</v>
      </c>
      <c r="J1408" t="s">
        <v>35</v>
      </c>
      <c r="K1408">
        <v>2</v>
      </c>
      <c r="L1408" s="19">
        <v>13.25</v>
      </c>
      <c r="M1408" s="21">
        <f>INDEX(Tabla3[coste_objetivo], MATCH(Tabla2[[#This Row],[id_producto]], Tabla3[id_producto],0))</f>
        <v>9.58</v>
      </c>
      <c r="N1408" s="11">
        <v>0.27</v>
      </c>
      <c r="O1408" s="17">
        <f t="shared" si="87"/>
        <v>19.344999999999999</v>
      </c>
      <c r="P1408" s="17">
        <f t="shared" si="84"/>
        <v>19.16</v>
      </c>
      <c r="Q1408" s="17">
        <f t="shared" si="85"/>
        <v>0.18499999999999872</v>
      </c>
      <c r="R1408" s="24">
        <f t="shared" si="86"/>
        <v>9.5631946239337681E-3</v>
      </c>
      <c r="S1408" t="s">
        <v>67</v>
      </c>
      <c r="T1408" t="s">
        <v>64</v>
      </c>
    </row>
    <row r="1409" spans="1:20" hidden="1">
      <c r="A1409" t="s">
        <v>1478</v>
      </c>
      <c r="B1409" s="5">
        <v>45330</v>
      </c>
      <c r="C1409" s="8">
        <f>YEAR(Tabla2[[#This Row],[fecha]])</f>
        <v>2024</v>
      </c>
      <c r="D1409" s="8">
        <f>MONTH(Tabla2[[#This Row],[fecha]])</f>
        <v>2</v>
      </c>
      <c r="E1409" s="8" t="str">
        <f>TEXT(Tabla2[[#This Row],[fecha]], "mmmm")</f>
        <v>febrero</v>
      </c>
      <c r="F1409" s="8" t="str">
        <f>"T"&amp;ROUNDUP(Tabla2[[#This Row],[mes]]/3,0)</f>
        <v>T1</v>
      </c>
      <c r="G1409" t="s">
        <v>42</v>
      </c>
      <c r="H1409" t="s">
        <v>43</v>
      </c>
      <c r="I1409" s="8" t="str">
        <f>IF(Tabla2[[#This Row],[precio_unitario]]&lt;=30,"Económico",IF(Tabla2[[#This Row],[precio_unitario]]&lt;=58.49,"Accesible","Caro"))</f>
        <v>Accesible</v>
      </c>
      <c r="J1409" t="s">
        <v>44</v>
      </c>
      <c r="K1409">
        <v>4</v>
      </c>
      <c r="L1409" s="19">
        <v>46.6</v>
      </c>
      <c r="M1409" s="19">
        <v>21.97</v>
      </c>
      <c r="N1409" s="13">
        <v>0</v>
      </c>
      <c r="O1409" s="17">
        <f t="shared" si="87"/>
        <v>186.4</v>
      </c>
      <c r="P1409" s="17">
        <f t="shared" si="84"/>
        <v>87.88</v>
      </c>
      <c r="Q1409" s="17">
        <f t="shared" si="85"/>
        <v>98.52000000000001</v>
      </c>
      <c r="R1409" s="24">
        <f t="shared" si="86"/>
        <v>0.5285407725321889</v>
      </c>
      <c r="S1409" t="s">
        <v>83</v>
      </c>
      <c r="T1409" t="s">
        <v>64</v>
      </c>
    </row>
    <row r="1410" spans="1:20" hidden="1">
      <c r="A1410" t="s">
        <v>1479</v>
      </c>
      <c r="B1410" s="5">
        <v>45770</v>
      </c>
      <c r="C1410" s="8">
        <f>YEAR(Tabla2[[#This Row],[fecha]])</f>
        <v>2025</v>
      </c>
      <c r="D1410" s="8">
        <f>MONTH(Tabla2[[#This Row],[fecha]])</f>
        <v>4</v>
      </c>
      <c r="E1410" s="8" t="str">
        <f>TEXT(Tabla2[[#This Row],[fecha]], "mmmm")</f>
        <v>abril</v>
      </c>
      <c r="F1410" s="8" t="str">
        <f>"T"&amp;ROUNDUP(Tabla2[[#This Row],[mes]]/3,0)</f>
        <v>T2</v>
      </c>
      <c r="G1410" t="s">
        <v>31</v>
      </c>
      <c r="H1410" t="s">
        <v>32</v>
      </c>
      <c r="I1410" s="8" t="str">
        <f>IF(Tabla2[[#This Row],[precio_unitario]]&lt;=30,"Económico",IF(Tabla2[[#This Row],[precio_unitario]]&lt;=58.49,"Accesible","Caro"))</f>
        <v>Económico</v>
      </c>
      <c r="J1410" t="s">
        <v>26</v>
      </c>
      <c r="K1410">
        <v>4</v>
      </c>
      <c r="L1410" s="19">
        <v>8.4700000000000006</v>
      </c>
      <c r="M1410" s="19">
        <v>6.06</v>
      </c>
      <c r="N1410" s="13">
        <v>0</v>
      </c>
      <c r="O1410" s="17">
        <f t="shared" si="87"/>
        <v>33.880000000000003</v>
      </c>
      <c r="P1410" s="17">
        <f t="shared" ref="P1410:P1473" si="88">M1410*K1410</f>
        <v>24.24</v>
      </c>
      <c r="Q1410" s="17">
        <f t="shared" ref="Q1410:Q1473" si="89">O1410-P1410</f>
        <v>9.6400000000000041</v>
      </c>
      <c r="R1410" s="24">
        <f t="shared" ref="R1410:R1473" si="90">IFERROR(Q1410/O1410,0)</f>
        <v>0.28453364817001192</v>
      </c>
      <c r="S1410" t="s">
        <v>63</v>
      </c>
      <c r="T1410" t="s">
        <v>64</v>
      </c>
    </row>
    <row r="1411" spans="1:20" hidden="1">
      <c r="A1411" t="s">
        <v>1480</v>
      </c>
      <c r="B1411" s="5">
        <v>45915</v>
      </c>
      <c r="C1411" s="8">
        <f>YEAR(Tabla2[[#This Row],[fecha]])</f>
        <v>2025</v>
      </c>
      <c r="D1411" s="8">
        <f>MONTH(Tabla2[[#This Row],[fecha]])</f>
        <v>9</v>
      </c>
      <c r="E1411" s="8" t="str">
        <f>TEXT(Tabla2[[#This Row],[fecha]], "mmmm")</f>
        <v>septiembre</v>
      </c>
      <c r="F1411" s="8" t="str">
        <f>"T"&amp;ROUNDUP(Tabla2[[#This Row],[mes]]/3,0)</f>
        <v>T3</v>
      </c>
      <c r="G1411" t="s">
        <v>11</v>
      </c>
      <c r="H1411" t="s">
        <v>12</v>
      </c>
      <c r="I1411" s="8" t="str">
        <f>IF(Tabla2[[#This Row],[precio_unitario]]&lt;=30,"Económico",IF(Tabla2[[#This Row],[precio_unitario]]&lt;=58.49,"Accesible","Caro"))</f>
        <v>Caro</v>
      </c>
      <c r="J1411" t="s">
        <v>8</v>
      </c>
      <c r="K1411">
        <v>1</v>
      </c>
      <c r="L1411" s="19">
        <v>171.18</v>
      </c>
      <c r="M1411" s="19">
        <v>98.2</v>
      </c>
      <c r="N1411" s="11">
        <v>0</v>
      </c>
      <c r="O1411" s="17">
        <f t="shared" ref="O1411:O1474" si="91">K1411*L1411*(1-N1411)</f>
        <v>171.18</v>
      </c>
      <c r="P1411" s="17">
        <f t="shared" si="88"/>
        <v>98.2</v>
      </c>
      <c r="Q1411" s="17">
        <f t="shared" si="89"/>
        <v>72.98</v>
      </c>
      <c r="R1411" s="24">
        <f t="shared" si="90"/>
        <v>0.42633485220236012</v>
      </c>
      <c r="S1411" t="s">
        <v>83</v>
      </c>
      <c r="T1411" t="s">
        <v>64</v>
      </c>
    </row>
    <row r="1412" spans="1:20" hidden="1">
      <c r="A1412" t="s">
        <v>1481</v>
      </c>
      <c r="B1412" s="5">
        <v>45757</v>
      </c>
      <c r="C1412" s="8">
        <f>YEAR(Tabla2[[#This Row],[fecha]])</f>
        <v>2025</v>
      </c>
      <c r="D1412" s="8">
        <f>MONTH(Tabla2[[#This Row],[fecha]])</f>
        <v>4</v>
      </c>
      <c r="E1412" s="8" t="str">
        <f>TEXT(Tabla2[[#This Row],[fecha]], "mmmm")</f>
        <v>abril</v>
      </c>
      <c r="F1412" s="8" t="str">
        <f>"T"&amp;ROUNDUP(Tabla2[[#This Row],[mes]]/3,0)</f>
        <v>T2</v>
      </c>
      <c r="G1412" t="s">
        <v>42</v>
      </c>
      <c r="H1412" t="s">
        <v>43</v>
      </c>
      <c r="I1412" s="8" t="str">
        <f>IF(Tabla2[[#This Row],[precio_unitario]]&lt;=30,"Económico",IF(Tabla2[[#This Row],[precio_unitario]]&lt;=58.49,"Accesible","Caro"))</f>
        <v>Accesible</v>
      </c>
      <c r="J1412" t="s">
        <v>44</v>
      </c>
      <c r="K1412">
        <v>6</v>
      </c>
      <c r="L1412" s="19">
        <v>52.14</v>
      </c>
      <c r="M1412" s="21">
        <f>INDEX(Tabla3[coste_objetivo], MATCH(Tabla2[[#This Row],[id_producto]], Tabla3[id_producto],0))</f>
        <v>22.69</v>
      </c>
      <c r="N1412" s="11">
        <v>0</v>
      </c>
      <c r="O1412" s="17">
        <f t="shared" si="91"/>
        <v>312.84000000000003</v>
      </c>
      <c r="P1412" s="17">
        <f t="shared" si="88"/>
        <v>136.14000000000001</v>
      </c>
      <c r="Q1412" s="17">
        <f t="shared" si="89"/>
        <v>176.70000000000002</v>
      </c>
      <c r="R1412" s="24">
        <f t="shared" si="90"/>
        <v>0.56482546988876103</v>
      </c>
      <c r="S1412" t="s">
        <v>63</v>
      </c>
      <c r="T1412" t="s">
        <v>64</v>
      </c>
    </row>
    <row r="1413" spans="1:20" hidden="1">
      <c r="A1413" t="s">
        <v>1482</v>
      </c>
      <c r="B1413" s="5">
        <v>45570</v>
      </c>
      <c r="C1413" s="8">
        <f>YEAR(Tabla2[[#This Row],[fecha]])</f>
        <v>2024</v>
      </c>
      <c r="D1413" s="8">
        <f>MONTH(Tabla2[[#This Row],[fecha]])</f>
        <v>10</v>
      </c>
      <c r="E1413" s="8" t="str">
        <f>TEXT(Tabla2[[#This Row],[fecha]], "mmmm")</f>
        <v>octubre</v>
      </c>
      <c r="F1413" s="8" t="str">
        <f>"T"&amp;ROUNDUP(Tabla2[[#This Row],[mes]]/3,0)</f>
        <v>T4</v>
      </c>
      <c r="G1413" t="s">
        <v>18</v>
      </c>
      <c r="H1413" t="s">
        <v>19</v>
      </c>
      <c r="I1413" s="8" t="str">
        <f>IF(Tabla2[[#This Row],[precio_unitario]]&lt;=30,"Económico",IF(Tabla2[[#This Row],[precio_unitario]]&lt;=58.49,"Accesible","Caro"))</f>
        <v>Accesible</v>
      </c>
      <c r="J1413" t="s">
        <v>17</v>
      </c>
      <c r="K1413">
        <v>1</v>
      </c>
      <c r="L1413" s="19">
        <v>44.62</v>
      </c>
      <c r="M1413" s="19">
        <v>25.79</v>
      </c>
      <c r="N1413" s="11">
        <v>0</v>
      </c>
      <c r="O1413" s="17">
        <f t="shared" si="91"/>
        <v>44.62</v>
      </c>
      <c r="P1413" s="17">
        <f t="shared" si="88"/>
        <v>25.79</v>
      </c>
      <c r="Q1413" s="17">
        <f t="shared" si="89"/>
        <v>18.829999999999998</v>
      </c>
      <c r="R1413" s="24">
        <f t="shared" si="90"/>
        <v>0.42200806813088299</v>
      </c>
      <c r="S1413" t="s">
        <v>101</v>
      </c>
      <c r="T1413" t="s">
        <v>64</v>
      </c>
    </row>
    <row r="1414" spans="1:20">
      <c r="A1414" t="s">
        <v>1483</v>
      </c>
      <c r="B1414" s="5">
        <v>45970</v>
      </c>
      <c r="C1414" s="8">
        <f>YEAR(Tabla2[[#This Row],[fecha]])</f>
        <v>2025</v>
      </c>
      <c r="D1414" s="8">
        <f>MONTH(Tabla2[[#This Row],[fecha]])</f>
        <v>11</v>
      </c>
      <c r="E1414" s="8" t="str">
        <f>TEXT(Tabla2[[#This Row],[fecha]], "mmmm")</f>
        <v>noviembre</v>
      </c>
      <c r="F1414" s="8" t="str">
        <f>"T"&amp;ROUNDUP(Tabla2[[#This Row],[mes]]/3,0)</f>
        <v>T4</v>
      </c>
      <c r="G1414" t="s">
        <v>20</v>
      </c>
      <c r="H1414" t="s">
        <v>21</v>
      </c>
      <c r="I1414" s="8" t="str">
        <f>IF(Tabla2[[#This Row],[precio_unitario]]&lt;=30,"Económico",IF(Tabla2[[#This Row],[precio_unitario]]&lt;=58.49,"Accesible","Caro"))</f>
        <v>Económico</v>
      </c>
      <c r="J1414" t="s">
        <v>17</v>
      </c>
      <c r="K1414">
        <v>1</v>
      </c>
      <c r="L1414" s="19">
        <v>21.4</v>
      </c>
      <c r="M1414" s="19">
        <v>13.37</v>
      </c>
      <c r="N1414" s="11">
        <v>0.15</v>
      </c>
      <c r="O1414" s="17">
        <f t="shared" si="91"/>
        <v>18.189999999999998</v>
      </c>
      <c r="P1414" s="17">
        <f t="shared" si="88"/>
        <v>13.37</v>
      </c>
      <c r="Q1414" s="17">
        <f t="shared" si="89"/>
        <v>4.8199999999999985</v>
      </c>
      <c r="R1414" s="24">
        <f t="shared" si="90"/>
        <v>0.2649807586586036</v>
      </c>
      <c r="S1414" t="s">
        <v>67</v>
      </c>
      <c r="T1414" t="s">
        <v>64</v>
      </c>
    </row>
    <row r="1415" spans="1:20" hidden="1">
      <c r="A1415" t="s">
        <v>1484</v>
      </c>
      <c r="B1415" s="5">
        <v>45597</v>
      </c>
      <c r="C1415" s="8">
        <f>YEAR(Tabla2[[#This Row],[fecha]])</f>
        <v>2024</v>
      </c>
      <c r="D1415" s="8">
        <f>MONTH(Tabla2[[#This Row],[fecha]])</f>
        <v>11</v>
      </c>
      <c r="E1415" s="8" t="str">
        <f>TEXT(Tabla2[[#This Row],[fecha]], "mmmm")</f>
        <v>noviembre</v>
      </c>
      <c r="F1415" s="8" t="str">
        <f>"T"&amp;ROUNDUP(Tabla2[[#This Row],[mes]]/3,0)</f>
        <v>T4</v>
      </c>
      <c r="G1415" t="s">
        <v>15</v>
      </c>
      <c r="H1415" t="s">
        <v>16</v>
      </c>
      <c r="I1415" s="8" t="str">
        <f>IF(Tabla2[[#This Row],[precio_unitario]]&lt;=30,"Económico",IF(Tabla2[[#This Row],[precio_unitario]]&lt;=58.49,"Accesible","Caro"))</f>
        <v>Accesible</v>
      </c>
      <c r="J1415" t="s">
        <v>17</v>
      </c>
      <c r="K1415">
        <v>1</v>
      </c>
      <c r="L1415" s="19">
        <v>58.49</v>
      </c>
      <c r="M1415" s="19">
        <v>40.659999999999997</v>
      </c>
      <c r="N1415" s="11">
        <v>0</v>
      </c>
      <c r="O1415" s="17">
        <f t="shared" si="91"/>
        <v>58.49</v>
      </c>
      <c r="P1415" s="17">
        <f t="shared" si="88"/>
        <v>40.659999999999997</v>
      </c>
      <c r="Q1415" s="17">
        <f t="shared" si="89"/>
        <v>17.830000000000005</v>
      </c>
      <c r="R1415" s="24">
        <f t="shared" si="90"/>
        <v>0.30483843392032833</v>
      </c>
      <c r="S1415" t="s">
        <v>540</v>
      </c>
      <c r="T1415" t="s">
        <v>64</v>
      </c>
    </row>
    <row r="1416" spans="1:20">
      <c r="A1416" t="s">
        <v>1485</v>
      </c>
      <c r="B1416" s="5">
        <v>45966</v>
      </c>
      <c r="C1416" s="8">
        <f>YEAR(Tabla2[[#This Row],[fecha]])</f>
        <v>2025</v>
      </c>
      <c r="D1416" s="8">
        <f>MONTH(Tabla2[[#This Row],[fecha]])</f>
        <v>11</v>
      </c>
      <c r="E1416" s="8" t="str">
        <f>TEXT(Tabla2[[#This Row],[fecha]], "mmmm")</f>
        <v>noviembre</v>
      </c>
      <c r="F1416" s="8" t="str">
        <f>"T"&amp;ROUNDUP(Tabla2[[#This Row],[mes]]/3,0)</f>
        <v>T4</v>
      </c>
      <c r="G1416" t="s">
        <v>36</v>
      </c>
      <c r="H1416" t="s">
        <v>37</v>
      </c>
      <c r="I1416" s="8" t="str">
        <f>IF(Tabla2[[#This Row],[precio_unitario]]&lt;=30,"Económico",IF(Tabla2[[#This Row],[precio_unitario]]&lt;=58.49,"Accesible","Caro"))</f>
        <v>Económico</v>
      </c>
      <c r="J1416" t="s">
        <v>35</v>
      </c>
      <c r="K1416">
        <v>3</v>
      </c>
      <c r="L1416" s="19">
        <v>12.98</v>
      </c>
      <c r="M1416" s="19">
        <v>9.85</v>
      </c>
      <c r="N1416" s="11">
        <v>0</v>
      </c>
      <c r="O1416" s="17">
        <f t="shared" si="91"/>
        <v>38.94</v>
      </c>
      <c r="P1416" s="17">
        <f t="shared" si="88"/>
        <v>29.549999999999997</v>
      </c>
      <c r="Q1416" s="17">
        <f t="shared" si="89"/>
        <v>9.39</v>
      </c>
      <c r="R1416" s="24">
        <f t="shared" si="90"/>
        <v>0.24114021571648694</v>
      </c>
      <c r="S1416" t="s">
        <v>67</v>
      </c>
      <c r="T1416" t="s">
        <v>64</v>
      </c>
    </row>
    <row r="1417" spans="1:20" hidden="1">
      <c r="A1417" t="s">
        <v>1486</v>
      </c>
      <c r="B1417" s="5">
        <v>45468</v>
      </c>
      <c r="C1417" s="8">
        <f>YEAR(Tabla2[[#This Row],[fecha]])</f>
        <v>2024</v>
      </c>
      <c r="D1417" s="8">
        <f>MONTH(Tabla2[[#This Row],[fecha]])</f>
        <v>6</v>
      </c>
      <c r="E1417" s="8" t="str">
        <f>TEXT(Tabla2[[#This Row],[fecha]], "mmmm")</f>
        <v>junio</v>
      </c>
      <c r="F1417" s="8" t="str">
        <f>"T"&amp;ROUNDUP(Tabla2[[#This Row],[mes]]/3,0)</f>
        <v>T2</v>
      </c>
      <c r="G1417" t="s">
        <v>42</v>
      </c>
      <c r="H1417" t="s">
        <v>43</v>
      </c>
      <c r="I1417" s="8" t="str">
        <f>IF(Tabla2[[#This Row],[precio_unitario]]&lt;=30,"Económico",IF(Tabla2[[#This Row],[precio_unitario]]&lt;=58.49,"Accesible","Caro"))</f>
        <v>Accesible</v>
      </c>
      <c r="J1417" t="s">
        <v>44</v>
      </c>
      <c r="K1417">
        <v>7</v>
      </c>
      <c r="L1417" s="19">
        <v>51.8</v>
      </c>
      <c r="M1417" s="19">
        <v>21.77</v>
      </c>
      <c r="N1417" s="11">
        <v>0.18</v>
      </c>
      <c r="O1417" s="17">
        <f t="shared" si="91"/>
        <v>297.33199999999999</v>
      </c>
      <c r="P1417" s="17">
        <f t="shared" si="88"/>
        <v>152.38999999999999</v>
      </c>
      <c r="Q1417" s="17">
        <f t="shared" si="89"/>
        <v>144.94200000000001</v>
      </c>
      <c r="R1417" s="24">
        <f t="shared" si="90"/>
        <v>0.48747528015820701</v>
      </c>
      <c r="S1417" t="s">
        <v>67</v>
      </c>
      <c r="T1417" t="s">
        <v>64</v>
      </c>
    </row>
    <row r="1418" spans="1:20" hidden="1">
      <c r="A1418" t="s">
        <v>1487</v>
      </c>
      <c r="B1418" s="5">
        <v>45620</v>
      </c>
      <c r="C1418" s="8">
        <f>YEAR(Tabla2[[#This Row],[fecha]])</f>
        <v>2024</v>
      </c>
      <c r="D1418" s="8">
        <f>MONTH(Tabla2[[#This Row],[fecha]])</f>
        <v>11</v>
      </c>
      <c r="E1418" s="8" t="str">
        <f>TEXT(Tabla2[[#This Row],[fecha]], "mmmm")</f>
        <v>noviembre</v>
      </c>
      <c r="F1418" s="8" t="str">
        <f>"T"&amp;ROUNDUP(Tabla2[[#This Row],[mes]]/3,0)</f>
        <v>T4</v>
      </c>
      <c r="G1418" t="s">
        <v>49</v>
      </c>
      <c r="H1418" t="s">
        <v>50</v>
      </c>
      <c r="I1418" s="8" t="str">
        <f>IF(Tabla2[[#This Row],[precio_unitario]]&lt;=30,"Económico",IF(Tabla2[[#This Row],[precio_unitario]]&lt;=58.49,"Accesible","Caro"))</f>
        <v>Accesible</v>
      </c>
      <c r="J1418" t="s">
        <v>44</v>
      </c>
      <c r="K1418">
        <v>1</v>
      </c>
      <c r="L1418" s="19">
        <v>55.57</v>
      </c>
      <c r="M1418" s="19">
        <v>33.130000000000003</v>
      </c>
      <c r="N1418" s="13">
        <v>0</v>
      </c>
      <c r="O1418" s="17">
        <f t="shared" si="91"/>
        <v>55.57</v>
      </c>
      <c r="P1418" s="17">
        <f t="shared" si="88"/>
        <v>33.130000000000003</v>
      </c>
      <c r="Q1418" s="17">
        <f t="shared" si="89"/>
        <v>22.439999999999998</v>
      </c>
      <c r="R1418" s="24">
        <f t="shared" si="90"/>
        <v>0.4038150080978945</v>
      </c>
      <c r="S1418" t="s">
        <v>63</v>
      </c>
      <c r="T1418" t="s">
        <v>64</v>
      </c>
    </row>
    <row r="1419" spans="1:20" hidden="1">
      <c r="A1419" t="s">
        <v>1488</v>
      </c>
      <c r="B1419" s="5">
        <v>45507</v>
      </c>
      <c r="C1419" s="8">
        <f>YEAR(Tabla2[[#This Row],[fecha]])</f>
        <v>2024</v>
      </c>
      <c r="D1419" s="8">
        <f>MONTH(Tabla2[[#This Row],[fecha]])</f>
        <v>8</v>
      </c>
      <c r="E1419" s="8" t="str">
        <f>TEXT(Tabla2[[#This Row],[fecha]], "mmmm")</f>
        <v>agosto</v>
      </c>
      <c r="F1419" s="8" t="str">
        <f>"T"&amp;ROUNDUP(Tabla2[[#This Row],[mes]]/3,0)</f>
        <v>T3</v>
      </c>
      <c r="G1419" t="s">
        <v>42</v>
      </c>
      <c r="H1419" t="s">
        <v>43</v>
      </c>
      <c r="I1419" s="8" t="str">
        <f>IF(Tabla2[[#This Row],[precio_unitario]]&lt;=30,"Económico",IF(Tabla2[[#This Row],[precio_unitario]]&lt;=58.49,"Accesible","Caro"))</f>
        <v>Accesible</v>
      </c>
      <c r="J1419" t="s">
        <v>44</v>
      </c>
      <c r="K1419">
        <v>2</v>
      </c>
      <c r="L1419" s="19">
        <v>50.56</v>
      </c>
      <c r="M1419" s="19">
        <v>22.35</v>
      </c>
      <c r="N1419" s="11">
        <v>0</v>
      </c>
      <c r="O1419" s="17">
        <f t="shared" si="91"/>
        <v>101.12</v>
      </c>
      <c r="P1419" s="17">
        <f t="shared" si="88"/>
        <v>44.7</v>
      </c>
      <c r="Q1419" s="17">
        <f t="shared" si="89"/>
        <v>56.42</v>
      </c>
      <c r="R1419" s="24">
        <f t="shared" si="90"/>
        <v>0.55795094936708856</v>
      </c>
      <c r="S1419" t="s">
        <v>67</v>
      </c>
      <c r="T1419" t="s">
        <v>64</v>
      </c>
    </row>
    <row r="1420" spans="1:20" hidden="1">
      <c r="A1420" t="s">
        <v>1489</v>
      </c>
      <c r="B1420" s="5">
        <v>45617</v>
      </c>
      <c r="C1420" s="8">
        <f>YEAR(Tabla2[[#This Row],[fecha]])</f>
        <v>2024</v>
      </c>
      <c r="D1420" s="8">
        <f>MONTH(Tabla2[[#This Row],[fecha]])</f>
        <v>11</v>
      </c>
      <c r="E1420" s="8" t="str">
        <f>TEXT(Tabla2[[#This Row],[fecha]], "mmmm")</f>
        <v>noviembre</v>
      </c>
      <c r="F1420" s="8" t="str">
        <f>"T"&amp;ROUNDUP(Tabla2[[#This Row],[mes]]/3,0)</f>
        <v>T4</v>
      </c>
      <c r="G1420" t="s">
        <v>40</v>
      </c>
      <c r="H1420" t="s">
        <v>41</v>
      </c>
      <c r="I1420" s="8" t="str">
        <f>IF(Tabla2[[#This Row],[precio_unitario]]&lt;=30,"Económico",IF(Tabla2[[#This Row],[precio_unitario]]&lt;=58.49,"Accesible","Caro"))</f>
        <v>Caro</v>
      </c>
      <c r="J1420" t="s">
        <v>35</v>
      </c>
      <c r="K1420">
        <v>1</v>
      </c>
      <c r="L1420" s="19">
        <v>77.58</v>
      </c>
      <c r="M1420" s="19">
        <v>41.9</v>
      </c>
      <c r="N1420" s="13">
        <v>0</v>
      </c>
      <c r="O1420" s="17">
        <f t="shared" si="91"/>
        <v>77.58</v>
      </c>
      <c r="P1420" s="17">
        <f t="shared" si="88"/>
        <v>41.9</v>
      </c>
      <c r="Q1420" s="17">
        <f t="shared" si="89"/>
        <v>35.68</v>
      </c>
      <c r="R1420" s="24">
        <f t="shared" si="90"/>
        <v>0.45991234854343904</v>
      </c>
      <c r="S1420" t="s">
        <v>83</v>
      </c>
      <c r="T1420" t="s">
        <v>64</v>
      </c>
    </row>
    <row r="1421" spans="1:20" hidden="1">
      <c r="A1421" t="s">
        <v>1490</v>
      </c>
      <c r="B1421" s="5">
        <v>45512</v>
      </c>
      <c r="C1421" s="8">
        <f>YEAR(Tabla2[[#This Row],[fecha]])</f>
        <v>2024</v>
      </c>
      <c r="D1421" s="8">
        <f>MONTH(Tabla2[[#This Row],[fecha]])</f>
        <v>8</v>
      </c>
      <c r="E1421" s="8" t="str">
        <f>TEXT(Tabla2[[#This Row],[fecha]], "mmmm")</f>
        <v>agosto</v>
      </c>
      <c r="F1421" s="8" t="str">
        <f>"T"&amp;ROUNDUP(Tabla2[[#This Row],[mes]]/3,0)</f>
        <v>T3</v>
      </c>
      <c r="G1421" t="s">
        <v>20</v>
      </c>
      <c r="H1421" t="s">
        <v>21</v>
      </c>
      <c r="I1421" s="8" t="str">
        <f>IF(Tabla2[[#This Row],[precio_unitario]]&lt;=30,"Económico",IF(Tabla2[[#This Row],[precio_unitario]]&lt;=58.49,"Accesible","Caro"))</f>
        <v>Económico</v>
      </c>
      <c r="J1421" t="s">
        <v>17</v>
      </c>
      <c r="K1421">
        <v>1</v>
      </c>
      <c r="L1421" s="19">
        <v>18.77</v>
      </c>
      <c r="M1421" s="21">
        <f>INDEX(Tabla3[coste_objetivo], MATCH(Tabla2[[#This Row],[id_producto]], Tabla3[id_producto],0))</f>
        <v>12.9</v>
      </c>
      <c r="N1421" s="11">
        <v>0</v>
      </c>
      <c r="O1421" s="17">
        <f t="shared" si="91"/>
        <v>18.77</v>
      </c>
      <c r="P1421" s="17">
        <f t="shared" si="88"/>
        <v>12.9</v>
      </c>
      <c r="Q1421" s="17">
        <f t="shared" si="89"/>
        <v>5.8699999999999992</v>
      </c>
      <c r="R1421" s="24">
        <f t="shared" si="90"/>
        <v>0.31273308470964301</v>
      </c>
      <c r="S1421" t="s">
        <v>83</v>
      </c>
      <c r="T1421" t="s">
        <v>64</v>
      </c>
    </row>
    <row r="1422" spans="1:20">
      <c r="A1422" t="s">
        <v>1491</v>
      </c>
      <c r="B1422" s="5">
        <v>45946</v>
      </c>
      <c r="C1422" s="8">
        <f>YEAR(Tabla2[[#This Row],[fecha]])</f>
        <v>2025</v>
      </c>
      <c r="D1422" s="8">
        <f>MONTH(Tabla2[[#This Row],[fecha]])</f>
        <v>10</v>
      </c>
      <c r="E1422" s="8" t="str">
        <f>TEXT(Tabla2[[#This Row],[fecha]], "mmmm")</f>
        <v>octubre</v>
      </c>
      <c r="F1422" s="8" t="str">
        <f>"T"&amp;ROUNDUP(Tabla2[[#This Row],[mes]]/3,0)</f>
        <v>T4</v>
      </c>
      <c r="G1422" t="s">
        <v>31</v>
      </c>
      <c r="H1422" t="s">
        <v>32</v>
      </c>
      <c r="I1422" s="8" t="str">
        <f>IF(Tabla2[[#This Row],[precio_unitario]]&lt;=30,"Económico",IF(Tabla2[[#This Row],[precio_unitario]]&lt;=58.49,"Accesible","Caro"))</f>
        <v>Económico</v>
      </c>
      <c r="J1422" t="s">
        <v>26</v>
      </c>
      <c r="K1422">
        <v>1</v>
      </c>
      <c r="L1422" s="19">
        <v>8.2200000000000006</v>
      </c>
      <c r="M1422" s="19">
        <v>5.99</v>
      </c>
      <c r="N1422" s="11">
        <v>0</v>
      </c>
      <c r="O1422" s="17">
        <f t="shared" si="91"/>
        <v>8.2200000000000006</v>
      </c>
      <c r="P1422" s="17">
        <f t="shared" si="88"/>
        <v>5.99</v>
      </c>
      <c r="Q1422" s="17">
        <f t="shared" si="89"/>
        <v>2.2300000000000004</v>
      </c>
      <c r="R1422" s="24">
        <f t="shared" si="90"/>
        <v>0.27128953771289543</v>
      </c>
      <c r="S1422" t="s">
        <v>67</v>
      </c>
      <c r="T1422" t="s">
        <v>64</v>
      </c>
    </row>
    <row r="1423" spans="1:20" hidden="1">
      <c r="A1423" t="s">
        <v>1492</v>
      </c>
      <c r="B1423" s="5">
        <v>45525</v>
      </c>
      <c r="C1423" s="8">
        <f>YEAR(Tabla2[[#This Row],[fecha]])</f>
        <v>2024</v>
      </c>
      <c r="D1423" s="8">
        <f>MONTH(Tabla2[[#This Row],[fecha]])</f>
        <v>8</v>
      </c>
      <c r="E1423" s="8" t="str">
        <f>TEXT(Tabla2[[#This Row],[fecha]], "mmmm")</f>
        <v>agosto</v>
      </c>
      <c r="F1423" s="8" t="str">
        <f>"T"&amp;ROUNDUP(Tabla2[[#This Row],[mes]]/3,0)</f>
        <v>T3</v>
      </c>
      <c r="G1423" t="s">
        <v>42</v>
      </c>
      <c r="H1423" t="s">
        <v>43</v>
      </c>
      <c r="I1423" s="8" t="str">
        <f>IF(Tabla2[[#This Row],[precio_unitario]]&lt;=30,"Económico",IF(Tabla2[[#This Row],[precio_unitario]]&lt;=58.49,"Accesible","Caro"))</f>
        <v>Accesible</v>
      </c>
      <c r="J1423" t="s">
        <v>44</v>
      </c>
      <c r="K1423">
        <v>2</v>
      </c>
      <c r="L1423" s="19">
        <v>49.49</v>
      </c>
      <c r="M1423" s="19">
        <v>22.68</v>
      </c>
      <c r="N1423" s="11">
        <v>0</v>
      </c>
      <c r="O1423" s="17">
        <f t="shared" si="91"/>
        <v>98.98</v>
      </c>
      <c r="P1423" s="17">
        <f t="shared" si="88"/>
        <v>45.36</v>
      </c>
      <c r="Q1423" s="17">
        <f t="shared" si="89"/>
        <v>53.620000000000005</v>
      </c>
      <c r="R1423" s="24">
        <f t="shared" si="90"/>
        <v>0.54172560113154178</v>
      </c>
      <c r="S1423" t="s">
        <v>540</v>
      </c>
      <c r="T1423" t="s">
        <v>64</v>
      </c>
    </row>
    <row r="1424" spans="1:20" hidden="1">
      <c r="A1424" t="s">
        <v>1493</v>
      </c>
      <c r="B1424" s="5">
        <v>45462</v>
      </c>
      <c r="C1424" s="8">
        <f>YEAR(Tabla2[[#This Row],[fecha]])</f>
        <v>2024</v>
      </c>
      <c r="D1424" s="8">
        <f>MONTH(Tabla2[[#This Row],[fecha]])</f>
        <v>6</v>
      </c>
      <c r="E1424" s="8" t="str">
        <f>TEXT(Tabla2[[#This Row],[fecha]], "mmmm")</f>
        <v>junio</v>
      </c>
      <c r="F1424" s="8" t="str">
        <f>"T"&amp;ROUNDUP(Tabla2[[#This Row],[mes]]/3,0)</f>
        <v>T2</v>
      </c>
      <c r="G1424" t="s">
        <v>22</v>
      </c>
      <c r="H1424" t="s">
        <v>23</v>
      </c>
      <c r="I1424" s="8" t="str">
        <f>IF(Tabla2[[#This Row],[precio_unitario]]&lt;=30,"Económico",IF(Tabla2[[#This Row],[precio_unitario]]&lt;=58.49,"Accesible","Caro"))</f>
        <v>Caro</v>
      </c>
      <c r="J1424" t="s">
        <v>17</v>
      </c>
      <c r="K1424">
        <v>9</v>
      </c>
      <c r="L1424" s="19">
        <v>97.11</v>
      </c>
      <c r="M1424" s="19">
        <v>54.61</v>
      </c>
      <c r="N1424" s="11">
        <v>0</v>
      </c>
      <c r="O1424" s="17">
        <f t="shared" si="91"/>
        <v>873.99</v>
      </c>
      <c r="P1424" s="17">
        <f t="shared" si="88"/>
        <v>491.49</v>
      </c>
      <c r="Q1424" s="17">
        <f t="shared" si="89"/>
        <v>382.5</v>
      </c>
      <c r="R1424" s="24">
        <f t="shared" si="90"/>
        <v>0.43764802800947378</v>
      </c>
      <c r="S1424" t="s">
        <v>540</v>
      </c>
      <c r="T1424" t="s">
        <v>154</v>
      </c>
    </row>
    <row r="1425" spans="1:20" hidden="1">
      <c r="A1425" t="s">
        <v>1494</v>
      </c>
      <c r="B1425" s="5">
        <v>45753</v>
      </c>
      <c r="C1425" s="8">
        <f>YEAR(Tabla2[[#This Row],[fecha]])</f>
        <v>2025</v>
      </c>
      <c r="D1425" s="8">
        <f>MONTH(Tabla2[[#This Row],[fecha]])</f>
        <v>4</v>
      </c>
      <c r="E1425" s="8" t="str">
        <f>TEXT(Tabla2[[#This Row],[fecha]], "mmmm")</f>
        <v>abril</v>
      </c>
      <c r="F1425" s="8" t="str">
        <f>"T"&amp;ROUNDUP(Tabla2[[#This Row],[mes]]/3,0)</f>
        <v>T2</v>
      </c>
      <c r="G1425" t="s">
        <v>31</v>
      </c>
      <c r="H1425" t="s">
        <v>32</v>
      </c>
      <c r="I1425" s="8" t="str">
        <f>IF(Tabla2[[#This Row],[precio_unitario]]&lt;=30,"Económico",IF(Tabla2[[#This Row],[precio_unitario]]&lt;=58.49,"Accesible","Caro"))</f>
        <v>Económico</v>
      </c>
      <c r="J1425" t="s">
        <v>26</v>
      </c>
      <c r="K1425">
        <v>1</v>
      </c>
      <c r="L1425" s="19">
        <v>9</v>
      </c>
      <c r="M1425" s="19">
        <v>5.97</v>
      </c>
      <c r="N1425" s="11">
        <v>0</v>
      </c>
      <c r="O1425" s="17">
        <f t="shared" si="91"/>
        <v>9</v>
      </c>
      <c r="P1425" s="17">
        <f t="shared" si="88"/>
        <v>5.97</v>
      </c>
      <c r="Q1425" s="17">
        <f t="shared" si="89"/>
        <v>3.0300000000000002</v>
      </c>
      <c r="R1425" s="24">
        <f t="shared" si="90"/>
        <v>0.33666666666666667</v>
      </c>
      <c r="S1425" t="s">
        <v>540</v>
      </c>
      <c r="T1425" t="s">
        <v>60</v>
      </c>
    </row>
    <row r="1426" spans="1:20" hidden="1">
      <c r="A1426" t="s">
        <v>1495</v>
      </c>
      <c r="B1426" s="5">
        <v>45980</v>
      </c>
      <c r="C1426" s="8">
        <f>YEAR(Tabla2[[#This Row],[fecha]])</f>
        <v>2025</v>
      </c>
      <c r="D1426" s="8">
        <f>MONTH(Tabla2[[#This Row],[fecha]])</f>
        <v>11</v>
      </c>
      <c r="E1426" s="8" t="str">
        <f>TEXT(Tabla2[[#This Row],[fecha]], "mmmm")</f>
        <v>noviembre</v>
      </c>
      <c r="F1426" s="8" t="str">
        <f>"T"&amp;ROUNDUP(Tabla2[[#This Row],[mes]]/3,0)</f>
        <v>T4</v>
      </c>
      <c r="G1426" t="s">
        <v>18</v>
      </c>
      <c r="H1426" t="s">
        <v>19</v>
      </c>
      <c r="I1426" s="8" t="str">
        <f>IF(Tabla2[[#This Row],[precio_unitario]]&lt;=30,"Económico",IF(Tabla2[[#This Row],[precio_unitario]]&lt;=58.49,"Accesible","Caro"))</f>
        <v>Accesible</v>
      </c>
      <c r="J1426" t="s">
        <v>17</v>
      </c>
      <c r="K1426">
        <v>2</v>
      </c>
      <c r="L1426" s="19">
        <v>47.59</v>
      </c>
      <c r="M1426" s="19">
        <v>27.91</v>
      </c>
      <c r="N1426" s="13">
        <v>0</v>
      </c>
      <c r="O1426" s="17">
        <f t="shared" si="91"/>
        <v>95.18</v>
      </c>
      <c r="P1426" s="17">
        <f t="shared" si="88"/>
        <v>55.82</v>
      </c>
      <c r="Q1426" s="17">
        <f t="shared" si="89"/>
        <v>39.360000000000007</v>
      </c>
      <c r="R1426" s="24">
        <f t="shared" si="90"/>
        <v>0.41353225467535198</v>
      </c>
      <c r="S1426" t="s">
        <v>540</v>
      </c>
      <c r="T1426" t="s">
        <v>60</v>
      </c>
    </row>
    <row r="1427" spans="1:20" hidden="1">
      <c r="A1427" t="s">
        <v>1496</v>
      </c>
      <c r="B1427" s="5">
        <v>45488</v>
      </c>
      <c r="C1427" s="8">
        <f>YEAR(Tabla2[[#This Row],[fecha]])</f>
        <v>2024</v>
      </c>
      <c r="D1427" s="8">
        <f>MONTH(Tabla2[[#This Row],[fecha]])</f>
        <v>7</v>
      </c>
      <c r="E1427" s="8" t="str">
        <f>TEXT(Tabla2[[#This Row],[fecha]], "mmmm")</f>
        <v>julio</v>
      </c>
      <c r="F1427" s="8" t="str">
        <f>"T"&amp;ROUNDUP(Tabla2[[#This Row],[mes]]/3,0)</f>
        <v>T3</v>
      </c>
      <c r="G1427" t="s">
        <v>40</v>
      </c>
      <c r="H1427" t="s">
        <v>41</v>
      </c>
      <c r="I1427" s="8" t="str">
        <f>IF(Tabla2[[#This Row],[precio_unitario]]&lt;=30,"Económico",IF(Tabla2[[#This Row],[precio_unitario]]&lt;=58.49,"Accesible","Caro"))</f>
        <v>Caro</v>
      </c>
      <c r="J1427" t="s">
        <v>35</v>
      </c>
      <c r="K1427">
        <v>1</v>
      </c>
      <c r="L1427" s="19">
        <v>73.84</v>
      </c>
      <c r="M1427" s="19">
        <v>42.12</v>
      </c>
      <c r="N1427" s="11">
        <v>0</v>
      </c>
      <c r="O1427" s="17">
        <f t="shared" si="91"/>
        <v>73.84</v>
      </c>
      <c r="P1427" s="17">
        <f t="shared" si="88"/>
        <v>42.12</v>
      </c>
      <c r="Q1427" s="17">
        <f t="shared" si="89"/>
        <v>31.720000000000006</v>
      </c>
      <c r="R1427" s="24">
        <f t="shared" si="90"/>
        <v>0.42957746478873243</v>
      </c>
      <c r="S1427" t="s">
        <v>67</v>
      </c>
      <c r="T1427" t="s">
        <v>60</v>
      </c>
    </row>
    <row r="1428" spans="1:20" hidden="1">
      <c r="A1428" t="s">
        <v>1497</v>
      </c>
      <c r="B1428" s="5">
        <v>45721</v>
      </c>
      <c r="C1428" s="8">
        <f>YEAR(Tabla2[[#This Row],[fecha]])</f>
        <v>2025</v>
      </c>
      <c r="D1428" s="8">
        <f>MONTH(Tabla2[[#This Row],[fecha]])</f>
        <v>3</v>
      </c>
      <c r="E1428" s="8" t="str">
        <f>TEXT(Tabla2[[#This Row],[fecha]], "mmmm")</f>
        <v>marzo</v>
      </c>
      <c r="F1428" s="8" t="str">
        <f>"T"&amp;ROUNDUP(Tabla2[[#This Row],[mes]]/3,0)</f>
        <v>T1</v>
      </c>
      <c r="G1428" t="s">
        <v>38</v>
      </c>
      <c r="H1428" t="s">
        <v>39</v>
      </c>
      <c r="I1428" s="8" t="str">
        <f>IF(Tabla2[[#This Row],[precio_unitario]]&lt;=30,"Económico",IF(Tabla2[[#This Row],[precio_unitario]]&lt;=58.49,"Accesible","Caro"))</f>
        <v>Caro</v>
      </c>
      <c r="J1428" t="s">
        <v>35</v>
      </c>
      <c r="K1428">
        <v>5</v>
      </c>
      <c r="L1428" s="19">
        <v>81.34</v>
      </c>
      <c r="M1428" s="19">
        <v>42.64</v>
      </c>
      <c r="N1428" s="11">
        <v>0</v>
      </c>
      <c r="O1428" s="17">
        <f t="shared" si="91"/>
        <v>406.70000000000005</v>
      </c>
      <c r="P1428" s="17">
        <f t="shared" si="88"/>
        <v>213.2</v>
      </c>
      <c r="Q1428" s="17">
        <f t="shared" si="89"/>
        <v>193.50000000000006</v>
      </c>
      <c r="R1428" s="24">
        <f t="shared" si="90"/>
        <v>0.47578067371526933</v>
      </c>
      <c r="S1428" t="s">
        <v>83</v>
      </c>
      <c r="T1428" t="s">
        <v>60</v>
      </c>
    </row>
    <row r="1429" spans="1:20">
      <c r="A1429" t="s">
        <v>1498</v>
      </c>
      <c r="B1429" s="5">
        <v>45906</v>
      </c>
      <c r="C1429" s="8">
        <f>YEAR(Tabla2[[#This Row],[fecha]])</f>
        <v>2025</v>
      </c>
      <c r="D1429" s="8">
        <f>MONTH(Tabla2[[#This Row],[fecha]])</f>
        <v>9</v>
      </c>
      <c r="E1429" s="8" t="str">
        <f>TEXT(Tabla2[[#This Row],[fecha]], "mmmm")</f>
        <v>septiembre</v>
      </c>
      <c r="F1429" s="8" t="str">
        <f>"T"&amp;ROUNDUP(Tabla2[[#This Row],[mes]]/3,0)</f>
        <v>T3</v>
      </c>
      <c r="G1429" t="s">
        <v>36</v>
      </c>
      <c r="H1429" t="s">
        <v>37</v>
      </c>
      <c r="I1429" s="8" t="str">
        <f>IF(Tabla2[[#This Row],[precio_unitario]]&lt;=30,"Económico",IF(Tabla2[[#This Row],[precio_unitario]]&lt;=58.49,"Accesible","Caro"))</f>
        <v>Económico</v>
      </c>
      <c r="J1429" t="s">
        <v>35</v>
      </c>
      <c r="K1429">
        <v>2</v>
      </c>
      <c r="L1429" s="19">
        <v>13.23</v>
      </c>
      <c r="M1429" s="19">
        <v>9.7899999999999991</v>
      </c>
      <c r="N1429" s="11">
        <v>0</v>
      </c>
      <c r="O1429" s="17">
        <f t="shared" si="91"/>
        <v>26.46</v>
      </c>
      <c r="P1429" s="17">
        <f t="shared" si="88"/>
        <v>19.579999999999998</v>
      </c>
      <c r="Q1429" s="17">
        <f t="shared" si="89"/>
        <v>6.8800000000000026</v>
      </c>
      <c r="R1429" s="24">
        <f t="shared" si="90"/>
        <v>0.26001511715797437</v>
      </c>
      <c r="S1429" t="s">
        <v>67</v>
      </c>
      <c r="T1429" t="s">
        <v>60</v>
      </c>
    </row>
    <row r="1430" spans="1:20" hidden="1">
      <c r="A1430" t="s">
        <v>1499</v>
      </c>
      <c r="B1430" s="5">
        <v>45371</v>
      </c>
      <c r="C1430" s="8">
        <f>YEAR(Tabla2[[#This Row],[fecha]])</f>
        <v>2024</v>
      </c>
      <c r="D1430" s="8">
        <f>MONTH(Tabla2[[#This Row],[fecha]])</f>
        <v>3</v>
      </c>
      <c r="E1430" s="8" t="str">
        <f>TEXT(Tabla2[[#This Row],[fecha]], "mmmm")</f>
        <v>marzo</v>
      </c>
      <c r="F1430" s="8" t="str">
        <f>"T"&amp;ROUNDUP(Tabla2[[#This Row],[mes]]/3,0)</f>
        <v>T1</v>
      </c>
      <c r="G1430" t="s">
        <v>13</v>
      </c>
      <c r="H1430" t="s">
        <v>14</v>
      </c>
      <c r="I1430" s="8" t="str">
        <f>IF(Tabla2[[#This Row],[precio_unitario]]&lt;=30,"Económico",IF(Tabla2[[#This Row],[precio_unitario]]&lt;=58.49,"Accesible","Caro"))</f>
        <v>Caro</v>
      </c>
      <c r="J1430" t="s">
        <v>8</v>
      </c>
      <c r="K1430">
        <v>1</v>
      </c>
      <c r="L1430" s="19">
        <v>163.63</v>
      </c>
      <c r="M1430" s="19">
        <v>113.65</v>
      </c>
      <c r="N1430" s="11">
        <v>0</v>
      </c>
      <c r="O1430" s="17">
        <f t="shared" si="91"/>
        <v>163.63</v>
      </c>
      <c r="P1430" s="17">
        <f t="shared" si="88"/>
        <v>113.65</v>
      </c>
      <c r="Q1430" s="17">
        <f t="shared" si="89"/>
        <v>49.97999999999999</v>
      </c>
      <c r="R1430" s="24">
        <f t="shared" si="90"/>
        <v>0.30544521175823497</v>
      </c>
      <c r="S1430" t="s">
        <v>540</v>
      </c>
      <c r="T1430" t="s">
        <v>60</v>
      </c>
    </row>
    <row r="1431" spans="1:20">
      <c r="A1431" t="s">
        <v>1500</v>
      </c>
      <c r="B1431" s="5">
        <v>45764</v>
      </c>
      <c r="C1431" s="8">
        <f>YEAR(Tabla2[[#This Row],[fecha]])</f>
        <v>2025</v>
      </c>
      <c r="D1431" s="8">
        <f>MONTH(Tabla2[[#This Row],[fecha]])</f>
        <v>4</v>
      </c>
      <c r="E1431" s="8" t="str">
        <f>TEXT(Tabla2[[#This Row],[fecha]], "mmmm")</f>
        <v>abril</v>
      </c>
      <c r="F1431" s="8" t="str">
        <f>"T"&amp;ROUNDUP(Tabla2[[#This Row],[mes]]/3,0)</f>
        <v>T2</v>
      </c>
      <c r="G1431" t="s">
        <v>49</v>
      </c>
      <c r="H1431" t="s">
        <v>50</v>
      </c>
      <c r="I1431" s="8" t="str">
        <f>IF(Tabla2[[#This Row],[precio_unitario]]&lt;=30,"Económico",IF(Tabla2[[#This Row],[precio_unitario]]&lt;=58.49,"Accesible","Caro"))</f>
        <v>Accesible</v>
      </c>
      <c r="J1431" t="s">
        <v>44</v>
      </c>
      <c r="K1431">
        <v>1</v>
      </c>
      <c r="L1431" s="19">
        <v>58.32</v>
      </c>
      <c r="M1431" s="19">
        <v>34.65</v>
      </c>
      <c r="N1431" s="13">
        <v>0</v>
      </c>
      <c r="O1431" s="17">
        <f t="shared" si="91"/>
        <v>58.32</v>
      </c>
      <c r="P1431" s="17">
        <f t="shared" si="88"/>
        <v>34.65</v>
      </c>
      <c r="Q1431" s="17">
        <f t="shared" si="89"/>
        <v>23.67</v>
      </c>
      <c r="R1431" s="24">
        <f t="shared" si="90"/>
        <v>0.40586419753086422</v>
      </c>
      <c r="S1431" t="s">
        <v>67</v>
      </c>
      <c r="T1431" t="s">
        <v>64</v>
      </c>
    </row>
    <row r="1432" spans="1:20" hidden="1">
      <c r="A1432" t="s">
        <v>1501</v>
      </c>
      <c r="B1432" s="5">
        <v>45561</v>
      </c>
      <c r="C1432" s="8">
        <f>YEAR(Tabla2[[#This Row],[fecha]])</f>
        <v>2024</v>
      </c>
      <c r="D1432" s="8">
        <f>MONTH(Tabla2[[#This Row],[fecha]])</f>
        <v>9</v>
      </c>
      <c r="E1432" s="8" t="str">
        <f>TEXT(Tabla2[[#This Row],[fecha]], "mmmm")</f>
        <v>septiembre</v>
      </c>
      <c r="F1432" s="8" t="str">
        <f>"T"&amp;ROUNDUP(Tabla2[[#This Row],[mes]]/3,0)</f>
        <v>T3</v>
      </c>
      <c r="G1432" t="s">
        <v>13</v>
      </c>
      <c r="H1432" t="s">
        <v>14</v>
      </c>
      <c r="I1432" s="8" t="str">
        <f>IF(Tabla2[[#This Row],[precio_unitario]]&lt;=30,"Económico",IF(Tabla2[[#This Row],[precio_unitario]]&lt;=58.49,"Accesible","Caro"))</f>
        <v>Caro</v>
      </c>
      <c r="J1432" t="s">
        <v>8</v>
      </c>
      <c r="K1432">
        <v>2</v>
      </c>
      <c r="L1432" s="19">
        <v>163.86</v>
      </c>
      <c r="M1432" s="19">
        <v>111.04</v>
      </c>
      <c r="N1432" s="11">
        <v>0</v>
      </c>
      <c r="O1432" s="17">
        <f t="shared" si="91"/>
        <v>327.72</v>
      </c>
      <c r="P1432" s="17">
        <f t="shared" si="88"/>
        <v>222.08</v>
      </c>
      <c r="Q1432" s="17">
        <f t="shared" si="89"/>
        <v>105.64000000000001</v>
      </c>
      <c r="R1432" s="24">
        <f t="shared" si="90"/>
        <v>0.32234834614915175</v>
      </c>
      <c r="S1432" t="s">
        <v>83</v>
      </c>
      <c r="T1432" t="s">
        <v>64</v>
      </c>
    </row>
    <row r="1433" spans="1:20" hidden="1">
      <c r="A1433" t="s">
        <v>1502</v>
      </c>
      <c r="B1433" s="5">
        <v>45578</v>
      </c>
      <c r="C1433" s="8">
        <f>YEAR(Tabla2[[#This Row],[fecha]])</f>
        <v>2024</v>
      </c>
      <c r="D1433" s="8">
        <f>MONTH(Tabla2[[#This Row],[fecha]])</f>
        <v>10</v>
      </c>
      <c r="E1433" s="8" t="str">
        <f>TEXT(Tabla2[[#This Row],[fecha]], "mmmm")</f>
        <v>octubre</v>
      </c>
      <c r="F1433" s="8" t="str">
        <f>"T"&amp;ROUNDUP(Tabla2[[#This Row],[mes]]/3,0)</f>
        <v>T4</v>
      </c>
      <c r="G1433" t="s">
        <v>42</v>
      </c>
      <c r="H1433" t="s">
        <v>43</v>
      </c>
      <c r="I1433" s="8" t="str">
        <f>IF(Tabla2[[#This Row],[precio_unitario]]&lt;=30,"Económico",IF(Tabla2[[#This Row],[precio_unitario]]&lt;=58.49,"Accesible","Caro"))</f>
        <v>Accesible</v>
      </c>
      <c r="J1433" t="s">
        <v>44</v>
      </c>
      <c r="K1433">
        <v>1</v>
      </c>
      <c r="L1433" s="19">
        <v>48.72</v>
      </c>
      <c r="M1433" s="19">
        <v>23.69</v>
      </c>
      <c r="N1433" s="11">
        <v>0.14000000000000001</v>
      </c>
      <c r="O1433" s="17">
        <f t="shared" si="91"/>
        <v>41.8992</v>
      </c>
      <c r="P1433" s="17">
        <f t="shared" si="88"/>
        <v>23.69</v>
      </c>
      <c r="Q1433" s="17">
        <f t="shared" si="89"/>
        <v>18.209199999999999</v>
      </c>
      <c r="R1433" s="24">
        <f t="shared" si="90"/>
        <v>0.43459540993622786</v>
      </c>
      <c r="S1433" t="s">
        <v>540</v>
      </c>
      <c r="T1433" t="s">
        <v>64</v>
      </c>
    </row>
    <row r="1434" spans="1:20">
      <c r="A1434" t="s">
        <v>1503</v>
      </c>
      <c r="B1434" s="5">
        <v>45911</v>
      </c>
      <c r="C1434" s="8">
        <f>YEAR(Tabla2[[#This Row],[fecha]])</f>
        <v>2025</v>
      </c>
      <c r="D1434" s="8">
        <f>MONTH(Tabla2[[#This Row],[fecha]])</f>
        <v>9</v>
      </c>
      <c r="E1434" s="8" t="str">
        <f>TEXT(Tabla2[[#This Row],[fecha]], "mmmm")</f>
        <v>septiembre</v>
      </c>
      <c r="F1434" s="8" t="str">
        <f>"T"&amp;ROUNDUP(Tabla2[[#This Row],[mes]]/3,0)</f>
        <v>T3</v>
      </c>
      <c r="G1434" t="s">
        <v>6</v>
      </c>
      <c r="H1434" t="s">
        <v>7</v>
      </c>
      <c r="I1434" s="8" t="str">
        <f>IF(Tabla2[[#This Row],[precio_unitario]]&lt;=30,"Económico",IF(Tabla2[[#This Row],[precio_unitario]]&lt;=58.49,"Accesible","Caro"))</f>
        <v>Caro</v>
      </c>
      <c r="J1434" t="s">
        <v>8</v>
      </c>
      <c r="K1434">
        <v>3</v>
      </c>
      <c r="L1434" s="19">
        <v>120.61</v>
      </c>
      <c r="M1434" s="19">
        <v>80.290000000000006</v>
      </c>
      <c r="N1434" s="11">
        <v>0</v>
      </c>
      <c r="O1434" s="17">
        <f t="shared" si="91"/>
        <v>361.83</v>
      </c>
      <c r="P1434" s="17">
        <f t="shared" si="88"/>
        <v>240.87</v>
      </c>
      <c r="Q1434" s="17">
        <f t="shared" si="89"/>
        <v>120.95999999999998</v>
      </c>
      <c r="R1434" s="24">
        <f t="shared" si="90"/>
        <v>0.33430063842135804</v>
      </c>
      <c r="S1434" t="s">
        <v>67</v>
      </c>
      <c r="T1434" t="s">
        <v>64</v>
      </c>
    </row>
    <row r="1435" spans="1:20" hidden="1">
      <c r="A1435" t="s">
        <v>1504</v>
      </c>
      <c r="B1435" s="5">
        <v>45704</v>
      </c>
      <c r="C1435" s="8">
        <f>YEAR(Tabla2[[#This Row],[fecha]])</f>
        <v>2025</v>
      </c>
      <c r="D1435" s="8">
        <f>MONTH(Tabla2[[#This Row],[fecha]])</f>
        <v>2</v>
      </c>
      <c r="E1435" s="8" t="str">
        <f>TEXT(Tabla2[[#This Row],[fecha]], "mmmm")</f>
        <v>febrero</v>
      </c>
      <c r="F1435" s="8" t="str">
        <f>"T"&amp;ROUNDUP(Tabla2[[#This Row],[mes]]/3,0)</f>
        <v>T1</v>
      </c>
      <c r="G1435" t="s">
        <v>29</v>
      </c>
      <c r="H1435" t="s">
        <v>30</v>
      </c>
      <c r="I1435" s="8" t="str">
        <f>IF(Tabla2[[#This Row],[precio_unitario]]&lt;=30,"Económico",IF(Tabla2[[#This Row],[precio_unitario]]&lt;=58.49,"Accesible","Caro"))</f>
        <v>Económico</v>
      </c>
      <c r="J1435" t="s">
        <v>26</v>
      </c>
      <c r="K1435">
        <v>1</v>
      </c>
      <c r="L1435" s="19">
        <v>21.09</v>
      </c>
      <c r="M1435" s="19">
        <v>11.68</v>
      </c>
      <c r="N1435" s="11">
        <v>0.19</v>
      </c>
      <c r="O1435" s="17">
        <f t="shared" si="91"/>
        <v>17.082900000000002</v>
      </c>
      <c r="P1435" s="17">
        <f t="shared" si="88"/>
        <v>11.68</v>
      </c>
      <c r="Q1435" s="17">
        <f t="shared" si="89"/>
        <v>5.4029000000000025</v>
      </c>
      <c r="R1435" s="24">
        <f t="shared" si="90"/>
        <v>0.31627533966715266</v>
      </c>
      <c r="S1435" t="s">
        <v>83</v>
      </c>
      <c r="T1435" t="s">
        <v>64</v>
      </c>
    </row>
    <row r="1436" spans="1:20">
      <c r="A1436" t="s">
        <v>1505</v>
      </c>
      <c r="B1436" s="5">
        <v>45844</v>
      </c>
      <c r="C1436" s="8">
        <f>YEAR(Tabla2[[#This Row],[fecha]])</f>
        <v>2025</v>
      </c>
      <c r="D1436" s="8">
        <f>MONTH(Tabla2[[#This Row],[fecha]])</f>
        <v>7</v>
      </c>
      <c r="E1436" s="8" t="str">
        <f>TEXT(Tabla2[[#This Row],[fecha]], "mmmm")</f>
        <v>julio</v>
      </c>
      <c r="F1436" s="8" t="str">
        <f>"T"&amp;ROUNDUP(Tabla2[[#This Row],[mes]]/3,0)</f>
        <v>T3</v>
      </c>
      <c r="G1436" t="s">
        <v>9</v>
      </c>
      <c r="H1436" t="s">
        <v>10</v>
      </c>
      <c r="I1436" s="8" t="str">
        <f>IF(Tabla2[[#This Row],[precio_unitario]]&lt;=30,"Económico",IF(Tabla2[[#This Row],[precio_unitario]]&lt;=58.49,"Accesible","Caro"))</f>
        <v>Caro</v>
      </c>
      <c r="J1436" t="s">
        <v>8</v>
      </c>
      <c r="K1436">
        <v>3</v>
      </c>
      <c r="L1436" s="19">
        <v>68.069999999999993</v>
      </c>
      <c r="M1436" s="19">
        <v>49.11</v>
      </c>
      <c r="N1436" s="11">
        <v>0.3</v>
      </c>
      <c r="O1436" s="17">
        <f t="shared" si="91"/>
        <v>142.94699999999997</v>
      </c>
      <c r="P1436" s="17">
        <f t="shared" si="88"/>
        <v>147.32999999999998</v>
      </c>
      <c r="Q1436" s="17">
        <f t="shared" si="89"/>
        <v>-4.3830000000000098</v>
      </c>
      <c r="R1436" s="24">
        <f t="shared" si="90"/>
        <v>-3.0661713782031176E-2</v>
      </c>
      <c r="S1436" t="s">
        <v>67</v>
      </c>
      <c r="T1436" t="s">
        <v>64</v>
      </c>
    </row>
    <row r="1437" spans="1:20" hidden="1">
      <c r="A1437" t="s">
        <v>1506</v>
      </c>
      <c r="B1437" s="5">
        <v>45715</v>
      </c>
      <c r="C1437" s="8">
        <f>YEAR(Tabla2[[#This Row],[fecha]])</f>
        <v>2025</v>
      </c>
      <c r="D1437" s="8">
        <f>MONTH(Tabla2[[#This Row],[fecha]])</f>
        <v>2</v>
      </c>
      <c r="E1437" s="8" t="str">
        <f>TEXT(Tabla2[[#This Row],[fecha]], "mmmm")</f>
        <v>febrero</v>
      </c>
      <c r="F1437" s="8" t="str">
        <f>"T"&amp;ROUNDUP(Tabla2[[#This Row],[mes]]/3,0)</f>
        <v>T1</v>
      </c>
      <c r="G1437" t="s">
        <v>45</v>
      </c>
      <c r="H1437" t="s">
        <v>46</v>
      </c>
      <c r="I1437" s="8" t="str">
        <f>IF(Tabla2[[#This Row],[precio_unitario]]&lt;=30,"Económico",IF(Tabla2[[#This Row],[precio_unitario]]&lt;=58.49,"Accesible","Caro"))</f>
        <v>Accesible</v>
      </c>
      <c r="J1437" t="s">
        <v>44</v>
      </c>
      <c r="K1437">
        <v>3</v>
      </c>
      <c r="L1437" s="19">
        <v>32.479999999999997</v>
      </c>
      <c r="M1437" s="19">
        <v>17.170000000000002</v>
      </c>
      <c r="N1437" s="13">
        <v>0</v>
      </c>
      <c r="O1437" s="17">
        <f t="shared" si="91"/>
        <v>97.44</v>
      </c>
      <c r="P1437" s="17">
        <f t="shared" si="88"/>
        <v>51.510000000000005</v>
      </c>
      <c r="Q1437" s="17">
        <f t="shared" si="89"/>
        <v>45.929999999999993</v>
      </c>
      <c r="R1437" s="24">
        <f t="shared" si="90"/>
        <v>0.47136699507389157</v>
      </c>
      <c r="S1437" t="s">
        <v>101</v>
      </c>
      <c r="T1437" t="s">
        <v>64</v>
      </c>
    </row>
    <row r="1438" spans="1:20" hidden="1">
      <c r="A1438" t="s">
        <v>1507</v>
      </c>
      <c r="B1438" s="5">
        <v>45371</v>
      </c>
      <c r="C1438" s="8">
        <f>YEAR(Tabla2[[#This Row],[fecha]])</f>
        <v>2024</v>
      </c>
      <c r="D1438" s="8">
        <f>MONTH(Tabla2[[#This Row],[fecha]])</f>
        <v>3</v>
      </c>
      <c r="E1438" s="8" t="str">
        <f>TEXT(Tabla2[[#This Row],[fecha]], "mmmm")</f>
        <v>marzo</v>
      </c>
      <c r="F1438" s="8" t="str">
        <f>"T"&amp;ROUNDUP(Tabla2[[#This Row],[mes]]/3,0)</f>
        <v>T1</v>
      </c>
      <c r="G1438" t="s">
        <v>29</v>
      </c>
      <c r="H1438" t="s">
        <v>30</v>
      </c>
      <c r="I1438" s="8" t="str">
        <f>IF(Tabla2[[#This Row],[precio_unitario]]&lt;=30,"Económico",IF(Tabla2[[#This Row],[precio_unitario]]&lt;=58.49,"Accesible","Caro"))</f>
        <v>Económico</v>
      </c>
      <c r="J1438" t="s">
        <v>26</v>
      </c>
      <c r="K1438">
        <v>1</v>
      </c>
      <c r="L1438" s="19">
        <v>20.09</v>
      </c>
      <c r="M1438" s="19">
        <v>11.64</v>
      </c>
      <c r="N1438" s="11">
        <v>0</v>
      </c>
      <c r="O1438" s="17">
        <f t="shared" si="91"/>
        <v>20.09</v>
      </c>
      <c r="P1438" s="17">
        <f t="shared" si="88"/>
        <v>11.64</v>
      </c>
      <c r="Q1438" s="17">
        <f t="shared" si="89"/>
        <v>8.4499999999999993</v>
      </c>
      <c r="R1438" s="24">
        <f t="shared" si="90"/>
        <v>0.42060726729716275</v>
      </c>
      <c r="S1438" t="s">
        <v>67</v>
      </c>
      <c r="T1438" t="s">
        <v>64</v>
      </c>
    </row>
    <row r="1439" spans="1:20" hidden="1">
      <c r="A1439" t="s">
        <v>1508</v>
      </c>
      <c r="B1439" s="5">
        <v>45334</v>
      </c>
      <c r="C1439" s="8">
        <f>YEAR(Tabla2[[#This Row],[fecha]])</f>
        <v>2024</v>
      </c>
      <c r="D1439" s="8">
        <f>MONTH(Tabla2[[#This Row],[fecha]])</f>
        <v>2</v>
      </c>
      <c r="E1439" s="8" t="str">
        <f>TEXT(Tabla2[[#This Row],[fecha]], "mmmm")</f>
        <v>febrero</v>
      </c>
      <c r="F1439" s="8" t="str">
        <f>"T"&amp;ROUNDUP(Tabla2[[#This Row],[mes]]/3,0)</f>
        <v>T1</v>
      </c>
      <c r="G1439" t="s">
        <v>42</v>
      </c>
      <c r="H1439" t="s">
        <v>43</v>
      </c>
      <c r="I1439" s="8" t="str">
        <f>IF(Tabla2[[#This Row],[precio_unitario]]&lt;=30,"Económico",IF(Tabla2[[#This Row],[precio_unitario]]&lt;=58.49,"Accesible","Caro"))</f>
        <v>Accesible</v>
      </c>
      <c r="J1439" t="s">
        <v>44</v>
      </c>
      <c r="K1439">
        <v>5</v>
      </c>
      <c r="L1439" s="19">
        <v>52.63</v>
      </c>
      <c r="M1439" s="19">
        <v>22.95</v>
      </c>
      <c r="N1439" s="13">
        <v>0</v>
      </c>
      <c r="O1439" s="17">
        <f t="shared" si="91"/>
        <v>263.15000000000003</v>
      </c>
      <c r="P1439" s="17">
        <f t="shared" si="88"/>
        <v>114.75</v>
      </c>
      <c r="Q1439" s="17">
        <f t="shared" si="89"/>
        <v>148.40000000000003</v>
      </c>
      <c r="R1439" s="24">
        <f t="shared" si="90"/>
        <v>0.56393691810754332</v>
      </c>
      <c r="S1439" t="s">
        <v>67</v>
      </c>
      <c r="T1439" t="s">
        <v>60</v>
      </c>
    </row>
    <row r="1440" spans="1:20" hidden="1">
      <c r="A1440" t="s">
        <v>1509</v>
      </c>
      <c r="B1440" s="5">
        <v>45384</v>
      </c>
      <c r="C1440" s="8">
        <f>YEAR(Tabla2[[#This Row],[fecha]])</f>
        <v>2024</v>
      </c>
      <c r="D1440" s="8">
        <f>MONTH(Tabla2[[#This Row],[fecha]])</f>
        <v>4</v>
      </c>
      <c r="E1440" s="8" t="str">
        <f>TEXT(Tabla2[[#This Row],[fecha]], "mmmm")</f>
        <v>abril</v>
      </c>
      <c r="F1440" s="8" t="str">
        <f>"T"&amp;ROUNDUP(Tabla2[[#This Row],[mes]]/3,0)</f>
        <v>T2</v>
      </c>
      <c r="G1440" t="s">
        <v>13</v>
      </c>
      <c r="H1440" t="s">
        <v>14</v>
      </c>
      <c r="I1440" s="8" t="str">
        <f>IF(Tabla2[[#This Row],[precio_unitario]]&lt;=30,"Económico",IF(Tabla2[[#This Row],[precio_unitario]]&lt;=58.49,"Accesible","Caro"))</f>
        <v>Caro</v>
      </c>
      <c r="J1440" t="s">
        <v>8</v>
      </c>
      <c r="K1440">
        <v>2</v>
      </c>
      <c r="L1440" s="19">
        <v>149.38999999999999</v>
      </c>
      <c r="M1440" s="19">
        <v>106.39</v>
      </c>
      <c r="N1440" s="11">
        <v>0.21</v>
      </c>
      <c r="O1440" s="17">
        <f t="shared" si="91"/>
        <v>236.03619999999998</v>
      </c>
      <c r="P1440" s="17">
        <f t="shared" si="88"/>
        <v>212.78</v>
      </c>
      <c r="Q1440" s="17">
        <f t="shared" si="89"/>
        <v>23.256199999999978</v>
      </c>
      <c r="R1440" s="24">
        <f t="shared" si="90"/>
        <v>9.8528107129330078E-2</v>
      </c>
      <c r="S1440" t="s">
        <v>67</v>
      </c>
      <c r="T1440" t="s">
        <v>60</v>
      </c>
    </row>
    <row r="1441" spans="1:20" hidden="1">
      <c r="A1441" t="s">
        <v>1510</v>
      </c>
      <c r="B1441" s="5">
        <v>45635</v>
      </c>
      <c r="C1441" s="8">
        <f>YEAR(Tabla2[[#This Row],[fecha]])</f>
        <v>2024</v>
      </c>
      <c r="D1441" s="8">
        <f>MONTH(Tabla2[[#This Row],[fecha]])</f>
        <v>12</v>
      </c>
      <c r="E1441" s="8" t="str">
        <f>TEXT(Tabla2[[#This Row],[fecha]], "mmmm")</f>
        <v>diciembre</v>
      </c>
      <c r="F1441" s="8" t="str">
        <f>"T"&amp;ROUNDUP(Tabla2[[#This Row],[mes]]/3,0)</f>
        <v>T4</v>
      </c>
      <c r="G1441" t="s">
        <v>18</v>
      </c>
      <c r="H1441" t="s">
        <v>19</v>
      </c>
      <c r="I1441" s="8" t="str">
        <f>IF(Tabla2[[#This Row],[precio_unitario]]&lt;=30,"Económico",IF(Tabla2[[#This Row],[precio_unitario]]&lt;=58.49,"Accesible","Caro"))</f>
        <v>Accesible</v>
      </c>
      <c r="J1441" t="s">
        <v>17</v>
      </c>
      <c r="K1441">
        <v>1</v>
      </c>
      <c r="L1441" s="19">
        <v>44.32</v>
      </c>
      <c r="M1441" s="19">
        <v>27.19</v>
      </c>
      <c r="N1441" s="13">
        <v>0</v>
      </c>
      <c r="O1441" s="17">
        <f t="shared" si="91"/>
        <v>44.32</v>
      </c>
      <c r="P1441" s="17">
        <f t="shared" si="88"/>
        <v>27.19</v>
      </c>
      <c r="Q1441" s="17">
        <f t="shared" si="89"/>
        <v>17.13</v>
      </c>
      <c r="R1441" s="24">
        <f t="shared" si="90"/>
        <v>0.3865072202166065</v>
      </c>
      <c r="S1441" t="s">
        <v>83</v>
      </c>
      <c r="T1441" t="s">
        <v>64</v>
      </c>
    </row>
    <row r="1442" spans="1:20" hidden="1">
      <c r="A1442" t="s">
        <v>1511</v>
      </c>
      <c r="B1442" s="5">
        <v>45624</v>
      </c>
      <c r="C1442" s="8">
        <f>YEAR(Tabla2[[#This Row],[fecha]])</f>
        <v>2024</v>
      </c>
      <c r="D1442" s="8">
        <f>MONTH(Tabla2[[#This Row],[fecha]])</f>
        <v>11</v>
      </c>
      <c r="E1442" s="8" t="str">
        <f>TEXT(Tabla2[[#This Row],[fecha]], "mmmm")</f>
        <v>noviembre</v>
      </c>
      <c r="F1442" s="8" t="str">
        <f>"T"&amp;ROUNDUP(Tabla2[[#This Row],[mes]]/3,0)</f>
        <v>T4</v>
      </c>
      <c r="G1442" t="s">
        <v>9</v>
      </c>
      <c r="H1442" t="s">
        <v>10</v>
      </c>
      <c r="I1442" s="8" t="str">
        <f>IF(Tabla2[[#This Row],[precio_unitario]]&lt;=30,"Económico",IF(Tabla2[[#This Row],[precio_unitario]]&lt;=58.49,"Accesible","Caro"))</f>
        <v>Caro</v>
      </c>
      <c r="J1442" t="s">
        <v>8</v>
      </c>
      <c r="K1442">
        <v>2</v>
      </c>
      <c r="L1442" s="19">
        <v>74.17</v>
      </c>
      <c r="M1442" s="19">
        <v>47.54</v>
      </c>
      <c r="N1442" s="11">
        <v>0</v>
      </c>
      <c r="O1442" s="17">
        <f t="shared" si="91"/>
        <v>148.34</v>
      </c>
      <c r="P1442" s="17">
        <f t="shared" si="88"/>
        <v>95.08</v>
      </c>
      <c r="Q1442" s="17">
        <f t="shared" si="89"/>
        <v>53.260000000000005</v>
      </c>
      <c r="R1442" s="24">
        <f t="shared" si="90"/>
        <v>0.35904004314412841</v>
      </c>
      <c r="S1442" t="s">
        <v>63</v>
      </c>
      <c r="T1442" t="s">
        <v>60</v>
      </c>
    </row>
    <row r="1443" spans="1:20">
      <c r="A1443" t="s">
        <v>1512</v>
      </c>
      <c r="B1443" s="5">
        <v>45956</v>
      </c>
      <c r="C1443" s="8">
        <f>YEAR(Tabla2[[#This Row],[fecha]])</f>
        <v>2025</v>
      </c>
      <c r="D1443" s="8">
        <f>MONTH(Tabla2[[#This Row],[fecha]])</f>
        <v>10</v>
      </c>
      <c r="E1443" s="8" t="str">
        <f>TEXT(Tabla2[[#This Row],[fecha]], "mmmm")</f>
        <v>octubre</v>
      </c>
      <c r="F1443" s="8" t="str">
        <f>"T"&amp;ROUNDUP(Tabla2[[#This Row],[mes]]/3,0)</f>
        <v>T4</v>
      </c>
      <c r="G1443" t="s">
        <v>9</v>
      </c>
      <c r="H1443" t="s">
        <v>10</v>
      </c>
      <c r="I1443" s="8" t="str">
        <f>IF(Tabla2[[#This Row],[precio_unitario]]&lt;=30,"Económico",IF(Tabla2[[#This Row],[precio_unitario]]&lt;=58.49,"Accesible","Caro"))</f>
        <v>Caro</v>
      </c>
      <c r="J1443" t="s">
        <v>8</v>
      </c>
      <c r="K1443">
        <v>2</v>
      </c>
      <c r="L1443" s="19">
        <v>68.37</v>
      </c>
      <c r="M1443" s="21">
        <f>INDEX(Tabla3[coste_objetivo], MATCH(Tabla2[[#This Row],[id_producto]], Tabla3[id_producto],0))</f>
        <v>47.23</v>
      </c>
      <c r="N1443" s="11">
        <v>0</v>
      </c>
      <c r="O1443" s="17">
        <f t="shared" si="91"/>
        <v>136.74</v>
      </c>
      <c r="P1443" s="17">
        <f t="shared" si="88"/>
        <v>94.46</v>
      </c>
      <c r="Q1443" s="17">
        <f t="shared" si="89"/>
        <v>42.280000000000015</v>
      </c>
      <c r="R1443" s="24">
        <f t="shared" si="90"/>
        <v>0.30919994149480773</v>
      </c>
      <c r="S1443" t="s">
        <v>67</v>
      </c>
      <c r="T1443" t="s">
        <v>60</v>
      </c>
    </row>
    <row r="1444" spans="1:20">
      <c r="A1444" t="s">
        <v>1513</v>
      </c>
      <c r="B1444" s="5">
        <v>45986</v>
      </c>
      <c r="C1444" s="8">
        <f>YEAR(Tabla2[[#This Row],[fecha]])</f>
        <v>2025</v>
      </c>
      <c r="D1444" s="8">
        <f>MONTH(Tabla2[[#This Row],[fecha]])</f>
        <v>11</v>
      </c>
      <c r="E1444" s="8" t="str">
        <f>TEXT(Tabla2[[#This Row],[fecha]], "mmmm")</f>
        <v>noviembre</v>
      </c>
      <c r="F1444" s="8" t="str">
        <f>"T"&amp;ROUNDUP(Tabla2[[#This Row],[mes]]/3,0)</f>
        <v>T4</v>
      </c>
      <c r="G1444" t="s">
        <v>18</v>
      </c>
      <c r="H1444" t="s">
        <v>19</v>
      </c>
      <c r="I1444" s="8" t="str">
        <f>IF(Tabla2[[#This Row],[precio_unitario]]&lt;=30,"Económico",IF(Tabla2[[#This Row],[precio_unitario]]&lt;=58.49,"Accesible","Caro"))</f>
        <v>Accesible</v>
      </c>
      <c r="J1444" t="s">
        <v>17</v>
      </c>
      <c r="K1444">
        <v>6</v>
      </c>
      <c r="L1444" s="19">
        <v>46.82</v>
      </c>
      <c r="M1444" s="19">
        <v>27.08</v>
      </c>
      <c r="N1444" s="11">
        <v>0.17</v>
      </c>
      <c r="O1444" s="17">
        <f t="shared" si="91"/>
        <v>233.1636</v>
      </c>
      <c r="P1444" s="17">
        <f t="shared" si="88"/>
        <v>162.47999999999999</v>
      </c>
      <c r="Q1444" s="17">
        <f t="shared" si="89"/>
        <v>70.683600000000013</v>
      </c>
      <c r="R1444" s="24">
        <f t="shared" si="90"/>
        <v>0.3031502344276723</v>
      </c>
      <c r="S1444" t="s">
        <v>67</v>
      </c>
      <c r="T1444" t="s">
        <v>64</v>
      </c>
    </row>
    <row r="1445" spans="1:20" hidden="1">
      <c r="A1445" t="s">
        <v>1514</v>
      </c>
      <c r="B1445" s="5">
        <v>45358</v>
      </c>
      <c r="C1445" s="8">
        <f>YEAR(Tabla2[[#This Row],[fecha]])</f>
        <v>2024</v>
      </c>
      <c r="D1445" s="8">
        <f>MONTH(Tabla2[[#This Row],[fecha]])</f>
        <v>3</v>
      </c>
      <c r="E1445" s="8" t="str">
        <f>TEXT(Tabla2[[#This Row],[fecha]], "mmmm")</f>
        <v>marzo</v>
      </c>
      <c r="F1445" s="8" t="str">
        <f>"T"&amp;ROUNDUP(Tabla2[[#This Row],[mes]]/3,0)</f>
        <v>T1</v>
      </c>
      <c r="G1445" t="s">
        <v>15</v>
      </c>
      <c r="H1445" t="s">
        <v>16</v>
      </c>
      <c r="I1445" s="8" t="str">
        <f>IF(Tabla2[[#This Row],[precio_unitario]]&lt;=30,"Económico",IF(Tabla2[[#This Row],[precio_unitario]]&lt;=58.49,"Accesible","Caro"))</f>
        <v>Caro</v>
      </c>
      <c r="J1445" t="s">
        <v>17</v>
      </c>
      <c r="K1445">
        <v>1</v>
      </c>
      <c r="L1445" s="19">
        <v>59.81</v>
      </c>
      <c r="M1445" s="19">
        <v>41.16</v>
      </c>
      <c r="N1445" s="11">
        <v>0</v>
      </c>
      <c r="O1445" s="17">
        <f t="shared" si="91"/>
        <v>59.81</v>
      </c>
      <c r="P1445" s="17">
        <f t="shared" si="88"/>
        <v>41.16</v>
      </c>
      <c r="Q1445" s="17">
        <f t="shared" si="89"/>
        <v>18.650000000000006</v>
      </c>
      <c r="R1445" s="24">
        <f t="shared" si="90"/>
        <v>0.31182076575823447</v>
      </c>
      <c r="S1445" t="s">
        <v>540</v>
      </c>
      <c r="T1445" t="s">
        <v>64</v>
      </c>
    </row>
    <row r="1446" spans="1:20" hidden="1">
      <c r="A1446" t="s">
        <v>1515</v>
      </c>
      <c r="B1446" s="5">
        <v>45483</v>
      </c>
      <c r="C1446" s="8">
        <f>YEAR(Tabla2[[#This Row],[fecha]])</f>
        <v>2024</v>
      </c>
      <c r="D1446" s="8">
        <f>MONTH(Tabla2[[#This Row],[fecha]])</f>
        <v>7</v>
      </c>
      <c r="E1446" s="8" t="str">
        <f>TEXT(Tabla2[[#This Row],[fecha]], "mmmm")</f>
        <v>julio</v>
      </c>
      <c r="F1446" s="8" t="str">
        <f>"T"&amp;ROUNDUP(Tabla2[[#This Row],[mes]]/3,0)</f>
        <v>T3</v>
      </c>
      <c r="G1446" t="s">
        <v>36</v>
      </c>
      <c r="H1446" t="s">
        <v>37</v>
      </c>
      <c r="I1446" s="8" t="str">
        <f>IF(Tabla2[[#This Row],[precio_unitario]]&lt;=30,"Económico",IF(Tabla2[[#This Row],[precio_unitario]]&lt;=58.49,"Accesible","Caro"))</f>
        <v>Económico</v>
      </c>
      <c r="J1446" t="s">
        <v>35</v>
      </c>
      <c r="K1446">
        <v>3</v>
      </c>
      <c r="L1446" s="19">
        <v>15.19</v>
      </c>
      <c r="M1446" s="19">
        <v>9.6300000000000008</v>
      </c>
      <c r="N1446" s="11">
        <v>0</v>
      </c>
      <c r="O1446" s="17">
        <f t="shared" si="91"/>
        <v>45.57</v>
      </c>
      <c r="P1446" s="17">
        <f t="shared" si="88"/>
        <v>28.89</v>
      </c>
      <c r="Q1446" s="17">
        <f t="shared" si="89"/>
        <v>16.68</v>
      </c>
      <c r="R1446" s="24">
        <f t="shared" si="90"/>
        <v>0.36603028308097429</v>
      </c>
      <c r="S1446" t="s">
        <v>83</v>
      </c>
      <c r="T1446" t="s">
        <v>60</v>
      </c>
    </row>
    <row r="1447" spans="1:20" hidden="1">
      <c r="A1447" t="s">
        <v>1516</v>
      </c>
      <c r="B1447" s="5">
        <v>45335</v>
      </c>
      <c r="C1447" s="8">
        <f>YEAR(Tabla2[[#This Row],[fecha]])</f>
        <v>2024</v>
      </c>
      <c r="D1447" s="8">
        <f>MONTH(Tabla2[[#This Row],[fecha]])</f>
        <v>2</v>
      </c>
      <c r="E1447" s="8" t="str">
        <f>TEXT(Tabla2[[#This Row],[fecha]], "mmmm")</f>
        <v>febrero</v>
      </c>
      <c r="F1447" s="8" t="str">
        <f>"T"&amp;ROUNDUP(Tabla2[[#This Row],[mes]]/3,0)</f>
        <v>T1</v>
      </c>
      <c r="G1447" t="s">
        <v>13</v>
      </c>
      <c r="H1447" t="s">
        <v>14</v>
      </c>
      <c r="I1447" s="8" t="str">
        <f>IF(Tabla2[[#This Row],[precio_unitario]]&lt;=30,"Económico",IF(Tabla2[[#This Row],[precio_unitario]]&lt;=58.49,"Accesible","Caro"))</f>
        <v>Caro</v>
      </c>
      <c r="J1447" t="s">
        <v>8</v>
      </c>
      <c r="K1447">
        <v>5</v>
      </c>
      <c r="L1447" s="19">
        <v>158.77000000000001</v>
      </c>
      <c r="M1447" s="19">
        <v>109.22</v>
      </c>
      <c r="N1447" s="11">
        <v>0</v>
      </c>
      <c r="O1447" s="17">
        <f t="shared" si="91"/>
        <v>793.85</v>
      </c>
      <c r="P1447" s="17">
        <f t="shared" si="88"/>
        <v>546.1</v>
      </c>
      <c r="Q1447" s="17">
        <f t="shared" si="89"/>
        <v>247.75</v>
      </c>
      <c r="R1447" s="24">
        <f t="shared" si="90"/>
        <v>0.31208666624677206</v>
      </c>
      <c r="S1447" t="s">
        <v>101</v>
      </c>
      <c r="T1447" t="s">
        <v>60</v>
      </c>
    </row>
    <row r="1448" spans="1:20" hidden="1">
      <c r="A1448" t="s">
        <v>1517</v>
      </c>
      <c r="B1448" s="5">
        <v>45851</v>
      </c>
      <c r="C1448" s="8">
        <f>YEAR(Tabla2[[#This Row],[fecha]])</f>
        <v>2025</v>
      </c>
      <c r="D1448" s="8">
        <f>MONTH(Tabla2[[#This Row],[fecha]])</f>
        <v>7</v>
      </c>
      <c r="E1448" s="8" t="str">
        <f>TEXT(Tabla2[[#This Row],[fecha]], "mmmm")</f>
        <v>julio</v>
      </c>
      <c r="F1448" s="8" t="str">
        <f>"T"&amp;ROUNDUP(Tabla2[[#This Row],[mes]]/3,0)</f>
        <v>T3</v>
      </c>
      <c r="G1448" t="s">
        <v>15</v>
      </c>
      <c r="H1448" t="s">
        <v>16</v>
      </c>
      <c r="I1448" s="8" t="str">
        <f>IF(Tabla2[[#This Row],[precio_unitario]]&lt;=30,"Económico",IF(Tabla2[[#This Row],[precio_unitario]]&lt;=58.49,"Accesible","Caro"))</f>
        <v>Accesible</v>
      </c>
      <c r="J1448" t="s">
        <v>17</v>
      </c>
      <c r="K1448">
        <v>1</v>
      </c>
      <c r="L1448" s="19">
        <v>56.34</v>
      </c>
      <c r="M1448" s="19">
        <v>39.26</v>
      </c>
      <c r="N1448" s="11">
        <v>0</v>
      </c>
      <c r="O1448" s="17">
        <f t="shared" si="91"/>
        <v>56.34</v>
      </c>
      <c r="P1448" s="17">
        <f t="shared" si="88"/>
        <v>39.26</v>
      </c>
      <c r="Q1448" s="17">
        <f t="shared" si="89"/>
        <v>17.080000000000005</v>
      </c>
      <c r="R1448" s="24">
        <f t="shared" si="90"/>
        <v>0.30315938942137033</v>
      </c>
      <c r="S1448" t="s">
        <v>540</v>
      </c>
      <c r="T1448" t="s">
        <v>64</v>
      </c>
    </row>
    <row r="1449" spans="1:20">
      <c r="A1449" t="s">
        <v>1518</v>
      </c>
      <c r="B1449" s="5">
        <v>45690</v>
      </c>
      <c r="C1449" s="8">
        <f>YEAR(Tabla2[[#This Row],[fecha]])</f>
        <v>2025</v>
      </c>
      <c r="D1449" s="8">
        <f>MONTH(Tabla2[[#This Row],[fecha]])</f>
        <v>2</v>
      </c>
      <c r="E1449" s="8" t="str">
        <f>TEXT(Tabla2[[#This Row],[fecha]], "mmmm")</f>
        <v>febrero</v>
      </c>
      <c r="F1449" s="8" t="str">
        <f>"T"&amp;ROUNDUP(Tabla2[[#This Row],[mes]]/3,0)</f>
        <v>T1</v>
      </c>
      <c r="G1449" t="s">
        <v>20</v>
      </c>
      <c r="H1449" t="s">
        <v>21</v>
      </c>
      <c r="I1449" s="8" t="str">
        <f>IF(Tabla2[[#This Row],[precio_unitario]]&lt;=30,"Económico",IF(Tabla2[[#This Row],[precio_unitario]]&lt;=58.49,"Accesible","Caro"))</f>
        <v>Económico</v>
      </c>
      <c r="J1449" t="s">
        <v>17</v>
      </c>
      <c r="K1449">
        <v>9</v>
      </c>
      <c r="L1449" s="19">
        <v>19.82</v>
      </c>
      <c r="M1449" s="19">
        <v>13.48</v>
      </c>
      <c r="N1449" s="11">
        <v>0</v>
      </c>
      <c r="O1449" s="17">
        <f t="shared" si="91"/>
        <v>178.38</v>
      </c>
      <c r="P1449" s="17">
        <f t="shared" si="88"/>
        <v>121.32000000000001</v>
      </c>
      <c r="Q1449" s="17">
        <f t="shared" si="89"/>
        <v>57.059999999999988</v>
      </c>
      <c r="R1449" s="24">
        <f t="shared" si="90"/>
        <v>0.31987891019172549</v>
      </c>
      <c r="S1449" t="s">
        <v>67</v>
      </c>
      <c r="T1449" t="s">
        <v>64</v>
      </c>
    </row>
    <row r="1450" spans="1:20" hidden="1">
      <c r="A1450" t="s">
        <v>1519</v>
      </c>
      <c r="B1450" s="5">
        <v>45888</v>
      </c>
      <c r="C1450" s="8">
        <f>YEAR(Tabla2[[#This Row],[fecha]])</f>
        <v>2025</v>
      </c>
      <c r="D1450" s="8">
        <f>MONTH(Tabla2[[#This Row],[fecha]])</f>
        <v>8</v>
      </c>
      <c r="E1450" s="8" t="str">
        <f>TEXT(Tabla2[[#This Row],[fecha]], "mmmm")</f>
        <v>agosto</v>
      </c>
      <c r="F1450" s="8" t="str">
        <f>"T"&amp;ROUNDUP(Tabla2[[#This Row],[mes]]/3,0)</f>
        <v>T3</v>
      </c>
      <c r="G1450" t="s">
        <v>18</v>
      </c>
      <c r="H1450" t="s">
        <v>19</v>
      </c>
      <c r="I1450" s="8" t="str">
        <f>IF(Tabla2[[#This Row],[precio_unitario]]&lt;=30,"Económico",IF(Tabla2[[#This Row],[precio_unitario]]&lt;=58.49,"Accesible","Caro"))</f>
        <v>Accesible</v>
      </c>
      <c r="J1450" t="s">
        <v>17</v>
      </c>
      <c r="K1450">
        <v>1</v>
      </c>
      <c r="L1450" s="19">
        <v>44.95</v>
      </c>
      <c r="M1450" s="19">
        <v>27.54</v>
      </c>
      <c r="N1450" s="11">
        <v>0</v>
      </c>
      <c r="O1450" s="17">
        <f t="shared" si="91"/>
        <v>44.95</v>
      </c>
      <c r="P1450" s="17">
        <f t="shared" si="88"/>
        <v>27.54</v>
      </c>
      <c r="Q1450" s="17">
        <f t="shared" si="89"/>
        <v>17.410000000000004</v>
      </c>
      <c r="R1450" s="24">
        <f t="shared" si="90"/>
        <v>0.38731924360400449</v>
      </c>
      <c r="S1450" t="s">
        <v>63</v>
      </c>
      <c r="T1450" t="s">
        <v>64</v>
      </c>
    </row>
    <row r="1451" spans="1:20" hidden="1">
      <c r="A1451" t="s">
        <v>1520</v>
      </c>
      <c r="B1451" s="5">
        <v>45814</v>
      </c>
      <c r="C1451" s="8">
        <f>YEAR(Tabla2[[#This Row],[fecha]])</f>
        <v>2025</v>
      </c>
      <c r="D1451" s="8">
        <f>MONTH(Tabla2[[#This Row],[fecha]])</f>
        <v>6</v>
      </c>
      <c r="E1451" s="8" t="str">
        <f>TEXT(Tabla2[[#This Row],[fecha]], "mmmm")</f>
        <v>junio</v>
      </c>
      <c r="F1451" s="8" t="str">
        <f>"T"&amp;ROUNDUP(Tabla2[[#This Row],[mes]]/3,0)</f>
        <v>T2</v>
      </c>
      <c r="G1451" t="s">
        <v>24</v>
      </c>
      <c r="H1451" t="s">
        <v>25</v>
      </c>
      <c r="I1451" s="8" t="str">
        <f>IF(Tabla2[[#This Row],[precio_unitario]]&lt;=30,"Económico",IF(Tabla2[[#This Row],[precio_unitario]]&lt;=58.49,"Accesible","Caro"))</f>
        <v>Económico</v>
      </c>
      <c r="J1451" t="s">
        <v>26</v>
      </c>
      <c r="K1451">
        <v>1</v>
      </c>
      <c r="L1451" s="19">
        <v>7.88</v>
      </c>
      <c r="M1451" s="19">
        <v>4.24</v>
      </c>
      <c r="N1451" s="11">
        <v>0</v>
      </c>
      <c r="O1451" s="17">
        <f t="shared" si="91"/>
        <v>7.88</v>
      </c>
      <c r="P1451" s="17">
        <f t="shared" si="88"/>
        <v>4.24</v>
      </c>
      <c r="Q1451" s="17">
        <f t="shared" si="89"/>
        <v>3.6399999999999997</v>
      </c>
      <c r="R1451" s="24">
        <f t="shared" si="90"/>
        <v>0.46192893401015223</v>
      </c>
      <c r="S1451" t="s">
        <v>540</v>
      </c>
      <c r="T1451" t="s">
        <v>64</v>
      </c>
    </row>
    <row r="1452" spans="1:20" hidden="1">
      <c r="A1452" t="s">
        <v>1521</v>
      </c>
      <c r="B1452" s="5">
        <v>45628</v>
      </c>
      <c r="C1452" s="8">
        <f>YEAR(Tabla2[[#This Row],[fecha]])</f>
        <v>2024</v>
      </c>
      <c r="D1452" s="8">
        <f>MONTH(Tabla2[[#This Row],[fecha]])</f>
        <v>12</v>
      </c>
      <c r="E1452" s="8" t="str">
        <f>TEXT(Tabla2[[#This Row],[fecha]], "mmmm")</f>
        <v>diciembre</v>
      </c>
      <c r="F1452" s="8" t="str">
        <f>"T"&amp;ROUNDUP(Tabla2[[#This Row],[mes]]/3,0)</f>
        <v>T4</v>
      </c>
      <c r="G1452" t="s">
        <v>18</v>
      </c>
      <c r="H1452" t="s">
        <v>19</v>
      </c>
      <c r="I1452" s="8" t="str">
        <f>IF(Tabla2[[#This Row],[precio_unitario]]&lt;=30,"Económico",IF(Tabla2[[#This Row],[precio_unitario]]&lt;=58.49,"Accesible","Caro"))</f>
        <v>Accesible</v>
      </c>
      <c r="J1452" t="s">
        <v>17</v>
      </c>
      <c r="K1452">
        <v>4</v>
      </c>
      <c r="L1452" s="19">
        <v>43.68</v>
      </c>
      <c r="M1452" s="19">
        <v>27.47</v>
      </c>
      <c r="N1452" s="11">
        <v>0.15</v>
      </c>
      <c r="O1452" s="17">
        <f t="shared" si="91"/>
        <v>148.512</v>
      </c>
      <c r="P1452" s="17">
        <f t="shared" si="88"/>
        <v>109.88</v>
      </c>
      <c r="Q1452" s="17">
        <f t="shared" si="89"/>
        <v>38.632000000000005</v>
      </c>
      <c r="R1452" s="24">
        <f t="shared" si="90"/>
        <v>0.26012712777418662</v>
      </c>
      <c r="S1452" t="s">
        <v>67</v>
      </c>
      <c r="T1452" t="s">
        <v>64</v>
      </c>
    </row>
    <row r="1453" spans="1:20" hidden="1">
      <c r="A1453" t="s">
        <v>1522</v>
      </c>
      <c r="B1453" s="5">
        <v>45997</v>
      </c>
      <c r="C1453" s="8">
        <f>YEAR(Tabla2[[#This Row],[fecha]])</f>
        <v>2025</v>
      </c>
      <c r="D1453" s="8">
        <f>MONTH(Tabla2[[#This Row],[fecha]])</f>
        <v>12</v>
      </c>
      <c r="E1453" s="8" t="str">
        <f>TEXT(Tabla2[[#This Row],[fecha]], "mmmm")</f>
        <v>diciembre</v>
      </c>
      <c r="F1453" s="8" t="str">
        <f>"T"&amp;ROUNDUP(Tabla2[[#This Row],[mes]]/3,0)</f>
        <v>T4</v>
      </c>
      <c r="G1453" t="s">
        <v>33</v>
      </c>
      <c r="H1453" t="s">
        <v>34</v>
      </c>
      <c r="I1453" s="8" t="str">
        <f>IF(Tabla2[[#This Row],[precio_unitario]]&lt;=30,"Económico",IF(Tabla2[[#This Row],[precio_unitario]]&lt;=58.49,"Accesible","Caro"))</f>
        <v>Caro</v>
      </c>
      <c r="J1453" t="s">
        <v>35</v>
      </c>
      <c r="K1453">
        <v>3</v>
      </c>
      <c r="L1453" s="19">
        <v>75.08</v>
      </c>
      <c r="M1453" s="19">
        <v>48.49</v>
      </c>
      <c r="N1453" s="13">
        <v>0</v>
      </c>
      <c r="O1453" s="17">
        <f t="shared" si="91"/>
        <v>225.24</v>
      </c>
      <c r="P1453" s="17">
        <f t="shared" si="88"/>
        <v>145.47</v>
      </c>
      <c r="Q1453" s="17">
        <f t="shared" si="89"/>
        <v>79.77000000000001</v>
      </c>
      <c r="R1453" s="24">
        <f t="shared" si="90"/>
        <v>0.35415556739477894</v>
      </c>
      <c r="S1453" t="s">
        <v>63</v>
      </c>
      <c r="T1453" t="s">
        <v>64</v>
      </c>
    </row>
    <row r="1454" spans="1:20" hidden="1">
      <c r="A1454" t="s">
        <v>1523</v>
      </c>
      <c r="B1454" s="5">
        <v>45384</v>
      </c>
      <c r="C1454" s="8">
        <f>YEAR(Tabla2[[#This Row],[fecha]])</f>
        <v>2024</v>
      </c>
      <c r="D1454" s="8">
        <f>MONTH(Tabla2[[#This Row],[fecha]])</f>
        <v>4</v>
      </c>
      <c r="E1454" s="8" t="str">
        <f>TEXT(Tabla2[[#This Row],[fecha]], "mmmm")</f>
        <v>abril</v>
      </c>
      <c r="F1454" s="8" t="str">
        <f>"T"&amp;ROUNDUP(Tabla2[[#This Row],[mes]]/3,0)</f>
        <v>T2</v>
      </c>
      <c r="G1454" t="s">
        <v>38</v>
      </c>
      <c r="H1454" t="s">
        <v>39</v>
      </c>
      <c r="I1454" s="8" t="str">
        <f>IF(Tabla2[[#This Row],[precio_unitario]]&lt;=30,"Económico",IF(Tabla2[[#This Row],[precio_unitario]]&lt;=58.49,"Accesible","Caro"))</f>
        <v>Caro</v>
      </c>
      <c r="J1454" t="s">
        <v>35</v>
      </c>
      <c r="K1454">
        <v>1</v>
      </c>
      <c r="L1454" s="19">
        <v>81.91</v>
      </c>
      <c r="M1454" s="19">
        <v>43.26</v>
      </c>
      <c r="N1454" s="11">
        <v>0.2</v>
      </c>
      <c r="O1454" s="17">
        <f t="shared" si="91"/>
        <v>65.528000000000006</v>
      </c>
      <c r="P1454" s="17">
        <f t="shared" si="88"/>
        <v>43.26</v>
      </c>
      <c r="Q1454" s="17">
        <f t="shared" si="89"/>
        <v>22.268000000000008</v>
      </c>
      <c r="R1454" s="24">
        <f t="shared" si="90"/>
        <v>0.33982419728970831</v>
      </c>
      <c r="S1454" t="s">
        <v>540</v>
      </c>
      <c r="T1454" t="s">
        <v>64</v>
      </c>
    </row>
    <row r="1455" spans="1:20" hidden="1">
      <c r="A1455" t="s">
        <v>1524</v>
      </c>
      <c r="B1455" s="5">
        <v>45994</v>
      </c>
      <c r="C1455" s="8">
        <f>YEAR(Tabla2[[#This Row],[fecha]])</f>
        <v>2025</v>
      </c>
      <c r="D1455" s="8">
        <f>MONTH(Tabla2[[#This Row],[fecha]])</f>
        <v>12</v>
      </c>
      <c r="E1455" s="8" t="str">
        <f>TEXT(Tabla2[[#This Row],[fecha]], "mmmm")</f>
        <v>diciembre</v>
      </c>
      <c r="F1455" s="8" t="str">
        <f>"T"&amp;ROUNDUP(Tabla2[[#This Row],[mes]]/3,0)</f>
        <v>T4</v>
      </c>
      <c r="G1455" t="s">
        <v>33</v>
      </c>
      <c r="H1455" t="s">
        <v>34</v>
      </c>
      <c r="I1455" s="8" t="str">
        <f>IF(Tabla2[[#This Row],[precio_unitario]]&lt;=30,"Económico",IF(Tabla2[[#This Row],[precio_unitario]]&lt;=58.49,"Accesible","Caro"))</f>
        <v>Caro</v>
      </c>
      <c r="J1455" t="s">
        <v>35</v>
      </c>
      <c r="K1455">
        <v>5</v>
      </c>
      <c r="L1455" s="19">
        <v>72.11</v>
      </c>
      <c r="M1455" s="19">
        <v>49.6</v>
      </c>
      <c r="N1455" s="11">
        <v>0</v>
      </c>
      <c r="O1455" s="17">
        <f t="shared" si="91"/>
        <v>360.55</v>
      </c>
      <c r="P1455" s="17">
        <f t="shared" si="88"/>
        <v>248</v>
      </c>
      <c r="Q1455" s="17">
        <f t="shared" si="89"/>
        <v>112.55000000000001</v>
      </c>
      <c r="R1455" s="24">
        <f t="shared" si="90"/>
        <v>0.31216197476078217</v>
      </c>
      <c r="S1455" t="s">
        <v>540</v>
      </c>
      <c r="T1455" t="s">
        <v>64</v>
      </c>
    </row>
    <row r="1456" spans="1:20">
      <c r="A1456" t="s">
        <v>1525</v>
      </c>
      <c r="B1456" s="5">
        <v>45887</v>
      </c>
      <c r="C1456" s="8">
        <f>YEAR(Tabla2[[#This Row],[fecha]])</f>
        <v>2025</v>
      </c>
      <c r="D1456" s="8">
        <f>MONTH(Tabla2[[#This Row],[fecha]])</f>
        <v>8</v>
      </c>
      <c r="E1456" s="8" t="str">
        <f>TEXT(Tabla2[[#This Row],[fecha]], "mmmm")</f>
        <v>agosto</v>
      </c>
      <c r="F1456" s="8" t="str">
        <f>"T"&amp;ROUNDUP(Tabla2[[#This Row],[mes]]/3,0)</f>
        <v>T3</v>
      </c>
      <c r="G1456" t="s">
        <v>47</v>
      </c>
      <c r="H1456" t="s">
        <v>48</v>
      </c>
      <c r="I1456" s="8" t="str">
        <f>IF(Tabla2[[#This Row],[precio_unitario]]&lt;=30,"Económico",IF(Tabla2[[#This Row],[precio_unitario]]&lt;=58.49,"Accesible","Caro"))</f>
        <v>Accesible</v>
      </c>
      <c r="J1456" t="s">
        <v>44</v>
      </c>
      <c r="K1456">
        <v>3</v>
      </c>
      <c r="L1456" s="19">
        <v>57.74</v>
      </c>
      <c r="M1456" s="19">
        <v>33.93</v>
      </c>
      <c r="N1456" s="11">
        <v>0.25</v>
      </c>
      <c r="O1456" s="17">
        <f t="shared" si="91"/>
        <v>129.91499999999999</v>
      </c>
      <c r="P1456" s="17">
        <f t="shared" si="88"/>
        <v>101.78999999999999</v>
      </c>
      <c r="Q1456" s="17">
        <f t="shared" si="89"/>
        <v>28.125</v>
      </c>
      <c r="R1456" s="24">
        <f t="shared" si="90"/>
        <v>0.21648770349844129</v>
      </c>
      <c r="S1456" t="s">
        <v>67</v>
      </c>
      <c r="T1456" t="s">
        <v>64</v>
      </c>
    </row>
    <row r="1457" spans="1:20" hidden="1">
      <c r="A1457" t="s">
        <v>1526</v>
      </c>
      <c r="B1457" s="5">
        <v>45383</v>
      </c>
      <c r="C1457" s="8">
        <f>YEAR(Tabla2[[#This Row],[fecha]])</f>
        <v>2024</v>
      </c>
      <c r="D1457" s="8">
        <f>MONTH(Tabla2[[#This Row],[fecha]])</f>
        <v>4</v>
      </c>
      <c r="E1457" s="8" t="str">
        <f>TEXT(Tabla2[[#This Row],[fecha]], "mmmm")</f>
        <v>abril</v>
      </c>
      <c r="F1457" s="8" t="str">
        <f>"T"&amp;ROUNDUP(Tabla2[[#This Row],[mes]]/3,0)</f>
        <v>T2</v>
      </c>
      <c r="G1457" t="s">
        <v>9</v>
      </c>
      <c r="H1457" t="s">
        <v>10</v>
      </c>
      <c r="I1457" s="8" t="str">
        <f>IF(Tabla2[[#This Row],[precio_unitario]]&lt;=30,"Económico",IF(Tabla2[[#This Row],[precio_unitario]]&lt;=58.49,"Accesible","Caro"))</f>
        <v>Caro</v>
      </c>
      <c r="J1457" t="s">
        <v>8</v>
      </c>
      <c r="K1457">
        <v>5</v>
      </c>
      <c r="L1457" s="19">
        <v>68.34</v>
      </c>
      <c r="M1457" s="19">
        <v>49.22</v>
      </c>
      <c r="N1457" s="11">
        <v>0</v>
      </c>
      <c r="O1457" s="17">
        <f t="shared" si="91"/>
        <v>341.70000000000005</v>
      </c>
      <c r="P1457" s="17">
        <f t="shared" si="88"/>
        <v>246.1</v>
      </c>
      <c r="Q1457" s="17">
        <f t="shared" si="89"/>
        <v>95.600000000000051</v>
      </c>
      <c r="R1457" s="24">
        <f t="shared" si="90"/>
        <v>0.27977758267486108</v>
      </c>
      <c r="S1457" t="s">
        <v>83</v>
      </c>
      <c r="T1457" t="s">
        <v>60</v>
      </c>
    </row>
    <row r="1458" spans="1:20" hidden="1">
      <c r="A1458" t="s">
        <v>1527</v>
      </c>
      <c r="B1458" s="5">
        <v>45436</v>
      </c>
      <c r="C1458" s="8">
        <f>YEAR(Tabla2[[#This Row],[fecha]])</f>
        <v>2024</v>
      </c>
      <c r="D1458" s="8">
        <f>MONTH(Tabla2[[#This Row],[fecha]])</f>
        <v>5</v>
      </c>
      <c r="E1458" s="8" t="str">
        <f>TEXT(Tabla2[[#This Row],[fecha]], "mmmm")</f>
        <v>mayo</v>
      </c>
      <c r="F1458" s="8" t="str">
        <f>"T"&amp;ROUNDUP(Tabla2[[#This Row],[mes]]/3,0)</f>
        <v>T2</v>
      </c>
      <c r="G1458" t="s">
        <v>45</v>
      </c>
      <c r="H1458" t="s">
        <v>46</v>
      </c>
      <c r="I1458" s="8" t="str">
        <f>IF(Tabla2[[#This Row],[precio_unitario]]&lt;=30,"Económico",IF(Tabla2[[#This Row],[precio_unitario]]&lt;=58.49,"Accesible","Caro"))</f>
        <v>Accesible</v>
      </c>
      <c r="J1458" t="s">
        <v>44</v>
      </c>
      <c r="K1458">
        <v>4</v>
      </c>
      <c r="L1458" s="19">
        <v>33.119999999999997</v>
      </c>
      <c r="M1458" s="19">
        <v>16.97</v>
      </c>
      <c r="N1458" s="11">
        <v>0</v>
      </c>
      <c r="O1458" s="17">
        <f t="shared" si="91"/>
        <v>132.47999999999999</v>
      </c>
      <c r="P1458" s="17">
        <f t="shared" si="88"/>
        <v>67.88</v>
      </c>
      <c r="Q1458" s="17">
        <f t="shared" si="89"/>
        <v>64.599999999999994</v>
      </c>
      <c r="R1458" s="24">
        <f t="shared" si="90"/>
        <v>0.4876207729468599</v>
      </c>
      <c r="S1458" t="s">
        <v>67</v>
      </c>
      <c r="T1458" t="s">
        <v>60</v>
      </c>
    </row>
    <row r="1459" spans="1:20" hidden="1">
      <c r="A1459" t="s">
        <v>1528</v>
      </c>
      <c r="B1459" s="5">
        <v>45534</v>
      </c>
      <c r="C1459" s="8">
        <f>YEAR(Tabla2[[#This Row],[fecha]])</f>
        <v>2024</v>
      </c>
      <c r="D1459" s="8">
        <f>MONTH(Tabla2[[#This Row],[fecha]])</f>
        <v>8</v>
      </c>
      <c r="E1459" s="8" t="str">
        <f>TEXT(Tabla2[[#This Row],[fecha]], "mmmm")</f>
        <v>agosto</v>
      </c>
      <c r="F1459" s="8" t="str">
        <f>"T"&amp;ROUNDUP(Tabla2[[#This Row],[mes]]/3,0)</f>
        <v>T3</v>
      </c>
      <c r="G1459" t="s">
        <v>40</v>
      </c>
      <c r="H1459" t="s">
        <v>41</v>
      </c>
      <c r="I1459" s="8" t="str">
        <f>IF(Tabla2[[#This Row],[precio_unitario]]&lt;=30,"Económico",IF(Tabla2[[#This Row],[precio_unitario]]&lt;=58.49,"Accesible","Caro"))</f>
        <v>Caro</v>
      </c>
      <c r="J1459" t="s">
        <v>35</v>
      </c>
      <c r="K1459">
        <v>4</v>
      </c>
      <c r="L1459" s="19">
        <v>74.540000000000006</v>
      </c>
      <c r="M1459" s="19">
        <v>42.13</v>
      </c>
      <c r="N1459" s="11">
        <v>0</v>
      </c>
      <c r="O1459" s="17">
        <f t="shared" si="91"/>
        <v>298.16000000000003</v>
      </c>
      <c r="P1459" s="17">
        <f t="shared" si="88"/>
        <v>168.52</v>
      </c>
      <c r="Q1459" s="17">
        <f t="shared" si="89"/>
        <v>129.64000000000001</v>
      </c>
      <c r="R1459" s="24">
        <f t="shared" si="90"/>
        <v>0.43480010732492624</v>
      </c>
      <c r="S1459" t="s">
        <v>101</v>
      </c>
      <c r="T1459" t="s">
        <v>133</v>
      </c>
    </row>
    <row r="1460" spans="1:20" hidden="1">
      <c r="A1460" t="s">
        <v>1529</v>
      </c>
      <c r="B1460" s="5">
        <v>45611</v>
      </c>
      <c r="C1460" s="8">
        <f>YEAR(Tabla2[[#This Row],[fecha]])</f>
        <v>2024</v>
      </c>
      <c r="D1460" s="8">
        <f>MONTH(Tabla2[[#This Row],[fecha]])</f>
        <v>11</v>
      </c>
      <c r="E1460" s="8" t="str">
        <f>TEXT(Tabla2[[#This Row],[fecha]], "mmmm")</f>
        <v>noviembre</v>
      </c>
      <c r="F1460" s="8" t="str">
        <f>"T"&amp;ROUNDUP(Tabla2[[#This Row],[mes]]/3,0)</f>
        <v>T4</v>
      </c>
      <c r="G1460" t="s">
        <v>31</v>
      </c>
      <c r="H1460" t="s">
        <v>32</v>
      </c>
      <c r="I1460" s="8" t="str">
        <f>IF(Tabla2[[#This Row],[precio_unitario]]&lt;=30,"Económico",IF(Tabla2[[#This Row],[precio_unitario]]&lt;=58.49,"Accesible","Caro"))</f>
        <v>Económico</v>
      </c>
      <c r="J1460" t="s">
        <v>26</v>
      </c>
      <c r="K1460">
        <v>3</v>
      </c>
      <c r="L1460" s="19">
        <v>8.18</v>
      </c>
      <c r="M1460" s="19">
        <v>5.9</v>
      </c>
      <c r="N1460" s="11">
        <v>0</v>
      </c>
      <c r="O1460" s="17">
        <f t="shared" si="91"/>
        <v>24.54</v>
      </c>
      <c r="P1460" s="17">
        <f t="shared" si="88"/>
        <v>17.700000000000003</v>
      </c>
      <c r="Q1460" s="17">
        <f t="shared" si="89"/>
        <v>6.8399999999999963</v>
      </c>
      <c r="R1460" s="24">
        <f t="shared" si="90"/>
        <v>0.27872860635696806</v>
      </c>
      <c r="S1460" t="s">
        <v>67</v>
      </c>
      <c r="T1460" t="s">
        <v>64</v>
      </c>
    </row>
    <row r="1461" spans="1:20" hidden="1">
      <c r="A1461" t="s">
        <v>1530</v>
      </c>
      <c r="B1461" s="5">
        <v>45486</v>
      </c>
      <c r="C1461" s="8">
        <f>YEAR(Tabla2[[#This Row],[fecha]])</f>
        <v>2024</v>
      </c>
      <c r="D1461" s="8">
        <f>MONTH(Tabla2[[#This Row],[fecha]])</f>
        <v>7</v>
      </c>
      <c r="E1461" s="8" t="str">
        <f>TEXT(Tabla2[[#This Row],[fecha]], "mmmm")</f>
        <v>julio</v>
      </c>
      <c r="F1461" s="8" t="str">
        <f>"T"&amp;ROUNDUP(Tabla2[[#This Row],[mes]]/3,0)</f>
        <v>T3</v>
      </c>
      <c r="G1461" t="s">
        <v>33</v>
      </c>
      <c r="H1461" t="s">
        <v>34</v>
      </c>
      <c r="I1461" s="8" t="str">
        <f>IF(Tabla2[[#This Row],[precio_unitario]]&lt;=30,"Económico",IF(Tabla2[[#This Row],[precio_unitario]]&lt;=58.49,"Accesible","Caro"))</f>
        <v>Caro</v>
      </c>
      <c r="J1461" t="s">
        <v>35</v>
      </c>
      <c r="K1461">
        <v>3</v>
      </c>
      <c r="L1461" s="19">
        <v>74.63</v>
      </c>
      <c r="M1461" s="21">
        <f>INDEX(Tabla3[coste_objetivo], MATCH(Tabla2[[#This Row],[id_producto]], Tabla3[id_producto],0))</f>
        <v>47.62</v>
      </c>
      <c r="N1461" s="11">
        <v>0.18</v>
      </c>
      <c r="O1461" s="17">
        <f t="shared" si="91"/>
        <v>183.5898</v>
      </c>
      <c r="P1461" s="17">
        <f t="shared" si="88"/>
        <v>142.85999999999999</v>
      </c>
      <c r="Q1461" s="17">
        <f t="shared" si="89"/>
        <v>40.729800000000012</v>
      </c>
      <c r="R1461" s="24">
        <f t="shared" si="90"/>
        <v>0.22185219440295709</v>
      </c>
      <c r="S1461" t="s">
        <v>540</v>
      </c>
      <c r="T1461" t="s">
        <v>64</v>
      </c>
    </row>
    <row r="1462" spans="1:20">
      <c r="A1462" t="s">
        <v>1531</v>
      </c>
      <c r="B1462" s="5">
        <v>45675</v>
      </c>
      <c r="C1462" s="8">
        <f>YEAR(Tabla2[[#This Row],[fecha]])</f>
        <v>2025</v>
      </c>
      <c r="D1462" s="8">
        <f>MONTH(Tabla2[[#This Row],[fecha]])</f>
        <v>1</v>
      </c>
      <c r="E1462" s="8" t="str">
        <f>TEXT(Tabla2[[#This Row],[fecha]], "mmmm")</f>
        <v>enero</v>
      </c>
      <c r="F1462" s="8" t="str">
        <f>"T"&amp;ROUNDUP(Tabla2[[#This Row],[mes]]/3,0)</f>
        <v>T1</v>
      </c>
      <c r="G1462" t="s">
        <v>45</v>
      </c>
      <c r="H1462" t="s">
        <v>46</v>
      </c>
      <c r="I1462" s="8" t="str">
        <f>IF(Tabla2[[#This Row],[precio_unitario]]&lt;=30,"Económico",IF(Tabla2[[#This Row],[precio_unitario]]&lt;=58.49,"Accesible","Caro"))</f>
        <v>Accesible</v>
      </c>
      <c r="J1462" t="s">
        <v>44</v>
      </c>
      <c r="K1462">
        <v>1</v>
      </c>
      <c r="L1462" s="19">
        <v>30.39</v>
      </c>
      <c r="M1462" s="19">
        <v>16.809999999999999</v>
      </c>
      <c r="N1462" s="11">
        <v>0</v>
      </c>
      <c r="O1462" s="17">
        <f t="shared" si="91"/>
        <v>30.39</v>
      </c>
      <c r="P1462" s="17">
        <f t="shared" si="88"/>
        <v>16.809999999999999</v>
      </c>
      <c r="Q1462" s="17">
        <f t="shared" si="89"/>
        <v>13.580000000000002</v>
      </c>
      <c r="R1462" s="24">
        <f t="shared" si="90"/>
        <v>0.44685751892069764</v>
      </c>
      <c r="S1462" t="s">
        <v>67</v>
      </c>
      <c r="T1462" t="s">
        <v>60</v>
      </c>
    </row>
    <row r="1463" spans="1:20" hidden="1">
      <c r="A1463" t="s">
        <v>1532</v>
      </c>
      <c r="B1463" s="5">
        <v>45507</v>
      </c>
      <c r="C1463" s="8">
        <f>YEAR(Tabla2[[#This Row],[fecha]])</f>
        <v>2024</v>
      </c>
      <c r="D1463" s="8">
        <f>MONTH(Tabla2[[#This Row],[fecha]])</f>
        <v>8</v>
      </c>
      <c r="E1463" s="8" t="str">
        <f>TEXT(Tabla2[[#This Row],[fecha]], "mmmm")</f>
        <v>agosto</v>
      </c>
      <c r="F1463" s="8" t="str">
        <f>"T"&amp;ROUNDUP(Tabla2[[#This Row],[mes]]/3,0)</f>
        <v>T3</v>
      </c>
      <c r="G1463" t="s">
        <v>20</v>
      </c>
      <c r="H1463" t="s">
        <v>21</v>
      </c>
      <c r="I1463" s="8" t="str">
        <f>IF(Tabla2[[#This Row],[precio_unitario]]&lt;=30,"Económico",IF(Tabla2[[#This Row],[precio_unitario]]&lt;=58.49,"Accesible","Caro"))</f>
        <v>Económico</v>
      </c>
      <c r="J1463" t="s">
        <v>17</v>
      </c>
      <c r="K1463">
        <v>1</v>
      </c>
      <c r="L1463" s="19">
        <v>21.13</v>
      </c>
      <c r="M1463" s="19">
        <v>12.33</v>
      </c>
      <c r="N1463" s="11">
        <v>0</v>
      </c>
      <c r="O1463" s="17">
        <f t="shared" si="91"/>
        <v>21.13</v>
      </c>
      <c r="P1463" s="17">
        <f t="shared" si="88"/>
        <v>12.33</v>
      </c>
      <c r="Q1463" s="17">
        <f t="shared" si="89"/>
        <v>8.7999999999999989</v>
      </c>
      <c r="R1463" s="24">
        <f t="shared" si="90"/>
        <v>0.41646947468054896</v>
      </c>
      <c r="S1463" t="s">
        <v>63</v>
      </c>
      <c r="T1463" t="s">
        <v>60</v>
      </c>
    </row>
    <row r="1464" spans="1:20" hidden="1">
      <c r="A1464" t="s">
        <v>1533</v>
      </c>
      <c r="B1464" s="5">
        <v>45595</v>
      </c>
      <c r="C1464" s="8">
        <f>YEAR(Tabla2[[#This Row],[fecha]])</f>
        <v>2024</v>
      </c>
      <c r="D1464" s="8">
        <f>MONTH(Tabla2[[#This Row],[fecha]])</f>
        <v>10</v>
      </c>
      <c r="E1464" s="8" t="str">
        <f>TEXT(Tabla2[[#This Row],[fecha]], "mmmm")</f>
        <v>octubre</v>
      </c>
      <c r="F1464" s="8" t="str">
        <f>"T"&amp;ROUNDUP(Tabla2[[#This Row],[mes]]/3,0)</f>
        <v>T4</v>
      </c>
      <c r="G1464" t="s">
        <v>33</v>
      </c>
      <c r="H1464" t="s">
        <v>34</v>
      </c>
      <c r="I1464" s="8" t="str">
        <f>IF(Tabla2[[#This Row],[precio_unitario]]&lt;=30,"Económico",IF(Tabla2[[#This Row],[precio_unitario]]&lt;=58.49,"Accesible","Caro"))</f>
        <v>Caro</v>
      </c>
      <c r="J1464" t="s">
        <v>35</v>
      </c>
      <c r="K1464">
        <v>2</v>
      </c>
      <c r="L1464" s="19">
        <v>74.62</v>
      </c>
      <c r="M1464" s="19">
        <v>48.68</v>
      </c>
      <c r="N1464" s="11">
        <v>0</v>
      </c>
      <c r="O1464" s="17">
        <f t="shared" si="91"/>
        <v>149.24</v>
      </c>
      <c r="P1464" s="17">
        <f t="shared" si="88"/>
        <v>97.36</v>
      </c>
      <c r="Q1464" s="17">
        <f t="shared" si="89"/>
        <v>51.88000000000001</v>
      </c>
      <c r="R1464" s="24">
        <f t="shared" si="90"/>
        <v>0.3476279817743233</v>
      </c>
      <c r="S1464" t="s">
        <v>540</v>
      </c>
      <c r="T1464" t="s">
        <v>64</v>
      </c>
    </row>
    <row r="1465" spans="1:20" hidden="1">
      <c r="A1465" t="s">
        <v>1534</v>
      </c>
      <c r="B1465" s="5">
        <v>45991</v>
      </c>
      <c r="C1465" s="8">
        <f>YEAR(Tabla2[[#This Row],[fecha]])</f>
        <v>2025</v>
      </c>
      <c r="D1465" s="8">
        <f>MONTH(Tabla2[[#This Row],[fecha]])</f>
        <v>11</v>
      </c>
      <c r="E1465" s="8" t="str">
        <f>TEXT(Tabla2[[#This Row],[fecha]], "mmmm")</f>
        <v>noviembre</v>
      </c>
      <c r="F1465" s="8" t="str">
        <f>"T"&amp;ROUNDUP(Tabla2[[#This Row],[mes]]/3,0)</f>
        <v>T4</v>
      </c>
      <c r="G1465" t="s">
        <v>36</v>
      </c>
      <c r="H1465" t="s">
        <v>37</v>
      </c>
      <c r="I1465" s="8" t="str">
        <f>IF(Tabla2[[#This Row],[precio_unitario]]&lt;=30,"Económico",IF(Tabla2[[#This Row],[precio_unitario]]&lt;=58.49,"Accesible","Caro"))</f>
        <v>Económico</v>
      </c>
      <c r="J1465" t="s">
        <v>35</v>
      </c>
      <c r="K1465">
        <v>5</v>
      </c>
      <c r="L1465" s="19">
        <v>13.82</v>
      </c>
      <c r="M1465" s="19">
        <v>9.68</v>
      </c>
      <c r="N1465" s="13">
        <v>0</v>
      </c>
      <c r="O1465" s="17">
        <f t="shared" si="91"/>
        <v>69.099999999999994</v>
      </c>
      <c r="P1465" s="17">
        <f t="shared" si="88"/>
        <v>48.4</v>
      </c>
      <c r="Q1465" s="17">
        <f t="shared" si="89"/>
        <v>20.699999999999996</v>
      </c>
      <c r="R1465" s="24">
        <f t="shared" si="90"/>
        <v>0.29956584659913166</v>
      </c>
      <c r="S1465" t="s">
        <v>96</v>
      </c>
      <c r="T1465" t="s">
        <v>64</v>
      </c>
    </row>
    <row r="1466" spans="1:20" hidden="1">
      <c r="A1466" t="s">
        <v>1535</v>
      </c>
      <c r="B1466" s="5">
        <v>45756</v>
      </c>
      <c r="C1466" s="8">
        <f>YEAR(Tabla2[[#This Row],[fecha]])</f>
        <v>2025</v>
      </c>
      <c r="D1466" s="8">
        <f>MONTH(Tabla2[[#This Row],[fecha]])</f>
        <v>4</v>
      </c>
      <c r="E1466" s="8" t="str">
        <f>TEXT(Tabla2[[#This Row],[fecha]], "mmmm")</f>
        <v>abril</v>
      </c>
      <c r="F1466" s="8" t="str">
        <f>"T"&amp;ROUNDUP(Tabla2[[#This Row],[mes]]/3,0)</f>
        <v>T2</v>
      </c>
      <c r="G1466" t="s">
        <v>6</v>
      </c>
      <c r="H1466" t="s">
        <v>7</v>
      </c>
      <c r="I1466" s="8" t="str">
        <f>IF(Tabla2[[#This Row],[precio_unitario]]&lt;=30,"Económico",IF(Tabla2[[#This Row],[precio_unitario]]&lt;=58.49,"Accesible","Caro"))</f>
        <v>Caro</v>
      </c>
      <c r="J1466" t="s">
        <v>8</v>
      </c>
      <c r="K1466">
        <v>5</v>
      </c>
      <c r="L1466" s="19">
        <v>128.85</v>
      </c>
      <c r="M1466" s="19">
        <v>87.72</v>
      </c>
      <c r="N1466" s="11">
        <v>0.18</v>
      </c>
      <c r="O1466" s="17">
        <f t="shared" si="91"/>
        <v>528.28500000000008</v>
      </c>
      <c r="P1466" s="17">
        <f t="shared" si="88"/>
        <v>438.6</v>
      </c>
      <c r="Q1466" s="17">
        <f t="shared" si="89"/>
        <v>89.685000000000059</v>
      </c>
      <c r="R1466" s="24">
        <f t="shared" si="90"/>
        <v>0.16976631931627822</v>
      </c>
      <c r="S1466" t="s">
        <v>540</v>
      </c>
      <c r="T1466" t="s">
        <v>64</v>
      </c>
    </row>
    <row r="1467" spans="1:20" hidden="1">
      <c r="A1467" t="s">
        <v>1536</v>
      </c>
      <c r="B1467" s="5">
        <v>45322</v>
      </c>
      <c r="C1467" s="8">
        <f>YEAR(Tabla2[[#This Row],[fecha]])</f>
        <v>2024</v>
      </c>
      <c r="D1467" s="8">
        <f>MONTH(Tabla2[[#This Row],[fecha]])</f>
        <v>1</v>
      </c>
      <c r="E1467" s="8" t="str">
        <f>TEXT(Tabla2[[#This Row],[fecha]], "mmmm")</f>
        <v>enero</v>
      </c>
      <c r="F1467" s="8" t="str">
        <f>"T"&amp;ROUNDUP(Tabla2[[#This Row],[mes]]/3,0)</f>
        <v>T1</v>
      </c>
      <c r="G1467" t="s">
        <v>9</v>
      </c>
      <c r="H1467" t="s">
        <v>10</v>
      </c>
      <c r="I1467" s="8" t="str">
        <f>IF(Tabla2[[#This Row],[precio_unitario]]&lt;=30,"Económico",IF(Tabla2[[#This Row],[precio_unitario]]&lt;=58.49,"Accesible","Caro"))</f>
        <v>Caro</v>
      </c>
      <c r="J1467" t="s">
        <v>8</v>
      </c>
      <c r="K1467">
        <v>1</v>
      </c>
      <c r="L1467" s="19">
        <v>69.95</v>
      </c>
      <c r="M1467" s="19">
        <v>48.87</v>
      </c>
      <c r="N1467" s="11">
        <v>0</v>
      </c>
      <c r="O1467" s="17">
        <f t="shared" si="91"/>
        <v>69.95</v>
      </c>
      <c r="P1467" s="17">
        <f t="shared" si="88"/>
        <v>48.87</v>
      </c>
      <c r="Q1467" s="17">
        <f t="shared" si="89"/>
        <v>21.080000000000005</v>
      </c>
      <c r="R1467" s="24">
        <f t="shared" si="90"/>
        <v>0.30135811293781278</v>
      </c>
      <c r="S1467" t="s">
        <v>67</v>
      </c>
      <c r="T1467" t="s">
        <v>60</v>
      </c>
    </row>
    <row r="1468" spans="1:20" hidden="1">
      <c r="A1468" t="s">
        <v>1537</v>
      </c>
      <c r="B1468" s="5">
        <v>46019</v>
      </c>
      <c r="C1468" s="8">
        <f>YEAR(Tabla2[[#This Row],[fecha]])</f>
        <v>2025</v>
      </c>
      <c r="D1468" s="8">
        <f>MONTH(Tabla2[[#This Row],[fecha]])</f>
        <v>12</v>
      </c>
      <c r="E1468" s="8" t="str">
        <f>TEXT(Tabla2[[#This Row],[fecha]], "mmmm")</f>
        <v>diciembre</v>
      </c>
      <c r="F1468" s="8" t="str">
        <f>"T"&amp;ROUNDUP(Tabla2[[#This Row],[mes]]/3,0)</f>
        <v>T4</v>
      </c>
      <c r="G1468" t="s">
        <v>15</v>
      </c>
      <c r="H1468" t="s">
        <v>16</v>
      </c>
      <c r="I1468" s="8" t="str">
        <f>IF(Tabla2[[#This Row],[precio_unitario]]&lt;=30,"Económico",IF(Tabla2[[#This Row],[precio_unitario]]&lt;=58.49,"Accesible","Caro"))</f>
        <v>Accesible</v>
      </c>
      <c r="J1468" t="s">
        <v>17</v>
      </c>
      <c r="K1468">
        <v>3</v>
      </c>
      <c r="L1468" s="19">
        <v>57.97</v>
      </c>
      <c r="M1468" s="19">
        <v>39.590000000000003</v>
      </c>
      <c r="N1468" s="13">
        <v>0</v>
      </c>
      <c r="O1468" s="17">
        <f t="shared" si="91"/>
        <v>173.91</v>
      </c>
      <c r="P1468" s="17">
        <f t="shared" si="88"/>
        <v>118.77000000000001</v>
      </c>
      <c r="Q1468" s="17">
        <f t="shared" si="89"/>
        <v>55.139999999999986</v>
      </c>
      <c r="R1468" s="24">
        <f t="shared" si="90"/>
        <v>0.3170605485595997</v>
      </c>
      <c r="S1468" t="s">
        <v>83</v>
      </c>
      <c r="T1468" t="s">
        <v>64</v>
      </c>
    </row>
    <row r="1469" spans="1:20">
      <c r="A1469" t="s">
        <v>1538</v>
      </c>
      <c r="B1469" s="5">
        <v>45756</v>
      </c>
      <c r="C1469" s="8">
        <f>YEAR(Tabla2[[#This Row],[fecha]])</f>
        <v>2025</v>
      </c>
      <c r="D1469" s="8">
        <f>MONTH(Tabla2[[#This Row],[fecha]])</f>
        <v>4</v>
      </c>
      <c r="E1469" s="8" t="str">
        <f>TEXT(Tabla2[[#This Row],[fecha]], "mmmm")</f>
        <v>abril</v>
      </c>
      <c r="F1469" s="8" t="str">
        <f>"T"&amp;ROUNDUP(Tabla2[[#This Row],[mes]]/3,0)</f>
        <v>T2</v>
      </c>
      <c r="G1469" t="s">
        <v>6</v>
      </c>
      <c r="H1469" t="s">
        <v>7</v>
      </c>
      <c r="I1469" s="8" t="str">
        <f>IF(Tabla2[[#This Row],[precio_unitario]]&lt;=30,"Económico",IF(Tabla2[[#This Row],[precio_unitario]]&lt;=58.49,"Accesible","Caro"))</f>
        <v>Caro</v>
      </c>
      <c r="J1469" t="s">
        <v>8</v>
      </c>
      <c r="K1469">
        <v>5</v>
      </c>
      <c r="L1469" s="19">
        <v>126.39</v>
      </c>
      <c r="M1469" s="19">
        <v>88</v>
      </c>
      <c r="N1469" s="11">
        <v>0</v>
      </c>
      <c r="O1469" s="17">
        <f t="shared" si="91"/>
        <v>631.95000000000005</v>
      </c>
      <c r="P1469" s="17">
        <f t="shared" si="88"/>
        <v>440</v>
      </c>
      <c r="Q1469" s="17">
        <f t="shared" si="89"/>
        <v>191.95000000000005</v>
      </c>
      <c r="R1469" s="24">
        <f t="shared" si="90"/>
        <v>0.3037423846823325</v>
      </c>
      <c r="S1469" t="s">
        <v>67</v>
      </c>
      <c r="T1469" t="s">
        <v>60</v>
      </c>
    </row>
    <row r="1470" spans="1:20" hidden="1">
      <c r="A1470" t="s">
        <v>1539</v>
      </c>
      <c r="B1470" s="5">
        <v>45391</v>
      </c>
      <c r="C1470" s="8">
        <f>YEAR(Tabla2[[#This Row],[fecha]])</f>
        <v>2024</v>
      </c>
      <c r="D1470" s="8">
        <f>MONTH(Tabla2[[#This Row],[fecha]])</f>
        <v>4</v>
      </c>
      <c r="E1470" s="8" t="str">
        <f>TEXT(Tabla2[[#This Row],[fecha]], "mmmm")</f>
        <v>abril</v>
      </c>
      <c r="F1470" s="8" t="str">
        <f>"T"&amp;ROUNDUP(Tabla2[[#This Row],[mes]]/3,0)</f>
        <v>T2</v>
      </c>
      <c r="G1470" t="s">
        <v>29</v>
      </c>
      <c r="H1470" t="s">
        <v>30</v>
      </c>
      <c r="I1470" s="8" t="str">
        <f>IF(Tabla2[[#This Row],[precio_unitario]]&lt;=30,"Económico",IF(Tabla2[[#This Row],[precio_unitario]]&lt;=58.49,"Accesible","Caro"))</f>
        <v>Económico</v>
      </c>
      <c r="J1470" t="s">
        <v>26</v>
      </c>
      <c r="K1470">
        <v>2</v>
      </c>
      <c r="L1470" s="19">
        <v>20.78</v>
      </c>
      <c r="M1470" s="19">
        <v>11.64</v>
      </c>
      <c r="N1470" s="13">
        <v>0</v>
      </c>
      <c r="O1470" s="17">
        <f t="shared" si="91"/>
        <v>41.56</v>
      </c>
      <c r="P1470" s="17">
        <f t="shared" si="88"/>
        <v>23.28</v>
      </c>
      <c r="Q1470" s="17">
        <f t="shared" si="89"/>
        <v>18.28</v>
      </c>
      <c r="R1470" s="24">
        <f t="shared" si="90"/>
        <v>0.43984600577478344</v>
      </c>
      <c r="S1470" t="s">
        <v>67</v>
      </c>
      <c r="T1470" t="s">
        <v>60</v>
      </c>
    </row>
    <row r="1471" spans="1:20" hidden="1">
      <c r="A1471" t="s">
        <v>1540</v>
      </c>
      <c r="B1471" s="5">
        <v>45821</v>
      </c>
      <c r="C1471" s="8">
        <f>YEAR(Tabla2[[#This Row],[fecha]])</f>
        <v>2025</v>
      </c>
      <c r="D1471" s="8">
        <f>MONTH(Tabla2[[#This Row],[fecha]])</f>
        <v>6</v>
      </c>
      <c r="E1471" s="8" t="str">
        <f>TEXT(Tabla2[[#This Row],[fecha]], "mmmm")</f>
        <v>junio</v>
      </c>
      <c r="F1471" s="8" t="str">
        <f>"T"&amp;ROUNDUP(Tabla2[[#This Row],[mes]]/3,0)</f>
        <v>T2</v>
      </c>
      <c r="G1471" t="s">
        <v>18</v>
      </c>
      <c r="H1471" t="s">
        <v>19</v>
      </c>
      <c r="I1471" s="8" t="str">
        <f>IF(Tabla2[[#This Row],[precio_unitario]]&lt;=30,"Económico",IF(Tabla2[[#This Row],[precio_unitario]]&lt;=58.49,"Accesible","Caro"))</f>
        <v>Accesible</v>
      </c>
      <c r="J1471" t="s">
        <v>17</v>
      </c>
      <c r="K1471">
        <v>3</v>
      </c>
      <c r="L1471" s="19">
        <v>48.36</v>
      </c>
      <c r="M1471" s="21">
        <f>INDEX(Tabla3[coste_objetivo], MATCH(Tabla2[[#This Row],[id_producto]], Tabla3[id_producto],0))</f>
        <v>26.63</v>
      </c>
      <c r="N1471" s="11">
        <v>0</v>
      </c>
      <c r="O1471" s="17">
        <f t="shared" si="91"/>
        <v>145.07999999999998</v>
      </c>
      <c r="P1471" s="17">
        <f t="shared" si="88"/>
        <v>79.89</v>
      </c>
      <c r="Q1471" s="17">
        <f t="shared" si="89"/>
        <v>65.189999999999984</v>
      </c>
      <c r="R1471" s="24">
        <f t="shared" si="90"/>
        <v>0.4493382961124896</v>
      </c>
      <c r="S1471" t="s">
        <v>101</v>
      </c>
      <c r="T1471" t="s">
        <v>64</v>
      </c>
    </row>
    <row r="1472" spans="1:20">
      <c r="A1472" t="s">
        <v>1541</v>
      </c>
      <c r="B1472" s="5">
        <v>45956</v>
      </c>
      <c r="C1472" s="8">
        <f>YEAR(Tabla2[[#This Row],[fecha]])</f>
        <v>2025</v>
      </c>
      <c r="D1472" s="8">
        <f>MONTH(Tabla2[[#This Row],[fecha]])</f>
        <v>10</v>
      </c>
      <c r="E1472" s="8" t="str">
        <f>TEXT(Tabla2[[#This Row],[fecha]], "mmmm")</f>
        <v>octubre</v>
      </c>
      <c r="F1472" s="8" t="str">
        <f>"T"&amp;ROUNDUP(Tabla2[[#This Row],[mes]]/3,0)</f>
        <v>T4</v>
      </c>
      <c r="G1472" t="s">
        <v>40</v>
      </c>
      <c r="H1472" t="s">
        <v>41</v>
      </c>
      <c r="I1472" s="8" t="str">
        <f>IF(Tabla2[[#This Row],[precio_unitario]]&lt;=30,"Económico",IF(Tabla2[[#This Row],[precio_unitario]]&lt;=58.49,"Accesible","Caro"))</f>
        <v>Caro</v>
      </c>
      <c r="J1472" t="s">
        <v>35</v>
      </c>
      <c r="K1472">
        <v>3</v>
      </c>
      <c r="L1472" s="19">
        <v>80.3</v>
      </c>
      <c r="M1472" s="19">
        <v>40.42</v>
      </c>
      <c r="N1472" s="11">
        <v>0</v>
      </c>
      <c r="O1472" s="17">
        <f t="shared" si="91"/>
        <v>240.89999999999998</v>
      </c>
      <c r="P1472" s="17">
        <f t="shared" si="88"/>
        <v>121.26</v>
      </c>
      <c r="Q1472" s="17">
        <f t="shared" si="89"/>
        <v>119.63999999999997</v>
      </c>
      <c r="R1472" s="24">
        <f t="shared" si="90"/>
        <v>0.49663760896637604</v>
      </c>
      <c r="S1472" t="s">
        <v>67</v>
      </c>
      <c r="T1472" t="s">
        <v>64</v>
      </c>
    </row>
    <row r="1473" spans="1:20" hidden="1">
      <c r="A1473" t="s">
        <v>1542</v>
      </c>
      <c r="B1473" s="5">
        <v>45386</v>
      </c>
      <c r="C1473" s="8">
        <f>YEAR(Tabla2[[#This Row],[fecha]])</f>
        <v>2024</v>
      </c>
      <c r="D1473" s="8">
        <f>MONTH(Tabla2[[#This Row],[fecha]])</f>
        <v>4</v>
      </c>
      <c r="E1473" s="8" t="str">
        <f>TEXT(Tabla2[[#This Row],[fecha]], "mmmm")</f>
        <v>abril</v>
      </c>
      <c r="F1473" s="8" t="str">
        <f>"T"&amp;ROUNDUP(Tabla2[[#This Row],[mes]]/3,0)</f>
        <v>T2</v>
      </c>
      <c r="G1473" t="s">
        <v>22</v>
      </c>
      <c r="H1473" t="s">
        <v>23</v>
      </c>
      <c r="I1473" s="8" t="str">
        <f>IF(Tabla2[[#This Row],[precio_unitario]]&lt;=30,"Económico",IF(Tabla2[[#This Row],[precio_unitario]]&lt;=58.49,"Accesible","Caro"))</f>
        <v>Caro</v>
      </c>
      <c r="J1473" t="s">
        <v>17</v>
      </c>
      <c r="K1473">
        <v>1</v>
      </c>
      <c r="L1473" s="19">
        <v>108.74</v>
      </c>
      <c r="M1473" s="19">
        <v>58.39</v>
      </c>
      <c r="N1473" s="11">
        <v>0</v>
      </c>
      <c r="O1473" s="17">
        <f t="shared" si="91"/>
        <v>108.74</v>
      </c>
      <c r="P1473" s="17">
        <f t="shared" si="88"/>
        <v>58.39</v>
      </c>
      <c r="Q1473" s="17">
        <f t="shared" si="89"/>
        <v>50.349999999999994</v>
      </c>
      <c r="R1473" s="24">
        <f t="shared" si="90"/>
        <v>0.46303108331800624</v>
      </c>
      <c r="S1473" t="s">
        <v>67</v>
      </c>
      <c r="T1473" t="s">
        <v>60</v>
      </c>
    </row>
    <row r="1474" spans="1:20" hidden="1">
      <c r="A1474" t="s">
        <v>1543</v>
      </c>
      <c r="B1474" s="5">
        <v>45576</v>
      </c>
      <c r="C1474" s="8">
        <f>YEAR(Tabla2[[#This Row],[fecha]])</f>
        <v>2024</v>
      </c>
      <c r="D1474" s="8">
        <f>MONTH(Tabla2[[#This Row],[fecha]])</f>
        <v>10</v>
      </c>
      <c r="E1474" s="8" t="str">
        <f>TEXT(Tabla2[[#This Row],[fecha]], "mmmm")</f>
        <v>octubre</v>
      </c>
      <c r="F1474" s="8" t="str">
        <f>"T"&amp;ROUNDUP(Tabla2[[#This Row],[mes]]/3,0)</f>
        <v>T4</v>
      </c>
      <c r="G1474" t="s">
        <v>45</v>
      </c>
      <c r="H1474" t="s">
        <v>46</v>
      </c>
      <c r="I1474" s="8" t="str">
        <f>IF(Tabla2[[#This Row],[precio_unitario]]&lt;=30,"Económico",IF(Tabla2[[#This Row],[precio_unitario]]&lt;=58.49,"Accesible","Caro"))</f>
        <v>Accesible</v>
      </c>
      <c r="J1474" t="s">
        <v>44</v>
      </c>
      <c r="K1474">
        <v>5</v>
      </c>
      <c r="L1474" s="19">
        <v>33.119999999999997</v>
      </c>
      <c r="M1474" s="19">
        <v>16.72</v>
      </c>
      <c r="N1474" s="11">
        <v>0</v>
      </c>
      <c r="O1474" s="17">
        <f t="shared" si="91"/>
        <v>165.6</v>
      </c>
      <c r="P1474" s="17">
        <f t="shared" ref="P1474:P1537" si="92">M1474*K1474</f>
        <v>83.6</v>
      </c>
      <c r="Q1474" s="17">
        <f t="shared" ref="Q1474:Q1537" si="93">O1474-P1474</f>
        <v>82</v>
      </c>
      <c r="R1474" s="24">
        <f t="shared" ref="R1474:R1537" si="94">IFERROR(Q1474/O1474,0)</f>
        <v>0.4951690821256039</v>
      </c>
      <c r="S1474" s="10" t="s">
        <v>2377</v>
      </c>
      <c r="T1474" t="s">
        <v>64</v>
      </c>
    </row>
    <row r="1475" spans="1:20" hidden="1">
      <c r="A1475" t="s">
        <v>1544</v>
      </c>
      <c r="B1475" s="5">
        <v>45757</v>
      </c>
      <c r="C1475" s="8">
        <f>YEAR(Tabla2[[#This Row],[fecha]])</f>
        <v>2025</v>
      </c>
      <c r="D1475" s="8">
        <f>MONTH(Tabla2[[#This Row],[fecha]])</f>
        <v>4</v>
      </c>
      <c r="E1475" s="8" t="str">
        <f>TEXT(Tabla2[[#This Row],[fecha]], "mmmm")</f>
        <v>abril</v>
      </c>
      <c r="F1475" s="8" t="str">
        <f>"T"&amp;ROUNDUP(Tabla2[[#This Row],[mes]]/3,0)</f>
        <v>T2</v>
      </c>
      <c r="G1475" t="s">
        <v>29</v>
      </c>
      <c r="H1475" t="s">
        <v>30</v>
      </c>
      <c r="I1475" s="8" t="str">
        <f>IF(Tabla2[[#This Row],[precio_unitario]]&lt;=30,"Económico",IF(Tabla2[[#This Row],[precio_unitario]]&lt;=58.49,"Accesible","Caro"))</f>
        <v>Económico</v>
      </c>
      <c r="J1475" t="s">
        <v>26</v>
      </c>
      <c r="K1475">
        <v>2</v>
      </c>
      <c r="L1475" s="19">
        <v>20.190000000000001</v>
      </c>
      <c r="M1475" s="19">
        <v>11.46</v>
      </c>
      <c r="N1475" s="13">
        <v>0</v>
      </c>
      <c r="O1475" s="17">
        <f t="shared" ref="O1475:O1538" si="95">K1475*L1475*(1-N1475)</f>
        <v>40.380000000000003</v>
      </c>
      <c r="P1475" s="17">
        <f t="shared" si="92"/>
        <v>22.92</v>
      </c>
      <c r="Q1475" s="17">
        <f t="shared" si="93"/>
        <v>17.46</v>
      </c>
      <c r="R1475" s="24">
        <f t="shared" si="94"/>
        <v>0.43239227340267461</v>
      </c>
      <c r="S1475" t="s">
        <v>101</v>
      </c>
      <c r="T1475" t="s">
        <v>64</v>
      </c>
    </row>
    <row r="1476" spans="1:20" hidden="1">
      <c r="A1476" t="s">
        <v>1545</v>
      </c>
      <c r="B1476" s="5">
        <v>45513</v>
      </c>
      <c r="C1476" s="8">
        <f>YEAR(Tabla2[[#This Row],[fecha]])</f>
        <v>2024</v>
      </c>
      <c r="D1476" s="8">
        <f>MONTH(Tabla2[[#This Row],[fecha]])</f>
        <v>8</v>
      </c>
      <c r="E1476" s="8" t="str">
        <f>TEXT(Tabla2[[#This Row],[fecha]], "mmmm")</f>
        <v>agosto</v>
      </c>
      <c r="F1476" s="8" t="str">
        <f>"T"&amp;ROUNDUP(Tabla2[[#This Row],[mes]]/3,0)</f>
        <v>T3</v>
      </c>
      <c r="G1476" t="s">
        <v>27</v>
      </c>
      <c r="H1476" t="s">
        <v>28</v>
      </c>
      <c r="I1476" s="8" t="str">
        <f>IF(Tabla2[[#This Row],[precio_unitario]]&lt;=30,"Económico",IF(Tabla2[[#This Row],[precio_unitario]]&lt;=58.49,"Accesible","Caro"))</f>
        <v>Económico</v>
      </c>
      <c r="J1476" t="s">
        <v>26</v>
      </c>
      <c r="K1476">
        <v>2</v>
      </c>
      <c r="L1476" s="19">
        <v>15.56</v>
      </c>
      <c r="M1476" s="19">
        <v>10.97</v>
      </c>
      <c r="N1476" s="11">
        <v>0</v>
      </c>
      <c r="O1476" s="17">
        <f t="shared" si="95"/>
        <v>31.12</v>
      </c>
      <c r="P1476" s="17">
        <f t="shared" si="92"/>
        <v>21.94</v>
      </c>
      <c r="Q1476" s="17">
        <f t="shared" si="93"/>
        <v>9.18</v>
      </c>
      <c r="R1476" s="24">
        <f t="shared" si="94"/>
        <v>0.29498714652956298</v>
      </c>
      <c r="S1476" t="s">
        <v>540</v>
      </c>
      <c r="T1476" t="s">
        <v>60</v>
      </c>
    </row>
    <row r="1477" spans="1:20">
      <c r="A1477" t="s">
        <v>1546</v>
      </c>
      <c r="B1477" s="5">
        <v>45964</v>
      </c>
      <c r="C1477" s="8">
        <f>YEAR(Tabla2[[#This Row],[fecha]])</f>
        <v>2025</v>
      </c>
      <c r="D1477" s="8">
        <f>MONTH(Tabla2[[#This Row],[fecha]])</f>
        <v>11</v>
      </c>
      <c r="E1477" s="8" t="str">
        <f>TEXT(Tabla2[[#This Row],[fecha]], "mmmm")</f>
        <v>noviembre</v>
      </c>
      <c r="F1477" s="8" t="str">
        <f>"T"&amp;ROUNDUP(Tabla2[[#This Row],[mes]]/3,0)</f>
        <v>T4</v>
      </c>
      <c r="G1477" t="s">
        <v>15</v>
      </c>
      <c r="H1477" t="s">
        <v>16</v>
      </c>
      <c r="I1477" s="8" t="str">
        <f>IF(Tabla2[[#This Row],[precio_unitario]]&lt;=30,"Económico",IF(Tabla2[[#This Row],[precio_unitario]]&lt;=58.49,"Accesible","Caro"))</f>
        <v>Caro</v>
      </c>
      <c r="J1477" t="s">
        <v>17</v>
      </c>
      <c r="K1477">
        <v>2</v>
      </c>
      <c r="L1477" s="19">
        <v>63.41</v>
      </c>
      <c r="M1477" s="19">
        <v>41.32</v>
      </c>
      <c r="N1477" s="11">
        <v>0</v>
      </c>
      <c r="O1477" s="17">
        <f t="shared" si="95"/>
        <v>126.82</v>
      </c>
      <c r="P1477" s="17">
        <f t="shared" si="92"/>
        <v>82.64</v>
      </c>
      <c r="Q1477" s="17">
        <f t="shared" si="93"/>
        <v>44.179999999999993</v>
      </c>
      <c r="R1477" s="24">
        <f t="shared" si="94"/>
        <v>0.34836776533669767</v>
      </c>
      <c r="S1477" t="s">
        <v>67</v>
      </c>
      <c r="T1477" t="s">
        <v>64</v>
      </c>
    </row>
    <row r="1478" spans="1:20" hidden="1">
      <c r="A1478" t="s">
        <v>1547</v>
      </c>
      <c r="B1478" s="5">
        <v>45322</v>
      </c>
      <c r="C1478" s="8">
        <f>YEAR(Tabla2[[#This Row],[fecha]])</f>
        <v>2024</v>
      </c>
      <c r="D1478" s="8">
        <f>MONTH(Tabla2[[#This Row],[fecha]])</f>
        <v>1</v>
      </c>
      <c r="E1478" s="8" t="str">
        <f>TEXT(Tabla2[[#This Row],[fecha]], "mmmm")</f>
        <v>enero</v>
      </c>
      <c r="F1478" s="8" t="str">
        <f>"T"&amp;ROUNDUP(Tabla2[[#This Row],[mes]]/3,0)</f>
        <v>T1</v>
      </c>
      <c r="G1478" t="s">
        <v>15</v>
      </c>
      <c r="H1478" t="s">
        <v>16</v>
      </c>
      <c r="I1478" s="8" t="str">
        <f>IF(Tabla2[[#This Row],[precio_unitario]]&lt;=30,"Económico",IF(Tabla2[[#This Row],[precio_unitario]]&lt;=58.49,"Accesible","Caro"))</f>
        <v>Caro</v>
      </c>
      <c r="J1478" t="s">
        <v>17</v>
      </c>
      <c r="K1478">
        <v>1</v>
      </c>
      <c r="L1478" s="19">
        <v>64.180000000000007</v>
      </c>
      <c r="M1478" s="19">
        <v>40.69</v>
      </c>
      <c r="N1478" s="11">
        <v>0</v>
      </c>
      <c r="O1478" s="17">
        <f t="shared" si="95"/>
        <v>64.180000000000007</v>
      </c>
      <c r="P1478" s="17">
        <f t="shared" si="92"/>
        <v>40.69</v>
      </c>
      <c r="Q1478" s="17">
        <f t="shared" si="93"/>
        <v>23.490000000000009</v>
      </c>
      <c r="R1478" s="24">
        <f t="shared" si="94"/>
        <v>0.36600186974135257</v>
      </c>
      <c r="S1478" t="s">
        <v>67</v>
      </c>
      <c r="T1478" t="s">
        <v>60</v>
      </c>
    </row>
    <row r="1479" spans="1:20">
      <c r="A1479" t="s">
        <v>1548</v>
      </c>
      <c r="B1479" s="5">
        <v>45965</v>
      </c>
      <c r="C1479" s="8">
        <f>YEAR(Tabla2[[#This Row],[fecha]])</f>
        <v>2025</v>
      </c>
      <c r="D1479" s="8">
        <f>MONTH(Tabla2[[#This Row],[fecha]])</f>
        <v>11</v>
      </c>
      <c r="E1479" s="8" t="str">
        <f>TEXT(Tabla2[[#This Row],[fecha]], "mmmm")</f>
        <v>noviembre</v>
      </c>
      <c r="F1479" s="8" t="str">
        <f>"T"&amp;ROUNDUP(Tabla2[[#This Row],[mes]]/3,0)</f>
        <v>T4</v>
      </c>
      <c r="G1479" t="s">
        <v>15</v>
      </c>
      <c r="H1479" t="s">
        <v>16</v>
      </c>
      <c r="I1479" s="8" t="str">
        <f>IF(Tabla2[[#This Row],[precio_unitario]]&lt;=30,"Económico",IF(Tabla2[[#This Row],[precio_unitario]]&lt;=58.49,"Accesible","Caro"))</f>
        <v>Caro</v>
      </c>
      <c r="J1479" t="s">
        <v>17</v>
      </c>
      <c r="K1479">
        <v>5</v>
      </c>
      <c r="L1479" s="19">
        <v>61.65</v>
      </c>
      <c r="M1479" s="19">
        <v>40.14</v>
      </c>
      <c r="N1479" s="11">
        <v>0</v>
      </c>
      <c r="O1479" s="17">
        <f t="shared" si="95"/>
        <v>308.25</v>
      </c>
      <c r="P1479" s="17">
        <f t="shared" si="92"/>
        <v>200.7</v>
      </c>
      <c r="Q1479" s="17">
        <f t="shared" si="93"/>
        <v>107.55000000000001</v>
      </c>
      <c r="R1479" s="24">
        <f t="shared" si="94"/>
        <v>0.34890510948905112</v>
      </c>
      <c r="S1479" t="s">
        <v>67</v>
      </c>
      <c r="T1479" t="s">
        <v>60</v>
      </c>
    </row>
    <row r="1480" spans="1:20" hidden="1">
      <c r="A1480" t="s">
        <v>1549</v>
      </c>
      <c r="B1480" s="5">
        <v>45807</v>
      </c>
      <c r="C1480" s="8">
        <f>YEAR(Tabla2[[#This Row],[fecha]])</f>
        <v>2025</v>
      </c>
      <c r="D1480" s="8">
        <f>MONTH(Tabla2[[#This Row],[fecha]])</f>
        <v>5</v>
      </c>
      <c r="E1480" s="8" t="str">
        <f>TEXT(Tabla2[[#This Row],[fecha]], "mmmm")</f>
        <v>mayo</v>
      </c>
      <c r="F1480" s="8" t="str">
        <f>"T"&amp;ROUNDUP(Tabla2[[#This Row],[mes]]/3,0)</f>
        <v>T2</v>
      </c>
      <c r="G1480" t="s">
        <v>45</v>
      </c>
      <c r="H1480" t="s">
        <v>46</v>
      </c>
      <c r="I1480" s="8" t="str">
        <f>IF(Tabla2[[#This Row],[precio_unitario]]&lt;=30,"Económico",IF(Tabla2[[#This Row],[precio_unitario]]&lt;=58.49,"Accesible","Caro"))</f>
        <v>Económico</v>
      </c>
      <c r="J1480" t="s">
        <v>44</v>
      </c>
      <c r="K1480">
        <v>1</v>
      </c>
      <c r="L1480" s="19">
        <v>28.61</v>
      </c>
      <c r="M1480" s="19">
        <v>18.04</v>
      </c>
      <c r="N1480" s="13">
        <v>0</v>
      </c>
      <c r="O1480" s="17">
        <f t="shared" si="95"/>
        <v>28.61</v>
      </c>
      <c r="P1480" s="17">
        <f t="shared" si="92"/>
        <v>18.04</v>
      </c>
      <c r="Q1480" s="17">
        <f t="shared" si="93"/>
        <v>10.57</v>
      </c>
      <c r="R1480" s="24">
        <f t="shared" si="94"/>
        <v>0.3694512408248864</v>
      </c>
      <c r="S1480" t="s">
        <v>63</v>
      </c>
      <c r="T1480" t="s">
        <v>60</v>
      </c>
    </row>
    <row r="1481" spans="1:20" hidden="1">
      <c r="A1481" t="s">
        <v>1550</v>
      </c>
      <c r="B1481" s="5">
        <v>45533</v>
      </c>
      <c r="C1481" s="8">
        <f>YEAR(Tabla2[[#This Row],[fecha]])</f>
        <v>2024</v>
      </c>
      <c r="D1481" s="8">
        <f>MONTH(Tabla2[[#This Row],[fecha]])</f>
        <v>8</v>
      </c>
      <c r="E1481" s="8" t="str">
        <f>TEXT(Tabla2[[#This Row],[fecha]], "mmmm")</f>
        <v>agosto</v>
      </c>
      <c r="F1481" s="8" t="str">
        <f>"T"&amp;ROUNDUP(Tabla2[[#This Row],[mes]]/3,0)</f>
        <v>T3</v>
      </c>
      <c r="G1481" t="s">
        <v>33</v>
      </c>
      <c r="H1481" t="s">
        <v>34</v>
      </c>
      <c r="I1481" s="8" t="str">
        <f>IF(Tabla2[[#This Row],[precio_unitario]]&lt;=30,"Económico",IF(Tabla2[[#This Row],[precio_unitario]]&lt;=58.49,"Accesible","Caro"))</f>
        <v>Caro</v>
      </c>
      <c r="J1481" t="s">
        <v>35</v>
      </c>
      <c r="K1481">
        <v>1</v>
      </c>
      <c r="L1481" s="19">
        <v>74.040000000000006</v>
      </c>
      <c r="M1481" s="19">
        <v>47.18</v>
      </c>
      <c r="N1481" s="11">
        <v>0</v>
      </c>
      <c r="O1481" s="17">
        <f t="shared" si="95"/>
        <v>74.040000000000006</v>
      </c>
      <c r="P1481" s="17">
        <f t="shared" si="92"/>
        <v>47.18</v>
      </c>
      <c r="Q1481" s="17">
        <f t="shared" si="93"/>
        <v>26.860000000000007</v>
      </c>
      <c r="R1481" s="24">
        <f t="shared" si="94"/>
        <v>0.36277687736358732</v>
      </c>
      <c r="S1481" t="s">
        <v>101</v>
      </c>
      <c r="T1481" t="s">
        <v>60</v>
      </c>
    </row>
    <row r="1482" spans="1:20" hidden="1">
      <c r="A1482" t="s">
        <v>1551</v>
      </c>
      <c r="B1482" s="5">
        <v>45855</v>
      </c>
      <c r="C1482" s="8">
        <f>YEAR(Tabla2[[#This Row],[fecha]])</f>
        <v>2025</v>
      </c>
      <c r="D1482" s="8">
        <f>MONTH(Tabla2[[#This Row],[fecha]])</f>
        <v>7</v>
      </c>
      <c r="E1482" s="8" t="str">
        <f>TEXT(Tabla2[[#This Row],[fecha]], "mmmm")</f>
        <v>julio</v>
      </c>
      <c r="F1482" s="8" t="str">
        <f>"T"&amp;ROUNDUP(Tabla2[[#This Row],[mes]]/3,0)</f>
        <v>T3</v>
      </c>
      <c r="G1482" t="s">
        <v>29</v>
      </c>
      <c r="H1482" t="s">
        <v>30</v>
      </c>
      <c r="I1482" s="8" t="str">
        <f>IF(Tabla2[[#This Row],[precio_unitario]]&lt;=30,"Económico",IF(Tabla2[[#This Row],[precio_unitario]]&lt;=58.49,"Accesible","Caro"))</f>
        <v>Económico</v>
      </c>
      <c r="J1482" t="s">
        <v>26</v>
      </c>
      <c r="K1482">
        <v>1</v>
      </c>
      <c r="L1482" s="19">
        <v>21.98</v>
      </c>
      <c r="M1482" s="19">
        <v>11.75</v>
      </c>
      <c r="N1482" s="11">
        <v>0</v>
      </c>
      <c r="O1482" s="17">
        <f t="shared" si="95"/>
        <v>21.98</v>
      </c>
      <c r="P1482" s="17">
        <f t="shared" si="92"/>
        <v>11.75</v>
      </c>
      <c r="Q1482" s="17">
        <f t="shared" si="93"/>
        <v>10.23</v>
      </c>
      <c r="R1482" s="24">
        <f t="shared" si="94"/>
        <v>0.46542311191992719</v>
      </c>
      <c r="S1482" t="s">
        <v>83</v>
      </c>
      <c r="T1482" t="s">
        <v>64</v>
      </c>
    </row>
    <row r="1483" spans="1:20" hidden="1">
      <c r="A1483" t="s">
        <v>1552</v>
      </c>
      <c r="B1483" s="5">
        <v>45408</v>
      </c>
      <c r="C1483" s="8">
        <f>YEAR(Tabla2[[#This Row],[fecha]])</f>
        <v>2024</v>
      </c>
      <c r="D1483" s="8">
        <f>MONTH(Tabla2[[#This Row],[fecha]])</f>
        <v>4</v>
      </c>
      <c r="E1483" s="8" t="str">
        <f>TEXT(Tabla2[[#This Row],[fecha]], "mmmm")</f>
        <v>abril</v>
      </c>
      <c r="F1483" s="8" t="str">
        <f>"T"&amp;ROUNDUP(Tabla2[[#This Row],[mes]]/3,0)</f>
        <v>T2</v>
      </c>
      <c r="G1483" t="s">
        <v>22</v>
      </c>
      <c r="H1483" t="s">
        <v>23</v>
      </c>
      <c r="I1483" s="8" t="str">
        <f>IF(Tabla2[[#This Row],[precio_unitario]]&lt;=30,"Económico",IF(Tabla2[[#This Row],[precio_unitario]]&lt;=58.49,"Accesible","Caro"))</f>
        <v>Caro</v>
      </c>
      <c r="J1483" t="s">
        <v>17</v>
      </c>
      <c r="K1483">
        <v>3</v>
      </c>
      <c r="L1483" s="19">
        <v>96.34</v>
      </c>
      <c r="M1483" s="21">
        <f>INDEX(Tabla3[coste_objetivo], MATCH(Tabla2[[#This Row],[id_producto]], Tabla3[id_producto],0))</f>
        <v>57.47</v>
      </c>
      <c r="N1483" s="11">
        <v>0</v>
      </c>
      <c r="O1483" s="17">
        <f t="shared" si="95"/>
        <v>289.02</v>
      </c>
      <c r="P1483" s="17">
        <f t="shared" si="92"/>
        <v>172.41</v>
      </c>
      <c r="Q1483" s="17">
        <f t="shared" si="93"/>
        <v>116.60999999999999</v>
      </c>
      <c r="R1483" s="24">
        <f t="shared" si="94"/>
        <v>0.40346688810462938</v>
      </c>
      <c r="S1483" t="s">
        <v>67</v>
      </c>
      <c r="T1483" t="s">
        <v>60</v>
      </c>
    </row>
    <row r="1484" spans="1:20" hidden="1">
      <c r="A1484" t="s">
        <v>1553</v>
      </c>
      <c r="B1484" s="5">
        <v>45387</v>
      </c>
      <c r="C1484" s="8">
        <f>YEAR(Tabla2[[#This Row],[fecha]])</f>
        <v>2024</v>
      </c>
      <c r="D1484" s="8">
        <f>MONTH(Tabla2[[#This Row],[fecha]])</f>
        <v>4</v>
      </c>
      <c r="E1484" s="8" t="str">
        <f>TEXT(Tabla2[[#This Row],[fecha]], "mmmm")</f>
        <v>abril</v>
      </c>
      <c r="F1484" s="8" t="str">
        <f>"T"&amp;ROUNDUP(Tabla2[[#This Row],[mes]]/3,0)</f>
        <v>T2</v>
      </c>
      <c r="G1484" t="s">
        <v>18</v>
      </c>
      <c r="H1484" t="s">
        <v>19</v>
      </c>
      <c r="I1484" s="8" t="str">
        <f>IF(Tabla2[[#This Row],[precio_unitario]]&lt;=30,"Económico",IF(Tabla2[[#This Row],[precio_unitario]]&lt;=58.49,"Accesible","Caro"))</f>
        <v>Accesible</v>
      </c>
      <c r="J1484" t="s">
        <v>17</v>
      </c>
      <c r="K1484">
        <v>1</v>
      </c>
      <c r="L1484" s="19">
        <v>46.08</v>
      </c>
      <c r="M1484" s="19">
        <v>26.59</v>
      </c>
      <c r="N1484" s="11">
        <v>0</v>
      </c>
      <c r="O1484" s="17">
        <f t="shared" si="95"/>
        <v>46.08</v>
      </c>
      <c r="P1484" s="17">
        <f t="shared" si="92"/>
        <v>26.59</v>
      </c>
      <c r="Q1484" s="17">
        <f t="shared" si="93"/>
        <v>19.489999999999998</v>
      </c>
      <c r="R1484" s="24">
        <f t="shared" si="94"/>
        <v>0.42296006944444442</v>
      </c>
      <c r="S1484" t="s">
        <v>67</v>
      </c>
      <c r="T1484" t="s">
        <v>64</v>
      </c>
    </row>
    <row r="1485" spans="1:20" hidden="1">
      <c r="A1485" t="s">
        <v>1554</v>
      </c>
      <c r="B1485" s="5">
        <v>45380</v>
      </c>
      <c r="C1485" s="8">
        <f>YEAR(Tabla2[[#This Row],[fecha]])</f>
        <v>2024</v>
      </c>
      <c r="D1485" s="8">
        <f>MONTH(Tabla2[[#This Row],[fecha]])</f>
        <v>3</v>
      </c>
      <c r="E1485" s="8" t="str">
        <f>TEXT(Tabla2[[#This Row],[fecha]], "mmmm")</f>
        <v>marzo</v>
      </c>
      <c r="F1485" s="8" t="str">
        <f>"T"&amp;ROUNDUP(Tabla2[[#This Row],[mes]]/3,0)</f>
        <v>T1</v>
      </c>
      <c r="G1485" t="s">
        <v>9</v>
      </c>
      <c r="H1485" t="s">
        <v>10</v>
      </c>
      <c r="I1485" s="8" t="str">
        <f>IF(Tabla2[[#This Row],[precio_unitario]]&lt;=30,"Económico",IF(Tabla2[[#This Row],[precio_unitario]]&lt;=58.49,"Accesible","Caro"))</f>
        <v>Caro</v>
      </c>
      <c r="J1485" t="s">
        <v>8</v>
      </c>
      <c r="K1485">
        <v>2</v>
      </c>
      <c r="L1485" s="19">
        <v>73.25</v>
      </c>
      <c r="M1485" s="19">
        <v>46.41</v>
      </c>
      <c r="N1485" s="13">
        <v>0</v>
      </c>
      <c r="O1485" s="17">
        <f t="shared" si="95"/>
        <v>146.5</v>
      </c>
      <c r="P1485" s="17">
        <f t="shared" si="92"/>
        <v>92.82</v>
      </c>
      <c r="Q1485" s="17">
        <f t="shared" si="93"/>
        <v>53.680000000000007</v>
      </c>
      <c r="R1485" s="24">
        <f t="shared" si="94"/>
        <v>0.36641638225255979</v>
      </c>
      <c r="S1485" t="s">
        <v>96</v>
      </c>
      <c r="T1485" t="s">
        <v>60</v>
      </c>
    </row>
    <row r="1486" spans="1:20" hidden="1">
      <c r="A1486" t="s">
        <v>1555</v>
      </c>
      <c r="B1486" s="5">
        <v>45424</v>
      </c>
      <c r="C1486" s="8">
        <f>YEAR(Tabla2[[#This Row],[fecha]])</f>
        <v>2024</v>
      </c>
      <c r="D1486" s="8">
        <f>MONTH(Tabla2[[#This Row],[fecha]])</f>
        <v>5</v>
      </c>
      <c r="E1486" s="8" t="str">
        <f>TEXT(Tabla2[[#This Row],[fecha]], "mmmm")</f>
        <v>mayo</v>
      </c>
      <c r="F1486" s="8" t="str">
        <f>"T"&amp;ROUNDUP(Tabla2[[#This Row],[mes]]/3,0)</f>
        <v>T2</v>
      </c>
      <c r="G1486" t="s">
        <v>49</v>
      </c>
      <c r="H1486" t="s">
        <v>50</v>
      </c>
      <c r="I1486" s="8" t="str">
        <f>IF(Tabla2[[#This Row],[precio_unitario]]&lt;=30,"Económico",IF(Tabla2[[#This Row],[precio_unitario]]&lt;=58.49,"Accesible","Caro"))</f>
        <v>Accesible</v>
      </c>
      <c r="J1486" t="s">
        <v>44</v>
      </c>
      <c r="K1486">
        <v>2</v>
      </c>
      <c r="L1486" s="19">
        <v>56.73</v>
      </c>
      <c r="M1486" s="19">
        <v>34</v>
      </c>
      <c r="N1486" s="11">
        <v>0</v>
      </c>
      <c r="O1486" s="17">
        <f t="shared" si="95"/>
        <v>113.46</v>
      </c>
      <c r="P1486" s="17">
        <f t="shared" si="92"/>
        <v>68</v>
      </c>
      <c r="Q1486" s="17">
        <f t="shared" si="93"/>
        <v>45.459999999999994</v>
      </c>
      <c r="R1486" s="24">
        <f t="shared" si="94"/>
        <v>0.4006698395910453</v>
      </c>
      <c r="S1486" t="s">
        <v>540</v>
      </c>
      <c r="T1486" t="s">
        <v>60</v>
      </c>
    </row>
    <row r="1487" spans="1:20" hidden="1">
      <c r="A1487" t="s">
        <v>1556</v>
      </c>
      <c r="B1487" s="5">
        <v>45461</v>
      </c>
      <c r="C1487" s="8">
        <f>YEAR(Tabla2[[#This Row],[fecha]])</f>
        <v>2024</v>
      </c>
      <c r="D1487" s="8">
        <f>MONTH(Tabla2[[#This Row],[fecha]])</f>
        <v>6</v>
      </c>
      <c r="E1487" s="8" t="str">
        <f>TEXT(Tabla2[[#This Row],[fecha]], "mmmm")</f>
        <v>junio</v>
      </c>
      <c r="F1487" s="8" t="str">
        <f>"T"&amp;ROUNDUP(Tabla2[[#This Row],[mes]]/3,0)</f>
        <v>T2</v>
      </c>
      <c r="G1487" t="s">
        <v>42</v>
      </c>
      <c r="H1487" t="s">
        <v>43</v>
      </c>
      <c r="I1487" s="8" t="str">
        <f>IF(Tabla2[[#This Row],[precio_unitario]]&lt;=30,"Económico",IF(Tabla2[[#This Row],[precio_unitario]]&lt;=58.49,"Accesible","Caro"))</f>
        <v>Accesible</v>
      </c>
      <c r="J1487" t="s">
        <v>44</v>
      </c>
      <c r="K1487">
        <v>1</v>
      </c>
      <c r="L1487" s="19">
        <v>47.72</v>
      </c>
      <c r="M1487" s="19">
        <v>22.23</v>
      </c>
      <c r="N1487" s="11">
        <v>0</v>
      </c>
      <c r="O1487" s="17">
        <f t="shared" si="95"/>
        <v>47.72</v>
      </c>
      <c r="P1487" s="17">
        <f t="shared" si="92"/>
        <v>22.23</v>
      </c>
      <c r="Q1487" s="17">
        <f t="shared" si="93"/>
        <v>25.49</v>
      </c>
      <c r="R1487" s="24">
        <f t="shared" si="94"/>
        <v>0.53415758591785412</v>
      </c>
      <c r="S1487" t="s">
        <v>83</v>
      </c>
      <c r="T1487" t="s">
        <v>60</v>
      </c>
    </row>
    <row r="1488" spans="1:20" hidden="1">
      <c r="A1488" t="s">
        <v>1557</v>
      </c>
      <c r="B1488" s="5">
        <v>45627</v>
      </c>
      <c r="C1488" s="8">
        <f>YEAR(Tabla2[[#This Row],[fecha]])</f>
        <v>2024</v>
      </c>
      <c r="D1488" s="8">
        <f>MONTH(Tabla2[[#This Row],[fecha]])</f>
        <v>12</v>
      </c>
      <c r="E1488" s="8" t="str">
        <f>TEXT(Tabla2[[#This Row],[fecha]], "mmmm")</f>
        <v>diciembre</v>
      </c>
      <c r="F1488" s="8" t="str">
        <f>"T"&amp;ROUNDUP(Tabla2[[#This Row],[mes]]/3,0)</f>
        <v>T4</v>
      </c>
      <c r="G1488" t="s">
        <v>18</v>
      </c>
      <c r="H1488" t="s">
        <v>19</v>
      </c>
      <c r="I1488" s="8" t="str">
        <f>IF(Tabla2[[#This Row],[precio_unitario]]&lt;=30,"Económico",IF(Tabla2[[#This Row],[precio_unitario]]&lt;=58.49,"Accesible","Caro"))</f>
        <v>Accesible</v>
      </c>
      <c r="J1488" t="s">
        <v>17</v>
      </c>
      <c r="K1488">
        <v>4</v>
      </c>
      <c r="L1488" s="19">
        <v>46.64</v>
      </c>
      <c r="M1488" s="19">
        <v>27.69</v>
      </c>
      <c r="N1488" s="11">
        <v>0</v>
      </c>
      <c r="O1488" s="17">
        <f t="shared" si="95"/>
        <v>186.56</v>
      </c>
      <c r="P1488" s="17">
        <f t="shared" si="92"/>
        <v>110.76</v>
      </c>
      <c r="Q1488" s="17">
        <f t="shared" si="93"/>
        <v>75.8</v>
      </c>
      <c r="R1488" s="24">
        <f t="shared" si="94"/>
        <v>0.406303602058319</v>
      </c>
      <c r="S1488" t="s">
        <v>96</v>
      </c>
      <c r="T1488" t="s">
        <v>64</v>
      </c>
    </row>
    <row r="1489" spans="1:20" hidden="1">
      <c r="A1489" t="s">
        <v>1558</v>
      </c>
      <c r="B1489" s="5">
        <v>45818</v>
      </c>
      <c r="C1489" s="8">
        <f>YEAR(Tabla2[[#This Row],[fecha]])</f>
        <v>2025</v>
      </c>
      <c r="D1489" s="8">
        <f>MONTH(Tabla2[[#This Row],[fecha]])</f>
        <v>6</v>
      </c>
      <c r="E1489" s="8" t="str">
        <f>TEXT(Tabla2[[#This Row],[fecha]], "mmmm")</f>
        <v>junio</v>
      </c>
      <c r="F1489" s="8" t="str">
        <f>"T"&amp;ROUNDUP(Tabla2[[#This Row],[mes]]/3,0)</f>
        <v>T2</v>
      </c>
      <c r="G1489" t="s">
        <v>42</v>
      </c>
      <c r="H1489" t="s">
        <v>43</v>
      </c>
      <c r="I1489" s="8" t="str">
        <f>IF(Tabla2[[#This Row],[precio_unitario]]&lt;=30,"Económico",IF(Tabla2[[#This Row],[precio_unitario]]&lt;=58.49,"Accesible","Caro"))</f>
        <v>Accesible</v>
      </c>
      <c r="J1489" t="s">
        <v>44</v>
      </c>
      <c r="K1489">
        <v>2</v>
      </c>
      <c r="L1489" s="19">
        <v>46.6</v>
      </c>
      <c r="M1489" s="19">
        <v>22.7</v>
      </c>
      <c r="N1489" s="11">
        <v>0</v>
      </c>
      <c r="O1489" s="17">
        <f t="shared" si="95"/>
        <v>93.2</v>
      </c>
      <c r="P1489" s="17">
        <f t="shared" si="92"/>
        <v>45.4</v>
      </c>
      <c r="Q1489" s="17">
        <f t="shared" si="93"/>
        <v>47.800000000000004</v>
      </c>
      <c r="R1489" s="24">
        <f t="shared" si="94"/>
        <v>0.51287553648068673</v>
      </c>
      <c r="S1489" t="s">
        <v>96</v>
      </c>
      <c r="T1489" t="s">
        <v>64</v>
      </c>
    </row>
    <row r="1490" spans="1:20" hidden="1">
      <c r="A1490" t="s">
        <v>1559</v>
      </c>
      <c r="B1490" s="5">
        <v>45897</v>
      </c>
      <c r="C1490" s="8">
        <f>YEAR(Tabla2[[#This Row],[fecha]])</f>
        <v>2025</v>
      </c>
      <c r="D1490" s="8">
        <f>MONTH(Tabla2[[#This Row],[fecha]])</f>
        <v>8</v>
      </c>
      <c r="E1490" s="8" t="str">
        <f>TEXT(Tabla2[[#This Row],[fecha]], "mmmm")</f>
        <v>agosto</v>
      </c>
      <c r="F1490" s="8" t="str">
        <f>"T"&amp;ROUNDUP(Tabla2[[#This Row],[mes]]/3,0)</f>
        <v>T3</v>
      </c>
      <c r="G1490" t="s">
        <v>24</v>
      </c>
      <c r="H1490" t="s">
        <v>25</v>
      </c>
      <c r="I1490" s="8" t="str">
        <f>IF(Tabla2[[#This Row],[precio_unitario]]&lt;=30,"Económico",IF(Tabla2[[#This Row],[precio_unitario]]&lt;=58.49,"Accesible","Caro"))</f>
        <v>Económico</v>
      </c>
      <c r="J1490" t="s">
        <v>26</v>
      </c>
      <c r="K1490">
        <v>3</v>
      </c>
      <c r="L1490" s="19">
        <v>8.4499999999999993</v>
      </c>
      <c r="M1490" s="19">
        <v>4.2300000000000004</v>
      </c>
      <c r="N1490" s="13">
        <v>0</v>
      </c>
      <c r="O1490" s="17">
        <f t="shared" si="95"/>
        <v>25.349999999999998</v>
      </c>
      <c r="P1490" s="17">
        <f t="shared" si="92"/>
        <v>12.690000000000001</v>
      </c>
      <c r="Q1490" s="17">
        <f t="shared" si="93"/>
        <v>12.659999999999997</v>
      </c>
      <c r="R1490" s="24">
        <f t="shared" si="94"/>
        <v>0.49940828402366855</v>
      </c>
      <c r="S1490" t="s">
        <v>96</v>
      </c>
      <c r="T1490" t="s">
        <v>60</v>
      </c>
    </row>
    <row r="1491" spans="1:20" hidden="1">
      <c r="A1491" t="s">
        <v>1560</v>
      </c>
      <c r="B1491" s="5">
        <v>45811</v>
      </c>
      <c r="C1491" s="8">
        <f>YEAR(Tabla2[[#This Row],[fecha]])</f>
        <v>2025</v>
      </c>
      <c r="D1491" s="8">
        <f>MONTH(Tabla2[[#This Row],[fecha]])</f>
        <v>6</v>
      </c>
      <c r="E1491" s="8" t="str">
        <f>TEXT(Tabla2[[#This Row],[fecha]], "mmmm")</f>
        <v>junio</v>
      </c>
      <c r="F1491" s="8" t="str">
        <f>"T"&amp;ROUNDUP(Tabla2[[#This Row],[mes]]/3,0)</f>
        <v>T2</v>
      </c>
      <c r="G1491" t="s">
        <v>24</v>
      </c>
      <c r="H1491" t="s">
        <v>25</v>
      </c>
      <c r="I1491" s="8" t="str">
        <f>IF(Tabla2[[#This Row],[precio_unitario]]&lt;=30,"Económico",IF(Tabla2[[#This Row],[precio_unitario]]&lt;=58.49,"Accesible","Caro"))</f>
        <v>Económico</v>
      </c>
      <c r="J1491" t="s">
        <v>26</v>
      </c>
      <c r="K1491">
        <v>1</v>
      </c>
      <c r="L1491" s="19">
        <v>8.2799999999999994</v>
      </c>
      <c r="M1491" s="19">
        <v>4.37</v>
      </c>
      <c r="N1491" s="11">
        <v>0</v>
      </c>
      <c r="O1491" s="17">
        <f t="shared" si="95"/>
        <v>8.2799999999999994</v>
      </c>
      <c r="P1491" s="17">
        <f t="shared" si="92"/>
        <v>4.37</v>
      </c>
      <c r="Q1491" s="17">
        <f t="shared" si="93"/>
        <v>3.9099999999999993</v>
      </c>
      <c r="R1491" s="24">
        <f t="shared" si="94"/>
        <v>0.47222222222222215</v>
      </c>
      <c r="S1491" t="s">
        <v>101</v>
      </c>
      <c r="T1491" t="s">
        <v>64</v>
      </c>
    </row>
    <row r="1492" spans="1:20" hidden="1">
      <c r="A1492" t="s">
        <v>1561</v>
      </c>
      <c r="B1492" s="5">
        <v>45424</v>
      </c>
      <c r="C1492" s="8">
        <f>YEAR(Tabla2[[#This Row],[fecha]])</f>
        <v>2024</v>
      </c>
      <c r="D1492" s="8">
        <f>MONTH(Tabla2[[#This Row],[fecha]])</f>
        <v>5</v>
      </c>
      <c r="E1492" s="8" t="str">
        <f>TEXT(Tabla2[[#This Row],[fecha]], "mmmm")</f>
        <v>mayo</v>
      </c>
      <c r="F1492" s="8" t="str">
        <f>"T"&amp;ROUNDUP(Tabla2[[#This Row],[mes]]/3,0)</f>
        <v>T2</v>
      </c>
      <c r="G1492" t="s">
        <v>13</v>
      </c>
      <c r="H1492" t="s">
        <v>14</v>
      </c>
      <c r="I1492" s="8" t="str">
        <f>IF(Tabla2[[#This Row],[precio_unitario]]&lt;=30,"Económico",IF(Tabla2[[#This Row],[precio_unitario]]&lt;=58.49,"Accesible","Caro"))</f>
        <v>Caro</v>
      </c>
      <c r="J1492" t="s">
        <v>8</v>
      </c>
      <c r="K1492">
        <v>1</v>
      </c>
      <c r="L1492" s="19">
        <v>155.52000000000001</v>
      </c>
      <c r="M1492" s="19">
        <v>106.31</v>
      </c>
      <c r="N1492" s="11">
        <v>0</v>
      </c>
      <c r="O1492" s="17">
        <f t="shared" si="95"/>
        <v>155.52000000000001</v>
      </c>
      <c r="P1492" s="17">
        <f t="shared" si="92"/>
        <v>106.31</v>
      </c>
      <c r="Q1492" s="17">
        <f t="shared" si="93"/>
        <v>49.210000000000008</v>
      </c>
      <c r="R1492" s="24">
        <f t="shared" si="94"/>
        <v>0.31642232510288071</v>
      </c>
      <c r="S1492" t="s">
        <v>101</v>
      </c>
      <c r="T1492" t="s">
        <v>64</v>
      </c>
    </row>
    <row r="1493" spans="1:20">
      <c r="A1493" t="s">
        <v>1562</v>
      </c>
      <c r="B1493" s="5">
        <v>45973</v>
      </c>
      <c r="C1493" s="8">
        <f>YEAR(Tabla2[[#This Row],[fecha]])</f>
        <v>2025</v>
      </c>
      <c r="D1493" s="8">
        <f>MONTH(Tabla2[[#This Row],[fecha]])</f>
        <v>11</v>
      </c>
      <c r="E1493" s="8" t="str">
        <f>TEXT(Tabla2[[#This Row],[fecha]], "mmmm")</f>
        <v>noviembre</v>
      </c>
      <c r="F1493" s="8" t="str">
        <f>"T"&amp;ROUNDUP(Tabla2[[#This Row],[mes]]/3,0)</f>
        <v>T4</v>
      </c>
      <c r="G1493" t="s">
        <v>29</v>
      </c>
      <c r="H1493" t="s">
        <v>30</v>
      </c>
      <c r="I1493" s="8" t="str">
        <f>IF(Tabla2[[#This Row],[precio_unitario]]&lt;=30,"Económico",IF(Tabla2[[#This Row],[precio_unitario]]&lt;=58.49,"Accesible","Caro"))</f>
        <v>Económico</v>
      </c>
      <c r="J1493" t="s">
        <v>26</v>
      </c>
      <c r="K1493">
        <v>5</v>
      </c>
      <c r="L1493" s="19">
        <v>20.100000000000001</v>
      </c>
      <c r="M1493" s="19">
        <v>10.93</v>
      </c>
      <c r="N1493" s="11">
        <v>0</v>
      </c>
      <c r="O1493" s="17">
        <f t="shared" si="95"/>
        <v>100.5</v>
      </c>
      <c r="P1493" s="17">
        <f t="shared" si="92"/>
        <v>54.65</v>
      </c>
      <c r="Q1493" s="17">
        <f t="shared" si="93"/>
        <v>45.85</v>
      </c>
      <c r="R1493" s="24">
        <f t="shared" si="94"/>
        <v>0.45621890547263683</v>
      </c>
      <c r="S1493" t="s">
        <v>67</v>
      </c>
      <c r="T1493" t="s">
        <v>154</v>
      </c>
    </row>
    <row r="1494" spans="1:20" hidden="1">
      <c r="A1494" t="s">
        <v>1563</v>
      </c>
      <c r="B1494" s="5">
        <v>45851</v>
      </c>
      <c r="C1494" s="8">
        <f>YEAR(Tabla2[[#This Row],[fecha]])</f>
        <v>2025</v>
      </c>
      <c r="D1494" s="8">
        <f>MONTH(Tabla2[[#This Row],[fecha]])</f>
        <v>7</v>
      </c>
      <c r="E1494" s="8" t="str">
        <f>TEXT(Tabla2[[#This Row],[fecha]], "mmmm")</f>
        <v>julio</v>
      </c>
      <c r="F1494" s="8" t="str">
        <f>"T"&amp;ROUNDUP(Tabla2[[#This Row],[mes]]/3,0)</f>
        <v>T3</v>
      </c>
      <c r="G1494" t="s">
        <v>42</v>
      </c>
      <c r="H1494" t="s">
        <v>43</v>
      </c>
      <c r="I1494" s="8" t="str">
        <f>IF(Tabla2[[#This Row],[precio_unitario]]&lt;=30,"Económico",IF(Tabla2[[#This Row],[precio_unitario]]&lt;=58.49,"Accesible","Caro"))</f>
        <v>Accesible</v>
      </c>
      <c r="J1494" t="s">
        <v>44</v>
      </c>
      <c r="K1494">
        <v>2</v>
      </c>
      <c r="L1494" s="19">
        <v>48.25</v>
      </c>
      <c r="M1494" s="19">
        <v>22.49</v>
      </c>
      <c r="N1494" s="11">
        <v>0</v>
      </c>
      <c r="O1494" s="17">
        <f t="shared" si="95"/>
        <v>96.5</v>
      </c>
      <c r="P1494" s="17">
        <f t="shared" si="92"/>
        <v>44.98</v>
      </c>
      <c r="Q1494" s="17">
        <f t="shared" si="93"/>
        <v>51.52</v>
      </c>
      <c r="R1494" s="24">
        <f t="shared" si="94"/>
        <v>0.53388601036269434</v>
      </c>
      <c r="S1494" t="s">
        <v>540</v>
      </c>
      <c r="T1494" t="s">
        <v>64</v>
      </c>
    </row>
    <row r="1495" spans="1:20" hidden="1">
      <c r="A1495" t="s">
        <v>1564</v>
      </c>
      <c r="B1495" s="5">
        <v>45589</v>
      </c>
      <c r="C1495" s="8">
        <f>YEAR(Tabla2[[#This Row],[fecha]])</f>
        <v>2024</v>
      </c>
      <c r="D1495" s="8">
        <f>MONTH(Tabla2[[#This Row],[fecha]])</f>
        <v>10</v>
      </c>
      <c r="E1495" s="8" t="str">
        <f>TEXT(Tabla2[[#This Row],[fecha]], "mmmm")</f>
        <v>octubre</v>
      </c>
      <c r="F1495" s="8" t="str">
        <f>"T"&amp;ROUNDUP(Tabla2[[#This Row],[mes]]/3,0)</f>
        <v>T4</v>
      </c>
      <c r="G1495" t="s">
        <v>13</v>
      </c>
      <c r="H1495" t="s">
        <v>14</v>
      </c>
      <c r="I1495" s="8" t="str">
        <f>IF(Tabla2[[#This Row],[precio_unitario]]&lt;=30,"Económico",IF(Tabla2[[#This Row],[precio_unitario]]&lt;=58.49,"Accesible","Caro"))</f>
        <v>Caro</v>
      </c>
      <c r="J1495" t="s">
        <v>8</v>
      </c>
      <c r="K1495">
        <v>7</v>
      </c>
      <c r="L1495" s="19">
        <v>174.35</v>
      </c>
      <c r="M1495" s="19">
        <v>115.39</v>
      </c>
      <c r="N1495" s="11">
        <v>0</v>
      </c>
      <c r="O1495" s="17">
        <f t="shared" si="95"/>
        <v>1220.45</v>
      </c>
      <c r="P1495" s="17">
        <f t="shared" si="92"/>
        <v>807.73</v>
      </c>
      <c r="Q1495" s="17">
        <f t="shared" si="93"/>
        <v>412.72</v>
      </c>
      <c r="R1495" s="24">
        <f t="shared" si="94"/>
        <v>0.33817034700315457</v>
      </c>
      <c r="S1495" t="s">
        <v>67</v>
      </c>
      <c r="T1495" t="s">
        <v>60</v>
      </c>
    </row>
    <row r="1496" spans="1:20" hidden="1">
      <c r="A1496" t="s">
        <v>1565</v>
      </c>
      <c r="B1496" s="5">
        <v>45673</v>
      </c>
      <c r="C1496" s="8">
        <f>YEAR(Tabla2[[#This Row],[fecha]])</f>
        <v>2025</v>
      </c>
      <c r="D1496" s="8">
        <f>MONTH(Tabla2[[#This Row],[fecha]])</f>
        <v>1</v>
      </c>
      <c r="E1496" s="8" t="str">
        <f>TEXT(Tabla2[[#This Row],[fecha]], "mmmm")</f>
        <v>enero</v>
      </c>
      <c r="F1496" s="8" t="str">
        <f>"T"&amp;ROUNDUP(Tabla2[[#This Row],[mes]]/3,0)</f>
        <v>T1</v>
      </c>
      <c r="G1496" t="s">
        <v>36</v>
      </c>
      <c r="H1496" t="s">
        <v>37</v>
      </c>
      <c r="I1496" s="8" t="str">
        <f>IF(Tabla2[[#This Row],[precio_unitario]]&lt;=30,"Económico",IF(Tabla2[[#This Row],[precio_unitario]]&lt;=58.49,"Accesible","Caro"))</f>
        <v>Económico</v>
      </c>
      <c r="J1496" t="s">
        <v>35</v>
      </c>
      <c r="K1496">
        <v>1</v>
      </c>
      <c r="L1496" s="19">
        <v>13.65</v>
      </c>
      <c r="M1496" s="19">
        <v>10.029999999999999</v>
      </c>
      <c r="N1496" s="11">
        <v>0.2</v>
      </c>
      <c r="O1496" s="17">
        <f t="shared" si="95"/>
        <v>10.920000000000002</v>
      </c>
      <c r="P1496" s="17">
        <f t="shared" si="92"/>
        <v>10.029999999999999</v>
      </c>
      <c r="Q1496" s="17">
        <f t="shared" si="93"/>
        <v>0.89000000000000234</v>
      </c>
      <c r="R1496" s="24">
        <f t="shared" si="94"/>
        <v>8.1501831501831698E-2</v>
      </c>
      <c r="S1496" t="s">
        <v>96</v>
      </c>
      <c r="T1496" t="s">
        <v>60</v>
      </c>
    </row>
    <row r="1497" spans="1:20" hidden="1">
      <c r="A1497" t="s">
        <v>1566</v>
      </c>
      <c r="B1497" s="5">
        <v>45708</v>
      </c>
      <c r="C1497" s="8">
        <f>YEAR(Tabla2[[#This Row],[fecha]])</f>
        <v>2025</v>
      </c>
      <c r="D1497" s="8">
        <f>MONTH(Tabla2[[#This Row],[fecha]])</f>
        <v>2</v>
      </c>
      <c r="E1497" s="8" t="str">
        <f>TEXT(Tabla2[[#This Row],[fecha]], "mmmm")</f>
        <v>febrero</v>
      </c>
      <c r="F1497" s="8" t="str">
        <f>"T"&amp;ROUNDUP(Tabla2[[#This Row],[mes]]/3,0)</f>
        <v>T1</v>
      </c>
      <c r="G1497" t="s">
        <v>42</v>
      </c>
      <c r="H1497" t="s">
        <v>43</v>
      </c>
      <c r="I1497" s="8" t="str">
        <f>IF(Tabla2[[#This Row],[precio_unitario]]&lt;=30,"Económico",IF(Tabla2[[#This Row],[precio_unitario]]&lt;=58.49,"Accesible","Caro"))</f>
        <v>Accesible</v>
      </c>
      <c r="J1497" t="s">
        <v>44</v>
      </c>
      <c r="K1497">
        <v>1</v>
      </c>
      <c r="L1497" s="19">
        <v>47.65</v>
      </c>
      <c r="M1497" s="19">
        <v>23.31</v>
      </c>
      <c r="N1497" s="13">
        <v>0</v>
      </c>
      <c r="O1497" s="17">
        <f t="shared" si="95"/>
        <v>47.65</v>
      </c>
      <c r="P1497" s="17">
        <f t="shared" si="92"/>
        <v>23.31</v>
      </c>
      <c r="Q1497" s="17">
        <f t="shared" si="93"/>
        <v>24.34</v>
      </c>
      <c r="R1497" s="24">
        <f t="shared" si="94"/>
        <v>0.51080797481636941</v>
      </c>
      <c r="S1497" t="s">
        <v>83</v>
      </c>
      <c r="T1497" t="s">
        <v>64</v>
      </c>
    </row>
    <row r="1498" spans="1:20">
      <c r="A1498" t="s">
        <v>1567</v>
      </c>
      <c r="B1498" s="5">
        <v>45829</v>
      </c>
      <c r="C1498" s="8">
        <f>YEAR(Tabla2[[#This Row],[fecha]])</f>
        <v>2025</v>
      </c>
      <c r="D1498" s="8">
        <f>MONTH(Tabla2[[#This Row],[fecha]])</f>
        <v>6</v>
      </c>
      <c r="E1498" s="8" t="str">
        <f>TEXT(Tabla2[[#This Row],[fecha]], "mmmm")</f>
        <v>junio</v>
      </c>
      <c r="F1498" s="8" t="str">
        <f>"T"&amp;ROUNDUP(Tabla2[[#This Row],[mes]]/3,0)</f>
        <v>T2</v>
      </c>
      <c r="G1498" t="s">
        <v>36</v>
      </c>
      <c r="H1498" t="s">
        <v>37</v>
      </c>
      <c r="I1498" s="8" t="str">
        <f>IF(Tabla2[[#This Row],[precio_unitario]]&lt;=30,"Económico",IF(Tabla2[[#This Row],[precio_unitario]]&lt;=58.49,"Accesible","Caro"))</f>
        <v>Económico</v>
      </c>
      <c r="J1498" t="s">
        <v>35</v>
      </c>
      <c r="K1498">
        <v>1</v>
      </c>
      <c r="L1498" s="19">
        <v>14.05</v>
      </c>
      <c r="M1498" s="21">
        <f>INDEX(Tabla3[coste_objetivo], MATCH(Tabla2[[#This Row],[id_producto]], Tabla3[id_producto],0))</f>
        <v>9.58</v>
      </c>
      <c r="N1498" s="11">
        <v>0</v>
      </c>
      <c r="O1498" s="17">
        <f t="shared" si="95"/>
        <v>14.05</v>
      </c>
      <c r="P1498" s="17">
        <f t="shared" si="92"/>
        <v>9.58</v>
      </c>
      <c r="Q1498" s="17">
        <f t="shared" si="93"/>
        <v>4.4700000000000006</v>
      </c>
      <c r="R1498" s="24">
        <f t="shared" si="94"/>
        <v>0.31814946619217083</v>
      </c>
      <c r="S1498" t="s">
        <v>67</v>
      </c>
      <c r="T1498" t="s">
        <v>64</v>
      </c>
    </row>
    <row r="1499" spans="1:20" hidden="1">
      <c r="A1499" t="s">
        <v>1568</v>
      </c>
      <c r="B1499" s="5">
        <v>45709</v>
      </c>
      <c r="C1499" s="8">
        <f>YEAR(Tabla2[[#This Row],[fecha]])</f>
        <v>2025</v>
      </c>
      <c r="D1499" s="8">
        <f>MONTH(Tabla2[[#This Row],[fecha]])</f>
        <v>2</v>
      </c>
      <c r="E1499" s="8" t="str">
        <f>TEXT(Tabla2[[#This Row],[fecha]], "mmmm")</f>
        <v>febrero</v>
      </c>
      <c r="F1499" s="8" t="str">
        <f>"T"&amp;ROUNDUP(Tabla2[[#This Row],[mes]]/3,0)</f>
        <v>T1</v>
      </c>
      <c r="G1499" t="s">
        <v>33</v>
      </c>
      <c r="H1499" t="s">
        <v>34</v>
      </c>
      <c r="I1499" s="8" t="str">
        <f>IF(Tabla2[[#This Row],[precio_unitario]]&lt;=30,"Económico",IF(Tabla2[[#This Row],[precio_unitario]]&lt;=58.49,"Accesible","Caro"))</f>
        <v>Caro</v>
      </c>
      <c r="J1499" t="s">
        <v>35</v>
      </c>
      <c r="K1499">
        <v>2</v>
      </c>
      <c r="L1499" s="19">
        <v>75.91</v>
      </c>
      <c r="M1499" s="19">
        <v>45.48</v>
      </c>
      <c r="N1499" s="13">
        <v>0</v>
      </c>
      <c r="O1499" s="17">
        <f t="shared" si="95"/>
        <v>151.82</v>
      </c>
      <c r="P1499" s="17">
        <f t="shared" si="92"/>
        <v>90.96</v>
      </c>
      <c r="Q1499" s="17">
        <f t="shared" si="93"/>
        <v>60.86</v>
      </c>
      <c r="R1499" s="24">
        <f t="shared" si="94"/>
        <v>0.40086945066526153</v>
      </c>
      <c r="S1499" t="s">
        <v>540</v>
      </c>
      <c r="T1499" t="s">
        <v>64</v>
      </c>
    </row>
    <row r="1500" spans="1:20" hidden="1">
      <c r="A1500" t="s">
        <v>1569</v>
      </c>
      <c r="B1500" s="5">
        <v>45652</v>
      </c>
      <c r="C1500" s="8">
        <f>YEAR(Tabla2[[#This Row],[fecha]])</f>
        <v>2024</v>
      </c>
      <c r="D1500" s="8">
        <f>MONTH(Tabla2[[#This Row],[fecha]])</f>
        <v>12</v>
      </c>
      <c r="E1500" s="8" t="str">
        <f>TEXT(Tabla2[[#This Row],[fecha]], "mmmm")</f>
        <v>diciembre</v>
      </c>
      <c r="F1500" s="8" t="str">
        <f>"T"&amp;ROUNDUP(Tabla2[[#This Row],[mes]]/3,0)</f>
        <v>T4</v>
      </c>
      <c r="G1500" t="s">
        <v>49</v>
      </c>
      <c r="H1500" t="s">
        <v>50</v>
      </c>
      <c r="I1500" s="8" t="str">
        <f>IF(Tabla2[[#This Row],[precio_unitario]]&lt;=30,"Económico",IF(Tabla2[[#This Row],[precio_unitario]]&lt;=58.49,"Accesible","Caro"))</f>
        <v>Accesible</v>
      </c>
      <c r="J1500" t="s">
        <v>44</v>
      </c>
      <c r="K1500">
        <v>4</v>
      </c>
      <c r="L1500" s="19">
        <v>56.93</v>
      </c>
      <c r="M1500" s="19">
        <v>32.6</v>
      </c>
      <c r="N1500" s="11">
        <v>0</v>
      </c>
      <c r="O1500" s="17">
        <f t="shared" si="95"/>
        <v>227.72</v>
      </c>
      <c r="P1500" s="17">
        <f t="shared" si="92"/>
        <v>130.4</v>
      </c>
      <c r="Q1500" s="17">
        <f t="shared" si="93"/>
        <v>97.32</v>
      </c>
      <c r="R1500" s="24">
        <f t="shared" si="94"/>
        <v>0.42736694185842261</v>
      </c>
      <c r="S1500" t="s">
        <v>63</v>
      </c>
      <c r="T1500" t="s">
        <v>64</v>
      </c>
    </row>
    <row r="1501" spans="1:20" hidden="1">
      <c r="A1501" t="s">
        <v>1570</v>
      </c>
      <c r="B1501" s="5">
        <v>45648</v>
      </c>
      <c r="C1501" s="8">
        <f>YEAR(Tabla2[[#This Row],[fecha]])</f>
        <v>2024</v>
      </c>
      <c r="D1501" s="8">
        <f>MONTH(Tabla2[[#This Row],[fecha]])</f>
        <v>12</v>
      </c>
      <c r="E1501" s="8" t="str">
        <f>TEXT(Tabla2[[#This Row],[fecha]], "mmmm")</f>
        <v>diciembre</v>
      </c>
      <c r="F1501" s="8" t="str">
        <f>"T"&amp;ROUNDUP(Tabla2[[#This Row],[mes]]/3,0)</f>
        <v>T4</v>
      </c>
      <c r="G1501" t="s">
        <v>47</v>
      </c>
      <c r="H1501" t="s">
        <v>48</v>
      </c>
      <c r="I1501" s="8" t="str">
        <f>IF(Tabla2[[#This Row],[precio_unitario]]&lt;=30,"Económico",IF(Tabla2[[#This Row],[precio_unitario]]&lt;=58.49,"Accesible","Caro"))</f>
        <v>Caro</v>
      </c>
      <c r="J1501" t="s">
        <v>44</v>
      </c>
      <c r="K1501">
        <v>3</v>
      </c>
      <c r="L1501" s="19">
        <v>60.3</v>
      </c>
      <c r="M1501" s="19">
        <v>31.63</v>
      </c>
      <c r="N1501" s="11">
        <v>0.24</v>
      </c>
      <c r="O1501" s="17">
        <f t="shared" si="95"/>
        <v>137.48399999999998</v>
      </c>
      <c r="P1501" s="17">
        <f t="shared" si="92"/>
        <v>94.89</v>
      </c>
      <c r="Q1501" s="17">
        <f t="shared" si="93"/>
        <v>42.59399999999998</v>
      </c>
      <c r="R1501" s="24">
        <f t="shared" si="94"/>
        <v>0.30981059614209644</v>
      </c>
      <c r="S1501" t="s">
        <v>63</v>
      </c>
      <c r="T1501" t="s">
        <v>60</v>
      </c>
    </row>
    <row r="1502" spans="1:20" hidden="1">
      <c r="A1502" t="s">
        <v>1571</v>
      </c>
      <c r="B1502" s="5">
        <v>45981</v>
      </c>
      <c r="C1502" s="8">
        <f>YEAR(Tabla2[[#This Row],[fecha]])</f>
        <v>2025</v>
      </c>
      <c r="D1502" s="8">
        <f>MONTH(Tabla2[[#This Row],[fecha]])</f>
        <v>11</v>
      </c>
      <c r="E1502" s="8" t="str">
        <f>TEXT(Tabla2[[#This Row],[fecha]], "mmmm")</f>
        <v>noviembre</v>
      </c>
      <c r="F1502" s="8" t="str">
        <f>"T"&amp;ROUNDUP(Tabla2[[#This Row],[mes]]/3,0)</f>
        <v>T4</v>
      </c>
      <c r="G1502" t="s">
        <v>45</v>
      </c>
      <c r="H1502" t="s">
        <v>46</v>
      </c>
      <c r="I1502" s="8" t="str">
        <f>IF(Tabla2[[#This Row],[precio_unitario]]&lt;=30,"Económico",IF(Tabla2[[#This Row],[precio_unitario]]&lt;=58.49,"Accesible","Caro"))</f>
        <v>Accesible</v>
      </c>
      <c r="J1502" t="s">
        <v>44</v>
      </c>
      <c r="K1502">
        <v>1</v>
      </c>
      <c r="L1502" s="19">
        <v>31.96</v>
      </c>
      <c r="M1502" s="19">
        <v>17.14</v>
      </c>
      <c r="N1502" s="13">
        <v>0</v>
      </c>
      <c r="O1502" s="17">
        <f t="shared" si="95"/>
        <v>31.96</v>
      </c>
      <c r="P1502" s="17">
        <f t="shared" si="92"/>
        <v>17.14</v>
      </c>
      <c r="Q1502" s="17">
        <f t="shared" si="93"/>
        <v>14.82</v>
      </c>
      <c r="R1502" s="24">
        <f t="shared" si="94"/>
        <v>0.46370463078848562</v>
      </c>
      <c r="S1502" t="s">
        <v>63</v>
      </c>
      <c r="T1502" t="s">
        <v>64</v>
      </c>
    </row>
    <row r="1503" spans="1:20" hidden="1">
      <c r="A1503" t="s">
        <v>1572</v>
      </c>
      <c r="B1503" s="5">
        <v>45696</v>
      </c>
      <c r="C1503" s="8">
        <f>YEAR(Tabla2[[#This Row],[fecha]])</f>
        <v>2025</v>
      </c>
      <c r="D1503" s="8">
        <f>MONTH(Tabla2[[#This Row],[fecha]])</f>
        <v>2</v>
      </c>
      <c r="E1503" s="8" t="str">
        <f>TEXT(Tabla2[[#This Row],[fecha]], "mmmm")</f>
        <v>febrero</v>
      </c>
      <c r="F1503" s="8" t="str">
        <f>"T"&amp;ROUNDUP(Tabla2[[#This Row],[mes]]/3,0)</f>
        <v>T1</v>
      </c>
      <c r="G1503" t="s">
        <v>13</v>
      </c>
      <c r="H1503" t="s">
        <v>14</v>
      </c>
      <c r="I1503" s="8" t="str">
        <f>IF(Tabla2[[#This Row],[precio_unitario]]&lt;=30,"Económico",IF(Tabla2[[#This Row],[precio_unitario]]&lt;=58.49,"Accesible","Caro"))</f>
        <v>Caro</v>
      </c>
      <c r="J1503" t="s">
        <v>8</v>
      </c>
      <c r="K1503">
        <v>5</v>
      </c>
      <c r="L1503" s="19">
        <v>160.94</v>
      </c>
      <c r="M1503" s="19">
        <v>114.2</v>
      </c>
      <c r="N1503" s="11">
        <v>0.06</v>
      </c>
      <c r="O1503" s="17">
        <f t="shared" si="95"/>
        <v>756.41800000000001</v>
      </c>
      <c r="P1503" s="17">
        <f t="shared" si="92"/>
        <v>571</v>
      </c>
      <c r="Q1503" s="17">
        <f t="shared" si="93"/>
        <v>185.41800000000001</v>
      </c>
      <c r="R1503" s="24">
        <f t="shared" si="94"/>
        <v>0.24512637192663317</v>
      </c>
      <c r="S1503" t="s">
        <v>63</v>
      </c>
      <c r="T1503" t="s">
        <v>64</v>
      </c>
    </row>
    <row r="1504" spans="1:20">
      <c r="A1504" t="s">
        <v>1573</v>
      </c>
      <c r="B1504" s="5">
        <v>45906</v>
      </c>
      <c r="C1504" s="8">
        <f>YEAR(Tabla2[[#This Row],[fecha]])</f>
        <v>2025</v>
      </c>
      <c r="D1504" s="8">
        <f>MONTH(Tabla2[[#This Row],[fecha]])</f>
        <v>9</v>
      </c>
      <c r="E1504" s="8" t="str">
        <f>TEXT(Tabla2[[#This Row],[fecha]], "mmmm")</f>
        <v>septiembre</v>
      </c>
      <c r="F1504" s="8" t="str">
        <f>"T"&amp;ROUNDUP(Tabla2[[#This Row],[mes]]/3,0)</f>
        <v>T3</v>
      </c>
      <c r="G1504" t="s">
        <v>15</v>
      </c>
      <c r="H1504" t="s">
        <v>16</v>
      </c>
      <c r="I1504" s="8" t="str">
        <f>IF(Tabla2[[#This Row],[precio_unitario]]&lt;=30,"Económico",IF(Tabla2[[#This Row],[precio_unitario]]&lt;=58.49,"Accesible","Caro"))</f>
        <v>Caro</v>
      </c>
      <c r="J1504" t="s">
        <v>17</v>
      </c>
      <c r="K1504">
        <v>2</v>
      </c>
      <c r="L1504" s="19">
        <v>62.27</v>
      </c>
      <c r="M1504" s="19">
        <v>41.2</v>
      </c>
      <c r="N1504" s="13">
        <v>0</v>
      </c>
      <c r="O1504" s="17">
        <f t="shared" si="95"/>
        <v>124.54</v>
      </c>
      <c r="P1504" s="17">
        <f t="shared" si="92"/>
        <v>82.4</v>
      </c>
      <c r="Q1504" s="17">
        <f t="shared" si="93"/>
        <v>42.14</v>
      </c>
      <c r="R1504" s="24">
        <f t="shared" si="94"/>
        <v>0.33836518387666614</v>
      </c>
      <c r="S1504" t="s">
        <v>67</v>
      </c>
      <c r="T1504" t="s">
        <v>60</v>
      </c>
    </row>
    <row r="1505" spans="1:20" hidden="1">
      <c r="A1505" t="s">
        <v>1574</v>
      </c>
      <c r="B1505" s="5">
        <v>45768</v>
      </c>
      <c r="C1505" s="8">
        <f>YEAR(Tabla2[[#This Row],[fecha]])</f>
        <v>2025</v>
      </c>
      <c r="D1505" s="8">
        <f>MONTH(Tabla2[[#This Row],[fecha]])</f>
        <v>4</v>
      </c>
      <c r="E1505" s="8" t="str">
        <f>TEXT(Tabla2[[#This Row],[fecha]], "mmmm")</f>
        <v>abril</v>
      </c>
      <c r="F1505" s="8" t="str">
        <f>"T"&amp;ROUNDUP(Tabla2[[#This Row],[mes]]/3,0)</f>
        <v>T2</v>
      </c>
      <c r="G1505" t="s">
        <v>31</v>
      </c>
      <c r="H1505" t="s">
        <v>32</v>
      </c>
      <c r="I1505" s="8" t="str">
        <f>IF(Tabla2[[#This Row],[precio_unitario]]&lt;=30,"Económico",IF(Tabla2[[#This Row],[precio_unitario]]&lt;=58.49,"Accesible","Caro"))</f>
        <v>Económico</v>
      </c>
      <c r="J1505" t="s">
        <v>26</v>
      </c>
      <c r="K1505">
        <v>1</v>
      </c>
      <c r="L1505" s="19">
        <v>8.81</v>
      </c>
      <c r="M1505" s="19">
        <v>5.5</v>
      </c>
      <c r="N1505" s="11">
        <v>0</v>
      </c>
      <c r="O1505" s="17">
        <f t="shared" si="95"/>
        <v>8.81</v>
      </c>
      <c r="P1505" s="17">
        <f t="shared" si="92"/>
        <v>5.5</v>
      </c>
      <c r="Q1505" s="17">
        <f t="shared" si="93"/>
        <v>3.3100000000000005</v>
      </c>
      <c r="R1505" s="24">
        <f t="shared" si="94"/>
        <v>0.37570942111237232</v>
      </c>
      <c r="S1505" t="s">
        <v>96</v>
      </c>
      <c r="T1505" t="s">
        <v>64</v>
      </c>
    </row>
    <row r="1506" spans="1:20" hidden="1">
      <c r="A1506" t="s">
        <v>1575</v>
      </c>
      <c r="B1506" s="5">
        <v>45301</v>
      </c>
      <c r="C1506" s="8">
        <f>YEAR(Tabla2[[#This Row],[fecha]])</f>
        <v>2024</v>
      </c>
      <c r="D1506" s="8">
        <f>MONTH(Tabla2[[#This Row],[fecha]])</f>
        <v>1</v>
      </c>
      <c r="E1506" s="8" t="str">
        <f>TEXT(Tabla2[[#This Row],[fecha]], "mmmm")</f>
        <v>enero</v>
      </c>
      <c r="F1506" s="8" t="str">
        <f>"T"&amp;ROUNDUP(Tabla2[[#This Row],[mes]]/3,0)</f>
        <v>T1</v>
      </c>
      <c r="G1506" t="s">
        <v>27</v>
      </c>
      <c r="H1506" t="s">
        <v>28</v>
      </c>
      <c r="I1506" s="8" t="str">
        <f>IF(Tabla2[[#This Row],[precio_unitario]]&lt;=30,"Económico",IF(Tabla2[[#This Row],[precio_unitario]]&lt;=58.49,"Accesible","Caro"))</f>
        <v>Económico</v>
      </c>
      <c r="J1506" t="s">
        <v>26</v>
      </c>
      <c r="K1506">
        <v>2</v>
      </c>
      <c r="L1506" s="19">
        <v>16.149999999999999</v>
      </c>
      <c r="M1506" s="19">
        <v>11.73</v>
      </c>
      <c r="N1506" s="13">
        <v>0</v>
      </c>
      <c r="O1506" s="17">
        <f t="shared" si="95"/>
        <v>32.299999999999997</v>
      </c>
      <c r="P1506" s="17">
        <f t="shared" si="92"/>
        <v>23.46</v>
      </c>
      <c r="Q1506" s="17">
        <f t="shared" si="93"/>
        <v>8.8399999999999963</v>
      </c>
      <c r="R1506" s="24">
        <f t="shared" si="94"/>
        <v>0.2736842105263157</v>
      </c>
      <c r="S1506" t="s">
        <v>540</v>
      </c>
      <c r="T1506" t="s">
        <v>64</v>
      </c>
    </row>
    <row r="1507" spans="1:20" hidden="1">
      <c r="A1507" t="s">
        <v>1576</v>
      </c>
      <c r="B1507" s="5">
        <v>45598</v>
      </c>
      <c r="C1507" s="8">
        <f>YEAR(Tabla2[[#This Row],[fecha]])</f>
        <v>2024</v>
      </c>
      <c r="D1507" s="8">
        <f>MONTH(Tabla2[[#This Row],[fecha]])</f>
        <v>11</v>
      </c>
      <c r="E1507" s="8" t="str">
        <f>TEXT(Tabla2[[#This Row],[fecha]], "mmmm")</f>
        <v>noviembre</v>
      </c>
      <c r="F1507" s="8" t="str">
        <f>"T"&amp;ROUNDUP(Tabla2[[#This Row],[mes]]/3,0)</f>
        <v>T4</v>
      </c>
      <c r="G1507" t="s">
        <v>11</v>
      </c>
      <c r="H1507" t="s">
        <v>12</v>
      </c>
      <c r="I1507" s="8" t="str">
        <f>IF(Tabla2[[#This Row],[precio_unitario]]&lt;=30,"Económico",IF(Tabla2[[#This Row],[precio_unitario]]&lt;=58.49,"Accesible","Caro"))</f>
        <v>Caro</v>
      </c>
      <c r="J1507" t="s">
        <v>8</v>
      </c>
      <c r="K1507">
        <v>4</v>
      </c>
      <c r="L1507" s="19">
        <v>167.99</v>
      </c>
      <c r="M1507" s="21">
        <f>INDEX(Tabla3[coste_objetivo], MATCH(Tabla2[[#This Row],[id_producto]], Tabla3[id_producto],0))</f>
        <v>94.19</v>
      </c>
      <c r="N1507" s="11">
        <v>0</v>
      </c>
      <c r="O1507" s="17">
        <f t="shared" si="95"/>
        <v>671.96</v>
      </c>
      <c r="P1507" s="17">
        <f t="shared" si="92"/>
        <v>376.76</v>
      </c>
      <c r="Q1507" s="17">
        <f t="shared" si="93"/>
        <v>295.20000000000005</v>
      </c>
      <c r="R1507" s="24">
        <f t="shared" si="94"/>
        <v>0.43931186380141679</v>
      </c>
      <c r="S1507" t="s">
        <v>83</v>
      </c>
      <c r="T1507" t="s">
        <v>60</v>
      </c>
    </row>
    <row r="1508" spans="1:20" hidden="1">
      <c r="A1508" t="s">
        <v>1577</v>
      </c>
      <c r="B1508" s="5">
        <v>45700</v>
      </c>
      <c r="C1508" s="8">
        <f>YEAR(Tabla2[[#This Row],[fecha]])</f>
        <v>2025</v>
      </c>
      <c r="D1508" s="8">
        <f>MONTH(Tabla2[[#This Row],[fecha]])</f>
        <v>2</v>
      </c>
      <c r="E1508" s="8" t="str">
        <f>TEXT(Tabla2[[#This Row],[fecha]], "mmmm")</f>
        <v>febrero</v>
      </c>
      <c r="F1508" s="8" t="str">
        <f>"T"&amp;ROUNDUP(Tabla2[[#This Row],[mes]]/3,0)</f>
        <v>T1</v>
      </c>
      <c r="G1508" t="s">
        <v>6</v>
      </c>
      <c r="H1508" t="s">
        <v>7</v>
      </c>
      <c r="I1508" s="8" t="str">
        <f>IF(Tabla2[[#This Row],[precio_unitario]]&lt;=30,"Económico",IF(Tabla2[[#This Row],[precio_unitario]]&lt;=58.49,"Accesible","Caro"))</f>
        <v>Caro</v>
      </c>
      <c r="J1508" t="s">
        <v>8</v>
      </c>
      <c r="K1508">
        <v>6</v>
      </c>
      <c r="L1508" s="19">
        <v>126.01</v>
      </c>
      <c r="M1508" s="19">
        <v>87.54</v>
      </c>
      <c r="N1508" s="13">
        <v>0</v>
      </c>
      <c r="O1508" s="17">
        <f t="shared" si="95"/>
        <v>756.06000000000006</v>
      </c>
      <c r="P1508" s="17">
        <f t="shared" si="92"/>
        <v>525.24</v>
      </c>
      <c r="Q1508" s="17">
        <f t="shared" si="93"/>
        <v>230.82000000000005</v>
      </c>
      <c r="R1508" s="24">
        <f t="shared" si="94"/>
        <v>0.30529323069597653</v>
      </c>
      <c r="S1508" t="s">
        <v>83</v>
      </c>
      <c r="T1508" t="s">
        <v>64</v>
      </c>
    </row>
    <row r="1509" spans="1:20" hidden="1">
      <c r="A1509" t="s">
        <v>1578</v>
      </c>
      <c r="B1509" s="5">
        <v>45587</v>
      </c>
      <c r="C1509" s="8">
        <f>YEAR(Tabla2[[#This Row],[fecha]])</f>
        <v>2024</v>
      </c>
      <c r="D1509" s="8">
        <f>MONTH(Tabla2[[#This Row],[fecha]])</f>
        <v>10</v>
      </c>
      <c r="E1509" s="8" t="str">
        <f>TEXT(Tabla2[[#This Row],[fecha]], "mmmm")</f>
        <v>octubre</v>
      </c>
      <c r="F1509" s="8" t="str">
        <f>"T"&amp;ROUNDUP(Tabla2[[#This Row],[mes]]/3,0)</f>
        <v>T4</v>
      </c>
      <c r="G1509" t="s">
        <v>18</v>
      </c>
      <c r="H1509" t="s">
        <v>19</v>
      </c>
      <c r="I1509" s="8" t="str">
        <f>IF(Tabla2[[#This Row],[precio_unitario]]&lt;=30,"Económico",IF(Tabla2[[#This Row],[precio_unitario]]&lt;=58.49,"Accesible","Caro"))</f>
        <v>Accesible</v>
      </c>
      <c r="J1509" t="s">
        <v>17</v>
      </c>
      <c r="K1509">
        <v>1</v>
      </c>
      <c r="L1509" s="19">
        <v>44.32</v>
      </c>
      <c r="M1509" s="19">
        <v>25.63</v>
      </c>
      <c r="N1509" s="11">
        <v>0</v>
      </c>
      <c r="O1509" s="17">
        <f t="shared" si="95"/>
        <v>44.32</v>
      </c>
      <c r="P1509" s="17">
        <f t="shared" si="92"/>
        <v>25.63</v>
      </c>
      <c r="Q1509" s="17">
        <f t="shared" si="93"/>
        <v>18.690000000000001</v>
      </c>
      <c r="R1509" s="24">
        <f t="shared" si="94"/>
        <v>0.42170577617328525</v>
      </c>
      <c r="S1509" t="s">
        <v>540</v>
      </c>
      <c r="T1509" t="s">
        <v>64</v>
      </c>
    </row>
    <row r="1510" spans="1:20">
      <c r="A1510" t="s">
        <v>1579</v>
      </c>
      <c r="B1510" s="5">
        <v>45941</v>
      </c>
      <c r="C1510" s="8">
        <f>YEAR(Tabla2[[#This Row],[fecha]])</f>
        <v>2025</v>
      </c>
      <c r="D1510" s="8">
        <f>MONTH(Tabla2[[#This Row],[fecha]])</f>
        <v>10</v>
      </c>
      <c r="E1510" s="8" t="str">
        <f>TEXT(Tabla2[[#This Row],[fecha]], "mmmm")</f>
        <v>octubre</v>
      </c>
      <c r="F1510" s="8" t="str">
        <f>"T"&amp;ROUNDUP(Tabla2[[#This Row],[mes]]/3,0)</f>
        <v>T4</v>
      </c>
      <c r="G1510" t="s">
        <v>11</v>
      </c>
      <c r="H1510" t="s">
        <v>12</v>
      </c>
      <c r="I1510" s="8" t="str">
        <f>IF(Tabla2[[#This Row],[precio_unitario]]&lt;=30,"Económico",IF(Tabla2[[#This Row],[precio_unitario]]&lt;=58.49,"Accesible","Caro"))</f>
        <v>Caro</v>
      </c>
      <c r="J1510" t="s">
        <v>8</v>
      </c>
      <c r="K1510">
        <v>7</v>
      </c>
      <c r="L1510" s="19">
        <v>170.79</v>
      </c>
      <c r="M1510" s="19">
        <v>95.14</v>
      </c>
      <c r="N1510" s="11">
        <v>0</v>
      </c>
      <c r="O1510" s="17">
        <f t="shared" si="95"/>
        <v>1195.53</v>
      </c>
      <c r="P1510" s="17">
        <f t="shared" si="92"/>
        <v>665.98</v>
      </c>
      <c r="Q1510" s="17">
        <f t="shared" si="93"/>
        <v>529.54999999999995</v>
      </c>
      <c r="R1510" s="24">
        <f t="shared" si="94"/>
        <v>0.4429416242168745</v>
      </c>
      <c r="S1510" t="s">
        <v>67</v>
      </c>
      <c r="T1510" t="s">
        <v>60</v>
      </c>
    </row>
    <row r="1511" spans="1:20" hidden="1">
      <c r="A1511" t="s">
        <v>1580</v>
      </c>
      <c r="B1511" s="5">
        <v>45783</v>
      </c>
      <c r="C1511" s="8">
        <f>YEAR(Tabla2[[#This Row],[fecha]])</f>
        <v>2025</v>
      </c>
      <c r="D1511" s="8">
        <f>MONTH(Tabla2[[#This Row],[fecha]])</f>
        <v>5</v>
      </c>
      <c r="E1511" s="8" t="str">
        <f>TEXT(Tabla2[[#This Row],[fecha]], "mmmm")</f>
        <v>mayo</v>
      </c>
      <c r="F1511" s="8" t="str">
        <f>"T"&amp;ROUNDUP(Tabla2[[#This Row],[mes]]/3,0)</f>
        <v>T2</v>
      </c>
      <c r="G1511" t="s">
        <v>31</v>
      </c>
      <c r="H1511" t="s">
        <v>32</v>
      </c>
      <c r="I1511" s="8" t="str">
        <f>IF(Tabla2[[#This Row],[precio_unitario]]&lt;=30,"Económico",IF(Tabla2[[#This Row],[precio_unitario]]&lt;=58.49,"Accesible","Caro"))</f>
        <v>Económico</v>
      </c>
      <c r="J1511" t="s">
        <v>26</v>
      </c>
      <c r="K1511">
        <v>2</v>
      </c>
      <c r="L1511" s="19">
        <v>8.15</v>
      </c>
      <c r="M1511" s="19">
        <v>6</v>
      </c>
      <c r="N1511" s="11">
        <v>0</v>
      </c>
      <c r="O1511" s="17">
        <f t="shared" si="95"/>
        <v>16.3</v>
      </c>
      <c r="P1511" s="17">
        <f t="shared" si="92"/>
        <v>12</v>
      </c>
      <c r="Q1511" s="17">
        <f t="shared" si="93"/>
        <v>4.3000000000000007</v>
      </c>
      <c r="R1511" s="24">
        <f t="shared" si="94"/>
        <v>0.26380368098159512</v>
      </c>
      <c r="S1511" t="s">
        <v>83</v>
      </c>
      <c r="T1511" t="s">
        <v>64</v>
      </c>
    </row>
    <row r="1512" spans="1:20">
      <c r="A1512" t="s">
        <v>1581</v>
      </c>
      <c r="B1512" s="5">
        <v>45716</v>
      </c>
      <c r="C1512" s="8">
        <f>YEAR(Tabla2[[#This Row],[fecha]])</f>
        <v>2025</v>
      </c>
      <c r="D1512" s="8">
        <f>MONTH(Tabla2[[#This Row],[fecha]])</f>
        <v>2</v>
      </c>
      <c r="E1512" s="8" t="str">
        <f>TEXT(Tabla2[[#This Row],[fecha]], "mmmm")</f>
        <v>febrero</v>
      </c>
      <c r="F1512" s="8" t="str">
        <f>"T"&amp;ROUNDUP(Tabla2[[#This Row],[mes]]/3,0)</f>
        <v>T1</v>
      </c>
      <c r="G1512" t="s">
        <v>24</v>
      </c>
      <c r="H1512" t="s">
        <v>25</v>
      </c>
      <c r="I1512" s="8" t="str">
        <f>IF(Tabla2[[#This Row],[precio_unitario]]&lt;=30,"Económico",IF(Tabla2[[#This Row],[precio_unitario]]&lt;=58.49,"Accesible","Caro"))</f>
        <v>Económico</v>
      </c>
      <c r="J1512" t="s">
        <v>26</v>
      </c>
      <c r="K1512">
        <v>5</v>
      </c>
      <c r="L1512" s="19">
        <v>7.95</v>
      </c>
      <c r="M1512" s="19">
        <v>4.3899999999999997</v>
      </c>
      <c r="N1512" s="11">
        <v>0</v>
      </c>
      <c r="O1512" s="17">
        <f t="shared" si="95"/>
        <v>39.75</v>
      </c>
      <c r="P1512" s="17">
        <f t="shared" si="92"/>
        <v>21.95</v>
      </c>
      <c r="Q1512" s="17">
        <f t="shared" si="93"/>
        <v>17.8</v>
      </c>
      <c r="R1512" s="24">
        <f t="shared" si="94"/>
        <v>0.44779874213836479</v>
      </c>
      <c r="S1512" t="s">
        <v>67</v>
      </c>
      <c r="T1512" t="s">
        <v>64</v>
      </c>
    </row>
    <row r="1513" spans="1:20" hidden="1">
      <c r="A1513" t="s">
        <v>1582</v>
      </c>
      <c r="B1513" s="5">
        <v>45719</v>
      </c>
      <c r="C1513" s="8">
        <f>YEAR(Tabla2[[#This Row],[fecha]])</f>
        <v>2025</v>
      </c>
      <c r="D1513" s="8">
        <f>MONTH(Tabla2[[#This Row],[fecha]])</f>
        <v>3</v>
      </c>
      <c r="E1513" s="8" t="str">
        <f>TEXT(Tabla2[[#This Row],[fecha]], "mmmm")</f>
        <v>marzo</v>
      </c>
      <c r="F1513" s="8" t="str">
        <f>"T"&amp;ROUNDUP(Tabla2[[#This Row],[mes]]/3,0)</f>
        <v>T1</v>
      </c>
      <c r="G1513" t="s">
        <v>6</v>
      </c>
      <c r="H1513" t="s">
        <v>7</v>
      </c>
      <c r="I1513" s="8" t="str">
        <f>IF(Tabla2[[#This Row],[precio_unitario]]&lt;=30,"Económico",IF(Tabla2[[#This Row],[precio_unitario]]&lt;=58.49,"Accesible","Caro"))</f>
        <v>Caro</v>
      </c>
      <c r="J1513" t="s">
        <v>8</v>
      </c>
      <c r="K1513">
        <v>2</v>
      </c>
      <c r="L1513" s="19">
        <v>113.07</v>
      </c>
      <c r="M1513" s="19">
        <v>84.57</v>
      </c>
      <c r="N1513" s="11">
        <v>0</v>
      </c>
      <c r="O1513" s="17">
        <f t="shared" si="95"/>
        <v>226.14</v>
      </c>
      <c r="P1513" s="17">
        <f t="shared" si="92"/>
        <v>169.14</v>
      </c>
      <c r="Q1513" s="17">
        <f t="shared" si="93"/>
        <v>57</v>
      </c>
      <c r="R1513" s="24">
        <f t="shared" si="94"/>
        <v>0.25205624834173523</v>
      </c>
      <c r="S1513" t="s">
        <v>101</v>
      </c>
      <c r="T1513" t="s">
        <v>60</v>
      </c>
    </row>
    <row r="1514" spans="1:20">
      <c r="A1514" t="s">
        <v>1583</v>
      </c>
      <c r="B1514" s="5">
        <v>45863</v>
      </c>
      <c r="C1514" s="8">
        <f>YEAR(Tabla2[[#This Row],[fecha]])</f>
        <v>2025</v>
      </c>
      <c r="D1514" s="8">
        <f>MONTH(Tabla2[[#This Row],[fecha]])</f>
        <v>7</v>
      </c>
      <c r="E1514" s="8" t="str">
        <f>TEXT(Tabla2[[#This Row],[fecha]], "mmmm")</f>
        <v>julio</v>
      </c>
      <c r="F1514" s="8" t="str">
        <f>"T"&amp;ROUNDUP(Tabla2[[#This Row],[mes]]/3,0)</f>
        <v>T3</v>
      </c>
      <c r="G1514" t="s">
        <v>45</v>
      </c>
      <c r="H1514" t="s">
        <v>46</v>
      </c>
      <c r="I1514" s="8" t="str">
        <f>IF(Tabla2[[#This Row],[precio_unitario]]&lt;=30,"Económico",IF(Tabla2[[#This Row],[precio_unitario]]&lt;=58.49,"Accesible","Caro"))</f>
        <v>Accesible</v>
      </c>
      <c r="J1514" t="s">
        <v>44</v>
      </c>
      <c r="K1514">
        <v>2</v>
      </c>
      <c r="L1514" s="19">
        <v>30.71</v>
      </c>
      <c r="M1514" s="19">
        <v>17.829999999999998</v>
      </c>
      <c r="N1514" s="11">
        <v>0</v>
      </c>
      <c r="O1514" s="17">
        <f t="shared" si="95"/>
        <v>61.42</v>
      </c>
      <c r="P1514" s="17">
        <f t="shared" si="92"/>
        <v>35.659999999999997</v>
      </c>
      <c r="Q1514" s="17">
        <f t="shared" si="93"/>
        <v>25.760000000000005</v>
      </c>
      <c r="R1514" s="24">
        <f t="shared" si="94"/>
        <v>0.41940735916639538</v>
      </c>
      <c r="S1514" t="s">
        <v>67</v>
      </c>
      <c r="T1514" t="s">
        <v>64</v>
      </c>
    </row>
    <row r="1515" spans="1:20" hidden="1">
      <c r="A1515" t="s">
        <v>1584</v>
      </c>
      <c r="B1515" s="5">
        <v>45459</v>
      </c>
      <c r="C1515" s="8">
        <f>YEAR(Tabla2[[#This Row],[fecha]])</f>
        <v>2024</v>
      </c>
      <c r="D1515" s="8">
        <f>MONTH(Tabla2[[#This Row],[fecha]])</f>
        <v>6</v>
      </c>
      <c r="E1515" s="8" t="str">
        <f>TEXT(Tabla2[[#This Row],[fecha]], "mmmm")</f>
        <v>junio</v>
      </c>
      <c r="F1515" s="8" t="str">
        <f>"T"&amp;ROUNDUP(Tabla2[[#This Row],[mes]]/3,0)</f>
        <v>T2</v>
      </c>
      <c r="G1515" t="s">
        <v>18</v>
      </c>
      <c r="H1515" t="s">
        <v>19</v>
      </c>
      <c r="I1515" s="8" t="str">
        <f>IF(Tabla2[[#This Row],[precio_unitario]]&lt;=30,"Económico",IF(Tabla2[[#This Row],[precio_unitario]]&lt;=58.49,"Accesible","Caro"))</f>
        <v>Accesible</v>
      </c>
      <c r="J1515" t="s">
        <v>17</v>
      </c>
      <c r="K1515">
        <v>1</v>
      </c>
      <c r="L1515" s="19">
        <v>44.3</v>
      </c>
      <c r="M1515" s="19">
        <v>27.11</v>
      </c>
      <c r="N1515" s="11">
        <v>0</v>
      </c>
      <c r="O1515" s="17">
        <f t="shared" si="95"/>
        <v>44.3</v>
      </c>
      <c r="P1515" s="17">
        <f t="shared" si="92"/>
        <v>27.11</v>
      </c>
      <c r="Q1515" s="17">
        <f t="shared" si="93"/>
        <v>17.189999999999998</v>
      </c>
      <c r="R1515" s="24">
        <f t="shared" si="94"/>
        <v>0.3880361173814898</v>
      </c>
      <c r="S1515" t="s">
        <v>67</v>
      </c>
      <c r="T1515" t="s">
        <v>64</v>
      </c>
    </row>
    <row r="1516" spans="1:20" hidden="1">
      <c r="A1516" t="s">
        <v>1585</v>
      </c>
      <c r="B1516" s="5">
        <v>45399</v>
      </c>
      <c r="C1516" s="8">
        <f>YEAR(Tabla2[[#This Row],[fecha]])</f>
        <v>2024</v>
      </c>
      <c r="D1516" s="8">
        <f>MONTH(Tabla2[[#This Row],[fecha]])</f>
        <v>4</v>
      </c>
      <c r="E1516" s="8" t="str">
        <f>TEXT(Tabla2[[#This Row],[fecha]], "mmmm")</f>
        <v>abril</v>
      </c>
      <c r="F1516" s="8" t="str">
        <f>"T"&amp;ROUNDUP(Tabla2[[#This Row],[mes]]/3,0)</f>
        <v>T2</v>
      </c>
      <c r="G1516" t="s">
        <v>22</v>
      </c>
      <c r="H1516" t="s">
        <v>23</v>
      </c>
      <c r="I1516" s="8" t="str">
        <f>IF(Tabla2[[#This Row],[precio_unitario]]&lt;=30,"Económico",IF(Tabla2[[#This Row],[precio_unitario]]&lt;=58.49,"Accesible","Caro"))</f>
        <v>Caro</v>
      </c>
      <c r="J1516" t="s">
        <v>17</v>
      </c>
      <c r="K1516">
        <v>1</v>
      </c>
      <c r="L1516" s="19">
        <v>108.01</v>
      </c>
      <c r="M1516" s="19">
        <v>55.07</v>
      </c>
      <c r="N1516" s="11">
        <v>0.27</v>
      </c>
      <c r="O1516" s="17">
        <f t="shared" si="95"/>
        <v>78.847300000000004</v>
      </c>
      <c r="P1516" s="17">
        <f t="shared" si="92"/>
        <v>55.07</v>
      </c>
      <c r="Q1516" s="17">
        <f t="shared" si="93"/>
        <v>23.777300000000004</v>
      </c>
      <c r="R1516" s="24">
        <f t="shared" si="94"/>
        <v>0.3015613724249277</v>
      </c>
      <c r="S1516" t="s">
        <v>67</v>
      </c>
      <c r="T1516" t="s">
        <v>64</v>
      </c>
    </row>
    <row r="1517" spans="1:20" hidden="1">
      <c r="A1517" t="s">
        <v>1586</v>
      </c>
      <c r="B1517" s="5">
        <v>45602</v>
      </c>
      <c r="C1517" s="8">
        <f>YEAR(Tabla2[[#This Row],[fecha]])</f>
        <v>2024</v>
      </c>
      <c r="D1517" s="8">
        <f>MONTH(Tabla2[[#This Row],[fecha]])</f>
        <v>11</v>
      </c>
      <c r="E1517" s="8" t="str">
        <f>TEXT(Tabla2[[#This Row],[fecha]], "mmmm")</f>
        <v>noviembre</v>
      </c>
      <c r="F1517" s="8" t="str">
        <f>"T"&amp;ROUNDUP(Tabla2[[#This Row],[mes]]/3,0)</f>
        <v>T4</v>
      </c>
      <c r="G1517" t="s">
        <v>40</v>
      </c>
      <c r="H1517" t="s">
        <v>41</v>
      </c>
      <c r="I1517" s="8" t="str">
        <f>IF(Tabla2[[#This Row],[precio_unitario]]&lt;=30,"Económico",IF(Tabla2[[#This Row],[precio_unitario]]&lt;=58.49,"Accesible","Caro"))</f>
        <v>Caro</v>
      </c>
      <c r="J1517" t="s">
        <v>35</v>
      </c>
      <c r="K1517">
        <v>5</v>
      </c>
      <c r="L1517" s="19">
        <v>76.540000000000006</v>
      </c>
      <c r="M1517" s="19">
        <v>40.22</v>
      </c>
      <c r="N1517" s="11">
        <v>0</v>
      </c>
      <c r="O1517" s="17">
        <f t="shared" si="95"/>
        <v>382.70000000000005</v>
      </c>
      <c r="P1517" s="17">
        <f t="shared" si="92"/>
        <v>201.1</v>
      </c>
      <c r="Q1517" s="17">
        <f t="shared" si="93"/>
        <v>181.60000000000005</v>
      </c>
      <c r="R1517" s="24">
        <f t="shared" si="94"/>
        <v>0.47452312516331335</v>
      </c>
      <c r="S1517" t="s">
        <v>67</v>
      </c>
      <c r="T1517" t="s">
        <v>60</v>
      </c>
    </row>
    <row r="1518" spans="1:20" hidden="1">
      <c r="A1518" t="s">
        <v>1587</v>
      </c>
      <c r="B1518" s="5">
        <v>45482</v>
      </c>
      <c r="C1518" s="8">
        <f>YEAR(Tabla2[[#This Row],[fecha]])</f>
        <v>2024</v>
      </c>
      <c r="D1518" s="8">
        <f>MONTH(Tabla2[[#This Row],[fecha]])</f>
        <v>7</v>
      </c>
      <c r="E1518" s="8" t="str">
        <f>TEXT(Tabla2[[#This Row],[fecha]], "mmmm")</f>
        <v>julio</v>
      </c>
      <c r="F1518" s="8" t="str">
        <f>"T"&amp;ROUNDUP(Tabla2[[#This Row],[mes]]/3,0)</f>
        <v>T3</v>
      </c>
      <c r="G1518" t="s">
        <v>47</v>
      </c>
      <c r="H1518" t="s">
        <v>48</v>
      </c>
      <c r="I1518" s="8" t="str">
        <f>IF(Tabla2[[#This Row],[precio_unitario]]&lt;=30,"Económico",IF(Tabla2[[#This Row],[precio_unitario]]&lt;=58.49,"Accesible","Caro"))</f>
        <v>Caro</v>
      </c>
      <c r="J1518" t="s">
        <v>44</v>
      </c>
      <c r="K1518">
        <v>2</v>
      </c>
      <c r="L1518" s="19">
        <v>60.15</v>
      </c>
      <c r="M1518" s="19">
        <v>32.9</v>
      </c>
      <c r="N1518" s="11">
        <v>0</v>
      </c>
      <c r="O1518" s="17">
        <f t="shared" si="95"/>
        <v>120.3</v>
      </c>
      <c r="P1518" s="17">
        <f t="shared" si="92"/>
        <v>65.8</v>
      </c>
      <c r="Q1518" s="17">
        <f t="shared" si="93"/>
        <v>54.5</v>
      </c>
      <c r="R1518" s="24">
        <f t="shared" si="94"/>
        <v>0.45303408146300916</v>
      </c>
      <c r="S1518" t="s">
        <v>101</v>
      </c>
      <c r="T1518" t="s">
        <v>64</v>
      </c>
    </row>
    <row r="1519" spans="1:20" hidden="1">
      <c r="A1519" t="s">
        <v>1588</v>
      </c>
      <c r="B1519" s="5">
        <v>45480</v>
      </c>
      <c r="C1519" s="8">
        <f>YEAR(Tabla2[[#This Row],[fecha]])</f>
        <v>2024</v>
      </c>
      <c r="D1519" s="8">
        <f>MONTH(Tabla2[[#This Row],[fecha]])</f>
        <v>7</v>
      </c>
      <c r="E1519" s="8" t="str">
        <f>TEXT(Tabla2[[#This Row],[fecha]], "mmmm")</f>
        <v>julio</v>
      </c>
      <c r="F1519" s="8" t="str">
        <f>"T"&amp;ROUNDUP(Tabla2[[#This Row],[mes]]/3,0)</f>
        <v>T3</v>
      </c>
      <c r="G1519" t="s">
        <v>40</v>
      </c>
      <c r="H1519" t="s">
        <v>41</v>
      </c>
      <c r="I1519" s="8" t="str">
        <f>IF(Tabla2[[#This Row],[precio_unitario]]&lt;=30,"Económico",IF(Tabla2[[#This Row],[precio_unitario]]&lt;=58.49,"Accesible","Caro"))</f>
        <v>Caro</v>
      </c>
      <c r="J1519" t="s">
        <v>35</v>
      </c>
      <c r="K1519">
        <v>3</v>
      </c>
      <c r="L1519" s="19">
        <v>81.16</v>
      </c>
      <c r="M1519" s="19">
        <v>42.48</v>
      </c>
      <c r="N1519" s="11">
        <v>0</v>
      </c>
      <c r="O1519" s="17">
        <f t="shared" si="95"/>
        <v>243.48</v>
      </c>
      <c r="P1519" s="17">
        <f t="shared" si="92"/>
        <v>127.44</v>
      </c>
      <c r="Q1519" s="17">
        <f t="shared" si="93"/>
        <v>116.03999999999999</v>
      </c>
      <c r="R1519" s="24">
        <f t="shared" si="94"/>
        <v>0.47658945293247906</v>
      </c>
      <c r="S1519" t="s">
        <v>63</v>
      </c>
      <c r="T1519" t="s">
        <v>64</v>
      </c>
    </row>
    <row r="1520" spans="1:20">
      <c r="A1520" t="s">
        <v>1589</v>
      </c>
      <c r="B1520" s="5">
        <v>45782</v>
      </c>
      <c r="C1520" s="8">
        <f>YEAR(Tabla2[[#This Row],[fecha]])</f>
        <v>2025</v>
      </c>
      <c r="D1520" s="8">
        <f>MONTH(Tabla2[[#This Row],[fecha]])</f>
        <v>5</v>
      </c>
      <c r="E1520" s="8" t="str">
        <f>TEXT(Tabla2[[#This Row],[fecha]], "mmmm")</f>
        <v>mayo</v>
      </c>
      <c r="F1520" s="8" t="str">
        <f>"T"&amp;ROUNDUP(Tabla2[[#This Row],[mes]]/3,0)</f>
        <v>T2</v>
      </c>
      <c r="G1520" t="s">
        <v>20</v>
      </c>
      <c r="H1520" t="s">
        <v>21</v>
      </c>
      <c r="I1520" s="8" t="str">
        <f>IF(Tabla2[[#This Row],[precio_unitario]]&lt;=30,"Económico",IF(Tabla2[[#This Row],[precio_unitario]]&lt;=58.49,"Accesible","Caro"))</f>
        <v>Económico</v>
      </c>
      <c r="J1520" t="s">
        <v>17</v>
      </c>
      <c r="K1520">
        <v>5</v>
      </c>
      <c r="L1520" s="19">
        <v>20.09</v>
      </c>
      <c r="M1520" s="19">
        <v>12.57</v>
      </c>
      <c r="N1520" s="11">
        <v>0</v>
      </c>
      <c r="O1520" s="17">
        <f t="shared" si="95"/>
        <v>100.45</v>
      </c>
      <c r="P1520" s="17">
        <f t="shared" si="92"/>
        <v>62.85</v>
      </c>
      <c r="Q1520" s="17">
        <f t="shared" si="93"/>
        <v>37.6</v>
      </c>
      <c r="R1520" s="24">
        <f t="shared" si="94"/>
        <v>0.3743155798904928</v>
      </c>
      <c r="S1520" t="s">
        <v>67</v>
      </c>
      <c r="T1520" t="s">
        <v>64</v>
      </c>
    </row>
    <row r="1521" spans="1:20" hidden="1">
      <c r="A1521" t="s">
        <v>1590</v>
      </c>
      <c r="B1521" s="5">
        <v>45379</v>
      </c>
      <c r="C1521" s="8">
        <f>YEAR(Tabla2[[#This Row],[fecha]])</f>
        <v>2024</v>
      </c>
      <c r="D1521" s="8">
        <f>MONTH(Tabla2[[#This Row],[fecha]])</f>
        <v>3</v>
      </c>
      <c r="E1521" s="8" t="str">
        <f>TEXT(Tabla2[[#This Row],[fecha]], "mmmm")</f>
        <v>marzo</v>
      </c>
      <c r="F1521" s="8" t="str">
        <f>"T"&amp;ROUNDUP(Tabla2[[#This Row],[mes]]/3,0)</f>
        <v>T1</v>
      </c>
      <c r="G1521" t="s">
        <v>38</v>
      </c>
      <c r="H1521" t="s">
        <v>39</v>
      </c>
      <c r="I1521" s="8" t="str">
        <f>IF(Tabla2[[#This Row],[precio_unitario]]&lt;=30,"Económico",IF(Tabla2[[#This Row],[precio_unitario]]&lt;=58.49,"Accesible","Caro"))</f>
        <v>Caro</v>
      </c>
      <c r="J1521" t="s">
        <v>35</v>
      </c>
      <c r="K1521">
        <v>1</v>
      </c>
      <c r="L1521" s="19">
        <v>73.150000000000006</v>
      </c>
      <c r="M1521" s="19">
        <v>41.85</v>
      </c>
      <c r="N1521" s="11">
        <v>0</v>
      </c>
      <c r="O1521" s="17">
        <f t="shared" si="95"/>
        <v>73.150000000000006</v>
      </c>
      <c r="P1521" s="17">
        <f t="shared" si="92"/>
        <v>41.85</v>
      </c>
      <c r="Q1521" s="17">
        <f t="shared" si="93"/>
        <v>31.300000000000004</v>
      </c>
      <c r="R1521" s="24">
        <f t="shared" si="94"/>
        <v>0.42788790157211215</v>
      </c>
      <c r="S1521" t="s">
        <v>540</v>
      </c>
      <c r="T1521" t="s">
        <v>64</v>
      </c>
    </row>
    <row r="1522" spans="1:20" hidden="1">
      <c r="A1522" t="s">
        <v>1591</v>
      </c>
      <c r="B1522" s="5">
        <v>45557</v>
      </c>
      <c r="C1522" s="8">
        <f>YEAR(Tabla2[[#This Row],[fecha]])</f>
        <v>2024</v>
      </c>
      <c r="D1522" s="8">
        <f>MONTH(Tabla2[[#This Row],[fecha]])</f>
        <v>9</v>
      </c>
      <c r="E1522" s="8" t="str">
        <f>TEXT(Tabla2[[#This Row],[fecha]], "mmmm")</f>
        <v>septiembre</v>
      </c>
      <c r="F1522" s="8" t="str">
        <f>"T"&amp;ROUNDUP(Tabla2[[#This Row],[mes]]/3,0)</f>
        <v>T3</v>
      </c>
      <c r="G1522" t="s">
        <v>6</v>
      </c>
      <c r="H1522" t="s">
        <v>7</v>
      </c>
      <c r="I1522" s="8" t="str">
        <f>IF(Tabla2[[#This Row],[precio_unitario]]&lt;=30,"Económico",IF(Tabla2[[#This Row],[precio_unitario]]&lt;=58.49,"Accesible","Caro"))</f>
        <v>Caro</v>
      </c>
      <c r="J1522" t="s">
        <v>8</v>
      </c>
      <c r="K1522">
        <v>2</v>
      </c>
      <c r="L1522" s="19">
        <v>115.06</v>
      </c>
      <c r="M1522" s="19">
        <v>81.47</v>
      </c>
      <c r="N1522" s="13">
        <v>0</v>
      </c>
      <c r="O1522" s="17">
        <f t="shared" si="95"/>
        <v>230.12</v>
      </c>
      <c r="P1522" s="17">
        <f t="shared" si="92"/>
        <v>162.94</v>
      </c>
      <c r="Q1522" s="17">
        <f t="shared" si="93"/>
        <v>67.180000000000007</v>
      </c>
      <c r="R1522" s="24">
        <f t="shared" si="94"/>
        <v>0.29193464279506348</v>
      </c>
      <c r="S1522" t="s">
        <v>67</v>
      </c>
      <c r="T1522" t="s">
        <v>60</v>
      </c>
    </row>
    <row r="1523" spans="1:20" hidden="1">
      <c r="A1523" t="s">
        <v>1592</v>
      </c>
      <c r="B1523" s="5">
        <v>45863</v>
      </c>
      <c r="C1523" s="8">
        <f>YEAR(Tabla2[[#This Row],[fecha]])</f>
        <v>2025</v>
      </c>
      <c r="D1523" s="8">
        <f>MONTH(Tabla2[[#This Row],[fecha]])</f>
        <v>7</v>
      </c>
      <c r="E1523" s="8" t="str">
        <f>TEXT(Tabla2[[#This Row],[fecha]], "mmmm")</f>
        <v>julio</v>
      </c>
      <c r="F1523" s="8" t="str">
        <f>"T"&amp;ROUNDUP(Tabla2[[#This Row],[mes]]/3,0)</f>
        <v>T3</v>
      </c>
      <c r="G1523" t="s">
        <v>6</v>
      </c>
      <c r="H1523" t="s">
        <v>7</v>
      </c>
      <c r="I1523" s="8" t="str">
        <f>IF(Tabla2[[#This Row],[precio_unitario]]&lt;=30,"Económico",IF(Tabla2[[#This Row],[precio_unitario]]&lt;=58.49,"Accesible","Caro"))</f>
        <v>Caro</v>
      </c>
      <c r="J1523" t="s">
        <v>8</v>
      </c>
      <c r="K1523">
        <v>11</v>
      </c>
      <c r="L1523" s="19">
        <v>116.29</v>
      </c>
      <c r="M1523" s="19">
        <v>86.01</v>
      </c>
      <c r="N1523" s="11">
        <v>0.15</v>
      </c>
      <c r="O1523" s="17">
        <f t="shared" si="95"/>
        <v>1087.3115</v>
      </c>
      <c r="P1523" s="17">
        <f t="shared" si="92"/>
        <v>946.11</v>
      </c>
      <c r="Q1523" s="17">
        <f t="shared" si="93"/>
        <v>141.20150000000001</v>
      </c>
      <c r="R1523" s="24">
        <f t="shared" si="94"/>
        <v>0.12986296935146921</v>
      </c>
      <c r="S1523" t="s">
        <v>83</v>
      </c>
      <c r="T1523" t="s">
        <v>64</v>
      </c>
    </row>
    <row r="1524" spans="1:20" hidden="1">
      <c r="A1524" t="s">
        <v>1593</v>
      </c>
      <c r="B1524" s="5">
        <v>45324</v>
      </c>
      <c r="C1524" s="8">
        <f>YEAR(Tabla2[[#This Row],[fecha]])</f>
        <v>2024</v>
      </c>
      <c r="D1524" s="8">
        <f>MONTH(Tabla2[[#This Row],[fecha]])</f>
        <v>2</v>
      </c>
      <c r="E1524" s="8" t="str">
        <f>TEXT(Tabla2[[#This Row],[fecha]], "mmmm")</f>
        <v>febrero</v>
      </c>
      <c r="F1524" s="8" t="str">
        <f>"T"&amp;ROUNDUP(Tabla2[[#This Row],[mes]]/3,0)</f>
        <v>T1</v>
      </c>
      <c r="G1524" t="s">
        <v>13</v>
      </c>
      <c r="H1524" t="s">
        <v>14</v>
      </c>
      <c r="I1524" s="8" t="str">
        <f>IF(Tabla2[[#This Row],[precio_unitario]]&lt;=30,"Económico",IF(Tabla2[[#This Row],[precio_unitario]]&lt;=58.49,"Accesible","Caro"))</f>
        <v>Caro</v>
      </c>
      <c r="J1524" t="s">
        <v>8</v>
      </c>
      <c r="K1524">
        <v>6</v>
      </c>
      <c r="L1524" s="19">
        <v>149.27000000000001</v>
      </c>
      <c r="M1524" s="19">
        <v>106.8</v>
      </c>
      <c r="N1524" s="11">
        <v>0.06</v>
      </c>
      <c r="O1524" s="17">
        <f t="shared" si="95"/>
        <v>841.88280000000009</v>
      </c>
      <c r="P1524" s="17">
        <f t="shared" si="92"/>
        <v>640.79999999999995</v>
      </c>
      <c r="Q1524" s="17">
        <f t="shared" si="93"/>
        <v>201.08280000000013</v>
      </c>
      <c r="R1524" s="24">
        <f t="shared" si="94"/>
        <v>0.238848922914211</v>
      </c>
      <c r="S1524" t="s">
        <v>63</v>
      </c>
      <c r="T1524" t="s">
        <v>60</v>
      </c>
    </row>
    <row r="1525" spans="1:20">
      <c r="A1525" t="s">
        <v>1594</v>
      </c>
      <c r="B1525" s="5">
        <v>45963</v>
      </c>
      <c r="C1525" s="8">
        <f>YEAR(Tabla2[[#This Row],[fecha]])</f>
        <v>2025</v>
      </c>
      <c r="D1525" s="8">
        <f>MONTH(Tabla2[[#This Row],[fecha]])</f>
        <v>11</v>
      </c>
      <c r="E1525" s="8" t="str">
        <f>TEXT(Tabla2[[#This Row],[fecha]], "mmmm")</f>
        <v>noviembre</v>
      </c>
      <c r="F1525" s="8" t="str">
        <f>"T"&amp;ROUNDUP(Tabla2[[#This Row],[mes]]/3,0)</f>
        <v>T4</v>
      </c>
      <c r="G1525" t="s">
        <v>49</v>
      </c>
      <c r="H1525" t="s">
        <v>50</v>
      </c>
      <c r="I1525" s="8" t="str">
        <f>IF(Tabla2[[#This Row],[precio_unitario]]&lt;=30,"Económico",IF(Tabla2[[#This Row],[precio_unitario]]&lt;=58.49,"Accesible","Caro"))</f>
        <v>Caro</v>
      </c>
      <c r="J1525" t="s">
        <v>44</v>
      </c>
      <c r="K1525">
        <v>2</v>
      </c>
      <c r="L1525" s="19">
        <v>63.72</v>
      </c>
      <c r="M1525" s="19">
        <v>32.47</v>
      </c>
      <c r="N1525" s="11">
        <v>0.28999999999999998</v>
      </c>
      <c r="O1525" s="17">
        <f t="shared" si="95"/>
        <v>90.482399999999998</v>
      </c>
      <c r="P1525" s="17">
        <f t="shared" si="92"/>
        <v>64.94</v>
      </c>
      <c r="Q1525" s="17">
        <f t="shared" si="93"/>
        <v>25.542400000000001</v>
      </c>
      <c r="R1525" s="24">
        <f t="shared" si="94"/>
        <v>0.2822913627401572</v>
      </c>
      <c r="S1525" t="s">
        <v>67</v>
      </c>
      <c r="T1525" t="s">
        <v>60</v>
      </c>
    </row>
    <row r="1526" spans="1:20" hidden="1">
      <c r="A1526" t="s">
        <v>1595</v>
      </c>
      <c r="B1526" s="5">
        <v>45674</v>
      </c>
      <c r="C1526" s="8">
        <f>YEAR(Tabla2[[#This Row],[fecha]])</f>
        <v>2025</v>
      </c>
      <c r="D1526" s="8">
        <f>MONTH(Tabla2[[#This Row],[fecha]])</f>
        <v>1</v>
      </c>
      <c r="E1526" s="8" t="str">
        <f>TEXT(Tabla2[[#This Row],[fecha]], "mmmm")</f>
        <v>enero</v>
      </c>
      <c r="F1526" s="8" t="str">
        <f>"T"&amp;ROUNDUP(Tabla2[[#This Row],[mes]]/3,0)</f>
        <v>T1</v>
      </c>
      <c r="G1526" t="s">
        <v>15</v>
      </c>
      <c r="H1526" t="s">
        <v>16</v>
      </c>
      <c r="I1526" s="8" t="str">
        <f>IF(Tabla2[[#This Row],[precio_unitario]]&lt;=30,"Económico",IF(Tabla2[[#This Row],[precio_unitario]]&lt;=58.49,"Accesible","Caro"))</f>
        <v>Caro</v>
      </c>
      <c r="J1526" t="s">
        <v>17</v>
      </c>
      <c r="K1526">
        <v>1</v>
      </c>
      <c r="L1526" s="19">
        <v>64.069999999999993</v>
      </c>
      <c r="M1526" s="19">
        <v>41.4</v>
      </c>
      <c r="N1526" s="11">
        <v>0.25</v>
      </c>
      <c r="O1526" s="17">
        <f t="shared" si="95"/>
        <v>48.052499999999995</v>
      </c>
      <c r="P1526" s="17">
        <f t="shared" si="92"/>
        <v>41.4</v>
      </c>
      <c r="Q1526" s="17">
        <f t="shared" si="93"/>
        <v>6.6524999999999963</v>
      </c>
      <c r="R1526" s="24">
        <f t="shared" si="94"/>
        <v>0.13844232870298107</v>
      </c>
      <c r="S1526" t="s">
        <v>540</v>
      </c>
      <c r="T1526" t="s">
        <v>60</v>
      </c>
    </row>
    <row r="1527" spans="1:20" hidden="1">
      <c r="A1527" t="s">
        <v>1596</v>
      </c>
      <c r="B1527" s="5">
        <v>45511</v>
      </c>
      <c r="C1527" s="8">
        <f>YEAR(Tabla2[[#This Row],[fecha]])</f>
        <v>2024</v>
      </c>
      <c r="D1527" s="8">
        <f>MONTH(Tabla2[[#This Row],[fecha]])</f>
        <v>8</v>
      </c>
      <c r="E1527" s="8" t="str">
        <f>TEXT(Tabla2[[#This Row],[fecha]], "mmmm")</f>
        <v>agosto</v>
      </c>
      <c r="F1527" s="8" t="str">
        <f>"T"&amp;ROUNDUP(Tabla2[[#This Row],[mes]]/3,0)</f>
        <v>T3</v>
      </c>
      <c r="G1527" t="s">
        <v>40</v>
      </c>
      <c r="H1527" t="s">
        <v>41</v>
      </c>
      <c r="I1527" s="8" t="str">
        <f>IF(Tabla2[[#This Row],[precio_unitario]]&lt;=30,"Económico",IF(Tabla2[[#This Row],[precio_unitario]]&lt;=58.49,"Accesible","Caro"))</f>
        <v>Caro</v>
      </c>
      <c r="J1527" t="s">
        <v>35</v>
      </c>
      <c r="K1527">
        <v>3</v>
      </c>
      <c r="L1527" s="19">
        <v>79.11</v>
      </c>
      <c r="M1527" s="19">
        <v>40.58</v>
      </c>
      <c r="N1527" s="11">
        <v>0</v>
      </c>
      <c r="O1527" s="17">
        <f t="shared" si="95"/>
        <v>237.32999999999998</v>
      </c>
      <c r="P1527" s="17">
        <f t="shared" si="92"/>
        <v>121.74</v>
      </c>
      <c r="Q1527" s="17">
        <f t="shared" si="93"/>
        <v>115.58999999999999</v>
      </c>
      <c r="R1527" s="24">
        <f t="shared" si="94"/>
        <v>0.48704335735052456</v>
      </c>
      <c r="S1527" t="s">
        <v>540</v>
      </c>
      <c r="T1527" t="s">
        <v>60</v>
      </c>
    </row>
    <row r="1528" spans="1:20" hidden="1">
      <c r="A1528" t="s">
        <v>1597</v>
      </c>
      <c r="B1528" s="5">
        <v>45963</v>
      </c>
      <c r="C1528" s="8">
        <f>YEAR(Tabla2[[#This Row],[fecha]])</f>
        <v>2025</v>
      </c>
      <c r="D1528" s="8">
        <f>MONTH(Tabla2[[#This Row],[fecha]])</f>
        <v>11</v>
      </c>
      <c r="E1528" s="8" t="str">
        <f>TEXT(Tabla2[[#This Row],[fecha]], "mmmm")</f>
        <v>noviembre</v>
      </c>
      <c r="F1528" s="8" t="str">
        <f>"T"&amp;ROUNDUP(Tabla2[[#This Row],[mes]]/3,0)</f>
        <v>T4</v>
      </c>
      <c r="G1528" t="s">
        <v>49</v>
      </c>
      <c r="H1528" t="s">
        <v>50</v>
      </c>
      <c r="I1528" s="8" t="str">
        <f>IF(Tabla2[[#This Row],[precio_unitario]]&lt;=30,"Económico",IF(Tabla2[[#This Row],[precio_unitario]]&lt;=58.49,"Accesible","Caro"))</f>
        <v>Caro</v>
      </c>
      <c r="J1528" t="s">
        <v>44</v>
      </c>
      <c r="K1528">
        <v>4</v>
      </c>
      <c r="L1528" s="19">
        <v>63.41</v>
      </c>
      <c r="M1528" s="19">
        <v>34.25</v>
      </c>
      <c r="N1528" s="11">
        <v>0</v>
      </c>
      <c r="O1528" s="17">
        <f t="shared" si="95"/>
        <v>253.64</v>
      </c>
      <c r="P1528" s="17">
        <f t="shared" si="92"/>
        <v>137</v>
      </c>
      <c r="Q1528" s="17">
        <f t="shared" si="93"/>
        <v>116.63999999999999</v>
      </c>
      <c r="R1528" s="24">
        <f t="shared" si="94"/>
        <v>0.4598643747043053</v>
      </c>
      <c r="S1528" t="s">
        <v>540</v>
      </c>
      <c r="T1528" t="s">
        <v>64</v>
      </c>
    </row>
    <row r="1529" spans="1:20" hidden="1">
      <c r="A1529" t="s">
        <v>1598</v>
      </c>
      <c r="B1529" s="5">
        <v>45803</v>
      </c>
      <c r="C1529" s="8">
        <f>YEAR(Tabla2[[#This Row],[fecha]])</f>
        <v>2025</v>
      </c>
      <c r="D1529" s="8">
        <f>MONTH(Tabla2[[#This Row],[fecha]])</f>
        <v>5</v>
      </c>
      <c r="E1529" s="8" t="str">
        <f>TEXT(Tabla2[[#This Row],[fecha]], "mmmm")</f>
        <v>mayo</v>
      </c>
      <c r="F1529" s="8" t="str">
        <f>"T"&amp;ROUNDUP(Tabla2[[#This Row],[mes]]/3,0)</f>
        <v>T2</v>
      </c>
      <c r="G1529" t="s">
        <v>13</v>
      </c>
      <c r="H1529" t="s">
        <v>14</v>
      </c>
      <c r="I1529" s="8" t="str">
        <f>IF(Tabla2[[#This Row],[precio_unitario]]&lt;=30,"Económico",IF(Tabla2[[#This Row],[precio_unitario]]&lt;=58.49,"Accesible","Caro"))</f>
        <v>Caro</v>
      </c>
      <c r="J1529" t="s">
        <v>8</v>
      </c>
      <c r="K1529">
        <v>6</v>
      </c>
      <c r="L1529" s="19">
        <v>169.8</v>
      </c>
      <c r="M1529" s="19">
        <v>112.59</v>
      </c>
      <c r="N1529" s="11">
        <v>0</v>
      </c>
      <c r="O1529" s="17">
        <f t="shared" si="95"/>
        <v>1018.8000000000001</v>
      </c>
      <c r="P1529" s="17">
        <f t="shared" si="92"/>
        <v>675.54</v>
      </c>
      <c r="Q1529" s="17">
        <f t="shared" si="93"/>
        <v>343.2600000000001</v>
      </c>
      <c r="R1529" s="24">
        <f t="shared" si="94"/>
        <v>0.33692579505300363</v>
      </c>
      <c r="S1529" s="10" t="s">
        <v>2377</v>
      </c>
      <c r="T1529" t="s">
        <v>64</v>
      </c>
    </row>
    <row r="1530" spans="1:20" hidden="1">
      <c r="A1530" t="s">
        <v>1599</v>
      </c>
      <c r="B1530" s="5">
        <v>45489</v>
      </c>
      <c r="C1530" s="8">
        <f>YEAR(Tabla2[[#This Row],[fecha]])</f>
        <v>2024</v>
      </c>
      <c r="D1530" s="8">
        <f>MONTH(Tabla2[[#This Row],[fecha]])</f>
        <v>7</v>
      </c>
      <c r="E1530" s="8" t="str">
        <f>TEXT(Tabla2[[#This Row],[fecha]], "mmmm")</f>
        <v>julio</v>
      </c>
      <c r="F1530" s="8" t="str">
        <f>"T"&amp;ROUNDUP(Tabla2[[#This Row],[mes]]/3,0)</f>
        <v>T3</v>
      </c>
      <c r="G1530" t="s">
        <v>6</v>
      </c>
      <c r="H1530" t="s">
        <v>7</v>
      </c>
      <c r="I1530" s="8" t="str">
        <f>IF(Tabla2[[#This Row],[precio_unitario]]&lt;=30,"Económico",IF(Tabla2[[#This Row],[precio_unitario]]&lt;=58.49,"Accesible","Caro"))</f>
        <v>Caro</v>
      </c>
      <c r="J1530" t="s">
        <v>8</v>
      </c>
      <c r="K1530">
        <v>2</v>
      </c>
      <c r="L1530" s="19">
        <v>129.36000000000001</v>
      </c>
      <c r="M1530" s="19">
        <v>86.41</v>
      </c>
      <c r="N1530" s="11">
        <v>0.2</v>
      </c>
      <c r="O1530" s="17">
        <f t="shared" si="95"/>
        <v>206.97600000000003</v>
      </c>
      <c r="P1530" s="17">
        <f t="shared" si="92"/>
        <v>172.82</v>
      </c>
      <c r="Q1530" s="17">
        <f t="shared" si="93"/>
        <v>34.156000000000034</v>
      </c>
      <c r="R1530" s="24">
        <f t="shared" si="94"/>
        <v>0.16502396413110712</v>
      </c>
      <c r="S1530" t="s">
        <v>83</v>
      </c>
      <c r="T1530" t="s">
        <v>64</v>
      </c>
    </row>
    <row r="1531" spans="1:20" hidden="1">
      <c r="A1531" t="s">
        <v>1600</v>
      </c>
      <c r="B1531" s="5">
        <v>45927</v>
      </c>
      <c r="C1531" s="8">
        <f>YEAR(Tabla2[[#This Row],[fecha]])</f>
        <v>2025</v>
      </c>
      <c r="D1531" s="8">
        <f>MONTH(Tabla2[[#This Row],[fecha]])</f>
        <v>9</v>
      </c>
      <c r="E1531" s="8" t="str">
        <f>TEXT(Tabla2[[#This Row],[fecha]], "mmmm")</f>
        <v>septiembre</v>
      </c>
      <c r="F1531" s="8" t="str">
        <f>"T"&amp;ROUNDUP(Tabla2[[#This Row],[mes]]/3,0)</f>
        <v>T3</v>
      </c>
      <c r="G1531" t="s">
        <v>9</v>
      </c>
      <c r="H1531" t="s">
        <v>10</v>
      </c>
      <c r="I1531" s="8" t="str">
        <f>IF(Tabla2[[#This Row],[precio_unitario]]&lt;=30,"Económico",IF(Tabla2[[#This Row],[precio_unitario]]&lt;=58.49,"Accesible","Caro"))</f>
        <v>Caro</v>
      </c>
      <c r="J1531" t="s">
        <v>8</v>
      </c>
      <c r="K1531">
        <v>6</v>
      </c>
      <c r="L1531" s="19">
        <v>74.52</v>
      </c>
      <c r="M1531" s="19">
        <v>45.6</v>
      </c>
      <c r="N1531" s="11">
        <v>0.14000000000000001</v>
      </c>
      <c r="O1531" s="17">
        <f t="shared" si="95"/>
        <v>384.52319999999997</v>
      </c>
      <c r="P1531" s="17">
        <f t="shared" si="92"/>
        <v>273.60000000000002</v>
      </c>
      <c r="Q1531" s="17">
        <f t="shared" si="93"/>
        <v>110.92319999999995</v>
      </c>
      <c r="R1531" s="24">
        <f t="shared" si="94"/>
        <v>0.28846946036025906</v>
      </c>
      <c r="S1531" t="s">
        <v>101</v>
      </c>
      <c r="T1531" t="s">
        <v>60</v>
      </c>
    </row>
    <row r="1532" spans="1:20" hidden="1">
      <c r="A1532" t="s">
        <v>1601</v>
      </c>
      <c r="B1532" s="5">
        <v>45656</v>
      </c>
      <c r="C1532" s="8">
        <f>YEAR(Tabla2[[#This Row],[fecha]])</f>
        <v>2024</v>
      </c>
      <c r="D1532" s="8">
        <f>MONTH(Tabla2[[#This Row],[fecha]])</f>
        <v>12</v>
      </c>
      <c r="E1532" s="8" t="str">
        <f>TEXT(Tabla2[[#This Row],[fecha]], "mmmm")</f>
        <v>diciembre</v>
      </c>
      <c r="F1532" s="8" t="str">
        <f>"T"&amp;ROUNDUP(Tabla2[[#This Row],[mes]]/3,0)</f>
        <v>T4</v>
      </c>
      <c r="G1532" t="s">
        <v>49</v>
      </c>
      <c r="H1532" t="s">
        <v>50</v>
      </c>
      <c r="I1532" s="8" t="str">
        <f>IF(Tabla2[[#This Row],[precio_unitario]]&lt;=30,"Económico",IF(Tabla2[[#This Row],[precio_unitario]]&lt;=58.49,"Accesible","Caro"))</f>
        <v>Caro</v>
      </c>
      <c r="J1532" t="s">
        <v>44</v>
      </c>
      <c r="K1532">
        <v>5</v>
      </c>
      <c r="L1532" s="19">
        <v>60.64</v>
      </c>
      <c r="M1532" s="19">
        <v>35.380000000000003</v>
      </c>
      <c r="N1532" s="11">
        <v>0</v>
      </c>
      <c r="O1532" s="17">
        <f t="shared" si="95"/>
        <v>303.2</v>
      </c>
      <c r="P1532" s="17">
        <f t="shared" si="92"/>
        <v>176.9</v>
      </c>
      <c r="Q1532" s="17">
        <f t="shared" si="93"/>
        <v>126.29999999999998</v>
      </c>
      <c r="R1532" s="24">
        <f t="shared" si="94"/>
        <v>0.41655672823218992</v>
      </c>
      <c r="S1532" t="s">
        <v>67</v>
      </c>
      <c r="T1532" t="s">
        <v>64</v>
      </c>
    </row>
    <row r="1533" spans="1:20" hidden="1">
      <c r="A1533" t="s">
        <v>1602</v>
      </c>
      <c r="B1533" s="5">
        <v>45540</v>
      </c>
      <c r="C1533" s="8">
        <f>YEAR(Tabla2[[#This Row],[fecha]])</f>
        <v>2024</v>
      </c>
      <c r="D1533" s="8">
        <f>MONTH(Tabla2[[#This Row],[fecha]])</f>
        <v>9</v>
      </c>
      <c r="E1533" s="8" t="str">
        <f>TEXT(Tabla2[[#This Row],[fecha]], "mmmm")</f>
        <v>septiembre</v>
      </c>
      <c r="F1533" s="8" t="str">
        <f>"T"&amp;ROUNDUP(Tabla2[[#This Row],[mes]]/3,0)</f>
        <v>T3</v>
      </c>
      <c r="G1533" t="s">
        <v>20</v>
      </c>
      <c r="H1533" t="s">
        <v>21</v>
      </c>
      <c r="I1533" s="8" t="str">
        <f>IF(Tabla2[[#This Row],[precio_unitario]]&lt;=30,"Económico",IF(Tabla2[[#This Row],[precio_unitario]]&lt;=58.49,"Accesible","Caro"))</f>
        <v>Económico</v>
      </c>
      <c r="J1533" t="s">
        <v>17</v>
      </c>
      <c r="K1533">
        <v>4</v>
      </c>
      <c r="L1533" s="19">
        <v>18.8</v>
      </c>
      <c r="M1533" s="19">
        <v>12.5</v>
      </c>
      <c r="N1533" s="11">
        <v>0</v>
      </c>
      <c r="O1533" s="17">
        <f t="shared" si="95"/>
        <v>75.2</v>
      </c>
      <c r="P1533" s="17">
        <f t="shared" si="92"/>
        <v>50</v>
      </c>
      <c r="Q1533" s="17">
        <f t="shared" si="93"/>
        <v>25.200000000000003</v>
      </c>
      <c r="R1533" s="24">
        <f t="shared" si="94"/>
        <v>0.33510638297872342</v>
      </c>
      <c r="S1533" t="s">
        <v>83</v>
      </c>
      <c r="T1533" t="s">
        <v>374</v>
      </c>
    </row>
    <row r="1534" spans="1:20" hidden="1">
      <c r="A1534" t="s">
        <v>1603</v>
      </c>
      <c r="B1534" s="5">
        <v>45471</v>
      </c>
      <c r="C1534" s="8">
        <f>YEAR(Tabla2[[#This Row],[fecha]])</f>
        <v>2024</v>
      </c>
      <c r="D1534" s="8">
        <f>MONTH(Tabla2[[#This Row],[fecha]])</f>
        <v>6</v>
      </c>
      <c r="E1534" s="8" t="str">
        <f>TEXT(Tabla2[[#This Row],[fecha]], "mmmm")</f>
        <v>junio</v>
      </c>
      <c r="F1534" s="8" t="str">
        <f>"T"&amp;ROUNDUP(Tabla2[[#This Row],[mes]]/3,0)</f>
        <v>T2</v>
      </c>
      <c r="G1534" t="s">
        <v>24</v>
      </c>
      <c r="H1534" t="s">
        <v>25</v>
      </c>
      <c r="I1534" s="8" t="str">
        <f>IF(Tabla2[[#This Row],[precio_unitario]]&lt;=30,"Económico",IF(Tabla2[[#This Row],[precio_unitario]]&lt;=58.49,"Accesible","Caro"))</f>
        <v>Económico</v>
      </c>
      <c r="J1534" t="s">
        <v>26</v>
      </c>
      <c r="K1534">
        <v>8</v>
      </c>
      <c r="L1534" s="19">
        <v>7.97</v>
      </c>
      <c r="M1534" s="19">
        <v>4.17</v>
      </c>
      <c r="N1534" s="11">
        <v>0</v>
      </c>
      <c r="O1534" s="17">
        <f t="shared" si="95"/>
        <v>63.76</v>
      </c>
      <c r="P1534" s="17">
        <f t="shared" si="92"/>
        <v>33.36</v>
      </c>
      <c r="Q1534" s="17">
        <f t="shared" si="93"/>
        <v>30.4</v>
      </c>
      <c r="R1534" s="24">
        <f t="shared" si="94"/>
        <v>0.47678795483061481</v>
      </c>
      <c r="S1534" t="s">
        <v>67</v>
      </c>
      <c r="T1534" t="s">
        <v>64</v>
      </c>
    </row>
    <row r="1535" spans="1:20" hidden="1">
      <c r="A1535" t="s">
        <v>1604</v>
      </c>
      <c r="B1535" s="5">
        <v>45915</v>
      </c>
      <c r="C1535" s="8">
        <f>YEAR(Tabla2[[#This Row],[fecha]])</f>
        <v>2025</v>
      </c>
      <c r="D1535" s="8">
        <f>MONTH(Tabla2[[#This Row],[fecha]])</f>
        <v>9</v>
      </c>
      <c r="E1535" s="8" t="str">
        <f>TEXT(Tabla2[[#This Row],[fecha]], "mmmm")</f>
        <v>septiembre</v>
      </c>
      <c r="F1535" s="8" t="str">
        <f>"T"&amp;ROUNDUP(Tabla2[[#This Row],[mes]]/3,0)</f>
        <v>T3</v>
      </c>
      <c r="G1535" t="s">
        <v>38</v>
      </c>
      <c r="H1535" t="s">
        <v>39</v>
      </c>
      <c r="I1535" s="8" t="str">
        <f>IF(Tabla2[[#This Row],[precio_unitario]]&lt;=30,"Económico",IF(Tabla2[[#This Row],[precio_unitario]]&lt;=58.49,"Accesible","Caro"))</f>
        <v>Caro</v>
      </c>
      <c r="J1535" t="s">
        <v>35</v>
      </c>
      <c r="K1535">
        <v>1</v>
      </c>
      <c r="L1535" s="19">
        <v>82.18</v>
      </c>
      <c r="M1535" s="19">
        <v>44.15</v>
      </c>
      <c r="N1535" s="13">
        <v>0</v>
      </c>
      <c r="O1535" s="17">
        <f t="shared" si="95"/>
        <v>82.18</v>
      </c>
      <c r="P1535" s="17">
        <f t="shared" si="92"/>
        <v>44.15</v>
      </c>
      <c r="Q1535" s="17">
        <f t="shared" si="93"/>
        <v>38.030000000000008</v>
      </c>
      <c r="R1535" s="24">
        <f t="shared" si="94"/>
        <v>0.46276466293502072</v>
      </c>
      <c r="S1535" t="s">
        <v>83</v>
      </c>
      <c r="T1535" t="s">
        <v>64</v>
      </c>
    </row>
    <row r="1536" spans="1:20" hidden="1">
      <c r="A1536" t="s">
        <v>1605</v>
      </c>
      <c r="B1536" s="5">
        <v>45310</v>
      </c>
      <c r="C1536" s="8">
        <f>YEAR(Tabla2[[#This Row],[fecha]])</f>
        <v>2024</v>
      </c>
      <c r="D1536" s="8">
        <f>MONTH(Tabla2[[#This Row],[fecha]])</f>
        <v>1</v>
      </c>
      <c r="E1536" s="8" t="str">
        <f>TEXT(Tabla2[[#This Row],[fecha]], "mmmm")</f>
        <v>enero</v>
      </c>
      <c r="F1536" s="8" t="str">
        <f>"T"&amp;ROUNDUP(Tabla2[[#This Row],[mes]]/3,0)</f>
        <v>T1</v>
      </c>
      <c r="G1536" t="s">
        <v>27</v>
      </c>
      <c r="H1536" t="s">
        <v>28</v>
      </c>
      <c r="I1536" s="8" t="str">
        <f>IF(Tabla2[[#This Row],[precio_unitario]]&lt;=30,"Económico",IF(Tabla2[[#This Row],[precio_unitario]]&lt;=58.49,"Accesible","Caro"))</f>
        <v>Económico</v>
      </c>
      <c r="J1536" t="s">
        <v>26</v>
      </c>
      <c r="K1536">
        <v>1</v>
      </c>
      <c r="L1536" s="19">
        <v>16.09</v>
      </c>
      <c r="M1536" s="19">
        <v>11.89</v>
      </c>
      <c r="N1536" s="11">
        <v>0</v>
      </c>
      <c r="O1536" s="17">
        <f t="shared" si="95"/>
        <v>16.09</v>
      </c>
      <c r="P1536" s="17">
        <f t="shared" si="92"/>
        <v>11.89</v>
      </c>
      <c r="Q1536" s="17">
        <f t="shared" si="93"/>
        <v>4.1999999999999993</v>
      </c>
      <c r="R1536" s="24">
        <f t="shared" si="94"/>
        <v>0.26103169670602855</v>
      </c>
      <c r="S1536" t="s">
        <v>83</v>
      </c>
      <c r="T1536" t="s">
        <v>64</v>
      </c>
    </row>
    <row r="1537" spans="1:20">
      <c r="A1537" t="s">
        <v>1606</v>
      </c>
      <c r="B1537" s="5">
        <v>45752</v>
      </c>
      <c r="C1537" s="8">
        <f>YEAR(Tabla2[[#This Row],[fecha]])</f>
        <v>2025</v>
      </c>
      <c r="D1537" s="8">
        <f>MONTH(Tabla2[[#This Row],[fecha]])</f>
        <v>4</v>
      </c>
      <c r="E1537" s="8" t="str">
        <f>TEXT(Tabla2[[#This Row],[fecha]], "mmmm")</f>
        <v>abril</v>
      </c>
      <c r="F1537" s="8" t="str">
        <f>"T"&amp;ROUNDUP(Tabla2[[#This Row],[mes]]/3,0)</f>
        <v>T2</v>
      </c>
      <c r="G1537" t="s">
        <v>11</v>
      </c>
      <c r="H1537" t="s">
        <v>12</v>
      </c>
      <c r="I1537" s="8" t="str">
        <f>IF(Tabla2[[#This Row],[precio_unitario]]&lt;=30,"Económico",IF(Tabla2[[#This Row],[precio_unitario]]&lt;=58.49,"Accesible","Caro"))</f>
        <v>Caro</v>
      </c>
      <c r="J1537" t="s">
        <v>8</v>
      </c>
      <c r="K1537">
        <v>3</v>
      </c>
      <c r="L1537" s="19">
        <v>171.85</v>
      </c>
      <c r="M1537" s="19">
        <v>97.27</v>
      </c>
      <c r="N1537" s="13">
        <v>0</v>
      </c>
      <c r="O1537" s="17">
        <f t="shared" si="95"/>
        <v>515.54999999999995</v>
      </c>
      <c r="P1537" s="17">
        <f t="shared" si="92"/>
        <v>291.81</v>
      </c>
      <c r="Q1537" s="17">
        <f t="shared" si="93"/>
        <v>223.73999999999995</v>
      </c>
      <c r="R1537" s="24">
        <f t="shared" si="94"/>
        <v>0.43398312481815532</v>
      </c>
      <c r="S1537" t="s">
        <v>67</v>
      </c>
      <c r="T1537" t="s">
        <v>60</v>
      </c>
    </row>
    <row r="1538" spans="1:20">
      <c r="A1538" t="s">
        <v>1607</v>
      </c>
      <c r="B1538" s="5">
        <v>45675</v>
      </c>
      <c r="C1538" s="8">
        <f>YEAR(Tabla2[[#This Row],[fecha]])</f>
        <v>2025</v>
      </c>
      <c r="D1538" s="8">
        <f>MONTH(Tabla2[[#This Row],[fecha]])</f>
        <v>1</v>
      </c>
      <c r="E1538" s="8" t="str">
        <f>TEXT(Tabla2[[#This Row],[fecha]], "mmmm")</f>
        <v>enero</v>
      </c>
      <c r="F1538" s="8" t="str">
        <f>"T"&amp;ROUNDUP(Tabla2[[#This Row],[mes]]/3,0)</f>
        <v>T1</v>
      </c>
      <c r="G1538" t="s">
        <v>33</v>
      </c>
      <c r="H1538" t="s">
        <v>34</v>
      </c>
      <c r="I1538" s="8" t="str">
        <f>IF(Tabla2[[#This Row],[precio_unitario]]&lt;=30,"Económico",IF(Tabla2[[#This Row],[precio_unitario]]&lt;=58.49,"Accesible","Caro"))</f>
        <v>Caro</v>
      </c>
      <c r="J1538" t="s">
        <v>35</v>
      </c>
      <c r="K1538">
        <v>3</v>
      </c>
      <c r="L1538" s="19">
        <v>78.22</v>
      </c>
      <c r="M1538" s="21">
        <f>INDEX(Tabla3[coste_objetivo], MATCH(Tabla2[[#This Row],[id_producto]], Tabla3[id_producto],0))</f>
        <v>47.62</v>
      </c>
      <c r="N1538" s="11">
        <v>0</v>
      </c>
      <c r="O1538" s="17">
        <f t="shared" si="95"/>
        <v>234.66</v>
      </c>
      <c r="P1538" s="17">
        <f t="shared" ref="P1538:P1601" si="96">M1538*K1538</f>
        <v>142.85999999999999</v>
      </c>
      <c r="Q1538" s="17">
        <f t="shared" ref="Q1538:Q1601" si="97">O1538-P1538</f>
        <v>91.800000000000011</v>
      </c>
      <c r="R1538" s="24">
        <f t="shared" ref="R1538:R1601" si="98">IFERROR(Q1538/O1538,0)</f>
        <v>0.39120429557657893</v>
      </c>
      <c r="S1538" t="s">
        <v>67</v>
      </c>
      <c r="T1538" t="s">
        <v>64</v>
      </c>
    </row>
    <row r="1539" spans="1:20" hidden="1">
      <c r="A1539" t="s">
        <v>1608</v>
      </c>
      <c r="B1539" s="5">
        <v>45637</v>
      </c>
      <c r="C1539" s="8">
        <f>YEAR(Tabla2[[#This Row],[fecha]])</f>
        <v>2024</v>
      </c>
      <c r="D1539" s="8">
        <f>MONTH(Tabla2[[#This Row],[fecha]])</f>
        <v>12</v>
      </c>
      <c r="E1539" s="8" t="str">
        <f>TEXT(Tabla2[[#This Row],[fecha]], "mmmm")</f>
        <v>diciembre</v>
      </c>
      <c r="F1539" s="8" t="str">
        <f>"T"&amp;ROUNDUP(Tabla2[[#This Row],[mes]]/3,0)</f>
        <v>T4</v>
      </c>
      <c r="G1539" t="s">
        <v>29</v>
      </c>
      <c r="H1539" t="s">
        <v>30</v>
      </c>
      <c r="I1539" s="8" t="str">
        <f>IF(Tabla2[[#This Row],[precio_unitario]]&lt;=30,"Económico",IF(Tabla2[[#This Row],[precio_unitario]]&lt;=58.49,"Accesible","Caro"))</f>
        <v>Económico</v>
      </c>
      <c r="J1539" t="s">
        <v>26</v>
      </c>
      <c r="K1539">
        <v>2</v>
      </c>
      <c r="L1539" s="19">
        <v>22.45</v>
      </c>
      <c r="M1539" s="19">
        <v>11.35</v>
      </c>
      <c r="N1539" s="11">
        <v>0.26</v>
      </c>
      <c r="O1539" s="17">
        <f t="shared" ref="O1539:O1602" si="99">K1539*L1539*(1-N1539)</f>
        <v>33.225999999999999</v>
      </c>
      <c r="P1539" s="17">
        <f t="shared" si="96"/>
        <v>22.7</v>
      </c>
      <c r="Q1539" s="17">
        <f t="shared" si="97"/>
        <v>10.526</v>
      </c>
      <c r="R1539" s="24">
        <f t="shared" si="98"/>
        <v>0.31680009631011857</v>
      </c>
      <c r="S1539" t="s">
        <v>101</v>
      </c>
      <c r="T1539" t="s">
        <v>60</v>
      </c>
    </row>
    <row r="1540" spans="1:20" hidden="1">
      <c r="A1540" t="s">
        <v>1609</v>
      </c>
      <c r="B1540" s="5">
        <v>45860</v>
      </c>
      <c r="C1540" s="8">
        <f>YEAR(Tabla2[[#This Row],[fecha]])</f>
        <v>2025</v>
      </c>
      <c r="D1540" s="8">
        <f>MONTH(Tabla2[[#This Row],[fecha]])</f>
        <v>7</v>
      </c>
      <c r="E1540" s="8" t="str">
        <f>TEXT(Tabla2[[#This Row],[fecha]], "mmmm")</f>
        <v>julio</v>
      </c>
      <c r="F1540" s="8" t="str">
        <f>"T"&amp;ROUNDUP(Tabla2[[#This Row],[mes]]/3,0)</f>
        <v>T3</v>
      </c>
      <c r="G1540" t="s">
        <v>24</v>
      </c>
      <c r="H1540" t="s">
        <v>25</v>
      </c>
      <c r="I1540" s="8" t="str">
        <f>IF(Tabla2[[#This Row],[precio_unitario]]&lt;=30,"Económico",IF(Tabla2[[#This Row],[precio_unitario]]&lt;=58.49,"Accesible","Caro"))</f>
        <v>Económico</v>
      </c>
      <c r="J1540" t="s">
        <v>26</v>
      </c>
      <c r="K1540">
        <v>5</v>
      </c>
      <c r="L1540" s="19">
        <v>8.43</v>
      </c>
      <c r="M1540" s="19">
        <v>4.4400000000000004</v>
      </c>
      <c r="N1540" s="11">
        <v>0</v>
      </c>
      <c r="O1540" s="17">
        <f t="shared" si="99"/>
        <v>42.15</v>
      </c>
      <c r="P1540" s="17">
        <f t="shared" si="96"/>
        <v>22.200000000000003</v>
      </c>
      <c r="Q1540" s="17">
        <f t="shared" si="97"/>
        <v>19.949999999999996</v>
      </c>
      <c r="R1540" s="24">
        <f t="shared" si="98"/>
        <v>0.47330960854092519</v>
      </c>
      <c r="S1540" s="10" t="s">
        <v>2377</v>
      </c>
      <c r="T1540" t="s">
        <v>64</v>
      </c>
    </row>
    <row r="1541" spans="1:20" hidden="1">
      <c r="A1541" t="s">
        <v>1610</v>
      </c>
      <c r="B1541" s="5">
        <v>45659</v>
      </c>
      <c r="C1541" s="8">
        <f>YEAR(Tabla2[[#This Row],[fecha]])</f>
        <v>2025</v>
      </c>
      <c r="D1541" s="8">
        <f>MONTH(Tabla2[[#This Row],[fecha]])</f>
        <v>1</v>
      </c>
      <c r="E1541" s="8" t="str">
        <f>TEXT(Tabla2[[#This Row],[fecha]], "mmmm")</f>
        <v>enero</v>
      </c>
      <c r="F1541" s="8" t="str">
        <f>"T"&amp;ROUNDUP(Tabla2[[#This Row],[mes]]/3,0)</f>
        <v>T1</v>
      </c>
      <c r="G1541" t="s">
        <v>24</v>
      </c>
      <c r="H1541" t="s">
        <v>25</v>
      </c>
      <c r="I1541" s="8" t="str">
        <f>IF(Tabla2[[#This Row],[precio_unitario]]&lt;=30,"Económico",IF(Tabla2[[#This Row],[precio_unitario]]&lt;=58.49,"Accesible","Caro"))</f>
        <v>Económico</v>
      </c>
      <c r="J1541" t="s">
        <v>26</v>
      </c>
      <c r="K1541">
        <v>2</v>
      </c>
      <c r="L1541" s="19">
        <v>7.8</v>
      </c>
      <c r="M1541" s="19">
        <v>4.53</v>
      </c>
      <c r="N1541" s="11">
        <v>0</v>
      </c>
      <c r="O1541" s="17">
        <f t="shared" si="99"/>
        <v>15.6</v>
      </c>
      <c r="P1541" s="17">
        <f t="shared" si="96"/>
        <v>9.06</v>
      </c>
      <c r="Q1541" s="17">
        <f t="shared" si="97"/>
        <v>6.5399999999999991</v>
      </c>
      <c r="R1541" s="24">
        <f t="shared" si="98"/>
        <v>0.41923076923076918</v>
      </c>
      <c r="S1541" t="s">
        <v>63</v>
      </c>
      <c r="T1541" t="s">
        <v>496</v>
      </c>
    </row>
    <row r="1542" spans="1:20" hidden="1">
      <c r="A1542" t="s">
        <v>1611</v>
      </c>
      <c r="B1542" s="5">
        <v>45598</v>
      </c>
      <c r="C1542" s="8">
        <f>YEAR(Tabla2[[#This Row],[fecha]])</f>
        <v>2024</v>
      </c>
      <c r="D1542" s="8">
        <f>MONTH(Tabla2[[#This Row],[fecha]])</f>
        <v>11</v>
      </c>
      <c r="E1542" s="8" t="str">
        <f>TEXT(Tabla2[[#This Row],[fecha]], "mmmm")</f>
        <v>noviembre</v>
      </c>
      <c r="F1542" s="8" t="str">
        <f>"T"&amp;ROUNDUP(Tabla2[[#This Row],[mes]]/3,0)</f>
        <v>T4</v>
      </c>
      <c r="G1542" t="s">
        <v>40</v>
      </c>
      <c r="H1542" t="s">
        <v>41</v>
      </c>
      <c r="I1542" s="8" t="str">
        <f>IF(Tabla2[[#This Row],[precio_unitario]]&lt;=30,"Económico",IF(Tabla2[[#This Row],[precio_unitario]]&lt;=58.49,"Accesible","Caro"))</f>
        <v>Caro</v>
      </c>
      <c r="J1542" t="s">
        <v>35</v>
      </c>
      <c r="K1542">
        <v>1</v>
      </c>
      <c r="L1542" s="19">
        <v>72.650000000000006</v>
      </c>
      <c r="M1542" s="19">
        <v>40.49</v>
      </c>
      <c r="N1542" s="11">
        <v>0</v>
      </c>
      <c r="O1542" s="17">
        <f t="shared" si="99"/>
        <v>72.650000000000006</v>
      </c>
      <c r="P1542" s="17">
        <f t="shared" si="96"/>
        <v>40.49</v>
      </c>
      <c r="Q1542" s="17">
        <f t="shared" si="97"/>
        <v>32.160000000000004</v>
      </c>
      <c r="R1542" s="24">
        <f t="shared" si="98"/>
        <v>0.4426703372333104</v>
      </c>
      <c r="S1542" t="s">
        <v>67</v>
      </c>
      <c r="T1542" t="s">
        <v>64</v>
      </c>
    </row>
    <row r="1543" spans="1:20" hidden="1">
      <c r="A1543" t="s">
        <v>1612</v>
      </c>
      <c r="B1543" s="5">
        <v>45344</v>
      </c>
      <c r="C1543" s="8">
        <f>YEAR(Tabla2[[#This Row],[fecha]])</f>
        <v>2024</v>
      </c>
      <c r="D1543" s="8">
        <f>MONTH(Tabla2[[#This Row],[fecha]])</f>
        <v>2</v>
      </c>
      <c r="E1543" s="8" t="str">
        <f>TEXT(Tabla2[[#This Row],[fecha]], "mmmm")</f>
        <v>febrero</v>
      </c>
      <c r="F1543" s="8" t="str">
        <f>"T"&amp;ROUNDUP(Tabla2[[#This Row],[mes]]/3,0)</f>
        <v>T1</v>
      </c>
      <c r="G1543" t="s">
        <v>15</v>
      </c>
      <c r="H1543" t="s">
        <v>16</v>
      </c>
      <c r="I1543" s="8" t="str">
        <f>IF(Tabla2[[#This Row],[precio_unitario]]&lt;=30,"Económico",IF(Tabla2[[#This Row],[precio_unitario]]&lt;=58.49,"Accesible","Caro"))</f>
        <v>Accesible</v>
      </c>
      <c r="J1543" t="s">
        <v>17</v>
      </c>
      <c r="K1543">
        <v>1</v>
      </c>
      <c r="L1543" s="19">
        <v>58.4</v>
      </c>
      <c r="M1543" s="19">
        <v>41.93</v>
      </c>
      <c r="N1543" s="13">
        <v>0</v>
      </c>
      <c r="O1543" s="17">
        <f t="shared" si="99"/>
        <v>58.4</v>
      </c>
      <c r="P1543" s="17">
        <f t="shared" si="96"/>
        <v>41.93</v>
      </c>
      <c r="Q1543" s="17">
        <f t="shared" si="97"/>
        <v>16.47</v>
      </c>
      <c r="R1543" s="24">
        <f t="shared" si="98"/>
        <v>0.28202054794520548</v>
      </c>
      <c r="S1543" t="s">
        <v>67</v>
      </c>
      <c r="T1543" t="s">
        <v>60</v>
      </c>
    </row>
    <row r="1544" spans="1:20" hidden="1">
      <c r="A1544" t="s">
        <v>1613</v>
      </c>
      <c r="B1544" s="5">
        <v>45605</v>
      </c>
      <c r="C1544" s="8">
        <f>YEAR(Tabla2[[#This Row],[fecha]])</f>
        <v>2024</v>
      </c>
      <c r="D1544" s="8">
        <f>MONTH(Tabla2[[#This Row],[fecha]])</f>
        <v>11</v>
      </c>
      <c r="E1544" s="8" t="str">
        <f>TEXT(Tabla2[[#This Row],[fecha]], "mmmm")</f>
        <v>noviembre</v>
      </c>
      <c r="F1544" s="8" t="str">
        <f>"T"&amp;ROUNDUP(Tabla2[[#This Row],[mes]]/3,0)</f>
        <v>T4</v>
      </c>
      <c r="G1544" t="s">
        <v>49</v>
      </c>
      <c r="H1544" t="s">
        <v>50</v>
      </c>
      <c r="I1544" s="8" t="str">
        <f>IF(Tabla2[[#This Row],[precio_unitario]]&lt;=30,"Económico",IF(Tabla2[[#This Row],[precio_unitario]]&lt;=58.49,"Accesible","Caro"))</f>
        <v>Accesible</v>
      </c>
      <c r="J1544" t="s">
        <v>44</v>
      </c>
      <c r="K1544">
        <v>1</v>
      </c>
      <c r="L1544" s="19">
        <v>56.87</v>
      </c>
      <c r="M1544" s="19">
        <v>34.75</v>
      </c>
      <c r="N1544" s="11">
        <v>0</v>
      </c>
      <c r="O1544" s="17">
        <f t="shared" si="99"/>
        <v>56.87</v>
      </c>
      <c r="P1544" s="17">
        <f t="shared" si="96"/>
        <v>34.75</v>
      </c>
      <c r="Q1544" s="17">
        <f t="shared" si="97"/>
        <v>22.119999999999997</v>
      </c>
      <c r="R1544" s="24">
        <f t="shared" si="98"/>
        <v>0.38895727096887633</v>
      </c>
      <c r="S1544" t="s">
        <v>540</v>
      </c>
      <c r="T1544" t="s">
        <v>64</v>
      </c>
    </row>
    <row r="1545" spans="1:20">
      <c r="A1545" t="s">
        <v>1614</v>
      </c>
      <c r="B1545" s="5">
        <v>45718</v>
      </c>
      <c r="C1545" s="8">
        <f>YEAR(Tabla2[[#This Row],[fecha]])</f>
        <v>2025</v>
      </c>
      <c r="D1545" s="8">
        <f>MONTH(Tabla2[[#This Row],[fecha]])</f>
        <v>3</v>
      </c>
      <c r="E1545" s="8" t="str">
        <f>TEXT(Tabla2[[#This Row],[fecha]], "mmmm")</f>
        <v>marzo</v>
      </c>
      <c r="F1545" s="8" t="str">
        <f>"T"&amp;ROUNDUP(Tabla2[[#This Row],[mes]]/3,0)</f>
        <v>T1</v>
      </c>
      <c r="G1545" t="s">
        <v>36</v>
      </c>
      <c r="H1545" t="s">
        <v>37</v>
      </c>
      <c r="I1545" s="8" t="str">
        <f>IF(Tabla2[[#This Row],[precio_unitario]]&lt;=30,"Económico",IF(Tabla2[[#This Row],[precio_unitario]]&lt;=58.49,"Accesible","Caro"))</f>
        <v>Económico</v>
      </c>
      <c r="J1545" t="s">
        <v>35</v>
      </c>
      <c r="K1545">
        <v>6</v>
      </c>
      <c r="L1545" s="19">
        <v>14.75</v>
      </c>
      <c r="M1545" s="19">
        <v>9.5299999999999994</v>
      </c>
      <c r="N1545" s="11">
        <v>0</v>
      </c>
      <c r="O1545" s="17">
        <f t="shared" si="99"/>
        <v>88.5</v>
      </c>
      <c r="P1545" s="17">
        <f t="shared" si="96"/>
        <v>57.179999999999993</v>
      </c>
      <c r="Q1545" s="17">
        <f t="shared" si="97"/>
        <v>31.320000000000007</v>
      </c>
      <c r="R1545" s="24">
        <f t="shared" si="98"/>
        <v>0.35389830508474585</v>
      </c>
      <c r="S1545" t="s">
        <v>67</v>
      </c>
      <c r="T1545" t="s">
        <v>60</v>
      </c>
    </row>
    <row r="1546" spans="1:20">
      <c r="A1546" t="s">
        <v>1615</v>
      </c>
      <c r="B1546" s="5">
        <v>45731</v>
      </c>
      <c r="C1546" s="8">
        <f>YEAR(Tabla2[[#This Row],[fecha]])</f>
        <v>2025</v>
      </c>
      <c r="D1546" s="8">
        <f>MONTH(Tabla2[[#This Row],[fecha]])</f>
        <v>3</v>
      </c>
      <c r="E1546" s="8" t="str">
        <f>TEXT(Tabla2[[#This Row],[fecha]], "mmmm")</f>
        <v>marzo</v>
      </c>
      <c r="F1546" s="8" t="str">
        <f>"T"&amp;ROUNDUP(Tabla2[[#This Row],[mes]]/3,0)</f>
        <v>T1</v>
      </c>
      <c r="G1546" t="s">
        <v>31</v>
      </c>
      <c r="H1546" t="s">
        <v>32</v>
      </c>
      <c r="I1546" s="8" t="str">
        <f>IF(Tabla2[[#This Row],[precio_unitario]]&lt;=30,"Económico",IF(Tabla2[[#This Row],[precio_unitario]]&lt;=58.49,"Accesible","Caro"))</f>
        <v>Económico</v>
      </c>
      <c r="J1546" t="s">
        <v>26</v>
      </c>
      <c r="K1546">
        <v>1</v>
      </c>
      <c r="L1546" s="19">
        <v>8.81</v>
      </c>
      <c r="M1546" s="19">
        <v>5.83</v>
      </c>
      <c r="N1546" s="13">
        <v>0</v>
      </c>
      <c r="O1546" s="17">
        <f t="shared" si="99"/>
        <v>8.81</v>
      </c>
      <c r="P1546" s="17">
        <f t="shared" si="96"/>
        <v>5.83</v>
      </c>
      <c r="Q1546" s="17">
        <f t="shared" si="97"/>
        <v>2.9800000000000004</v>
      </c>
      <c r="R1546" s="24">
        <f t="shared" si="98"/>
        <v>0.33825198637911469</v>
      </c>
      <c r="S1546" t="s">
        <v>67</v>
      </c>
      <c r="T1546" t="s">
        <v>60</v>
      </c>
    </row>
    <row r="1547" spans="1:20" hidden="1">
      <c r="A1547" t="s">
        <v>1616</v>
      </c>
      <c r="B1547" s="5">
        <v>45876</v>
      </c>
      <c r="C1547" s="8">
        <f>YEAR(Tabla2[[#This Row],[fecha]])</f>
        <v>2025</v>
      </c>
      <c r="D1547" s="8">
        <f>MONTH(Tabla2[[#This Row],[fecha]])</f>
        <v>8</v>
      </c>
      <c r="E1547" s="8" t="str">
        <f>TEXT(Tabla2[[#This Row],[fecha]], "mmmm")</f>
        <v>agosto</v>
      </c>
      <c r="F1547" s="8" t="str">
        <f>"T"&amp;ROUNDUP(Tabla2[[#This Row],[mes]]/3,0)</f>
        <v>T3</v>
      </c>
      <c r="G1547" t="s">
        <v>20</v>
      </c>
      <c r="H1547" t="s">
        <v>21</v>
      </c>
      <c r="I1547" s="8" t="str">
        <f>IF(Tabla2[[#This Row],[precio_unitario]]&lt;=30,"Económico",IF(Tabla2[[#This Row],[precio_unitario]]&lt;=58.49,"Accesible","Caro"))</f>
        <v>Económico</v>
      </c>
      <c r="J1547" t="s">
        <v>17</v>
      </c>
      <c r="K1547">
        <v>2</v>
      </c>
      <c r="L1547" s="19">
        <v>20.97</v>
      </c>
      <c r="M1547" s="19">
        <v>13.29</v>
      </c>
      <c r="N1547" s="11">
        <v>0</v>
      </c>
      <c r="O1547" s="17">
        <f t="shared" si="99"/>
        <v>41.94</v>
      </c>
      <c r="P1547" s="17">
        <f t="shared" si="96"/>
        <v>26.58</v>
      </c>
      <c r="Q1547" s="17">
        <f t="shared" si="97"/>
        <v>15.36</v>
      </c>
      <c r="R1547" s="24">
        <f t="shared" si="98"/>
        <v>0.36623748211731044</v>
      </c>
      <c r="S1547" t="s">
        <v>63</v>
      </c>
      <c r="T1547" t="s">
        <v>64</v>
      </c>
    </row>
    <row r="1548" spans="1:20" hidden="1">
      <c r="A1548" t="s">
        <v>1617</v>
      </c>
      <c r="B1548" s="5">
        <v>45523</v>
      </c>
      <c r="C1548" s="8">
        <f>YEAR(Tabla2[[#This Row],[fecha]])</f>
        <v>2024</v>
      </c>
      <c r="D1548" s="8">
        <f>MONTH(Tabla2[[#This Row],[fecha]])</f>
        <v>8</v>
      </c>
      <c r="E1548" s="8" t="str">
        <f>TEXT(Tabla2[[#This Row],[fecha]], "mmmm")</f>
        <v>agosto</v>
      </c>
      <c r="F1548" s="8" t="str">
        <f>"T"&amp;ROUNDUP(Tabla2[[#This Row],[mes]]/3,0)</f>
        <v>T3</v>
      </c>
      <c r="G1548" t="s">
        <v>36</v>
      </c>
      <c r="H1548" t="s">
        <v>37</v>
      </c>
      <c r="I1548" s="8" t="str">
        <f>IF(Tabla2[[#This Row],[precio_unitario]]&lt;=30,"Económico",IF(Tabla2[[#This Row],[precio_unitario]]&lt;=58.49,"Accesible","Caro"))</f>
        <v>Económico</v>
      </c>
      <c r="J1548" t="s">
        <v>35</v>
      </c>
      <c r="K1548">
        <v>11</v>
      </c>
      <c r="L1548" s="19">
        <v>15.07</v>
      </c>
      <c r="M1548" s="19">
        <v>9.93</v>
      </c>
      <c r="N1548" s="11">
        <v>0</v>
      </c>
      <c r="O1548" s="17">
        <f t="shared" si="99"/>
        <v>165.77</v>
      </c>
      <c r="P1548" s="17">
        <f t="shared" si="96"/>
        <v>109.22999999999999</v>
      </c>
      <c r="Q1548" s="17">
        <f t="shared" si="97"/>
        <v>56.54000000000002</v>
      </c>
      <c r="R1548" s="24">
        <f t="shared" si="98"/>
        <v>0.34107498341074993</v>
      </c>
      <c r="S1548" t="s">
        <v>67</v>
      </c>
      <c r="T1548" t="s">
        <v>60</v>
      </c>
    </row>
    <row r="1549" spans="1:20" hidden="1">
      <c r="A1549" t="s">
        <v>1618</v>
      </c>
      <c r="B1549" s="5">
        <v>45457</v>
      </c>
      <c r="C1549" s="8">
        <f>YEAR(Tabla2[[#This Row],[fecha]])</f>
        <v>2024</v>
      </c>
      <c r="D1549" s="8">
        <f>MONTH(Tabla2[[#This Row],[fecha]])</f>
        <v>6</v>
      </c>
      <c r="E1549" s="8" t="str">
        <f>TEXT(Tabla2[[#This Row],[fecha]], "mmmm")</f>
        <v>junio</v>
      </c>
      <c r="F1549" s="8" t="str">
        <f>"T"&amp;ROUNDUP(Tabla2[[#This Row],[mes]]/3,0)</f>
        <v>T2</v>
      </c>
      <c r="G1549" t="s">
        <v>22</v>
      </c>
      <c r="H1549" t="s">
        <v>23</v>
      </c>
      <c r="I1549" s="8" t="str">
        <f>IF(Tabla2[[#This Row],[precio_unitario]]&lt;=30,"Económico",IF(Tabla2[[#This Row],[precio_unitario]]&lt;=58.49,"Accesible","Caro"))</f>
        <v>Caro</v>
      </c>
      <c r="J1549" t="s">
        <v>17</v>
      </c>
      <c r="K1549">
        <v>1</v>
      </c>
      <c r="L1549" s="19">
        <v>107.72</v>
      </c>
      <c r="M1549" s="19">
        <v>59.05</v>
      </c>
      <c r="N1549" s="11">
        <v>0</v>
      </c>
      <c r="O1549" s="17">
        <f t="shared" si="99"/>
        <v>107.72</v>
      </c>
      <c r="P1549" s="17">
        <f t="shared" si="96"/>
        <v>59.05</v>
      </c>
      <c r="Q1549" s="17">
        <f t="shared" si="97"/>
        <v>48.67</v>
      </c>
      <c r="R1549" s="24">
        <f t="shared" si="98"/>
        <v>0.45181953212031195</v>
      </c>
      <c r="S1549" t="s">
        <v>63</v>
      </c>
      <c r="T1549" t="s">
        <v>60</v>
      </c>
    </row>
    <row r="1550" spans="1:20">
      <c r="A1550" t="s">
        <v>1619</v>
      </c>
      <c r="B1550" s="5">
        <v>45819</v>
      </c>
      <c r="C1550" s="8">
        <f>YEAR(Tabla2[[#This Row],[fecha]])</f>
        <v>2025</v>
      </c>
      <c r="D1550" s="8">
        <f>MONTH(Tabla2[[#This Row],[fecha]])</f>
        <v>6</v>
      </c>
      <c r="E1550" s="8" t="str">
        <f>TEXT(Tabla2[[#This Row],[fecha]], "mmmm")</f>
        <v>junio</v>
      </c>
      <c r="F1550" s="8" t="str">
        <f>"T"&amp;ROUNDUP(Tabla2[[#This Row],[mes]]/3,0)</f>
        <v>T2</v>
      </c>
      <c r="G1550" t="s">
        <v>13</v>
      </c>
      <c r="H1550" t="s">
        <v>14</v>
      </c>
      <c r="I1550" s="8" t="str">
        <f>IF(Tabla2[[#This Row],[precio_unitario]]&lt;=30,"Económico",IF(Tabla2[[#This Row],[precio_unitario]]&lt;=58.49,"Accesible","Caro"))</f>
        <v>Caro</v>
      </c>
      <c r="J1550" t="s">
        <v>8</v>
      </c>
      <c r="K1550">
        <v>2</v>
      </c>
      <c r="L1550" s="19">
        <v>162.18</v>
      </c>
      <c r="M1550" s="19">
        <v>105.27</v>
      </c>
      <c r="N1550" s="11">
        <v>0</v>
      </c>
      <c r="O1550" s="17">
        <f t="shared" si="99"/>
        <v>324.36</v>
      </c>
      <c r="P1550" s="17">
        <f t="shared" si="96"/>
        <v>210.54</v>
      </c>
      <c r="Q1550" s="17">
        <f t="shared" si="97"/>
        <v>113.82000000000002</v>
      </c>
      <c r="R1550" s="24">
        <f t="shared" si="98"/>
        <v>0.35090640029596748</v>
      </c>
      <c r="S1550" t="s">
        <v>67</v>
      </c>
      <c r="T1550" t="s">
        <v>64</v>
      </c>
    </row>
    <row r="1551" spans="1:20" hidden="1">
      <c r="A1551" t="s">
        <v>1620</v>
      </c>
      <c r="B1551" s="5">
        <v>45508</v>
      </c>
      <c r="C1551" s="8">
        <f>YEAR(Tabla2[[#This Row],[fecha]])</f>
        <v>2024</v>
      </c>
      <c r="D1551" s="8">
        <f>MONTH(Tabla2[[#This Row],[fecha]])</f>
        <v>8</v>
      </c>
      <c r="E1551" s="8" t="str">
        <f>TEXT(Tabla2[[#This Row],[fecha]], "mmmm")</f>
        <v>agosto</v>
      </c>
      <c r="F1551" s="8" t="str">
        <f>"T"&amp;ROUNDUP(Tabla2[[#This Row],[mes]]/3,0)</f>
        <v>T3</v>
      </c>
      <c r="G1551" t="s">
        <v>18</v>
      </c>
      <c r="H1551" t="s">
        <v>19</v>
      </c>
      <c r="I1551" s="8" t="str">
        <f>IF(Tabla2[[#This Row],[precio_unitario]]&lt;=30,"Económico",IF(Tabla2[[#This Row],[precio_unitario]]&lt;=58.49,"Accesible","Caro"))</f>
        <v>Accesible</v>
      </c>
      <c r="J1551" t="s">
        <v>17</v>
      </c>
      <c r="K1551">
        <v>4</v>
      </c>
      <c r="L1551" s="19">
        <v>43.78</v>
      </c>
      <c r="M1551" s="19">
        <v>26.72</v>
      </c>
      <c r="N1551" s="11">
        <v>0.08</v>
      </c>
      <c r="O1551" s="17">
        <f t="shared" si="99"/>
        <v>161.1104</v>
      </c>
      <c r="P1551" s="17">
        <f t="shared" si="96"/>
        <v>106.88</v>
      </c>
      <c r="Q1551" s="17">
        <f t="shared" si="97"/>
        <v>54.230400000000003</v>
      </c>
      <c r="R1551" s="24">
        <f t="shared" si="98"/>
        <v>0.33660396845889529</v>
      </c>
      <c r="S1551" t="s">
        <v>67</v>
      </c>
      <c r="T1551" t="s">
        <v>64</v>
      </c>
    </row>
    <row r="1552" spans="1:20" hidden="1">
      <c r="A1552" t="s">
        <v>1621</v>
      </c>
      <c r="B1552" s="5">
        <v>45458</v>
      </c>
      <c r="C1552" s="8">
        <f>YEAR(Tabla2[[#This Row],[fecha]])</f>
        <v>2024</v>
      </c>
      <c r="D1552" s="8">
        <f>MONTH(Tabla2[[#This Row],[fecha]])</f>
        <v>6</v>
      </c>
      <c r="E1552" s="8" t="str">
        <f>TEXT(Tabla2[[#This Row],[fecha]], "mmmm")</f>
        <v>junio</v>
      </c>
      <c r="F1552" s="8" t="str">
        <f>"T"&amp;ROUNDUP(Tabla2[[#This Row],[mes]]/3,0)</f>
        <v>T2</v>
      </c>
      <c r="G1552" t="s">
        <v>27</v>
      </c>
      <c r="H1552" t="s">
        <v>28</v>
      </c>
      <c r="I1552" s="8" t="str">
        <f>IF(Tabla2[[#This Row],[precio_unitario]]&lt;=30,"Económico",IF(Tabla2[[#This Row],[precio_unitario]]&lt;=58.49,"Accesible","Caro"))</f>
        <v>Económico</v>
      </c>
      <c r="J1552" t="s">
        <v>26</v>
      </c>
      <c r="K1552">
        <v>5</v>
      </c>
      <c r="L1552" s="19">
        <v>15.41</v>
      </c>
      <c r="M1552" s="19">
        <v>11.36</v>
      </c>
      <c r="N1552" s="11">
        <v>0</v>
      </c>
      <c r="O1552" s="17">
        <f t="shared" si="99"/>
        <v>77.05</v>
      </c>
      <c r="P1552" s="17">
        <f t="shared" si="96"/>
        <v>56.8</v>
      </c>
      <c r="Q1552" s="17">
        <f t="shared" si="97"/>
        <v>20.25</v>
      </c>
      <c r="R1552" s="24">
        <f t="shared" si="98"/>
        <v>0.2628163530175211</v>
      </c>
      <c r="S1552" t="s">
        <v>96</v>
      </c>
      <c r="T1552" t="s">
        <v>64</v>
      </c>
    </row>
    <row r="1553" spans="1:20" hidden="1">
      <c r="A1553" t="s">
        <v>1622</v>
      </c>
      <c r="B1553" s="5">
        <v>45320</v>
      </c>
      <c r="C1553" s="8">
        <f>YEAR(Tabla2[[#This Row],[fecha]])</f>
        <v>2024</v>
      </c>
      <c r="D1553" s="8">
        <f>MONTH(Tabla2[[#This Row],[fecha]])</f>
        <v>1</v>
      </c>
      <c r="E1553" s="8" t="str">
        <f>TEXT(Tabla2[[#This Row],[fecha]], "mmmm")</f>
        <v>enero</v>
      </c>
      <c r="F1553" s="8" t="str">
        <f>"T"&amp;ROUNDUP(Tabla2[[#This Row],[mes]]/3,0)</f>
        <v>T1</v>
      </c>
      <c r="G1553" t="s">
        <v>13</v>
      </c>
      <c r="H1553" t="s">
        <v>14</v>
      </c>
      <c r="I1553" s="8" t="str">
        <f>IF(Tabla2[[#This Row],[precio_unitario]]&lt;=30,"Económico",IF(Tabla2[[#This Row],[precio_unitario]]&lt;=58.49,"Accesible","Caro"))</f>
        <v>Caro</v>
      </c>
      <c r="J1553" t="s">
        <v>8</v>
      </c>
      <c r="K1553">
        <v>3</v>
      </c>
      <c r="L1553" s="19">
        <v>157.52000000000001</v>
      </c>
      <c r="M1553" s="19">
        <v>107.28</v>
      </c>
      <c r="N1553" s="11">
        <v>0.11</v>
      </c>
      <c r="O1553" s="17">
        <f t="shared" si="99"/>
        <v>420.57840000000004</v>
      </c>
      <c r="P1553" s="17">
        <f t="shared" si="96"/>
        <v>321.84000000000003</v>
      </c>
      <c r="Q1553" s="17">
        <f t="shared" si="97"/>
        <v>98.738400000000013</v>
      </c>
      <c r="R1553" s="24">
        <f t="shared" si="98"/>
        <v>0.23476811933280453</v>
      </c>
      <c r="S1553" t="s">
        <v>540</v>
      </c>
      <c r="T1553" t="s">
        <v>64</v>
      </c>
    </row>
    <row r="1554" spans="1:20">
      <c r="A1554" t="s">
        <v>1623</v>
      </c>
      <c r="B1554" s="5">
        <v>45749</v>
      </c>
      <c r="C1554" s="8">
        <f>YEAR(Tabla2[[#This Row],[fecha]])</f>
        <v>2025</v>
      </c>
      <c r="D1554" s="8">
        <f>MONTH(Tabla2[[#This Row],[fecha]])</f>
        <v>4</v>
      </c>
      <c r="E1554" s="8" t="str">
        <f>TEXT(Tabla2[[#This Row],[fecha]], "mmmm")</f>
        <v>abril</v>
      </c>
      <c r="F1554" s="8" t="str">
        <f>"T"&amp;ROUNDUP(Tabla2[[#This Row],[mes]]/3,0)</f>
        <v>T2</v>
      </c>
      <c r="G1554" t="s">
        <v>49</v>
      </c>
      <c r="H1554" t="s">
        <v>50</v>
      </c>
      <c r="I1554" s="8" t="str">
        <f>IF(Tabla2[[#This Row],[precio_unitario]]&lt;=30,"Económico",IF(Tabla2[[#This Row],[precio_unitario]]&lt;=58.49,"Accesible","Caro"))</f>
        <v>Caro</v>
      </c>
      <c r="J1554" t="s">
        <v>44</v>
      </c>
      <c r="K1554">
        <v>3</v>
      </c>
      <c r="L1554" s="19">
        <v>61.41</v>
      </c>
      <c r="M1554" s="19">
        <v>34.03</v>
      </c>
      <c r="N1554" s="11">
        <v>0</v>
      </c>
      <c r="O1554" s="17">
        <f t="shared" si="99"/>
        <v>184.23</v>
      </c>
      <c r="P1554" s="17">
        <f t="shared" si="96"/>
        <v>102.09</v>
      </c>
      <c r="Q1554" s="17">
        <f t="shared" si="97"/>
        <v>82.139999999999986</v>
      </c>
      <c r="R1554" s="24">
        <f t="shared" si="98"/>
        <v>0.44585572382348149</v>
      </c>
      <c r="S1554" t="s">
        <v>67</v>
      </c>
      <c r="T1554" t="s">
        <v>64</v>
      </c>
    </row>
    <row r="1555" spans="1:20" hidden="1">
      <c r="A1555" t="s">
        <v>1624</v>
      </c>
      <c r="B1555" s="5">
        <v>46007</v>
      </c>
      <c r="C1555" s="8">
        <f>YEAR(Tabla2[[#This Row],[fecha]])</f>
        <v>2025</v>
      </c>
      <c r="D1555" s="8">
        <f>MONTH(Tabla2[[#This Row],[fecha]])</f>
        <v>12</v>
      </c>
      <c r="E1555" s="8" t="str">
        <f>TEXT(Tabla2[[#This Row],[fecha]], "mmmm")</f>
        <v>diciembre</v>
      </c>
      <c r="F1555" s="8" t="str">
        <f>"T"&amp;ROUNDUP(Tabla2[[#This Row],[mes]]/3,0)</f>
        <v>T4</v>
      </c>
      <c r="G1555" t="s">
        <v>49</v>
      </c>
      <c r="H1555" t="s">
        <v>50</v>
      </c>
      <c r="I1555" s="8" t="str">
        <f>IF(Tabla2[[#This Row],[precio_unitario]]&lt;=30,"Económico",IF(Tabla2[[#This Row],[precio_unitario]]&lt;=58.49,"Accesible","Caro"))</f>
        <v>Caro</v>
      </c>
      <c r="J1555" t="s">
        <v>44</v>
      </c>
      <c r="K1555">
        <v>2</v>
      </c>
      <c r="L1555" s="19">
        <v>58.9</v>
      </c>
      <c r="M1555" s="19">
        <v>33.020000000000003</v>
      </c>
      <c r="N1555" s="11">
        <v>0</v>
      </c>
      <c r="O1555" s="17">
        <f t="shared" si="99"/>
        <v>117.8</v>
      </c>
      <c r="P1555" s="17">
        <f t="shared" si="96"/>
        <v>66.040000000000006</v>
      </c>
      <c r="Q1555" s="17">
        <f t="shared" si="97"/>
        <v>51.759999999999991</v>
      </c>
      <c r="R1555" s="24">
        <f t="shared" si="98"/>
        <v>0.43938879456706276</v>
      </c>
      <c r="S1555" t="s">
        <v>83</v>
      </c>
      <c r="T1555" t="s">
        <v>60</v>
      </c>
    </row>
    <row r="1556" spans="1:20" hidden="1">
      <c r="A1556" t="s">
        <v>1625</v>
      </c>
      <c r="B1556" s="5">
        <v>45436</v>
      </c>
      <c r="C1556" s="8">
        <f>YEAR(Tabla2[[#This Row],[fecha]])</f>
        <v>2024</v>
      </c>
      <c r="D1556" s="8">
        <f>MONTH(Tabla2[[#This Row],[fecha]])</f>
        <v>5</v>
      </c>
      <c r="E1556" s="8" t="str">
        <f>TEXT(Tabla2[[#This Row],[fecha]], "mmmm")</f>
        <v>mayo</v>
      </c>
      <c r="F1556" s="8" t="str">
        <f>"T"&amp;ROUNDUP(Tabla2[[#This Row],[mes]]/3,0)</f>
        <v>T2</v>
      </c>
      <c r="G1556" t="s">
        <v>31</v>
      </c>
      <c r="H1556" t="s">
        <v>32</v>
      </c>
      <c r="I1556" s="8" t="str">
        <f>IF(Tabla2[[#This Row],[precio_unitario]]&lt;=30,"Económico",IF(Tabla2[[#This Row],[precio_unitario]]&lt;=58.49,"Accesible","Caro"))</f>
        <v>Económico</v>
      </c>
      <c r="J1556" t="s">
        <v>26</v>
      </c>
      <c r="K1556">
        <v>1</v>
      </c>
      <c r="L1556" s="19">
        <v>8.5399999999999991</v>
      </c>
      <c r="M1556" s="19">
        <v>6.01</v>
      </c>
      <c r="N1556" s="11">
        <v>0</v>
      </c>
      <c r="O1556" s="17">
        <f t="shared" si="99"/>
        <v>8.5399999999999991</v>
      </c>
      <c r="P1556" s="17">
        <f t="shared" si="96"/>
        <v>6.01</v>
      </c>
      <c r="Q1556" s="17">
        <f t="shared" si="97"/>
        <v>2.5299999999999994</v>
      </c>
      <c r="R1556" s="24">
        <f t="shared" si="98"/>
        <v>0.29625292740046832</v>
      </c>
      <c r="S1556" t="s">
        <v>67</v>
      </c>
      <c r="T1556" t="s">
        <v>64</v>
      </c>
    </row>
    <row r="1557" spans="1:20" hidden="1">
      <c r="A1557" t="s">
        <v>1626</v>
      </c>
      <c r="B1557" s="5">
        <v>45696</v>
      </c>
      <c r="C1557" s="8">
        <f>YEAR(Tabla2[[#This Row],[fecha]])</f>
        <v>2025</v>
      </c>
      <c r="D1557" s="8">
        <f>MONTH(Tabla2[[#This Row],[fecha]])</f>
        <v>2</v>
      </c>
      <c r="E1557" s="8" t="str">
        <f>TEXT(Tabla2[[#This Row],[fecha]], "mmmm")</f>
        <v>febrero</v>
      </c>
      <c r="F1557" s="8" t="str">
        <f>"T"&amp;ROUNDUP(Tabla2[[#This Row],[mes]]/3,0)</f>
        <v>T1</v>
      </c>
      <c r="G1557" t="s">
        <v>24</v>
      </c>
      <c r="H1557" t="s">
        <v>25</v>
      </c>
      <c r="I1557" s="8" t="str">
        <f>IF(Tabla2[[#This Row],[precio_unitario]]&lt;=30,"Económico",IF(Tabla2[[#This Row],[precio_unitario]]&lt;=58.49,"Accesible","Caro"))</f>
        <v>Económico</v>
      </c>
      <c r="J1557" t="s">
        <v>26</v>
      </c>
      <c r="K1557">
        <v>6</v>
      </c>
      <c r="L1557" s="19">
        <v>7.95</v>
      </c>
      <c r="M1557" s="21">
        <f>INDEX(Tabla3[coste_objetivo], MATCH(Tabla2[[#This Row],[id_producto]], Tabla3[id_producto],0))</f>
        <v>4.32</v>
      </c>
      <c r="N1557" s="11">
        <v>0</v>
      </c>
      <c r="O1557" s="17">
        <f t="shared" si="99"/>
        <v>47.7</v>
      </c>
      <c r="P1557" s="17">
        <f t="shared" si="96"/>
        <v>25.92</v>
      </c>
      <c r="Q1557" s="17">
        <f t="shared" si="97"/>
        <v>21.78</v>
      </c>
      <c r="R1557" s="24">
        <f t="shared" si="98"/>
        <v>0.45660377358490567</v>
      </c>
      <c r="S1557" t="s">
        <v>540</v>
      </c>
      <c r="T1557" t="s">
        <v>64</v>
      </c>
    </row>
    <row r="1558" spans="1:20" hidden="1">
      <c r="A1558" t="s">
        <v>1627</v>
      </c>
      <c r="B1558" s="5">
        <v>45454</v>
      </c>
      <c r="C1558" s="8">
        <f>YEAR(Tabla2[[#This Row],[fecha]])</f>
        <v>2024</v>
      </c>
      <c r="D1558" s="8">
        <f>MONTH(Tabla2[[#This Row],[fecha]])</f>
        <v>6</v>
      </c>
      <c r="E1558" s="8" t="str">
        <f>TEXT(Tabla2[[#This Row],[fecha]], "mmmm")</f>
        <v>junio</v>
      </c>
      <c r="F1558" s="8" t="str">
        <f>"T"&amp;ROUNDUP(Tabla2[[#This Row],[mes]]/3,0)</f>
        <v>T2</v>
      </c>
      <c r="G1558" t="s">
        <v>38</v>
      </c>
      <c r="H1558" t="s">
        <v>39</v>
      </c>
      <c r="I1558" s="8" t="str">
        <f>IF(Tabla2[[#This Row],[precio_unitario]]&lt;=30,"Económico",IF(Tabla2[[#This Row],[precio_unitario]]&lt;=58.49,"Accesible","Caro"))</f>
        <v>Caro</v>
      </c>
      <c r="J1558" t="s">
        <v>35</v>
      </c>
      <c r="K1558">
        <v>1</v>
      </c>
      <c r="L1558" s="19">
        <v>79.599999999999994</v>
      </c>
      <c r="M1558" s="19">
        <v>43.04</v>
      </c>
      <c r="N1558" s="11">
        <v>0.26</v>
      </c>
      <c r="O1558" s="17">
        <f t="shared" si="99"/>
        <v>58.903999999999996</v>
      </c>
      <c r="P1558" s="17">
        <f t="shared" si="96"/>
        <v>43.04</v>
      </c>
      <c r="Q1558" s="17">
        <f t="shared" si="97"/>
        <v>15.863999999999997</v>
      </c>
      <c r="R1558" s="24">
        <f t="shared" si="98"/>
        <v>0.2693195708271085</v>
      </c>
      <c r="S1558" t="s">
        <v>67</v>
      </c>
      <c r="T1558" t="s">
        <v>64</v>
      </c>
    </row>
    <row r="1559" spans="1:20" hidden="1">
      <c r="A1559" t="s">
        <v>1628</v>
      </c>
      <c r="B1559" s="5">
        <v>45478</v>
      </c>
      <c r="C1559" s="8">
        <f>YEAR(Tabla2[[#This Row],[fecha]])</f>
        <v>2024</v>
      </c>
      <c r="D1559" s="8">
        <f>MONTH(Tabla2[[#This Row],[fecha]])</f>
        <v>7</v>
      </c>
      <c r="E1559" s="8" t="str">
        <f>TEXT(Tabla2[[#This Row],[fecha]], "mmmm")</f>
        <v>julio</v>
      </c>
      <c r="F1559" s="8" t="str">
        <f>"T"&amp;ROUNDUP(Tabla2[[#This Row],[mes]]/3,0)</f>
        <v>T3</v>
      </c>
      <c r="G1559" t="s">
        <v>33</v>
      </c>
      <c r="H1559" t="s">
        <v>34</v>
      </c>
      <c r="I1559" s="8" t="str">
        <f>IF(Tabla2[[#This Row],[precio_unitario]]&lt;=30,"Económico",IF(Tabla2[[#This Row],[precio_unitario]]&lt;=58.49,"Accesible","Caro"))</f>
        <v>Caro</v>
      </c>
      <c r="J1559" t="s">
        <v>35</v>
      </c>
      <c r="K1559">
        <v>4</v>
      </c>
      <c r="L1559" s="19">
        <v>78.53</v>
      </c>
      <c r="M1559" s="19">
        <v>49.22</v>
      </c>
      <c r="N1559" s="11">
        <v>0</v>
      </c>
      <c r="O1559" s="17">
        <f t="shared" si="99"/>
        <v>314.12</v>
      </c>
      <c r="P1559" s="17">
        <f t="shared" si="96"/>
        <v>196.88</v>
      </c>
      <c r="Q1559" s="17">
        <f t="shared" si="97"/>
        <v>117.24000000000001</v>
      </c>
      <c r="R1559" s="24">
        <f t="shared" si="98"/>
        <v>0.37323315930217754</v>
      </c>
      <c r="S1559" t="s">
        <v>67</v>
      </c>
      <c r="T1559" t="s">
        <v>60</v>
      </c>
    </row>
    <row r="1560" spans="1:20" hidden="1">
      <c r="A1560" t="s">
        <v>519</v>
      </c>
      <c r="B1560" s="5">
        <v>45990</v>
      </c>
      <c r="C1560" s="8">
        <f>YEAR(Tabla2[[#This Row],[fecha]])</f>
        <v>2025</v>
      </c>
      <c r="D1560" s="8">
        <f>MONTH(Tabla2[[#This Row],[fecha]])</f>
        <v>11</v>
      </c>
      <c r="E1560" s="8" t="str">
        <f>TEXT(Tabla2[[#This Row],[fecha]], "mmmm")</f>
        <v>noviembre</v>
      </c>
      <c r="F1560" s="8" t="str">
        <f>"T"&amp;ROUNDUP(Tabla2[[#This Row],[mes]]/3,0)</f>
        <v>T4</v>
      </c>
      <c r="G1560" t="s">
        <v>45</v>
      </c>
      <c r="H1560" t="s">
        <v>46</v>
      </c>
      <c r="I1560" s="8" t="str">
        <f>IF(Tabla2[[#This Row],[precio_unitario]]&lt;=30,"Económico",IF(Tabla2[[#This Row],[precio_unitario]]&lt;=58.49,"Accesible","Caro"))</f>
        <v>Económico</v>
      </c>
      <c r="J1560" t="s">
        <v>44</v>
      </c>
      <c r="K1560">
        <v>3</v>
      </c>
      <c r="L1560" s="19">
        <v>28.89</v>
      </c>
      <c r="M1560" s="19">
        <v>17.29</v>
      </c>
      <c r="N1560" s="11">
        <v>0</v>
      </c>
      <c r="O1560" s="17">
        <f t="shared" si="99"/>
        <v>86.67</v>
      </c>
      <c r="P1560" s="17">
        <f t="shared" si="96"/>
        <v>51.87</v>
      </c>
      <c r="Q1560" s="17">
        <f t="shared" si="97"/>
        <v>34.800000000000004</v>
      </c>
      <c r="R1560" s="24">
        <f t="shared" si="98"/>
        <v>0.40152301834544829</v>
      </c>
      <c r="S1560" t="s">
        <v>83</v>
      </c>
      <c r="T1560" t="s">
        <v>64</v>
      </c>
    </row>
    <row r="1561" spans="1:20" hidden="1">
      <c r="A1561" t="s">
        <v>1629</v>
      </c>
      <c r="B1561" s="5">
        <v>45728</v>
      </c>
      <c r="C1561" s="8">
        <f>YEAR(Tabla2[[#This Row],[fecha]])</f>
        <v>2025</v>
      </c>
      <c r="D1561" s="8">
        <f>MONTH(Tabla2[[#This Row],[fecha]])</f>
        <v>3</v>
      </c>
      <c r="E1561" s="8" t="str">
        <f>TEXT(Tabla2[[#This Row],[fecha]], "mmmm")</f>
        <v>marzo</v>
      </c>
      <c r="F1561" s="8" t="str">
        <f>"T"&amp;ROUNDUP(Tabla2[[#This Row],[mes]]/3,0)</f>
        <v>T1</v>
      </c>
      <c r="G1561" t="s">
        <v>22</v>
      </c>
      <c r="H1561" t="s">
        <v>23</v>
      </c>
      <c r="I1561" s="8" t="str">
        <f>IF(Tabla2[[#This Row],[precio_unitario]]&lt;=30,"Económico",IF(Tabla2[[#This Row],[precio_unitario]]&lt;=58.49,"Accesible","Caro"))</f>
        <v>Caro</v>
      </c>
      <c r="J1561" t="s">
        <v>17</v>
      </c>
      <c r="K1561">
        <v>1</v>
      </c>
      <c r="L1561" s="19">
        <v>110.05</v>
      </c>
      <c r="M1561" s="19">
        <v>55.46</v>
      </c>
      <c r="N1561" s="11">
        <v>0</v>
      </c>
      <c r="O1561" s="17">
        <f t="shared" si="99"/>
        <v>110.05</v>
      </c>
      <c r="P1561" s="17">
        <f t="shared" si="96"/>
        <v>55.46</v>
      </c>
      <c r="Q1561" s="17">
        <f t="shared" si="97"/>
        <v>54.589999999999996</v>
      </c>
      <c r="R1561" s="24">
        <f t="shared" si="98"/>
        <v>0.49604725124943205</v>
      </c>
      <c r="S1561" t="s">
        <v>540</v>
      </c>
      <c r="T1561" t="s">
        <v>60</v>
      </c>
    </row>
    <row r="1562" spans="1:20" hidden="1">
      <c r="A1562" t="s">
        <v>1630</v>
      </c>
      <c r="B1562" s="5">
        <v>45431</v>
      </c>
      <c r="C1562" s="8">
        <f>YEAR(Tabla2[[#This Row],[fecha]])</f>
        <v>2024</v>
      </c>
      <c r="D1562" s="8">
        <f>MONTH(Tabla2[[#This Row],[fecha]])</f>
        <v>5</v>
      </c>
      <c r="E1562" s="8" t="str">
        <f>TEXT(Tabla2[[#This Row],[fecha]], "mmmm")</f>
        <v>mayo</v>
      </c>
      <c r="F1562" s="8" t="str">
        <f>"T"&amp;ROUNDUP(Tabla2[[#This Row],[mes]]/3,0)</f>
        <v>T2</v>
      </c>
      <c r="G1562" t="s">
        <v>42</v>
      </c>
      <c r="H1562" t="s">
        <v>43</v>
      </c>
      <c r="I1562" s="8" t="str">
        <f>IF(Tabla2[[#This Row],[precio_unitario]]&lt;=30,"Económico",IF(Tabla2[[#This Row],[precio_unitario]]&lt;=58.49,"Accesible","Caro"))</f>
        <v>Accesible</v>
      </c>
      <c r="J1562" t="s">
        <v>44</v>
      </c>
      <c r="K1562">
        <v>5</v>
      </c>
      <c r="L1562" s="19">
        <v>50.25</v>
      </c>
      <c r="M1562" s="19">
        <v>23.62</v>
      </c>
      <c r="N1562" s="11">
        <v>0</v>
      </c>
      <c r="O1562" s="17">
        <f t="shared" si="99"/>
        <v>251.25</v>
      </c>
      <c r="P1562" s="17">
        <f t="shared" si="96"/>
        <v>118.10000000000001</v>
      </c>
      <c r="Q1562" s="17">
        <f t="shared" si="97"/>
        <v>133.14999999999998</v>
      </c>
      <c r="R1562" s="24">
        <f t="shared" si="98"/>
        <v>0.52995024875621877</v>
      </c>
      <c r="S1562" t="s">
        <v>540</v>
      </c>
      <c r="T1562" t="s">
        <v>64</v>
      </c>
    </row>
    <row r="1563" spans="1:20" hidden="1">
      <c r="A1563" t="s">
        <v>1631</v>
      </c>
      <c r="B1563" s="5">
        <v>45776</v>
      </c>
      <c r="C1563" s="8">
        <f>YEAR(Tabla2[[#This Row],[fecha]])</f>
        <v>2025</v>
      </c>
      <c r="D1563" s="8">
        <f>MONTH(Tabla2[[#This Row],[fecha]])</f>
        <v>4</v>
      </c>
      <c r="E1563" s="8" t="str">
        <f>TEXT(Tabla2[[#This Row],[fecha]], "mmmm")</f>
        <v>abril</v>
      </c>
      <c r="F1563" s="8" t="str">
        <f>"T"&amp;ROUNDUP(Tabla2[[#This Row],[mes]]/3,0)</f>
        <v>T2</v>
      </c>
      <c r="G1563" t="s">
        <v>36</v>
      </c>
      <c r="H1563" t="s">
        <v>37</v>
      </c>
      <c r="I1563" s="8" t="str">
        <f>IF(Tabla2[[#This Row],[precio_unitario]]&lt;=30,"Económico",IF(Tabla2[[#This Row],[precio_unitario]]&lt;=58.49,"Accesible","Caro"))</f>
        <v>Económico</v>
      </c>
      <c r="J1563" t="s">
        <v>35</v>
      </c>
      <c r="K1563">
        <v>2</v>
      </c>
      <c r="L1563" s="19">
        <v>14.06</v>
      </c>
      <c r="M1563" s="19">
        <v>10.06</v>
      </c>
      <c r="N1563" s="13">
        <v>0</v>
      </c>
      <c r="O1563" s="17">
        <f t="shared" si="99"/>
        <v>28.12</v>
      </c>
      <c r="P1563" s="17">
        <f t="shared" si="96"/>
        <v>20.12</v>
      </c>
      <c r="Q1563" s="17">
        <f t="shared" si="97"/>
        <v>8</v>
      </c>
      <c r="R1563" s="24">
        <f t="shared" si="98"/>
        <v>0.28449502133712656</v>
      </c>
      <c r="S1563" t="s">
        <v>101</v>
      </c>
      <c r="T1563" t="s">
        <v>60</v>
      </c>
    </row>
    <row r="1564" spans="1:20" hidden="1">
      <c r="A1564" t="s">
        <v>1632</v>
      </c>
      <c r="B1564" s="5">
        <v>45730</v>
      </c>
      <c r="C1564" s="8">
        <f>YEAR(Tabla2[[#This Row],[fecha]])</f>
        <v>2025</v>
      </c>
      <c r="D1564" s="8">
        <f>MONTH(Tabla2[[#This Row],[fecha]])</f>
        <v>3</v>
      </c>
      <c r="E1564" s="8" t="str">
        <f>TEXT(Tabla2[[#This Row],[fecha]], "mmmm")</f>
        <v>marzo</v>
      </c>
      <c r="F1564" s="8" t="str">
        <f>"T"&amp;ROUNDUP(Tabla2[[#This Row],[mes]]/3,0)</f>
        <v>T1</v>
      </c>
      <c r="G1564" t="s">
        <v>38</v>
      </c>
      <c r="H1564" t="s">
        <v>39</v>
      </c>
      <c r="I1564" s="8" t="str">
        <f>IF(Tabla2[[#This Row],[precio_unitario]]&lt;=30,"Económico",IF(Tabla2[[#This Row],[precio_unitario]]&lt;=58.49,"Accesible","Caro"))</f>
        <v>Caro</v>
      </c>
      <c r="J1564" t="s">
        <v>35</v>
      </c>
      <c r="K1564">
        <v>4</v>
      </c>
      <c r="L1564" s="19">
        <v>73.25</v>
      </c>
      <c r="M1564" s="19">
        <v>42</v>
      </c>
      <c r="N1564" s="11">
        <v>0.06</v>
      </c>
      <c r="O1564" s="17">
        <f t="shared" si="99"/>
        <v>275.41999999999996</v>
      </c>
      <c r="P1564" s="17">
        <f t="shared" si="96"/>
        <v>168</v>
      </c>
      <c r="Q1564" s="17">
        <f t="shared" si="97"/>
        <v>107.41999999999996</v>
      </c>
      <c r="R1564" s="24">
        <f t="shared" si="98"/>
        <v>0.39002251107399599</v>
      </c>
      <c r="S1564" t="s">
        <v>101</v>
      </c>
      <c r="T1564" t="s">
        <v>64</v>
      </c>
    </row>
    <row r="1565" spans="1:20" hidden="1">
      <c r="A1565" t="s">
        <v>1633</v>
      </c>
      <c r="B1565" s="5">
        <v>46012</v>
      </c>
      <c r="C1565" s="8">
        <f>YEAR(Tabla2[[#This Row],[fecha]])</f>
        <v>2025</v>
      </c>
      <c r="D1565" s="8">
        <f>MONTH(Tabla2[[#This Row],[fecha]])</f>
        <v>12</v>
      </c>
      <c r="E1565" s="8" t="str">
        <f>TEXT(Tabla2[[#This Row],[fecha]], "mmmm")</f>
        <v>diciembre</v>
      </c>
      <c r="F1565" s="8" t="str">
        <f>"T"&amp;ROUNDUP(Tabla2[[#This Row],[mes]]/3,0)</f>
        <v>T4</v>
      </c>
      <c r="G1565" t="s">
        <v>6</v>
      </c>
      <c r="H1565" t="s">
        <v>7</v>
      </c>
      <c r="I1565" s="8" t="str">
        <f>IF(Tabla2[[#This Row],[precio_unitario]]&lt;=30,"Económico",IF(Tabla2[[#This Row],[precio_unitario]]&lt;=58.49,"Accesible","Caro"))</f>
        <v>Caro</v>
      </c>
      <c r="J1565" t="s">
        <v>8</v>
      </c>
      <c r="K1565">
        <v>1</v>
      </c>
      <c r="L1565" s="19">
        <v>113.02</v>
      </c>
      <c r="M1565" s="19">
        <v>83.73</v>
      </c>
      <c r="N1565" s="11">
        <v>0</v>
      </c>
      <c r="O1565" s="17">
        <f t="shared" si="99"/>
        <v>113.02</v>
      </c>
      <c r="P1565" s="17">
        <f t="shared" si="96"/>
        <v>83.73</v>
      </c>
      <c r="Q1565" s="17">
        <f t="shared" si="97"/>
        <v>29.289999999999992</v>
      </c>
      <c r="R1565" s="24">
        <f t="shared" si="98"/>
        <v>0.25915767120863559</v>
      </c>
      <c r="S1565" t="s">
        <v>83</v>
      </c>
      <c r="T1565" t="s">
        <v>64</v>
      </c>
    </row>
    <row r="1566" spans="1:20">
      <c r="A1566" t="s">
        <v>1634</v>
      </c>
      <c r="B1566" s="5">
        <v>45674</v>
      </c>
      <c r="C1566" s="8">
        <f>YEAR(Tabla2[[#This Row],[fecha]])</f>
        <v>2025</v>
      </c>
      <c r="D1566" s="8">
        <f>MONTH(Tabla2[[#This Row],[fecha]])</f>
        <v>1</v>
      </c>
      <c r="E1566" s="8" t="str">
        <f>TEXT(Tabla2[[#This Row],[fecha]], "mmmm")</f>
        <v>enero</v>
      </c>
      <c r="F1566" s="8" t="str">
        <f>"T"&amp;ROUNDUP(Tabla2[[#This Row],[mes]]/3,0)</f>
        <v>T1</v>
      </c>
      <c r="G1566" t="s">
        <v>42</v>
      </c>
      <c r="H1566" t="s">
        <v>43</v>
      </c>
      <c r="I1566" s="8" t="str">
        <f>IF(Tabla2[[#This Row],[precio_unitario]]&lt;=30,"Económico",IF(Tabla2[[#This Row],[precio_unitario]]&lt;=58.49,"Accesible","Caro"))</f>
        <v>Accesible</v>
      </c>
      <c r="J1566" t="s">
        <v>44</v>
      </c>
      <c r="K1566">
        <v>1</v>
      </c>
      <c r="L1566" s="19">
        <v>51.68</v>
      </c>
      <c r="M1566" s="19">
        <v>23.35</v>
      </c>
      <c r="N1566" s="11">
        <v>0</v>
      </c>
      <c r="O1566" s="17">
        <f t="shared" si="99"/>
        <v>51.68</v>
      </c>
      <c r="P1566" s="17">
        <f t="shared" si="96"/>
        <v>23.35</v>
      </c>
      <c r="Q1566" s="17">
        <f t="shared" si="97"/>
        <v>28.33</v>
      </c>
      <c r="R1566" s="24">
        <f t="shared" si="98"/>
        <v>0.54818111455108354</v>
      </c>
      <c r="S1566" t="s">
        <v>67</v>
      </c>
      <c r="T1566" t="s">
        <v>133</v>
      </c>
    </row>
    <row r="1567" spans="1:20" hidden="1">
      <c r="A1567" t="s">
        <v>1635</v>
      </c>
      <c r="B1567" s="5">
        <v>45815</v>
      </c>
      <c r="C1567" s="8">
        <f>YEAR(Tabla2[[#This Row],[fecha]])</f>
        <v>2025</v>
      </c>
      <c r="D1567" s="8">
        <f>MONTH(Tabla2[[#This Row],[fecha]])</f>
        <v>6</v>
      </c>
      <c r="E1567" s="8" t="str">
        <f>TEXT(Tabla2[[#This Row],[fecha]], "mmmm")</f>
        <v>junio</v>
      </c>
      <c r="F1567" s="8" t="str">
        <f>"T"&amp;ROUNDUP(Tabla2[[#This Row],[mes]]/3,0)</f>
        <v>T2</v>
      </c>
      <c r="G1567" t="s">
        <v>22</v>
      </c>
      <c r="H1567" t="s">
        <v>23</v>
      </c>
      <c r="I1567" s="8" t="str">
        <f>IF(Tabla2[[#This Row],[precio_unitario]]&lt;=30,"Económico",IF(Tabla2[[#This Row],[precio_unitario]]&lt;=58.49,"Accesible","Caro"))</f>
        <v>Caro</v>
      </c>
      <c r="J1567" t="s">
        <v>17</v>
      </c>
      <c r="K1567">
        <v>1</v>
      </c>
      <c r="L1567" s="19">
        <v>109.62</v>
      </c>
      <c r="M1567" s="19">
        <v>56.82</v>
      </c>
      <c r="N1567" s="11">
        <v>0</v>
      </c>
      <c r="O1567" s="17">
        <f t="shared" si="99"/>
        <v>109.62</v>
      </c>
      <c r="P1567" s="17">
        <f t="shared" si="96"/>
        <v>56.82</v>
      </c>
      <c r="Q1567" s="17">
        <f t="shared" si="97"/>
        <v>52.800000000000004</v>
      </c>
      <c r="R1567" s="24">
        <f t="shared" si="98"/>
        <v>0.48166392993979201</v>
      </c>
      <c r="S1567" t="s">
        <v>63</v>
      </c>
      <c r="T1567" t="s">
        <v>64</v>
      </c>
    </row>
    <row r="1568" spans="1:20" hidden="1">
      <c r="A1568" t="s">
        <v>1636</v>
      </c>
      <c r="B1568" s="5">
        <v>45583</v>
      </c>
      <c r="C1568" s="8">
        <f>YEAR(Tabla2[[#This Row],[fecha]])</f>
        <v>2024</v>
      </c>
      <c r="D1568" s="8">
        <f>MONTH(Tabla2[[#This Row],[fecha]])</f>
        <v>10</v>
      </c>
      <c r="E1568" s="8" t="str">
        <f>TEXT(Tabla2[[#This Row],[fecha]], "mmmm")</f>
        <v>octubre</v>
      </c>
      <c r="F1568" s="8" t="str">
        <f>"T"&amp;ROUNDUP(Tabla2[[#This Row],[mes]]/3,0)</f>
        <v>T4</v>
      </c>
      <c r="G1568" t="s">
        <v>31</v>
      </c>
      <c r="H1568" t="s">
        <v>32</v>
      </c>
      <c r="I1568" s="8" t="str">
        <f>IF(Tabla2[[#This Row],[precio_unitario]]&lt;=30,"Económico",IF(Tabla2[[#This Row],[precio_unitario]]&lt;=58.49,"Accesible","Caro"))</f>
        <v>Económico</v>
      </c>
      <c r="J1568" t="s">
        <v>26</v>
      </c>
      <c r="K1568">
        <v>5</v>
      </c>
      <c r="L1568" s="19">
        <v>9.42</v>
      </c>
      <c r="M1568" s="19">
        <v>5.86</v>
      </c>
      <c r="N1568" s="11">
        <v>0.25</v>
      </c>
      <c r="O1568" s="17">
        <f t="shared" si="99"/>
        <v>35.325000000000003</v>
      </c>
      <c r="P1568" s="17">
        <f t="shared" si="96"/>
        <v>29.3</v>
      </c>
      <c r="Q1568" s="17">
        <f t="shared" si="97"/>
        <v>6.0250000000000021</v>
      </c>
      <c r="R1568" s="24">
        <f t="shared" si="98"/>
        <v>0.17055909412597314</v>
      </c>
      <c r="S1568" s="10" t="s">
        <v>2377</v>
      </c>
      <c r="T1568" t="s">
        <v>64</v>
      </c>
    </row>
    <row r="1569" spans="1:20" hidden="1">
      <c r="A1569" t="s">
        <v>1637</v>
      </c>
      <c r="B1569" s="5">
        <v>45468</v>
      </c>
      <c r="C1569" s="8">
        <f>YEAR(Tabla2[[#This Row],[fecha]])</f>
        <v>2024</v>
      </c>
      <c r="D1569" s="8">
        <f>MONTH(Tabla2[[#This Row],[fecha]])</f>
        <v>6</v>
      </c>
      <c r="E1569" s="8" t="str">
        <f>TEXT(Tabla2[[#This Row],[fecha]], "mmmm")</f>
        <v>junio</v>
      </c>
      <c r="F1569" s="8" t="str">
        <f>"T"&amp;ROUNDUP(Tabla2[[#This Row],[mes]]/3,0)</f>
        <v>T2</v>
      </c>
      <c r="G1569" t="s">
        <v>36</v>
      </c>
      <c r="H1569" t="s">
        <v>37</v>
      </c>
      <c r="I1569" s="8" t="str">
        <f>IF(Tabla2[[#This Row],[precio_unitario]]&lt;=30,"Económico",IF(Tabla2[[#This Row],[precio_unitario]]&lt;=58.49,"Accesible","Caro"))</f>
        <v>Económico</v>
      </c>
      <c r="J1569" t="s">
        <v>35</v>
      </c>
      <c r="K1569">
        <v>1</v>
      </c>
      <c r="L1569" s="19">
        <v>13.45</v>
      </c>
      <c r="M1569" s="19">
        <v>9.8000000000000007</v>
      </c>
      <c r="N1569" s="11">
        <v>0</v>
      </c>
      <c r="O1569" s="17">
        <f t="shared" si="99"/>
        <v>13.45</v>
      </c>
      <c r="P1569" s="17">
        <f t="shared" si="96"/>
        <v>9.8000000000000007</v>
      </c>
      <c r="Q1569" s="17">
        <f t="shared" si="97"/>
        <v>3.6499999999999986</v>
      </c>
      <c r="R1569" s="24">
        <f t="shared" si="98"/>
        <v>0.2713754646840148</v>
      </c>
      <c r="S1569" t="s">
        <v>83</v>
      </c>
      <c r="T1569" t="s">
        <v>64</v>
      </c>
    </row>
    <row r="1570" spans="1:20" hidden="1">
      <c r="A1570" t="s">
        <v>1638</v>
      </c>
      <c r="B1570" s="5">
        <v>45763</v>
      </c>
      <c r="C1570" s="8">
        <f>YEAR(Tabla2[[#This Row],[fecha]])</f>
        <v>2025</v>
      </c>
      <c r="D1570" s="8">
        <f>MONTH(Tabla2[[#This Row],[fecha]])</f>
        <v>4</v>
      </c>
      <c r="E1570" s="8" t="str">
        <f>TEXT(Tabla2[[#This Row],[fecha]], "mmmm")</f>
        <v>abril</v>
      </c>
      <c r="F1570" s="8" t="str">
        <f>"T"&amp;ROUNDUP(Tabla2[[#This Row],[mes]]/3,0)</f>
        <v>T2</v>
      </c>
      <c r="G1570" t="s">
        <v>49</v>
      </c>
      <c r="H1570" t="s">
        <v>50</v>
      </c>
      <c r="I1570" s="8" t="str">
        <f>IF(Tabla2[[#This Row],[precio_unitario]]&lt;=30,"Económico",IF(Tabla2[[#This Row],[precio_unitario]]&lt;=58.49,"Accesible","Caro"))</f>
        <v>Accesible</v>
      </c>
      <c r="J1570" t="s">
        <v>44</v>
      </c>
      <c r="K1570">
        <v>1</v>
      </c>
      <c r="L1570" s="19">
        <v>57.84</v>
      </c>
      <c r="M1570" s="19">
        <v>34.08</v>
      </c>
      <c r="N1570" s="13">
        <v>0</v>
      </c>
      <c r="O1570" s="17">
        <f t="shared" si="99"/>
        <v>57.84</v>
      </c>
      <c r="P1570" s="17">
        <f t="shared" si="96"/>
        <v>34.08</v>
      </c>
      <c r="Q1570" s="17">
        <f t="shared" si="97"/>
        <v>23.760000000000005</v>
      </c>
      <c r="R1570" s="24">
        <f t="shared" si="98"/>
        <v>0.41078838174273863</v>
      </c>
      <c r="S1570" t="s">
        <v>96</v>
      </c>
      <c r="T1570" t="s">
        <v>64</v>
      </c>
    </row>
    <row r="1571" spans="1:20">
      <c r="A1571" t="s">
        <v>1639</v>
      </c>
      <c r="B1571" s="5">
        <v>45719</v>
      </c>
      <c r="C1571" s="8">
        <f>YEAR(Tabla2[[#This Row],[fecha]])</f>
        <v>2025</v>
      </c>
      <c r="D1571" s="8">
        <f>MONTH(Tabla2[[#This Row],[fecha]])</f>
        <v>3</v>
      </c>
      <c r="E1571" s="8" t="str">
        <f>TEXT(Tabla2[[#This Row],[fecha]], "mmmm")</f>
        <v>marzo</v>
      </c>
      <c r="F1571" s="8" t="str">
        <f>"T"&amp;ROUNDUP(Tabla2[[#This Row],[mes]]/3,0)</f>
        <v>T1</v>
      </c>
      <c r="G1571" t="s">
        <v>6</v>
      </c>
      <c r="H1571" t="s">
        <v>7</v>
      </c>
      <c r="I1571" s="8" t="str">
        <f>IF(Tabla2[[#This Row],[precio_unitario]]&lt;=30,"Económico",IF(Tabla2[[#This Row],[precio_unitario]]&lt;=58.49,"Accesible","Caro"))</f>
        <v>Caro</v>
      </c>
      <c r="J1571" t="s">
        <v>8</v>
      </c>
      <c r="K1571">
        <v>4</v>
      </c>
      <c r="L1571" s="19">
        <v>120.1</v>
      </c>
      <c r="M1571" s="19">
        <v>84.01</v>
      </c>
      <c r="N1571" s="13">
        <v>0</v>
      </c>
      <c r="O1571" s="17">
        <f t="shared" si="99"/>
        <v>480.4</v>
      </c>
      <c r="P1571" s="17">
        <f t="shared" si="96"/>
        <v>336.04</v>
      </c>
      <c r="Q1571" s="17">
        <f t="shared" si="97"/>
        <v>144.35999999999996</v>
      </c>
      <c r="R1571" s="24">
        <f t="shared" si="98"/>
        <v>0.30049958368026636</v>
      </c>
      <c r="S1571" t="s">
        <v>67</v>
      </c>
      <c r="T1571" t="s">
        <v>60</v>
      </c>
    </row>
    <row r="1572" spans="1:20" hidden="1">
      <c r="A1572" t="s">
        <v>1640</v>
      </c>
      <c r="B1572" s="5">
        <v>45990</v>
      </c>
      <c r="C1572" s="8">
        <f>YEAR(Tabla2[[#This Row],[fecha]])</f>
        <v>2025</v>
      </c>
      <c r="D1572" s="8">
        <f>MONTH(Tabla2[[#This Row],[fecha]])</f>
        <v>11</v>
      </c>
      <c r="E1572" s="8" t="str">
        <f>TEXT(Tabla2[[#This Row],[fecha]], "mmmm")</f>
        <v>noviembre</v>
      </c>
      <c r="F1572" s="8" t="str">
        <f>"T"&amp;ROUNDUP(Tabla2[[#This Row],[mes]]/3,0)</f>
        <v>T4</v>
      </c>
      <c r="G1572" t="s">
        <v>38</v>
      </c>
      <c r="H1572" t="s">
        <v>39</v>
      </c>
      <c r="I1572" s="8" t="str">
        <f>IF(Tabla2[[#This Row],[precio_unitario]]&lt;=30,"Económico",IF(Tabla2[[#This Row],[precio_unitario]]&lt;=58.49,"Accesible","Caro"))</f>
        <v>Caro</v>
      </c>
      <c r="J1572" t="s">
        <v>35</v>
      </c>
      <c r="K1572">
        <v>4</v>
      </c>
      <c r="L1572" s="19">
        <v>78.77</v>
      </c>
      <c r="M1572" s="19">
        <v>44.85</v>
      </c>
      <c r="N1572" s="11">
        <v>0</v>
      </c>
      <c r="O1572" s="17">
        <f t="shared" si="99"/>
        <v>315.08</v>
      </c>
      <c r="P1572" s="17">
        <f t="shared" si="96"/>
        <v>179.4</v>
      </c>
      <c r="Q1572" s="17">
        <f t="shared" si="97"/>
        <v>135.67999999999998</v>
      </c>
      <c r="R1572" s="24">
        <f t="shared" si="98"/>
        <v>0.43062079471880155</v>
      </c>
      <c r="S1572" t="s">
        <v>83</v>
      </c>
      <c r="T1572" t="s">
        <v>60</v>
      </c>
    </row>
    <row r="1573" spans="1:20" hidden="1">
      <c r="A1573" t="s">
        <v>1641</v>
      </c>
      <c r="B1573" s="5">
        <v>45861</v>
      </c>
      <c r="C1573" s="8">
        <f>YEAR(Tabla2[[#This Row],[fecha]])</f>
        <v>2025</v>
      </c>
      <c r="D1573" s="8">
        <f>MONTH(Tabla2[[#This Row],[fecha]])</f>
        <v>7</v>
      </c>
      <c r="E1573" s="8" t="str">
        <f>TEXT(Tabla2[[#This Row],[fecha]], "mmmm")</f>
        <v>julio</v>
      </c>
      <c r="F1573" s="8" t="str">
        <f>"T"&amp;ROUNDUP(Tabla2[[#This Row],[mes]]/3,0)</f>
        <v>T3</v>
      </c>
      <c r="G1573" t="s">
        <v>15</v>
      </c>
      <c r="H1573" t="s">
        <v>16</v>
      </c>
      <c r="I1573" s="8" t="str">
        <f>IF(Tabla2[[#This Row],[precio_unitario]]&lt;=30,"Económico",IF(Tabla2[[#This Row],[precio_unitario]]&lt;=58.49,"Accesible","Caro"))</f>
        <v>Caro</v>
      </c>
      <c r="J1573" t="s">
        <v>17</v>
      </c>
      <c r="K1573">
        <v>1</v>
      </c>
      <c r="L1573" s="19">
        <v>62.55</v>
      </c>
      <c r="M1573" s="19">
        <v>42.75</v>
      </c>
      <c r="N1573" s="13">
        <v>0</v>
      </c>
      <c r="O1573" s="17">
        <f t="shared" si="99"/>
        <v>62.55</v>
      </c>
      <c r="P1573" s="17">
        <f t="shared" si="96"/>
        <v>42.75</v>
      </c>
      <c r="Q1573" s="17">
        <f t="shared" si="97"/>
        <v>19.799999999999997</v>
      </c>
      <c r="R1573" s="24">
        <f t="shared" si="98"/>
        <v>0.31654676258992803</v>
      </c>
      <c r="S1573" t="s">
        <v>101</v>
      </c>
      <c r="T1573" t="s">
        <v>64</v>
      </c>
    </row>
    <row r="1574" spans="1:20" hidden="1">
      <c r="A1574" t="s">
        <v>1642</v>
      </c>
      <c r="B1574" s="5">
        <v>45581</v>
      </c>
      <c r="C1574" s="8">
        <f>YEAR(Tabla2[[#This Row],[fecha]])</f>
        <v>2024</v>
      </c>
      <c r="D1574" s="8">
        <f>MONTH(Tabla2[[#This Row],[fecha]])</f>
        <v>10</v>
      </c>
      <c r="E1574" s="8" t="str">
        <f>TEXT(Tabla2[[#This Row],[fecha]], "mmmm")</f>
        <v>octubre</v>
      </c>
      <c r="F1574" s="8" t="str">
        <f>"T"&amp;ROUNDUP(Tabla2[[#This Row],[mes]]/3,0)</f>
        <v>T4</v>
      </c>
      <c r="G1574" t="s">
        <v>27</v>
      </c>
      <c r="H1574" t="s">
        <v>28</v>
      </c>
      <c r="I1574" s="8" t="str">
        <f>IF(Tabla2[[#This Row],[precio_unitario]]&lt;=30,"Económico",IF(Tabla2[[#This Row],[precio_unitario]]&lt;=58.49,"Accesible","Caro"))</f>
        <v>Económico</v>
      </c>
      <c r="J1574" t="s">
        <v>26</v>
      </c>
      <c r="K1574">
        <v>1</v>
      </c>
      <c r="L1574" s="19">
        <v>16.55</v>
      </c>
      <c r="M1574" s="19">
        <v>11.79</v>
      </c>
      <c r="N1574" s="13">
        <v>0</v>
      </c>
      <c r="O1574" s="17">
        <f t="shared" si="99"/>
        <v>16.55</v>
      </c>
      <c r="P1574" s="17">
        <f t="shared" si="96"/>
        <v>11.79</v>
      </c>
      <c r="Q1574" s="17">
        <f t="shared" si="97"/>
        <v>4.7600000000000016</v>
      </c>
      <c r="R1574" s="24">
        <f t="shared" si="98"/>
        <v>0.28761329305135958</v>
      </c>
      <c r="S1574" t="s">
        <v>83</v>
      </c>
      <c r="T1574" t="s">
        <v>60</v>
      </c>
    </row>
    <row r="1575" spans="1:20" hidden="1">
      <c r="A1575" t="s">
        <v>1643</v>
      </c>
      <c r="B1575" s="5">
        <v>45300</v>
      </c>
      <c r="C1575" s="8">
        <f>YEAR(Tabla2[[#This Row],[fecha]])</f>
        <v>2024</v>
      </c>
      <c r="D1575" s="8">
        <f>MONTH(Tabla2[[#This Row],[fecha]])</f>
        <v>1</v>
      </c>
      <c r="E1575" s="8" t="str">
        <f>TEXT(Tabla2[[#This Row],[fecha]], "mmmm")</f>
        <v>enero</v>
      </c>
      <c r="F1575" s="8" t="str">
        <f>"T"&amp;ROUNDUP(Tabla2[[#This Row],[mes]]/3,0)</f>
        <v>T1</v>
      </c>
      <c r="G1575" t="s">
        <v>47</v>
      </c>
      <c r="H1575" t="s">
        <v>48</v>
      </c>
      <c r="I1575" s="8" t="str">
        <f>IF(Tabla2[[#This Row],[precio_unitario]]&lt;=30,"Económico",IF(Tabla2[[#This Row],[precio_unitario]]&lt;=58.49,"Accesible","Caro"))</f>
        <v>Caro</v>
      </c>
      <c r="J1575" t="s">
        <v>44</v>
      </c>
      <c r="K1575">
        <v>1</v>
      </c>
      <c r="L1575" s="19">
        <v>63.8</v>
      </c>
      <c r="M1575" s="21">
        <f>INDEX(Tabla3[coste_objetivo], MATCH(Tabla2[[#This Row],[id_producto]], Tabla3[id_producto],0))</f>
        <v>32.68</v>
      </c>
      <c r="N1575" s="11">
        <v>0</v>
      </c>
      <c r="O1575" s="17">
        <f t="shared" si="99"/>
        <v>63.8</v>
      </c>
      <c r="P1575" s="17">
        <f t="shared" si="96"/>
        <v>32.68</v>
      </c>
      <c r="Q1575" s="17">
        <f t="shared" si="97"/>
        <v>31.119999999999997</v>
      </c>
      <c r="R1575" s="24">
        <f t="shared" si="98"/>
        <v>0.48777429467084638</v>
      </c>
      <c r="S1575" t="s">
        <v>67</v>
      </c>
      <c r="T1575" t="s">
        <v>64</v>
      </c>
    </row>
    <row r="1576" spans="1:20">
      <c r="A1576" t="s">
        <v>1644</v>
      </c>
      <c r="B1576" s="5">
        <v>45780</v>
      </c>
      <c r="C1576" s="8">
        <f>YEAR(Tabla2[[#This Row],[fecha]])</f>
        <v>2025</v>
      </c>
      <c r="D1576" s="8">
        <f>MONTH(Tabla2[[#This Row],[fecha]])</f>
        <v>5</v>
      </c>
      <c r="E1576" s="8" t="str">
        <f>TEXT(Tabla2[[#This Row],[fecha]], "mmmm")</f>
        <v>mayo</v>
      </c>
      <c r="F1576" s="8" t="str">
        <f>"T"&amp;ROUNDUP(Tabla2[[#This Row],[mes]]/3,0)</f>
        <v>T2</v>
      </c>
      <c r="G1576" t="s">
        <v>38</v>
      </c>
      <c r="H1576" t="s">
        <v>39</v>
      </c>
      <c r="I1576" s="8" t="str">
        <f>IF(Tabla2[[#This Row],[precio_unitario]]&lt;=30,"Económico",IF(Tabla2[[#This Row],[precio_unitario]]&lt;=58.49,"Accesible","Caro"))</f>
        <v>Caro</v>
      </c>
      <c r="J1576" t="s">
        <v>35</v>
      </c>
      <c r="K1576">
        <v>11</v>
      </c>
      <c r="L1576" s="19">
        <v>77.81</v>
      </c>
      <c r="M1576" s="19">
        <v>43.62</v>
      </c>
      <c r="N1576" s="11">
        <v>0.27</v>
      </c>
      <c r="O1576" s="17">
        <f t="shared" si="99"/>
        <v>624.8143</v>
      </c>
      <c r="P1576" s="17">
        <f t="shared" si="96"/>
        <v>479.82</v>
      </c>
      <c r="Q1576" s="17">
        <f t="shared" si="97"/>
        <v>144.99430000000001</v>
      </c>
      <c r="R1576" s="24">
        <f t="shared" si="98"/>
        <v>0.2320598296165757</v>
      </c>
      <c r="S1576" t="s">
        <v>67</v>
      </c>
      <c r="T1576" t="s">
        <v>64</v>
      </c>
    </row>
    <row r="1577" spans="1:20" hidden="1">
      <c r="A1577" t="s">
        <v>1645</v>
      </c>
      <c r="B1577" s="5">
        <v>45850</v>
      </c>
      <c r="C1577" s="8">
        <f>YEAR(Tabla2[[#This Row],[fecha]])</f>
        <v>2025</v>
      </c>
      <c r="D1577" s="8">
        <f>MONTH(Tabla2[[#This Row],[fecha]])</f>
        <v>7</v>
      </c>
      <c r="E1577" s="8" t="str">
        <f>TEXT(Tabla2[[#This Row],[fecha]], "mmmm")</f>
        <v>julio</v>
      </c>
      <c r="F1577" s="8" t="str">
        <f>"T"&amp;ROUNDUP(Tabla2[[#This Row],[mes]]/3,0)</f>
        <v>T3</v>
      </c>
      <c r="G1577" t="s">
        <v>40</v>
      </c>
      <c r="H1577" t="s">
        <v>41</v>
      </c>
      <c r="I1577" s="8" t="str">
        <f>IF(Tabla2[[#This Row],[precio_unitario]]&lt;=30,"Económico",IF(Tabla2[[#This Row],[precio_unitario]]&lt;=58.49,"Accesible","Caro"))</f>
        <v>Caro</v>
      </c>
      <c r="J1577" t="s">
        <v>35</v>
      </c>
      <c r="K1577">
        <v>1</v>
      </c>
      <c r="L1577" s="19">
        <v>78.66</v>
      </c>
      <c r="M1577" s="19">
        <v>41.23</v>
      </c>
      <c r="N1577" s="11">
        <v>0</v>
      </c>
      <c r="O1577" s="17">
        <f t="shared" si="99"/>
        <v>78.66</v>
      </c>
      <c r="P1577" s="17">
        <f t="shared" si="96"/>
        <v>41.23</v>
      </c>
      <c r="Q1577" s="17">
        <f t="shared" si="97"/>
        <v>37.43</v>
      </c>
      <c r="R1577" s="24">
        <f t="shared" si="98"/>
        <v>0.47584541062801933</v>
      </c>
      <c r="S1577" t="s">
        <v>540</v>
      </c>
      <c r="T1577" t="s">
        <v>64</v>
      </c>
    </row>
    <row r="1578" spans="1:20" hidden="1">
      <c r="A1578" t="s">
        <v>1646</v>
      </c>
      <c r="B1578" s="5">
        <v>45322</v>
      </c>
      <c r="C1578" s="8">
        <f>YEAR(Tabla2[[#This Row],[fecha]])</f>
        <v>2024</v>
      </c>
      <c r="D1578" s="8">
        <f>MONTH(Tabla2[[#This Row],[fecha]])</f>
        <v>1</v>
      </c>
      <c r="E1578" s="8" t="str">
        <f>TEXT(Tabla2[[#This Row],[fecha]], "mmmm")</f>
        <v>enero</v>
      </c>
      <c r="F1578" s="8" t="str">
        <f>"T"&amp;ROUNDUP(Tabla2[[#This Row],[mes]]/3,0)</f>
        <v>T1</v>
      </c>
      <c r="G1578" t="s">
        <v>31</v>
      </c>
      <c r="H1578" t="s">
        <v>32</v>
      </c>
      <c r="I1578" s="8" t="str">
        <f>IF(Tabla2[[#This Row],[precio_unitario]]&lt;=30,"Económico",IF(Tabla2[[#This Row],[precio_unitario]]&lt;=58.49,"Accesible","Caro"))</f>
        <v>Económico</v>
      </c>
      <c r="J1578" t="s">
        <v>26</v>
      </c>
      <c r="K1578">
        <v>3</v>
      </c>
      <c r="L1578" s="19">
        <v>8.34</v>
      </c>
      <c r="M1578" s="19">
        <v>5.59</v>
      </c>
      <c r="N1578" s="13">
        <v>0</v>
      </c>
      <c r="O1578" s="17">
        <f t="shared" si="99"/>
        <v>25.02</v>
      </c>
      <c r="P1578" s="17">
        <f t="shared" si="96"/>
        <v>16.77</v>
      </c>
      <c r="Q1578" s="17">
        <f t="shared" si="97"/>
        <v>8.25</v>
      </c>
      <c r="R1578" s="24">
        <f t="shared" si="98"/>
        <v>0.32973621103117506</v>
      </c>
      <c r="S1578" t="s">
        <v>67</v>
      </c>
      <c r="T1578" t="s">
        <v>60</v>
      </c>
    </row>
    <row r="1579" spans="1:20" hidden="1">
      <c r="A1579" t="s">
        <v>1647</v>
      </c>
      <c r="B1579" s="5">
        <v>45306</v>
      </c>
      <c r="C1579" s="8">
        <f>YEAR(Tabla2[[#This Row],[fecha]])</f>
        <v>2024</v>
      </c>
      <c r="D1579" s="8">
        <f>MONTH(Tabla2[[#This Row],[fecha]])</f>
        <v>1</v>
      </c>
      <c r="E1579" s="8" t="str">
        <f>TEXT(Tabla2[[#This Row],[fecha]], "mmmm")</f>
        <v>enero</v>
      </c>
      <c r="F1579" s="8" t="str">
        <f>"T"&amp;ROUNDUP(Tabla2[[#This Row],[mes]]/3,0)</f>
        <v>T1</v>
      </c>
      <c r="G1579" t="s">
        <v>42</v>
      </c>
      <c r="H1579" t="s">
        <v>43</v>
      </c>
      <c r="I1579" s="8" t="str">
        <f>IF(Tabla2[[#This Row],[precio_unitario]]&lt;=30,"Económico",IF(Tabla2[[#This Row],[precio_unitario]]&lt;=58.49,"Accesible","Caro"))</f>
        <v>Accesible</v>
      </c>
      <c r="J1579" t="s">
        <v>44</v>
      </c>
      <c r="K1579">
        <v>8</v>
      </c>
      <c r="L1579" s="19">
        <v>45.9</v>
      </c>
      <c r="M1579" s="19">
        <v>23.43</v>
      </c>
      <c r="N1579" s="11">
        <v>0</v>
      </c>
      <c r="O1579" s="17">
        <f t="shared" si="99"/>
        <v>367.2</v>
      </c>
      <c r="P1579" s="17">
        <f t="shared" si="96"/>
        <v>187.44</v>
      </c>
      <c r="Q1579" s="17">
        <f t="shared" si="97"/>
        <v>179.76</v>
      </c>
      <c r="R1579" s="24">
        <f t="shared" si="98"/>
        <v>0.4895424836601307</v>
      </c>
      <c r="S1579" t="s">
        <v>101</v>
      </c>
      <c r="T1579" t="s">
        <v>60</v>
      </c>
    </row>
    <row r="1580" spans="1:20">
      <c r="A1580" t="s">
        <v>1648</v>
      </c>
      <c r="B1580" s="5">
        <v>45928</v>
      </c>
      <c r="C1580" s="8">
        <f>YEAR(Tabla2[[#This Row],[fecha]])</f>
        <v>2025</v>
      </c>
      <c r="D1580" s="8">
        <f>MONTH(Tabla2[[#This Row],[fecha]])</f>
        <v>9</v>
      </c>
      <c r="E1580" s="8" t="str">
        <f>TEXT(Tabla2[[#This Row],[fecha]], "mmmm")</f>
        <v>septiembre</v>
      </c>
      <c r="F1580" s="8" t="str">
        <f>"T"&amp;ROUNDUP(Tabla2[[#This Row],[mes]]/3,0)</f>
        <v>T3</v>
      </c>
      <c r="G1580" t="s">
        <v>6</v>
      </c>
      <c r="H1580" t="s">
        <v>7</v>
      </c>
      <c r="I1580" s="8" t="str">
        <f>IF(Tabla2[[#This Row],[precio_unitario]]&lt;=30,"Económico",IF(Tabla2[[#This Row],[precio_unitario]]&lt;=58.49,"Accesible","Caro"))</f>
        <v>Caro</v>
      </c>
      <c r="J1580" t="s">
        <v>8</v>
      </c>
      <c r="K1580">
        <v>4</v>
      </c>
      <c r="L1580" s="19">
        <v>116.68</v>
      </c>
      <c r="M1580" s="19">
        <v>85.99</v>
      </c>
      <c r="N1580" s="11">
        <v>0</v>
      </c>
      <c r="O1580" s="17">
        <f t="shared" si="99"/>
        <v>466.72</v>
      </c>
      <c r="P1580" s="17">
        <f t="shared" si="96"/>
        <v>343.96</v>
      </c>
      <c r="Q1580" s="17">
        <f t="shared" si="97"/>
        <v>122.76000000000005</v>
      </c>
      <c r="R1580" s="24">
        <f t="shared" si="98"/>
        <v>0.26302708261912933</v>
      </c>
      <c r="S1580" t="s">
        <v>67</v>
      </c>
      <c r="T1580" t="s">
        <v>60</v>
      </c>
    </row>
    <row r="1581" spans="1:20" hidden="1">
      <c r="A1581" t="s">
        <v>1649</v>
      </c>
      <c r="B1581" s="5">
        <v>45680</v>
      </c>
      <c r="C1581" s="8">
        <f>YEAR(Tabla2[[#This Row],[fecha]])</f>
        <v>2025</v>
      </c>
      <c r="D1581" s="8">
        <f>MONTH(Tabla2[[#This Row],[fecha]])</f>
        <v>1</v>
      </c>
      <c r="E1581" s="8" t="str">
        <f>TEXT(Tabla2[[#This Row],[fecha]], "mmmm")</f>
        <v>enero</v>
      </c>
      <c r="F1581" s="8" t="str">
        <f>"T"&amp;ROUNDUP(Tabla2[[#This Row],[mes]]/3,0)</f>
        <v>T1</v>
      </c>
      <c r="G1581" t="s">
        <v>45</v>
      </c>
      <c r="H1581" t="s">
        <v>46</v>
      </c>
      <c r="I1581" s="8" t="str">
        <f>IF(Tabla2[[#This Row],[precio_unitario]]&lt;=30,"Económico",IF(Tabla2[[#This Row],[precio_unitario]]&lt;=58.49,"Accesible","Caro"))</f>
        <v>Accesible</v>
      </c>
      <c r="J1581" t="s">
        <v>44</v>
      </c>
      <c r="K1581">
        <v>1</v>
      </c>
      <c r="L1581" s="19">
        <v>32.4</v>
      </c>
      <c r="M1581" s="19">
        <v>16.559999999999999</v>
      </c>
      <c r="N1581" s="11">
        <v>0</v>
      </c>
      <c r="O1581" s="17">
        <f t="shared" si="99"/>
        <v>32.4</v>
      </c>
      <c r="P1581" s="17">
        <f t="shared" si="96"/>
        <v>16.559999999999999</v>
      </c>
      <c r="Q1581" s="17">
        <f t="shared" si="97"/>
        <v>15.84</v>
      </c>
      <c r="R1581" s="24">
        <f t="shared" si="98"/>
        <v>0.48888888888888893</v>
      </c>
      <c r="S1581" t="s">
        <v>83</v>
      </c>
      <c r="T1581" t="s">
        <v>64</v>
      </c>
    </row>
    <row r="1582" spans="1:20" hidden="1">
      <c r="A1582" t="s">
        <v>1650</v>
      </c>
      <c r="B1582" s="5">
        <v>45334</v>
      </c>
      <c r="C1582" s="8">
        <f>YEAR(Tabla2[[#This Row],[fecha]])</f>
        <v>2024</v>
      </c>
      <c r="D1582" s="8">
        <f>MONTH(Tabla2[[#This Row],[fecha]])</f>
        <v>2</v>
      </c>
      <c r="E1582" s="8" t="str">
        <f>TEXT(Tabla2[[#This Row],[fecha]], "mmmm")</f>
        <v>febrero</v>
      </c>
      <c r="F1582" s="8" t="str">
        <f>"T"&amp;ROUNDUP(Tabla2[[#This Row],[mes]]/3,0)</f>
        <v>T1</v>
      </c>
      <c r="G1582" t="s">
        <v>20</v>
      </c>
      <c r="H1582" t="s">
        <v>21</v>
      </c>
      <c r="I1582" s="8" t="str">
        <f>IF(Tabla2[[#This Row],[precio_unitario]]&lt;=30,"Económico",IF(Tabla2[[#This Row],[precio_unitario]]&lt;=58.49,"Accesible","Caro"))</f>
        <v>Económico</v>
      </c>
      <c r="J1582" t="s">
        <v>17</v>
      </c>
      <c r="K1582">
        <v>3</v>
      </c>
      <c r="L1582" s="19">
        <v>21.08</v>
      </c>
      <c r="M1582" s="19">
        <v>12.78</v>
      </c>
      <c r="N1582" s="11">
        <v>0</v>
      </c>
      <c r="O1582" s="17">
        <f t="shared" si="99"/>
        <v>63.239999999999995</v>
      </c>
      <c r="P1582" s="17">
        <f t="shared" si="96"/>
        <v>38.339999999999996</v>
      </c>
      <c r="Q1582" s="17">
        <f t="shared" si="97"/>
        <v>24.9</v>
      </c>
      <c r="R1582" s="24">
        <f t="shared" si="98"/>
        <v>0.39373814041745731</v>
      </c>
      <c r="S1582" t="s">
        <v>96</v>
      </c>
      <c r="T1582" t="s">
        <v>64</v>
      </c>
    </row>
    <row r="1583" spans="1:20" hidden="1">
      <c r="A1583" t="s">
        <v>1651</v>
      </c>
      <c r="B1583" s="5">
        <v>45662</v>
      </c>
      <c r="C1583" s="8">
        <f>YEAR(Tabla2[[#This Row],[fecha]])</f>
        <v>2025</v>
      </c>
      <c r="D1583" s="8">
        <f>MONTH(Tabla2[[#This Row],[fecha]])</f>
        <v>1</v>
      </c>
      <c r="E1583" s="8" t="str">
        <f>TEXT(Tabla2[[#This Row],[fecha]], "mmmm")</f>
        <v>enero</v>
      </c>
      <c r="F1583" s="8" t="str">
        <f>"T"&amp;ROUNDUP(Tabla2[[#This Row],[mes]]/3,0)</f>
        <v>T1</v>
      </c>
      <c r="G1583" t="s">
        <v>11</v>
      </c>
      <c r="H1583" t="s">
        <v>12</v>
      </c>
      <c r="I1583" s="8" t="str">
        <f>IF(Tabla2[[#This Row],[precio_unitario]]&lt;=30,"Económico",IF(Tabla2[[#This Row],[precio_unitario]]&lt;=58.49,"Accesible","Caro"))</f>
        <v>Caro</v>
      </c>
      <c r="J1583" t="s">
        <v>8</v>
      </c>
      <c r="K1583">
        <v>2</v>
      </c>
      <c r="L1583" s="19">
        <v>179.69</v>
      </c>
      <c r="M1583" s="19">
        <v>97.27</v>
      </c>
      <c r="N1583" s="11">
        <v>0.18</v>
      </c>
      <c r="O1583" s="17">
        <f t="shared" si="99"/>
        <v>294.69159999999999</v>
      </c>
      <c r="P1583" s="17">
        <f t="shared" si="96"/>
        <v>194.54</v>
      </c>
      <c r="Q1583" s="17">
        <f t="shared" si="97"/>
        <v>100.1516</v>
      </c>
      <c r="R1583" s="24">
        <f t="shared" si="98"/>
        <v>0.33985223874721915</v>
      </c>
      <c r="S1583" t="s">
        <v>83</v>
      </c>
      <c r="T1583" t="s">
        <v>64</v>
      </c>
    </row>
    <row r="1584" spans="1:20" hidden="1">
      <c r="A1584" t="s">
        <v>1652</v>
      </c>
      <c r="B1584" s="5">
        <v>45297</v>
      </c>
      <c r="C1584" s="8">
        <f>YEAR(Tabla2[[#This Row],[fecha]])</f>
        <v>2024</v>
      </c>
      <c r="D1584" s="8">
        <f>MONTH(Tabla2[[#This Row],[fecha]])</f>
        <v>1</v>
      </c>
      <c r="E1584" s="8" t="str">
        <f>TEXT(Tabla2[[#This Row],[fecha]], "mmmm")</f>
        <v>enero</v>
      </c>
      <c r="F1584" s="8" t="str">
        <f>"T"&amp;ROUNDUP(Tabla2[[#This Row],[mes]]/3,0)</f>
        <v>T1</v>
      </c>
      <c r="G1584" t="s">
        <v>9</v>
      </c>
      <c r="H1584" t="s">
        <v>10</v>
      </c>
      <c r="I1584" s="8" t="str">
        <f>IF(Tabla2[[#This Row],[precio_unitario]]&lt;=30,"Económico",IF(Tabla2[[#This Row],[precio_unitario]]&lt;=58.49,"Accesible","Caro"))</f>
        <v>Caro</v>
      </c>
      <c r="J1584" t="s">
        <v>8</v>
      </c>
      <c r="K1584">
        <v>1</v>
      </c>
      <c r="L1584" s="19">
        <v>72.28</v>
      </c>
      <c r="M1584" s="19">
        <v>49.44</v>
      </c>
      <c r="N1584" s="11">
        <v>0</v>
      </c>
      <c r="O1584" s="17">
        <f t="shared" si="99"/>
        <v>72.28</v>
      </c>
      <c r="P1584" s="17">
        <f t="shared" si="96"/>
        <v>49.44</v>
      </c>
      <c r="Q1584" s="17">
        <f t="shared" si="97"/>
        <v>22.840000000000003</v>
      </c>
      <c r="R1584" s="24">
        <f t="shared" si="98"/>
        <v>0.31599335915882681</v>
      </c>
      <c r="S1584" t="s">
        <v>67</v>
      </c>
      <c r="T1584" t="s">
        <v>64</v>
      </c>
    </row>
    <row r="1585" spans="1:20" hidden="1">
      <c r="A1585" t="s">
        <v>1653</v>
      </c>
      <c r="B1585" s="5">
        <v>45680</v>
      </c>
      <c r="C1585" s="8">
        <f>YEAR(Tabla2[[#This Row],[fecha]])</f>
        <v>2025</v>
      </c>
      <c r="D1585" s="8">
        <f>MONTH(Tabla2[[#This Row],[fecha]])</f>
        <v>1</v>
      </c>
      <c r="E1585" s="8" t="str">
        <f>TEXT(Tabla2[[#This Row],[fecha]], "mmmm")</f>
        <v>enero</v>
      </c>
      <c r="F1585" s="8" t="str">
        <f>"T"&amp;ROUNDUP(Tabla2[[#This Row],[mes]]/3,0)</f>
        <v>T1</v>
      </c>
      <c r="G1585" t="s">
        <v>42</v>
      </c>
      <c r="H1585" t="s">
        <v>43</v>
      </c>
      <c r="I1585" s="8" t="str">
        <f>IF(Tabla2[[#This Row],[precio_unitario]]&lt;=30,"Económico",IF(Tabla2[[#This Row],[precio_unitario]]&lt;=58.49,"Accesible","Caro"))</f>
        <v>Accesible</v>
      </c>
      <c r="J1585" t="s">
        <v>44</v>
      </c>
      <c r="K1585">
        <v>4</v>
      </c>
      <c r="L1585" s="19">
        <v>50.28</v>
      </c>
      <c r="M1585" s="19">
        <v>22.28</v>
      </c>
      <c r="N1585" s="11">
        <v>0.28999999999999998</v>
      </c>
      <c r="O1585" s="17">
        <f t="shared" si="99"/>
        <v>142.79519999999999</v>
      </c>
      <c r="P1585" s="17">
        <f t="shared" si="96"/>
        <v>89.12</v>
      </c>
      <c r="Q1585" s="17">
        <f t="shared" si="97"/>
        <v>53.67519999999999</v>
      </c>
      <c r="R1585" s="24">
        <f t="shared" si="98"/>
        <v>0.37588938563761243</v>
      </c>
      <c r="S1585" t="s">
        <v>63</v>
      </c>
      <c r="T1585" t="s">
        <v>64</v>
      </c>
    </row>
    <row r="1586" spans="1:20" hidden="1">
      <c r="A1586" t="s">
        <v>1654</v>
      </c>
      <c r="B1586" s="5">
        <v>45757</v>
      </c>
      <c r="C1586" s="8">
        <f>YEAR(Tabla2[[#This Row],[fecha]])</f>
        <v>2025</v>
      </c>
      <c r="D1586" s="8">
        <f>MONTH(Tabla2[[#This Row],[fecha]])</f>
        <v>4</v>
      </c>
      <c r="E1586" s="8" t="str">
        <f>TEXT(Tabla2[[#This Row],[fecha]], "mmmm")</f>
        <v>abril</v>
      </c>
      <c r="F1586" s="8" t="str">
        <f>"T"&amp;ROUNDUP(Tabla2[[#This Row],[mes]]/3,0)</f>
        <v>T2</v>
      </c>
      <c r="G1586" t="s">
        <v>15</v>
      </c>
      <c r="H1586" t="s">
        <v>16</v>
      </c>
      <c r="I1586" s="8" t="str">
        <f>IF(Tabla2[[#This Row],[precio_unitario]]&lt;=30,"Económico",IF(Tabla2[[#This Row],[precio_unitario]]&lt;=58.49,"Accesible","Caro"))</f>
        <v>Accesible</v>
      </c>
      <c r="J1586" t="s">
        <v>17</v>
      </c>
      <c r="K1586">
        <v>1</v>
      </c>
      <c r="L1586" s="19">
        <v>56.56</v>
      </c>
      <c r="M1586" s="19">
        <v>43.09</v>
      </c>
      <c r="N1586" s="11">
        <v>0</v>
      </c>
      <c r="O1586" s="17">
        <f t="shared" si="99"/>
        <v>56.56</v>
      </c>
      <c r="P1586" s="17">
        <f t="shared" si="96"/>
        <v>43.09</v>
      </c>
      <c r="Q1586" s="17">
        <f t="shared" si="97"/>
        <v>13.469999999999999</v>
      </c>
      <c r="R1586" s="24">
        <f t="shared" si="98"/>
        <v>0.23815417256011312</v>
      </c>
      <c r="S1586" t="s">
        <v>540</v>
      </c>
      <c r="T1586" t="s">
        <v>60</v>
      </c>
    </row>
    <row r="1587" spans="1:20" hidden="1">
      <c r="A1587" t="s">
        <v>1655</v>
      </c>
      <c r="B1587" s="5">
        <v>45399</v>
      </c>
      <c r="C1587" s="8">
        <f>YEAR(Tabla2[[#This Row],[fecha]])</f>
        <v>2024</v>
      </c>
      <c r="D1587" s="8">
        <f>MONTH(Tabla2[[#This Row],[fecha]])</f>
        <v>4</v>
      </c>
      <c r="E1587" s="8" t="str">
        <f>TEXT(Tabla2[[#This Row],[fecha]], "mmmm")</f>
        <v>abril</v>
      </c>
      <c r="F1587" s="8" t="str">
        <f>"T"&amp;ROUNDUP(Tabla2[[#This Row],[mes]]/3,0)</f>
        <v>T2</v>
      </c>
      <c r="G1587" t="s">
        <v>11</v>
      </c>
      <c r="H1587" t="s">
        <v>12</v>
      </c>
      <c r="I1587" s="8" t="str">
        <f>IF(Tabla2[[#This Row],[precio_unitario]]&lt;=30,"Económico",IF(Tabla2[[#This Row],[precio_unitario]]&lt;=58.49,"Accesible","Caro"))</f>
        <v>Caro</v>
      </c>
      <c r="J1587" t="s">
        <v>8</v>
      </c>
      <c r="K1587">
        <v>3</v>
      </c>
      <c r="L1587" s="19">
        <v>169.11</v>
      </c>
      <c r="M1587" s="19">
        <v>97.67</v>
      </c>
      <c r="N1587" s="11">
        <v>0.27</v>
      </c>
      <c r="O1587" s="17">
        <f t="shared" si="99"/>
        <v>370.35090000000002</v>
      </c>
      <c r="P1587" s="17">
        <f t="shared" si="96"/>
        <v>293.01</v>
      </c>
      <c r="Q1587" s="17">
        <f t="shared" si="97"/>
        <v>77.340900000000033</v>
      </c>
      <c r="R1587" s="24">
        <f t="shared" si="98"/>
        <v>0.20883140826713267</v>
      </c>
      <c r="S1587" t="s">
        <v>540</v>
      </c>
      <c r="T1587" t="s">
        <v>60</v>
      </c>
    </row>
    <row r="1588" spans="1:20">
      <c r="A1588" t="s">
        <v>1656</v>
      </c>
      <c r="B1588" s="5">
        <v>45667</v>
      </c>
      <c r="C1588" s="8">
        <f>YEAR(Tabla2[[#This Row],[fecha]])</f>
        <v>2025</v>
      </c>
      <c r="D1588" s="8">
        <f>MONTH(Tabla2[[#This Row],[fecha]])</f>
        <v>1</v>
      </c>
      <c r="E1588" s="8" t="str">
        <f>TEXT(Tabla2[[#This Row],[fecha]], "mmmm")</f>
        <v>enero</v>
      </c>
      <c r="F1588" s="8" t="str">
        <f>"T"&amp;ROUNDUP(Tabla2[[#This Row],[mes]]/3,0)</f>
        <v>T1</v>
      </c>
      <c r="G1588" t="s">
        <v>24</v>
      </c>
      <c r="H1588" t="s">
        <v>25</v>
      </c>
      <c r="I1588" s="8" t="str">
        <f>IF(Tabla2[[#This Row],[precio_unitario]]&lt;=30,"Económico",IF(Tabla2[[#This Row],[precio_unitario]]&lt;=58.49,"Accesible","Caro"))</f>
        <v>Económico</v>
      </c>
      <c r="J1588" t="s">
        <v>26</v>
      </c>
      <c r="K1588">
        <v>1</v>
      </c>
      <c r="L1588" s="19">
        <v>8.27</v>
      </c>
      <c r="M1588" s="19">
        <v>4.24</v>
      </c>
      <c r="N1588" s="11">
        <v>0</v>
      </c>
      <c r="O1588" s="17">
        <f t="shared" si="99"/>
        <v>8.27</v>
      </c>
      <c r="P1588" s="17">
        <f t="shared" si="96"/>
        <v>4.24</v>
      </c>
      <c r="Q1588" s="17">
        <f t="shared" si="97"/>
        <v>4.0299999999999994</v>
      </c>
      <c r="R1588" s="24">
        <f t="shared" si="98"/>
        <v>0.48730350665054406</v>
      </c>
      <c r="S1588" t="s">
        <v>67</v>
      </c>
      <c r="T1588" t="s">
        <v>60</v>
      </c>
    </row>
    <row r="1589" spans="1:20">
      <c r="A1589" t="s">
        <v>1657</v>
      </c>
      <c r="B1589" s="5">
        <v>45756</v>
      </c>
      <c r="C1589" s="8">
        <f>YEAR(Tabla2[[#This Row],[fecha]])</f>
        <v>2025</v>
      </c>
      <c r="D1589" s="8">
        <f>MONTH(Tabla2[[#This Row],[fecha]])</f>
        <v>4</v>
      </c>
      <c r="E1589" s="8" t="str">
        <f>TEXT(Tabla2[[#This Row],[fecha]], "mmmm")</f>
        <v>abril</v>
      </c>
      <c r="F1589" s="8" t="str">
        <f>"T"&amp;ROUNDUP(Tabla2[[#This Row],[mes]]/3,0)</f>
        <v>T2</v>
      </c>
      <c r="G1589" t="s">
        <v>9</v>
      </c>
      <c r="H1589" t="s">
        <v>10</v>
      </c>
      <c r="I1589" s="8" t="str">
        <f>IF(Tabla2[[#This Row],[precio_unitario]]&lt;=30,"Económico",IF(Tabla2[[#This Row],[precio_unitario]]&lt;=58.49,"Accesible","Caro"))</f>
        <v>Caro</v>
      </c>
      <c r="J1589" t="s">
        <v>8</v>
      </c>
      <c r="K1589">
        <v>3</v>
      </c>
      <c r="L1589" s="19">
        <v>75.84</v>
      </c>
      <c r="M1589" s="19">
        <v>46.32</v>
      </c>
      <c r="N1589" s="11">
        <v>0.11</v>
      </c>
      <c r="O1589" s="17">
        <f t="shared" si="99"/>
        <v>202.49280000000002</v>
      </c>
      <c r="P1589" s="17">
        <f t="shared" si="96"/>
        <v>138.96</v>
      </c>
      <c r="Q1589" s="17">
        <f t="shared" si="97"/>
        <v>63.532800000000009</v>
      </c>
      <c r="R1589" s="24">
        <f t="shared" si="98"/>
        <v>0.31375337789788083</v>
      </c>
      <c r="S1589" t="s">
        <v>67</v>
      </c>
      <c r="T1589" t="s">
        <v>60</v>
      </c>
    </row>
    <row r="1590" spans="1:20">
      <c r="A1590" t="s">
        <v>1658</v>
      </c>
      <c r="B1590" s="5">
        <v>45745</v>
      </c>
      <c r="C1590" s="8">
        <f>YEAR(Tabla2[[#This Row],[fecha]])</f>
        <v>2025</v>
      </c>
      <c r="D1590" s="8">
        <f>MONTH(Tabla2[[#This Row],[fecha]])</f>
        <v>3</v>
      </c>
      <c r="E1590" s="8" t="str">
        <f>TEXT(Tabla2[[#This Row],[fecha]], "mmmm")</f>
        <v>marzo</v>
      </c>
      <c r="F1590" s="8" t="str">
        <f>"T"&amp;ROUNDUP(Tabla2[[#This Row],[mes]]/3,0)</f>
        <v>T1</v>
      </c>
      <c r="G1590" t="s">
        <v>38</v>
      </c>
      <c r="H1590" t="s">
        <v>39</v>
      </c>
      <c r="I1590" s="8" t="str">
        <f>IF(Tabla2[[#This Row],[precio_unitario]]&lt;=30,"Económico",IF(Tabla2[[#This Row],[precio_unitario]]&lt;=58.49,"Accesible","Caro"))</f>
        <v>Caro</v>
      </c>
      <c r="J1590" t="s">
        <v>35</v>
      </c>
      <c r="K1590">
        <v>2</v>
      </c>
      <c r="L1590" s="19">
        <v>72.33</v>
      </c>
      <c r="M1590" s="19">
        <v>44.76</v>
      </c>
      <c r="N1590" s="13">
        <v>0</v>
      </c>
      <c r="O1590" s="17">
        <f t="shared" si="99"/>
        <v>144.66</v>
      </c>
      <c r="P1590" s="17">
        <f t="shared" si="96"/>
        <v>89.52</v>
      </c>
      <c r="Q1590" s="17">
        <f t="shared" si="97"/>
        <v>55.14</v>
      </c>
      <c r="R1590" s="24">
        <f t="shared" si="98"/>
        <v>0.38116963915387808</v>
      </c>
      <c r="S1590" t="s">
        <v>67</v>
      </c>
      <c r="T1590" t="s">
        <v>64</v>
      </c>
    </row>
    <row r="1591" spans="1:20" hidden="1">
      <c r="A1591" t="s">
        <v>1659</v>
      </c>
      <c r="B1591" s="5">
        <v>45570</v>
      </c>
      <c r="C1591" s="8">
        <f>YEAR(Tabla2[[#This Row],[fecha]])</f>
        <v>2024</v>
      </c>
      <c r="D1591" s="8">
        <f>MONTH(Tabla2[[#This Row],[fecha]])</f>
        <v>10</v>
      </c>
      <c r="E1591" s="8" t="str">
        <f>TEXT(Tabla2[[#This Row],[fecha]], "mmmm")</f>
        <v>octubre</v>
      </c>
      <c r="F1591" s="8" t="str">
        <f>"T"&amp;ROUNDUP(Tabla2[[#This Row],[mes]]/3,0)</f>
        <v>T4</v>
      </c>
      <c r="G1591" t="s">
        <v>20</v>
      </c>
      <c r="H1591" t="s">
        <v>21</v>
      </c>
      <c r="I1591" s="8" t="str">
        <f>IF(Tabla2[[#This Row],[precio_unitario]]&lt;=30,"Económico",IF(Tabla2[[#This Row],[precio_unitario]]&lt;=58.49,"Accesible","Caro"))</f>
        <v>Económico</v>
      </c>
      <c r="J1591" t="s">
        <v>17</v>
      </c>
      <c r="K1591">
        <v>2</v>
      </c>
      <c r="L1591" s="19">
        <v>19.600000000000001</v>
      </c>
      <c r="M1591" s="19">
        <v>13.04</v>
      </c>
      <c r="N1591" s="11">
        <v>0</v>
      </c>
      <c r="O1591" s="17">
        <f t="shared" si="99"/>
        <v>39.200000000000003</v>
      </c>
      <c r="P1591" s="17">
        <f t="shared" si="96"/>
        <v>26.08</v>
      </c>
      <c r="Q1591" s="17">
        <f t="shared" si="97"/>
        <v>13.120000000000005</v>
      </c>
      <c r="R1591" s="24">
        <f t="shared" si="98"/>
        <v>0.33469387755102048</v>
      </c>
      <c r="S1591" t="s">
        <v>96</v>
      </c>
      <c r="T1591" t="s">
        <v>64</v>
      </c>
    </row>
    <row r="1592" spans="1:20" hidden="1">
      <c r="A1592" t="s">
        <v>1660</v>
      </c>
      <c r="B1592" s="5">
        <v>45999</v>
      </c>
      <c r="C1592" s="8">
        <f>YEAR(Tabla2[[#This Row],[fecha]])</f>
        <v>2025</v>
      </c>
      <c r="D1592" s="8">
        <f>MONTH(Tabla2[[#This Row],[fecha]])</f>
        <v>12</v>
      </c>
      <c r="E1592" s="8" t="str">
        <f>TEXT(Tabla2[[#This Row],[fecha]], "mmmm")</f>
        <v>diciembre</v>
      </c>
      <c r="F1592" s="8" t="str">
        <f>"T"&amp;ROUNDUP(Tabla2[[#This Row],[mes]]/3,0)</f>
        <v>T4</v>
      </c>
      <c r="G1592" t="s">
        <v>27</v>
      </c>
      <c r="H1592" t="s">
        <v>28</v>
      </c>
      <c r="I1592" s="8" t="str">
        <f>IF(Tabla2[[#This Row],[precio_unitario]]&lt;=30,"Económico",IF(Tabla2[[#This Row],[precio_unitario]]&lt;=58.49,"Accesible","Caro"))</f>
        <v>Económico</v>
      </c>
      <c r="J1592" t="s">
        <v>26</v>
      </c>
      <c r="K1592">
        <v>1</v>
      </c>
      <c r="L1592" s="19">
        <v>16.62</v>
      </c>
      <c r="M1592" s="21">
        <f>INDEX(Tabla3[coste_objetivo], MATCH(Tabla2[[#This Row],[id_producto]], Tabla3[id_producto],0))</f>
        <v>11.44</v>
      </c>
      <c r="N1592" s="11">
        <v>0</v>
      </c>
      <c r="O1592" s="17">
        <f t="shared" si="99"/>
        <v>16.62</v>
      </c>
      <c r="P1592" s="17">
        <f t="shared" si="96"/>
        <v>11.44</v>
      </c>
      <c r="Q1592" s="17">
        <f t="shared" si="97"/>
        <v>5.1800000000000015</v>
      </c>
      <c r="R1592" s="24">
        <f t="shared" si="98"/>
        <v>0.31167268351383881</v>
      </c>
      <c r="S1592" t="s">
        <v>63</v>
      </c>
      <c r="T1592" t="s">
        <v>64</v>
      </c>
    </row>
    <row r="1593" spans="1:20" hidden="1">
      <c r="A1593" t="s">
        <v>1661</v>
      </c>
      <c r="B1593" s="5">
        <v>45539</v>
      </c>
      <c r="C1593" s="8">
        <f>YEAR(Tabla2[[#This Row],[fecha]])</f>
        <v>2024</v>
      </c>
      <c r="D1593" s="8">
        <f>MONTH(Tabla2[[#This Row],[fecha]])</f>
        <v>9</v>
      </c>
      <c r="E1593" s="8" t="str">
        <f>TEXT(Tabla2[[#This Row],[fecha]], "mmmm")</f>
        <v>septiembre</v>
      </c>
      <c r="F1593" s="8" t="str">
        <f>"T"&amp;ROUNDUP(Tabla2[[#This Row],[mes]]/3,0)</f>
        <v>T3</v>
      </c>
      <c r="G1593" t="s">
        <v>6</v>
      </c>
      <c r="H1593" t="s">
        <v>7</v>
      </c>
      <c r="I1593" s="8" t="str">
        <f>IF(Tabla2[[#This Row],[precio_unitario]]&lt;=30,"Económico",IF(Tabla2[[#This Row],[precio_unitario]]&lt;=58.49,"Accesible","Caro"))</f>
        <v>Caro</v>
      </c>
      <c r="J1593" t="s">
        <v>8</v>
      </c>
      <c r="K1593">
        <v>1</v>
      </c>
      <c r="L1593" s="19">
        <v>116.52</v>
      </c>
      <c r="M1593" s="19">
        <v>83.49</v>
      </c>
      <c r="N1593" s="13">
        <v>0</v>
      </c>
      <c r="O1593" s="17">
        <f t="shared" si="99"/>
        <v>116.52</v>
      </c>
      <c r="P1593" s="17">
        <f t="shared" si="96"/>
        <v>83.49</v>
      </c>
      <c r="Q1593" s="17">
        <f t="shared" si="97"/>
        <v>33.03</v>
      </c>
      <c r="R1593" s="24">
        <f t="shared" si="98"/>
        <v>0.28347064881565398</v>
      </c>
      <c r="S1593" t="s">
        <v>96</v>
      </c>
      <c r="T1593" t="s">
        <v>64</v>
      </c>
    </row>
    <row r="1594" spans="1:20" hidden="1">
      <c r="A1594" t="s">
        <v>1662</v>
      </c>
      <c r="B1594" s="5">
        <v>45507</v>
      </c>
      <c r="C1594" s="8">
        <f>YEAR(Tabla2[[#This Row],[fecha]])</f>
        <v>2024</v>
      </c>
      <c r="D1594" s="8">
        <f>MONTH(Tabla2[[#This Row],[fecha]])</f>
        <v>8</v>
      </c>
      <c r="E1594" s="8" t="str">
        <f>TEXT(Tabla2[[#This Row],[fecha]], "mmmm")</f>
        <v>agosto</v>
      </c>
      <c r="F1594" s="8" t="str">
        <f>"T"&amp;ROUNDUP(Tabla2[[#This Row],[mes]]/3,0)</f>
        <v>T3</v>
      </c>
      <c r="G1594" t="s">
        <v>29</v>
      </c>
      <c r="H1594" t="s">
        <v>30</v>
      </c>
      <c r="I1594" s="8" t="str">
        <f>IF(Tabla2[[#This Row],[precio_unitario]]&lt;=30,"Económico",IF(Tabla2[[#This Row],[precio_unitario]]&lt;=58.49,"Accesible","Caro"))</f>
        <v>Económico</v>
      </c>
      <c r="J1594" t="s">
        <v>26</v>
      </c>
      <c r="K1594">
        <v>7</v>
      </c>
      <c r="L1594" s="19">
        <v>23.03</v>
      </c>
      <c r="M1594" s="19">
        <v>11.94</v>
      </c>
      <c r="N1594" s="11">
        <v>0</v>
      </c>
      <c r="O1594" s="17">
        <f t="shared" si="99"/>
        <v>161.21</v>
      </c>
      <c r="P1594" s="17">
        <f t="shared" si="96"/>
        <v>83.58</v>
      </c>
      <c r="Q1594" s="17">
        <f t="shared" si="97"/>
        <v>77.63000000000001</v>
      </c>
      <c r="R1594" s="24">
        <f t="shared" si="98"/>
        <v>0.48154580981328704</v>
      </c>
      <c r="S1594" t="s">
        <v>67</v>
      </c>
      <c r="T1594" t="s">
        <v>60</v>
      </c>
    </row>
    <row r="1595" spans="1:20" hidden="1">
      <c r="A1595" t="s">
        <v>1663</v>
      </c>
      <c r="B1595" s="5">
        <v>45818</v>
      </c>
      <c r="C1595" s="8">
        <f>YEAR(Tabla2[[#This Row],[fecha]])</f>
        <v>2025</v>
      </c>
      <c r="D1595" s="8">
        <f>MONTH(Tabla2[[#This Row],[fecha]])</f>
        <v>6</v>
      </c>
      <c r="E1595" s="8" t="str">
        <f>TEXT(Tabla2[[#This Row],[fecha]], "mmmm")</f>
        <v>junio</v>
      </c>
      <c r="F1595" s="8" t="str">
        <f>"T"&amp;ROUNDUP(Tabla2[[#This Row],[mes]]/3,0)</f>
        <v>T2</v>
      </c>
      <c r="G1595" t="s">
        <v>18</v>
      </c>
      <c r="H1595" t="s">
        <v>19</v>
      </c>
      <c r="I1595" s="8" t="str">
        <f>IF(Tabla2[[#This Row],[precio_unitario]]&lt;=30,"Económico",IF(Tabla2[[#This Row],[precio_unitario]]&lt;=58.49,"Accesible","Caro"))</f>
        <v>Accesible</v>
      </c>
      <c r="J1595" t="s">
        <v>17</v>
      </c>
      <c r="K1595">
        <v>3</v>
      </c>
      <c r="L1595" s="19">
        <v>49.52</v>
      </c>
      <c r="M1595" s="19">
        <v>26.42</v>
      </c>
      <c r="N1595" s="11">
        <v>0.22</v>
      </c>
      <c r="O1595" s="17">
        <f t="shared" si="99"/>
        <v>115.8768</v>
      </c>
      <c r="P1595" s="17">
        <f t="shared" si="96"/>
        <v>79.260000000000005</v>
      </c>
      <c r="Q1595" s="17">
        <f t="shared" si="97"/>
        <v>36.616799999999998</v>
      </c>
      <c r="R1595" s="24">
        <f t="shared" si="98"/>
        <v>0.31599768029493391</v>
      </c>
      <c r="S1595" t="s">
        <v>83</v>
      </c>
      <c r="T1595" t="s">
        <v>60</v>
      </c>
    </row>
    <row r="1596" spans="1:20" hidden="1">
      <c r="A1596" t="s">
        <v>1664</v>
      </c>
      <c r="B1596" s="5">
        <v>45629</v>
      </c>
      <c r="C1596" s="8">
        <f>YEAR(Tabla2[[#This Row],[fecha]])</f>
        <v>2024</v>
      </c>
      <c r="D1596" s="8">
        <f>MONTH(Tabla2[[#This Row],[fecha]])</f>
        <v>12</v>
      </c>
      <c r="E1596" s="8" t="str">
        <f>TEXT(Tabla2[[#This Row],[fecha]], "mmmm")</f>
        <v>diciembre</v>
      </c>
      <c r="F1596" s="8" t="str">
        <f>"T"&amp;ROUNDUP(Tabla2[[#This Row],[mes]]/3,0)</f>
        <v>T4</v>
      </c>
      <c r="G1596" t="s">
        <v>29</v>
      </c>
      <c r="H1596" t="s">
        <v>30</v>
      </c>
      <c r="I1596" s="8" t="str">
        <f>IF(Tabla2[[#This Row],[precio_unitario]]&lt;=30,"Económico",IF(Tabla2[[#This Row],[precio_unitario]]&lt;=58.49,"Accesible","Caro"))</f>
        <v>Económico</v>
      </c>
      <c r="J1596" t="s">
        <v>26</v>
      </c>
      <c r="K1596">
        <v>5</v>
      </c>
      <c r="L1596" s="19">
        <v>20.52</v>
      </c>
      <c r="M1596" s="19">
        <v>11.2</v>
      </c>
      <c r="N1596" s="11">
        <v>0</v>
      </c>
      <c r="O1596" s="17">
        <f t="shared" si="99"/>
        <v>102.6</v>
      </c>
      <c r="P1596" s="17">
        <f t="shared" si="96"/>
        <v>56</v>
      </c>
      <c r="Q1596" s="17">
        <f t="shared" si="97"/>
        <v>46.599999999999994</v>
      </c>
      <c r="R1596" s="24">
        <f t="shared" si="98"/>
        <v>0.45419103313840153</v>
      </c>
      <c r="S1596" t="s">
        <v>540</v>
      </c>
      <c r="T1596" t="s">
        <v>60</v>
      </c>
    </row>
    <row r="1597" spans="1:20" hidden="1">
      <c r="A1597" t="s">
        <v>1665</v>
      </c>
      <c r="B1597" s="5">
        <v>46011</v>
      </c>
      <c r="C1597" s="8">
        <f>YEAR(Tabla2[[#This Row],[fecha]])</f>
        <v>2025</v>
      </c>
      <c r="D1597" s="8">
        <f>MONTH(Tabla2[[#This Row],[fecha]])</f>
        <v>12</v>
      </c>
      <c r="E1597" s="8" t="str">
        <f>TEXT(Tabla2[[#This Row],[fecha]], "mmmm")</f>
        <v>diciembre</v>
      </c>
      <c r="F1597" s="8" t="str">
        <f>"T"&amp;ROUNDUP(Tabla2[[#This Row],[mes]]/3,0)</f>
        <v>T4</v>
      </c>
      <c r="G1597" t="s">
        <v>36</v>
      </c>
      <c r="H1597" t="s">
        <v>37</v>
      </c>
      <c r="I1597" s="8" t="str">
        <f>IF(Tabla2[[#This Row],[precio_unitario]]&lt;=30,"Económico",IF(Tabla2[[#This Row],[precio_unitario]]&lt;=58.49,"Accesible","Caro"))</f>
        <v>Económico</v>
      </c>
      <c r="J1597" t="s">
        <v>35</v>
      </c>
      <c r="K1597">
        <v>13</v>
      </c>
      <c r="L1597" s="19">
        <v>15.09</v>
      </c>
      <c r="M1597" s="19">
        <v>9.76</v>
      </c>
      <c r="N1597" s="11">
        <v>0.16</v>
      </c>
      <c r="O1597" s="17">
        <f t="shared" si="99"/>
        <v>164.78279999999998</v>
      </c>
      <c r="P1597" s="17">
        <f t="shared" si="96"/>
        <v>126.88</v>
      </c>
      <c r="Q1597" s="17">
        <f t="shared" si="97"/>
        <v>37.902799999999985</v>
      </c>
      <c r="R1597" s="24">
        <f t="shared" si="98"/>
        <v>0.23001672504654605</v>
      </c>
      <c r="S1597" t="s">
        <v>540</v>
      </c>
      <c r="T1597" t="s">
        <v>60</v>
      </c>
    </row>
    <row r="1598" spans="1:20" hidden="1">
      <c r="A1598" t="s">
        <v>1666</v>
      </c>
      <c r="B1598" s="5">
        <v>45577</v>
      </c>
      <c r="C1598" s="8">
        <f>YEAR(Tabla2[[#This Row],[fecha]])</f>
        <v>2024</v>
      </c>
      <c r="D1598" s="8">
        <f>MONTH(Tabla2[[#This Row],[fecha]])</f>
        <v>10</v>
      </c>
      <c r="E1598" s="8" t="str">
        <f>TEXT(Tabla2[[#This Row],[fecha]], "mmmm")</f>
        <v>octubre</v>
      </c>
      <c r="F1598" s="8" t="str">
        <f>"T"&amp;ROUNDUP(Tabla2[[#This Row],[mes]]/3,0)</f>
        <v>T4</v>
      </c>
      <c r="G1598" t="s">
        <v>11</v>
      </c>
      <c r="H1598" t="s">
        <v>12</v>
      </c>
      <c r="I1598" s="8" t="str">
        <f>IF(Tabla2[[#This Row],[precio_unitario]]&lt;=30,"Económico",IF(Tabla2[[#This Row],[precio_unitario]]&lt;=58.49,"Accesible","Caro"))</f>
        <v>Caro</v>
      </c>
      <c r="J1598" t="s">
        <v>8</v>
      </c>
      <c r="K1598">
        <v>4</v>
      </c>
      <c r="L1598" s="19">
        <v>172.92</v>
      </c>
      <c r="M1598" s="19">
        <v>89.74</v>
      </c>
      <c r="N1598" s="11">
        <v>0</v>
      </c>
      <c r="O1598" s="17">
        <f t="shared" si="99"/>
        <v>691.68</v>
      </c>
      <c r="P1598" s="17">
        <f t="shared" si="96"/>
        <v>358.96</v>
      </c>
      <c r="Q1598" s="17">
        <f t="shared" si="97"/>
        <v>332.71999999999997</v>
      </c>
      <c r="R1598" s="24">
        <f t="shared" si="98"/>
        <v>0.48103169095535508</v>
      </c>
      <c r="S1598" t="s">
        <v>67</v>
      </c>
      <c r="T1598" t="s">
        <v>64</v>
      </c>
    </row>
    <row r="1599" spans="1:20" hidden="1">
      <c r="A1599" t="s">
        <v>1667</v>
      </c>
      <c r="B1599" s="5">
        <v>45561</v>
      </c>
      <c r="C1599" s="8">
        <f>YEAR(Tabla2[[#This Row],[fecha]])</f>
        <v>2024</v>
      </c>
      <c r="D1599" s="8">
        <f>MONTH(Tabla2[[#This Row],[fecha]])</f>
        <v>9</v>
      </c>
      <c r="E1599" s="8" t="str">
        <f>TEXT(Tabla2[[#This Row],[fecha]], "mmmm")</f>
        <v>septiembre</v>
      </c>
      <c r="F1599" s="8" t="str">
        <f>"T"&amp;ROUNDUP(Tabla2[[#This Row],[mes]]/3,0)</f>
        <v>T3</v>
      </c>
      <c r="G1599" t="s">
        <v>24</v>
      </c>
      <c r="H1599" t="s">
        <v>25</v>
      </c>
      <c r="I1599" s="8" t="str">
        <f>IF(Tabla2[[#This Row],[precio_unitario]]&lt;=30,"Económico",IF(Tabla2[[#This Row],[precio_unitario]]&lt;=58.49,"Accesible","Caro"))</f>
        <v>Económico</v>
      </c>
      <c r="J1599" t="s">
        <v>26</v>
      </c>
      <c r="K1599">
        <v>2</v>
      </c>
      <c r="L1599" s="19">
        <v>7.96</v>
      </c>
      <c r="M1599" s="19">
        <v>4.49</v>
      </c>
      <c r="N1599" s="11">
        <v>0.11</v>
      </c>
      <c r="O1599" s="17">
        <f t="shared" si="99"/>
        <v>14.168800000000001</v>
      </c>
      <c r="P1599" s="17">
        <f t="shared" si="96"/>
        <v>8.98</v>
      </c>
      <c r="Q1599" s="17">
        <f t="shared" si="97"/>
        <v>5.1888000000000005</v>
      </c>
      <c r="R1599" s="24">
        <f t="shared" si="98"/>
        <v>0.36621308791146745</v>
      </c>
      <c r="S1599" t="s">
        <v>83</v>
      </c>
      <c r="T1599" t="s">
        <v>64</v>
      </c>
    </row>
    <row r="1600" spans="1:20" hidden="1">
      <c r="A1600" t="s">
        <v>1668</v>
      </c>
      <c r="B1600" s="5">
        <v>45760</v>
      </c>
      <c r="C1600" s="8">
        <f>YEAR(Tabla2[[#This Row],[fecha]])</f>
        <v>2025</v>
      </c>
      <c r="D1600" s="8">
        <f>MONTH(Tabla2[[#This Row],[fecha]])</f>
        <v>4</v>
      </c>
      <c r="E1600" s="8" t="str">
        <f>TEXT(Tabla2[[#This Row],[fecha]], "mmmm")</f>
        <v>abril</v>
      </c>
      <c r="F1600" s="8" t="str">
        <f>"T"&amp;ROUNDUP(Tabla2[[#This Row],[mes]]/3,0)</f>
        <v>T2</v>
      </c>
      <c r="G1600" t="s">
        <v>27</v>
      </c>
      <c r="H1600" t="s">
        <v>28</v>
      </c>
      <c r="I1600" s="8" t="str">
        <f>IF(Tabla2[[#This Row],[precio_unitario]]&lt;=30,"Económico",IF(Tabla2[[#This Row],[precio_unitario]]&lt;=58.49,"Accesible","Caro"))</f>
        <v>Económico</v>
      </c>
      <c r="J1600" t="s">
        <v>26</v>
      </c>
      <c r="K1600">
        <v>2</v>
      </c>
      <c r="L1600" s="19">
        <v>17.38</v>
      </c>
      <c r="M1600" s="19">
        <v>11.11</v>
      </c>
      <c r="N1600" s="11">
        <v>0</v>
      </c>
      <c r="O1600" s="17">
        <f t="shared" si="99"/>
        <v>34.76</v>
      </c>
      <c r="P1600" s="17">
        <f t="shared" si="96"/>
        <v>22.22</v>
      </c>
      <c r="Q1600" s="17">
        <f t="shared" si="97"/>
        <v>12.54</v>
      </c>
      <c r="R1600" s="24">
        <f t="shared" si="98"/>
        <v>0.36075949367088606</v>
      </c>
      <c r="S1600" s="10" t="s">
        <v>2377</v>
      </c>
      <c r="T1600" t="s">
        <v>64</v>
      </c>
    </row>
    <row r="1601" spans="1:20" hidden="1">
      <c r="A1601" t="s">
        <v>1669</v>
      </c>
      <c r="B1601" s="5">
        <v>45576</v>
      </c>
      <c r="C1601" s="8">
        <f>YEAR(Tabla2[[#This Row],[fecha]])</f>
        <v>2024</v>
      </c>
      <c r="D1601" s="8">
        <f>MONTH(Tabla2[[#This Row],[fecha]])</f>
        <v>10</v>
      </c>
      <c r="E1601" s="8" t="str">
        <f>TEXT(Tabla2[[#This Row],[fecha]], "mmmm")</f>
        <v>octubre</v>
      </c>
      <c r="F1601" s="8" t="str">
        <f>"T"&amp;ROUNDUP(Tabla2[[#This Row],[mes]]/3,0)</f>
        <v>T4</v>
      </c>
      <c r="G1601" t="s">
        <v>22</v>
      </c>
      <c r="H1601" t="s">
        <v>23</v>
      </c>
      <c r="I1601" s="8" t="str">
        <f>IF(Tabla2[[#This Row],[precio_unitario]]&lt;=30,"Económico",IF(Tabla2[[#This Row],[precio_unitario]]&lt;=58.49,"Accesible","Caro"))</f>
        <v>Caro</v>
      </c>
      <c r="J1601" t="s">
        <v>17</v>
      </c>
      <c r="K1601">
        <v>8</v>
      </c>
      <c r="L1601" s="19">
        <v>110.13</v>
      </c>
      <c r="M1601" s="19">
        <v>60.2</v>
      </c>
      <c r="N1601" s="11">
        <v>0</v>
      </c>
      <c r="O1601" s="17">
        <f t="shared" si="99"/>
        <v>881.04</v>
      </c>
      <c r="P1601" s="17">
        <f t="shared" si="96"/>
        <v>481.6</v>
      </c>
      <c r="Q1601" s="17">
        <f t="shared" si="97"/>
        <v>399.43999999999994</v>
      </c>
      <c r="R1601" s="24">
        <f t="shared" si="98"/>
        <v>0.45337328611640781</v>
      </c>
      <c r="S1601" t="s">
        <v>67</v>
      </c>
      <c r="T1601" t="s">
        <v>60</v>
      </c>
    </row>
    <row r="1602" spans="1:20" hidden="1">
      <c r="A1602" t="s">
        <v>1670</v>
      </c>
      <c r="B1602" s="5">
        <v>45553</v>
      </c>
      <c r="C1602" s="8">
        <f>YEAR(Tabla2[[#This Row],[fecha]])</f>
        <v>2024</v>
      </c>
      <c r="D1602" s="8">
        <f>MONTH(Tabla2[[#This Row],[fecha]])</f>
        <v>9</v>
      </c>
      <c r="E1602" s="8" t="str">
        <f>TEXT(Tabla2[[#This Row],[fecha]], "mmmm")</f>
        <v>septiembre</v>
      </c>
      <c r="F1602" s="8" t="str">
        <f>"T"&amp;ROUNDUP(Tabla2[[#This Row],[mes]]/3,0)</f>
        <v>T3</v>
      </c>
      <c r="G1602" t="s">
        <v>40</v>
      </c>
      <c r="H1602" t="s">
        <v>41</v>
      </c>
      <c r="I1602" s="8" t="str">
        <f>IF(Tabla2[[#This Row],[precio_unitario]]&lt;=30,"Económico",IF(Tabla2[[#This Row],[precio_unitario]]&lt;=58.49,"Accesible","Caro"))</f>
        <v>Caro</v>
      </c>
      <c r="J1602" t="s">
        <v>35</v>
      </c>
      <c r="K1602">
        <v>1</v>
      </c>
      <c r="L1602" s="19">
        <v>75</v>
      </c>
      <c r="M1602" s="19">
        <v>41.45</v>
      </c>
      <c r="N1602" s="13">
        <v>0</v>
      </c>
      <c r="O1602" s="17">
        <f t="shared" si="99"/>
        <v>75</v>
      </c>
      <c r="P1602" s="17">
        <f t="shared" ref="P1602:P1665" si="100">M1602*K1602</f>
        <v>41.45</v>
      </c>
      <c r="Q1602" s="17">
        <f t="shared" ref="Q1602:Q1665" si="101">O1602-P1602</f>
        <v>33.549999999999997</v>
      </c>
      <c r="R1602" s="24">
        <f t="shared" ref="R1602:R1665" si="102">IFERROR(Q1602/O1602,0)</f>
        <v>0.44733333333333331</v>
      </c>
      <c r="S1602" t="s">
        <v>83</v>
      </c>
      <c r="T1602" t="s">
        <v>64</v>
      </c>
    </row>
    <row r="1603" spans="1:20" hidden="1">
      <c r="A1603" t="s">
        <v>1671</v>
      </c>
      <c r="B1603" s="5">
        <v>45674</v>
      </c>
      <c r="C1603" s="8">
        <f>YEAR(Tabla2[[#This Row],[fecha]])</f>
        <v>2025</v>
      </c>
      <c r="D1603" s="8">
        <f>MONTH(Tabla2[[#This Row],[fecha]])</f>
        <v>1</v>
      </c>
      <c r="E1603" s="8" t="str">
        <f>TEXT(Tabla2[[#This Row],[fecha]], "mmmm")</f>
        <v>enero</v>
      </c>
      <c r="F1603" s="8" t="str">
        <f>"T"&amp;ROUNDUP(Tabla2[[#This Row],[mes]]/3,0)</f>
        <v>T1</v>
      </c>
      <c r="G1603" t="s">
        <v>22</v>
      </c>
      <c r="H1603" t="s">
        <v>23</v>
      </c>
      <c r="I1603" s="8" t="str">
        <f>IF(Tabla2[[#This Row],[precio_unitario]]&lt;=30,"Económico",IF(Tabla2[[#This Row],[precio_unitario]]&lt;=58.49,"Accesible","Caro"))</f>
        <v>Caro</v>
      </c>
      <c r="J1603" t="s">
        <v>17</v>
      </c>
      <c r="K1603">
        <v>1</v>
      </c>
      <c r="L1603" s="19">
        <v>94.96</v>
      </c>
      <c r="M1603" s="19">
        <v>56.94</v>
      </c>
      <c r="N1603" s="11">
        <v>0</v>
      </c>
      <c r="O1603" s="17">
        <f t="shared" ref="O1603:O1666" si="103">K1603*L1603*(1-N1603)</f>
        <v>94.96</v>
      </c>
      <c r="P1603" s="17">
        <f t="shared" si="100"/>
        <v>56.94</v>
      </c>
      <c r="Q1603" s="17">
        <f t="shared" si="101"/>
        <v>38.019999999999996</v>
      </c>
      <c r="R1603" s="24">
        <f t="shared" si="102"/>
        <v>0.40037910699241785</v>
      </c>
      <c r="S1603" t="s">
        <v>83</v>
      </c>
      <c r="T1603" t="s">
        <v>60</v>
      </c>
    </row>
    <row r="1604" spans="1:20" hidden="1">
      <c r="A1604" t="s">
        <v>1672</v>
      </c>
      <c r="B1604" s="5">
        <v>45408</v>
      </c>
      <c r="C1604" s="8">
        <f>YEAR(Tabla2[[#This Row],[fecha]])</f>
        <v>2024</v>
      </c>
      <c r="D1604" s="8">
        <f>MONTH(Tabla2[[#This Row],[fecha]])</f>
        <v>4</v>
      </c>
      <c r="E1604" s="8" t="str">
        <f>TEXT(Tabla2[[#This Row],[fecha]], "mmmm")</f>
        <v>abril</v>
      </c>
      <c r="F1604" s="8" t="str">
        <f>"T"&amp;ROUNDUP(Tabla2[[#This Row],[mes]]/3,0)</f>
        <v>T2</v>
      </c>
      <c r="G1604" t="s">
        <v>40</v>
      </c>
      <c r="H1604" t="s">
        <v>41</v>
      </c>
      <c r="I1604" s="8" t="str">
        <f>IF(Tabla2[[#This Row],[precio_unitario]]&lt;=30,"Económico",IF(Tabla2[[#This Row],[precio_unitario]]&lt;=58.49,"Accesible","Caro"))</f>
        <v>Caro</v>
      </c>
      <c r="J1604" t="s">
        <v>35</v>
      </c>
      <c r="K1604">
        <v>1</v>
      </c>
      <c r="L1604" s="19">
        <v>73.239999999999995</v>
      </c>
      <c r="M1604" s="19">
        <v>39.57</v>
      </c>
      <c r="N1604" s="11">
        <v>0</v>
      </c>
      <c r="O1604" s="17">
        <f t="shared" si="103"/>
        <v>73.239999999999995</v>
      </c>
      <c r="P1604" s="17">
        <f t="shared" si="100"/>
        <v>39.57</v>
      </c>
      <c r="Q1604" s="17">
        <f t="shared" si="101"/>
        <v>33.669999999999995</v>
      </c>
      <c r="R1604" s="24">
        <f t="shared" si="102"/>
        <v>0.45972146368104855</v>
      </c>
      <c r="S1604" t="s">
        <v>63</v>
      </c>
      <c r="T1604" t="s">
        <v>60</v>
      </c>
    </row>
    <row r="1605" spans="1:20">
      <c r="A1605" t="s">
        <v>1673</v>
      </c>
      <c r="B1605" s="5">
        <v>45670</v>
      </c>
      <c r="C1605" s="8">
        <f>YEAR(Tabla2[[#This Row],[fecha]])</f>
        <v>2025</v>
      </c>
      <c r="D1605" s="8">
        <f>MONTH(Tabla2[[#This Row],[fecha]])</f>
        <v>1</v>
      </c>
      <c r="E1605" s="8" t="str">
        <f>TEXT(Tabla2[[#This Row],[fecha]], "mmmm")</f>
        <v>enero</v>
      </c>
      <c r="F1605" s="8" t="str">
        <f>"T"&amp;ROUNDUP(Tabla2[[#This Row],[mes]]/3,0)</f>
        <v>T1</v>
      </c>
      <c r="G1605" t="s">
        <v>9</v>
      </c>
      <c r="H1605" t="s">
        <v>10</v>
      </c>
      <c r="I1605" s="8" t="str">
        <f>IF(Tabla2[[#This Row],[precio_unitario]]&lt;=30,"Económico",IF(Tabla2[[#This Row],[precio_unitario]]&lt;=58.49,"Accesible","Caro"))</f>
        <v>Caro</v>
      </c>
      <c r="J1605" t="s">
        <v>8</v>
      </c>
      <c r="K1605">
        <v>1</v>
      </c>
      <c r="L1605" s="19">
        <v>78.180000000000007</v>
      </c>
      <c r="M1605" s="19">
        <v>45.49</v>
      </c>
      <c r="N1605" s="11">
        <v>0</v>
      </c>
      <c r="O1605" s="17">
        <f t="shared" si="103"/>
        <v>78.180000000000007</v>
      </c>
      <c r="P1605" s="17">
        <f t="shared" si="100"/>
        <v>45.49</v>
      </c>
      <c r="Q1605" s="17">
        <f t="shared" si="101"/>
        <v>32.690000000000005</v>
      </c>
      <c r="R1605" s="24">
        <f t="shared" si="102"/>
        <v>0.41813763110770019</v>
      </c>
      <c r="S1605" t="s">
        <v>67</v>
      </c>
      <c r="T1605" t="s">
        <v>64</v>
      </c>
    </row>
    <row r="1606" spans="1:20" hidden="1">
      <c r="A1606" t="s">
        <v>1674</v>
      </c>
      <c r="B1606" s="5">
        <v>45651</v>
      </c>
      <c r="C1606" s="8">
        <f>YEAR(Tabla2[[#This Row],[fecha]])</f>
        <v>2024</v>
      </c>
      <c r="D1606" s="8">
        <f>MONTH(Tabla2[[#This Row],[fecha]])</f>
        <v>12</v>
      </c>
      <c r="E1606" s="8" t="str">
        <f>TEXT(Tabla2[[#This Row],[fecha]], "mmmm")</f>
        <v>diciembre</v>
      </c>
      <c r="F1606" s="8" t="str">
        <f>"T"&amp;ROUNDUP(Tabla2[[#This Row],[mes]]/3,0)</f>
        <v>T4</v>
      </c>
      <c r="G1606" t="s">
        <v>49</v>
      </c>
      <c r="H1606" t="s">
        <v>50</v>
      </c>
      <c r="I1606" s="8" t="str">
        <f>IF(Tabla2[[#This Row],[precio_unitario]]&lt;=30,"Económico",IF(Tabla2[[#This Row],[precio_unitario]]&lt;=58.49,"Accesible","Caro"))</f>
        <v>Accesible</v>
      </c>
      <c r="J1606" t="s">
        <v>44</v>
      </c>
      <c r="K1606">
        <v>1</v>
      </c>
      <c r="L1606" s="19">
        <v>56.38</v>
      </c>
      <c r="M1606" s="21">
        <f>INDEX(Tabla3[coste_objetivo], MATCH(Tabla2[[#This Row],[id_producto]], Tabla3[id_producto],0))</f>
        <v>33.78</v>
      </c>
      <c r="N1606" s="11">
        <v>0</v>
      </c>
      <c r="O1606" s="17">
        <f t="shared" si="103"/>
        <v>56.38</v>
      </c>
      <c r="P1606" s="17">
        <f t="shared" si="100"/>
        <v>33.78</v>
      </c>
      <c r="Q1606" s="17">
        <f t="shared" si="101"/>
        <v>22.6</v>
      </c>
      <c r="R1606" s="24">
        <f t="shared" si="102"/>
        <v>0.40085136573252927</v>
      </c>
      <c r="S1606" t="s">
        <v>101</v>
      </c>
      <c r="T1606" t="s">
        <v>64</v>
      </c>
    </row>
    <row r="1607" spans="1:20" hidden="1">
      <c r="A1607" t="s">
        <v>1675</v>
      </c>
      <c r="B1607" s="5">
        <v>45375</v>
      </c>
      <c r="C1607" s="8">
        <f>YEAR(Tabla2[[#This Row],[fecha]])</f>
        <v>2024</v>
      </c>
      <c r="D1607" s="8">
        <f>MONTH(Tabla2[[#This Row],[fecha]])</f>
        <v>3</v>
      </c>
      <c r="E1607" s="8" t="str">
        <f>TEXT(Tabla2[[#This Row],[fecha]], "mmmm")</f>
        <v>marzo</v>
      </c>
      <c r="F1607" s="8" t="str">
        <f>"T"&amp;ROUNDUP(Tabla2[[#This Row],[mes]]/3,0)</f>
        <v>T1</v>
      </c>
      <c r="G1607" t="s">
        <v>45</v>
      </c>
      <c r="H1607" t="s">
        <v>46</v>
      </c>
      <c r="I1607" s="8" t="str">
        <f>IF(Tabla2[[#This Row],[precio_unitario]]&lt;=30,"Económico",IF(Tabla2[[#This Row],[precio_unitario]]&lt;=58.49,"Accesible","Caro"))</f>
        <v>Accesible</v>
      </c>
      <c r="J1607" t="s">
        <v>44</v>
      </c>
      <c r="K1607">
        <v>8</v>
      </c>
      <c r="L1607" s="19">
        <v>31.76</v>
      </c>
      <c r="M1607" s="19">
        <v>17.059999999999999</v>
      </c>
      <c r="N1607" s="13">
        <v>0</v>
      </c>
      <c r="O1607" s="17">
        <f t="shared" si="103"/>
        <v>254.08</v>
      </c>
      <c r="P1607" s="17">
        <f t="shared" si="100"/>
        <v>136.47999999999999</v>
      </c>
      <c r="Q1607" s="17">
        <f t="shared" si="101"/>
        <v>117.60000000000002</v>
      </c>
      <c r="R1607" s="24">
        <f t="shared" si="102"/>
        <v>0.46284634760705295</v>
      </c>
      <c r="S1607" t="s">
        <v>63</v>
      </c>
      <c r="T1607" t="s">
        <v>64</v>
      </c>
    </row>
    <row r="1608" spans="1:20" hidden="1">
      <c r="A1608" t="s">
        <v>1676</v>
      </c>
      <c r="B1608" s="5">
        <v>45740</v>
      </c>
      <c r="C1608" s="8">
        <f>YEAR(Tabla2[[#This Row],[fecha]])</f>
        <v>2025</v>
      </c>
      <c r="D1608" s="8">
        <f>MONTH(Tabla2[[#This Row],[fecha]])</f>
        <v>3</v>
      </c>
      <c r="E1608" s="8" t="str">
        <f>TEXT(Tabla2[[#This Row],[fecha]], "mmmm")</f>
        <v>marzo</v>
      </c>
      <c r="F1608" s="8" t="str">
        <f>"T"&amp;ROUNDUP(Tabla2[[#This Row],[mes]]/3,0)</f>
        <v>T1</v>
      </c>
      <c r="G1608" t="s">
        <v>27</v>
      </c>
      <c r="H1608" t="s">
        <v>28</v>
      </c>
      <c r="I1608" s="8" t="str">
        <f>IF(Tabla2[[#This Row],[precio_unitario]]&lt;=30,"Económico",IF(Tabla2[[#This Row],[precio_unitario]]&lt;=58.49,"Accesible","Caro"))</f>
        <v>Económico</v>
      </c>
      <c r="J1608" t="s">
        <v>26</v>
      </c>
      <c r="K1608">
        <v>1</v>
      </c>
      <c r="L1608" s="19">
        <v>17.12</v>
      </c>
      <c r="M1608" s="19">
        <v>11.68</v>
      </c>
      <c r="N1608" s="11">
        <v>0</v>
      </c>
      <c r="O1608" s="17">
        <f t="shared" si="103"/>
        <v>17.12</v>
      </c>
      <c r="P1608" s="17">
        <f t="shared" si="100"/>
        <v>11.68</v>
      </c>
      <c r="Q1608" s="17">
        <f t="shared" si="101"/>
        <v>5.4400000000000013</v>
      </c>
      <c r="R1608" s="24">
        <f t="shared" si="102"/>
        <v>0.31775700934579443</v>
      </c>
      <c r="S1608" t="s">
        <v>96</v>
      </c>
      <c r="T1608" t="s">
        <v>64</v>
      </c>
    </row>
    <row r="1609" spans="1:20" hidden="1">
      <c r="A1609" t="s">
        <v>1677</v>
      </c>
      <c r="B1609" s="5">
        <v>45855</v>
      </c>
      <c r="C1609" s="8">
        <f>YEAR(Tabla2[[#This Row],[fecha]])</f>
        <v>2025</v>
      </c>
      <c r="D1609" s="8">
        <f>MONTH(Tabla2[[#This Row],[fecha]])</f>
        <v>7</v>
      </c>
      <c r="E1609" s="8" t="str">
        <f>TEXT(Tabla2[[#This Row],[fecha]], "mmmm")</f>
        <v>julio</v>
      </c>
      <c r="F1609" s="8" t="str">
        <f>"T"&amp;ROUNDUP(Tabla2[[#This Row],[mes]]/3,0)</f>
        <v>T3</v>
      </c>
      <c r="G1609" t="s">
        <v>33</v>
      </c>
      <c r="H1609" t="s">
        <v>34</v>
      </c>
      <c r="I1609" s="8" t="str">
        <f>IF(Tabla2[[#This Row],[precio_unitario]]&lt;=30,"Económico",IF(Tabla2[[#This Row],[precio_unitario]]&lt;=58.49,"Accesible","Caro"))</f>
        <v>Caro</v>
      </c>
      <c r="J1609" t="s">
        <v>35</v>
      </c>
      <c r="K1609">
        <v>2</v>
      </c>
      <c r="L1609" s="19">
        <v>82.75</v>
      </c>
      <c r="M1609" s="19">
        <v>48.08</v>
      </c>
      <c r="N1609" s="11">
        <v>0</v>
      </c>
      <c r="O1609" s="17">
        <f t="shared" si="103"/>
        <v>165.5</v>
      </c>
      <c r="P1609" s="17">
        <f t="shared" si="100"/>
        <v>96.16</v>
      </c>
      <c r="Q1609" s="17">
        <f t="shared" si="101"/>
        <v>69.34</v>
      </c>
      <c r="R1609" s="24">
        <f t="shared" si="102"/>
        <v>0.41897280966767375</v>
      </c>
      <c r="S1609" t="s">
        <v>101</v>
      </c>
      <c r="T1609" t="s">
        <v>60</v>
      </c>
    </row>
    <row r="1610" spans="1:20" hidden="1">
      <c r="A1610" t="s">
        <v>1678</v>
      </c>
      <c r="B1610" s="14">
        <v>45984</v>
      </c>
      <c r="C1610" s="8">
        <f>YEAR(Tabla2[[#This Row],[fecha]])</f>
        <v>2025</v>
      </c>
      <c r="D1610" s="8">
        <f>MONTH(Tabla2[[#This Row],[fecha]])</f>
        <v>11</v>
      </c>
      <c r="E1610" s="8" t="str">
        <f>TEXT(Tabla2[[#This Row],[fecha]], "mmmm")</f>
        <v>noviembre</v>
      </c>
      <c r="F1610" s="8" t="str">
        <f>"T"&amp;ROUNDUP(Tabla2[[#This Row],[mes]]/3,0)</f>
        <v>T4</v>
      </c>
      <c r="G1610" t="s">
        <v>29</v>
      </c>
      <c r="H1610" t="s">
        <v>30</v>
      </c>
      <c r="I1610" s="8" t="str">
        <f>IF(Tabla2[[#This Row],[precio_unitario]]&lt;=30,"Económico",IF(Tabla2[[#This Row],[precio_unitario]]&lt;=58.49,"Accesible","Caro"))</f>
        <v>Económico</v>
      </c>
      <c r="J1610" t="s">
        <v>26</v>
      </c>
      <c r="K1610">
        <v>1</v>
      </c>
      <c r="L1610" s="19">
        <v>19.850000000000001</v>
      </c>
      <c r="M1610" s="19">
        <v>11.78</v>
      </c>
      <c r="N1610" s="13">
        <v>0</v>
      </c>
      <c r="O1610" s="17">
        <f t="shared" si="103"/>
        <v>19.850000000000001</v>
      </c>
      <c r="P1610" s="17">
        <f t="shared" si="100"/>
        <v>11.78</v>
      </c>
      <c r="Q1610" s="17">
        <f t="shared" si="101"/>
        <v>8.0700000000000021</v>
      </c>
      <c r="R1610" s="24">
        <f t="shared" si="102"/>
        <v>0.40654911838790941</v>
      </c>
      <c r="S1610" t="s">
        <v>63</v>
      </c>
      <c r="T1610" t="s">
        <v>60</v>
      </c>
    </row>
    <row r="1611" spans="1:20" hidden="1">
      <c r="A1611" t="s">
        <v>1679</v>
      </c>
      <c r="B1611" s="5">
        <v>45479</v>
      </c>
      <c r="C1611" s="8">
        <f>YEAR(Tabla2[[#This Row],[fecha]])</f>
        <v>2024</v>
      </c>
      <c r="D1611" s="8">
        <f>MONTH(Tabla2[[#This Row],[fecha]])</f>
        <v>7</v>
      </c>
      <c r="E1611" s="8" t="str">
        <f>TEXT(Tabla2[[#This Row],[fecha]], "mmmm")</f>
        <v>julio</v>
      </c>
      <c r="F1611" s="8" t="str">
        <f>"T"&amp;ROUNDUP(Tabla2[[#This Row],[mes]]/3,0)</f>
        <v>T3</v>
      </c>
      <c r="G1611" t="s">
        <v>49</v>
      </c>
      <c r="H1611" t="s">
        <v>50</v>
      </c>
      <c r="I1611" s="8" t="str">
        <f>IF(Tabla2[[#This Row],[precio_unitario]]&lt;=30,"Económico",IF(Tabla2[[#This Row],[precio_unitario]]&lt;=58.49,"Accesible","Caro"))</f>
        <v>Caro</v>
      </c>
      <c r="J1611" t="s">
        <v>44</v>
      </c>
      <c r="K1611">
        <v>2</v>
      </c>
      <c r="L1611" s="19">
        <v>60.68</v>
      </c>
      <c r="M1611" s="19">
        <v>35.200000000000003</v>
      </c>
      <c r="N1611" s="13">
        <v>0</v>
      </c>
      <c r="O1611" s="17">
        <f t="shared" si="103"/>
        <v>121.36</v>
      </c>
      <c r="P1611" s="17">
        <f t="shared" si="100"/>
        <v>70.400000000000006</v>
      </c>
      <c r="Q1611" s="17">
        <f t="shared" si="101"/>
        <v>50.959999999999994</v>
      </c>
      <c r="R1611" s="24">
        <f t="shared" si="102"/>
        <v>0.41990771259063936</v>
      </c>
      <c r="S1611" t="s">
        <v>101</v>
      </c>
      <c r="T1611" t="s">
        <v>60</v>
      </c>
    </row>
    <row r="1612" spans="1:20" hidden="1">
      <c r="A1612" t="s">
        <v>1680</v>
      </c>
      <c r="B1612" s="5">
        <v>45328</v>
      </c>
      <c r="C1612" s="8">
        <f>YEAR(Tabla2[[#This Row],[fecha]])</f>
        <v>2024</v>
      </c>
      <c r="D1612" s="8">
        <f>MONTH(Tabla2[[#This Row],[fecha]])</f>
        <v>2</v>
      </c>
      <c r="E1612" s="8" t="str">
        <f>TEXT(Tabla2[[#This Row],[fecha]], "mmmm")</f>
        <v>febrero</v>
      </c>
      <c r="F1612" s="8" t="str">
        <f>"T"&amp;ROUNDUP(Tabla2[[#This Row],[mes]]/3,0)</f>
        <v>T1</v>
      </c>
      <c r="G1612" t="s">
        <v>31</v>
      </c>
      <c r="H1612" t="s">
        <v>32</v>
      </c>
      <c r="I1612" s="8" t="str">
        <f>IF(Tabla2[[#This Row],[precio_unitario]]&lt;=30,"Económico",IF(Tabla2[[#This Row],[precio_unitario]]&lt;=58.49,"Accesible","Caro"))</f>
        <v>Económico</v>
      </c>
      <c r="J1612" t="s">
        <v>26</v>
      </c>
      <c r="K1612">
        <v>2</v>
      </c>
      <c r="L1612" s="19">
        <v>8.14</v>
      </c>
      <c r="M1612" s="19">
        <v>5.73</v>
      </c>
      <c r="N1612" s="11">
        <v>0</v>
      </c>
      <c r="O1612" s="17">
        <f t="shared" si="103"/>
        <v>16.28</v>
      </c>
      <c r="P1612" s="17">
        <f t="shared" si="100"/>
        <v>11.46</v>
      </c>
      <c r="Q1612" s="17">
        <f t="shared" si="101"/>
        <v>4.82</v>
      </c>
      <c r="R1612" s="24">
        <f t="shared" si="102"/>
        <v>0.29606879606879605</v>
      </c>
      <c r="S1612" t="s">
        <v>67</v>
      </c>
      <c r="T1612" t="s">
        <v>60</v>
      </c>
    </row>
    <row r="1613" spans="1:20" hidden="1">
      <c r="A1613" t="s">
        <v>1681</v>
      </c>
      <c r="B1613" s="5">
        <v>45379</v>
      </c>
      <c r="C1613" s="8">
        <f>YEAR(Tabla2[[#This Row],[fecha]])</f>
        <v>2024</v>
      </c>
      <c r="D1613" s="8">
        <f>MONTH(Tabla2[[#This Row],[fecha]])</f>
        <v>3</v>
      </c>
      <c r="E1613" s="8" t="str">
        <f>TEXT(Tabla2[[#This Row],[fecha]], "mmmm")</f>
        <v>marzo</v>
      </c>
      <c r="F1613" s="8" t="str">
        <f>"T"&amp;ROUNDUP(Tabla2[[#This Row],[mes]]/3,0)</f>
        <v>T1</v>
      </c>
      <c r="G1613" t="s">
        <v>27</v>
      </c>
      <c r="H1613" t="s">
        <v>28</v>
      </c>
      <c r="I1613" s="8" t="str">
        <f>IF(Tabla2[[#This Row],[precio_unitario]]&lt;=30,"Económico",IF(Tabla2[[#This Row],[precio_unitario]]&lt;=58.49,"Accesible","Caro"))</f>
        <v>Económico</v>
      </c>
      <c r="J1613" t="s">
        <v>26</v>
      </c>
      <c r="K1613">
        <v>6</v>
      </c>
      <c r="L1613" s="19">
        <v>17.100000000000001</v>
      </c>
      <c r="M1613" s="19">
        <v>11.13</v>
      </c>
      <c r="N1613" s="13">
        <v>0</v>
      </c>
      <c r="O1613" s="17">
        <f t="shared" si="103"/>
        <v>102.60000000000001</v>
      </c>
      <c r="P1613" s="17">
        <f t="shared" si="100"/>
        <v>66.78</v>
      </c>
      <c r="Q1613" s="17">
        <f t="shared" si="101"/>
        <v>35.820000000000007</v>
      </c>
      <c r="R1613" s="24">
        <f t="shared" si="102"/>
        <v>0.34912280701754389</v>
      </c>
      <c r="S1613" t="s">
        <v>101</v>
      </c>
      <c r="T1613" t="s">
        <v>60</v>
      </c>
    </row>
    <row r="1614" spans="1:20" hidden="1">
      <c r="A1614" t="s">
        <v>1682</v>
      </c>
      <c r="B1614" s="5">
        <v>45837</v>
      </c>
      <c r="C1614" s="8">
        <f>YEAR(Tabla2[[#This Row],[fecha]])</f>
        <v>2025</v>
      </c>
      <c r="D1614" s="8">
        <f>MONTH(Tabla2[[#This Row],[fecha]])</f>
        <v>6</v>
      </c>
      <c r="E1614" s="8" t="str">
        <f>TEXT(Tabla2[[#This Row],[fecha]], "mmmm")</f>
        <v>junio</v>
      </c>
      <c r="F1614" s="8" t="str">
        <f>"T"&amp;ROUNDUP(Tabla2[[#This Row],[mes]]/3,0)</f>
        <v>T2</v>
      </c>
      <c r="G1614" t="s">
        <v>24</v>
      </c>
      <c r="H1614" t="s">
        <v>25</v>
      </c>
      <c r="I1614" s="8" t="str">
        <f>IF(Tabla2[[#This Row],[precio_unitario]]&lt;=30,"Económico",IF(Tabla2[[#This Row],[precio_unitario]]&lt;=58.49,"Accesible","Caro"))</f>
        <v>Económico</v>
      </c>
      <c r="J1614" t="s">
        <v>26</v>
      </c>
      <c r="K1614">
        <v>5</v>
      </c>
      <c r="L1614" s="19">
        <v>7.63</v>
      </c>
      <c r="M1614" s="19">
        <v>4.5199999999999996</v>
      </c>
      <c r="N1614" s="11">
        <v>0</v>
      </c>
      <c r="O1614" s="17">
        <f t="shared" si="103"/>
        <v>38.15</v>
      </c>
      <c r="P1614" s="17">
        <f t="shared" si="100"/>
        <v>22.599999999999998</v>
      </c>
      <c r="Q1614" s="17">
        <f t="shared" si="101"/>
        <v>15.55</v>
      </c>
      <c r="R1614" s="24">
        <f t="shared" si="102"/>
        <v>0.40760157273918746</v>
      </c>
      <c r="S1614" t="s">
        <v>63</v>
      </c>
      <c r="T1614" t="s">
        <v>60</v>
      </c>
    </row>
    <row r="1615" spans="1:20" hidden="1">
      <c r="A1615" t="s">
        <v>1683</v>
      </c>
      <c r="B1615" s="5">
        <v>45601</v>
      </c>
      <c r="C1615" s="8">
        <f>YEAR(Tabla2[[#This Row],[fecha]])</f>
        <v>2024</v>
      </c>
      <c r="D1615" s="8">
        <f>MONTH(Tabla2[[#This Row],[fecha]])</f>
        <v>11</v>
      </c>
      <c r="E1615" s="8" t="str">
        <f>TEXT(Tabla2[[#This Row],[fecha]], "mmmm")</f>
        <v>noviembre</v>
      </c>
      <c r="F1615" s="8" t="str">
        <f>"T"&amp;ROUNDUP(Tabla2[[#This Row],[mes]]/3,0)</f>
        <v>T4</v>
      </c>
      <c r="G1615" t="s">
        <v>9</v>
      </c>
      <c r="H1615" t="s">
        <v>10</v>
      </c>
      <c r="I1615" s="8" t="str">
        <f>IF(Tabla2[[#This Row],[precio_unitario]]&lt;=30,"Económico",IF(Tabla2[[#This Row],[precio_unitario]]&lt;=58.49,"Accesible","Caro"))</f>
        <v>Caro</v>
      </c>
      <c r="J1615" t="s">
        <v>8</v>
      </c>
      <c r="K1615">
        <v>4</v>
      </c>
      <c r="L1615" s="19">
        <v>70.599999999999994</v>
      </c>
      <c r="M1615" s="19">
        <v>46.97</v>
      </c>
      <c r="N1615" s="13">
        <v>0</v>
      </c>
      <c r="O1615" s="17">
        <f t="shared" si="103"/>
        <v>282.39999999999998</v>
      </c>
      <c r="P1615" s="17">
        <f t="shared" si="100"/>
        <v>187.88</v>
      </c>
      <c r="Q1615" s="17">
        <f t="shared" si="101"/>
        <v>94.519999999999982</v>
      </c>
      <c r="R1615" s="24">
        <f t="shared" si="102"/>
        <v>0.33470254957507078</v>
      </c>
      <c r="S1615" t="s">
        <v>67</v>
      </c>
      <c r="T1615" t="s">
        <v>60</v>
      </c>
    </row>
    <row r="1616" spans="1:20" hidden="1">
      <c r="A1616" t="s">
        <v>1684</v>
      </c>
      <c r="B1616" s="5">
        <v>45303</v>
      </c>
      <c r="C1616" s="8">
        <f>YEAR(Tabla2[[#This Row],[fecha]])</f>
        <v>2024</v>
      </c>
      <c r="D1616" s="8">
        <f>MONTH(Tabla2[[#This Row],[fecha]])</f>
        <v>1</v>
      </c>
      <c r="E1616" s="8" t="str">
        <f>TEXT(Tabla2[[#This Row],[fecha]], "mmmm")</f>
        <v>enero</v>
      </c>
      <c r="F1616" s="8" t="str">
        <f>"T"&amp;ROUNDUP(Tabla2[[#This Row],[mes]]/3,0)</f>
        <v>T1</v>
      </c>
      <c r="G1616" t="s">
        <v>29</v>
      </c>
      <c r="H1616" t="s">
        <v>30</v>
      </c>
      <c r="I1616" s="8" t="str">
        <f>IF(Tabla2[[#This Row],[precio_unitario]]&lt;=30,"Económico",IF(Tabla2[[#This Row],[precio_unitario]]&lt;=58.49,"Accesible","Caro"))</f>
        <v>Económico</v>
      </c>
      <c r="J1616" t="s">
        <v>26</v>
      </c>
      <c r="K1616">
        <v>3</v>
      </c>
      <c r="L1616" s="19">
        <v>21.85</v>
      </c>
      <c r="M1616" s="19">
        <v>11.09</v>
      </c>
      <c r="N1616" s="11">
        <v>0</v>
      </c>
      <c r="O1616" s="17">
        <f t="shared" si="103"/>
        <v>65.550000000000011</v>
      </c>
      <c r="P1616" s="17">
        <f t="shared" si="100"/>
        <v>33.269999999999996</v>
      </c>
      <c r="Q1616" s="17">
        <f t="shared" si="101"/>
        <v>32.280000000000015</v>
      </c>
      <c r="R1616" s="24">
        <f t="shared" si="102"/>
        <v>0.49244851258581251</v>
      </c>
      <c r="S1616" t="s">
        <v>83</v>
      </c>
      <c r="T1616" t="s">
        <v>64</v>
      </c>
    </row>
    <row r="1617" spans="1:20" hidden="1">
      <c r="A1617" t="s">
        <v>1685</v>
      </c>
      <c r="B1617" s="5">
        <v>45694</v>
      </c>
      <c r="C1617" s="8">
        <f>YEAR(Tabla2[[#This Row],[fecha]])</f>
        <v>2025</v>
      </c>
      <c r="D1617" s="8">
        <f>MONTH(Tabla2[[#This Row],[fecha]])</f>
        <v>2</v>
      </c>
      <c r="E1617" s="8" t="str">
        <f>TEXT(Tabla2[[#This Row],[fecha]], "mmmm")</f>
        <v>febrero</v>
      </c>
      <c r="F1617" s="8" t="str">
        <f>"T"&amp;ROUNDUP(Tabla2[[#This Row],[mes]]/3,0)</f>
        <v>T1</v>
      </c>
      <c r="G1617" t="s">
        <v>29</v>
      </c>
      <c r="H1617" t="s">
        <v>30</v>
      </c>
      <c r="I1617" s="8" t="str">
        <f>IF(Tabla2[[#This Row],[precio_unitario]]&lt;=30,"Económico",IF(Tabla2[[#This Row],[precio_unitario]]&lt;=58.49,"Accesible","Caro"))</f>
        <v>Económico</v>
      </c>
      <c r="J1617" t="s">
        <v>26</v>
      </c>
      <c r="K1617">
        <v>2</v>
      </c>
      <c r="L1617" s="19">
        <v>20.05</v>
      </c>
      <c r="M1617" s="19">
        <v>11.06</v>
      </c>
      <c r="N1617" s="11">
        <v>0</v>
      </c>
      <c r="O1617" s="17">
        <f t="shared" si="103"/>
        <v>40.1</v>
      </c>
      <c r="P1617" s="17">
        <f t="shared" si="100"/>
        <v>22.12</v>
      </c>
      <c r="Q1617" s="17">
        <f t="shared" si="101"/>
        <v>17.98</v>
      </c>
      <c r="R1617" s="24">
        <f t="shared" si="102"/>
        <v>0.44837905236907732</v>
      </c>
      <c r="S1617" t="s">
        <v>83</v>
      </c>
      <c r="T1617" t="s">
        <v>64</v>
      </c>
    </row>
    <row r="1618" spans="1:20">
      <c r="A1618" t="s">
        <v>1686</v>
      </c>
      <c r="B1618" s="5">
        <v>45968</v>
      </c>
      <c r="C1618" s="8">
        <f>YEAR(Tabla2[[#This Row],[fecha]])</f>
        <v>2025</v>
      </c>
      <c r="D1618" s="8">
        <f>MONTH(Tabla2[[#This Row],[fecha]])</f>
        <v>11</v>
      </c>
      <c r="E1618" s="8" t="str">
        <f>TEXT(Tabla2[[#This Row],[fecha]], "mmmm")</f>
        <v>noviembre</v>
      </c>
      <c r="F1618" s="8" t="str">
        <f>"T"&amp;ROUNDUP(Tabla2[[#This Row],[mes]]/3,0)</f>
        <v>T4</v>
      </c>
      <c r="G1618" t="s">
        <v>33</v>
      </c>
      <c r="H1618" t="s">
        <v>34</v>
      </c>
      <c r="I1618" s="8" t="str">
        <f>IF(Tabla2[[#This Row],[precio_unitario]]&lt;=30,"Económico",IF(Tabla2[[#This Row],[precio_unitario]]&lt;=58.49,"Accesible","Caro"))</f>
        <v>Caro</v>
      </c>
      <c r="J1618" t="s">
        <v>35</v>
      </c>
      <c r="K1618">
        <v>2</v>
      </c>
      <c r="L1618" s="19">
        <v>78.44</v>
      </c>
      <c r="M1618" s="19">
        <v>48.74</v>
      </c>
      <c r="N1618" s="11">
        <v>0.1</v>
      </c>
      <c r="O1618" s="17">
        <f t="shared" si="103"/>
        <v>141.19200000000001</v>
      </c>
      <c r="P1618" s="17">
        <f t="shared" si="100"/>
        <v>97.48</v>
      </c>
      <c r="Q1618" s="17">
        <f t="shared" si="101"/>
        <v>43.712000000000003</v>
      </c>
      <c r="R1618" s="24">
        <f t="shared" si="102"/>
        <v>0.30959261147940392</v>
      </c>
      <c r="S1618" t="s">
        <v>67</v>
      </c>
      <c r="T1618" t="s">
        <v>64</v>
      </c>
    </row>
    <row r="1619" spans="1:20" hidden="1">
      <c r="A1619" t="s">
        <v>1687</v>
      </c>
      <c r="B1619" s="5">
        <v>45441</v>
      </c>
      <c r="C1619" s="8">
        <f>YEAR(Tabla2[[#This Row],[fecha]])</f>
        <v>2024</v>
      </c>
      <c r="D1619" s="8">
        <f>MONTH(Tabla2[[#This Row],[fecha]])</f>
        <v>5</v>
      </c>
      <c r="E1619" s="8" t="str">
        <f>TEXT(Tabla2[[#This Row],[fecha]], "mmmm")</f>
        <v>mayo</v>
      </c>
      <c r="F1619" s="8" t="str">
        <f>"T"&amp;ROUNDUP(Tabla2[[#This Row],[mes]]/3,0)</f>
        <v>T2</v>
      </c>
      <c r="G1619" t="s">
        <v>11</v>
      </c>
      <c r="H1619" t="s">
        <v>12</v>
      </c>
      <c r="I1619" s="8" t="str">
        <f>IF(Tabla2[[#This Row],[precio_unitario]]&lt;=30,"Económico",IF(Tabla2[[#This Row],[precio_unitario]]&lt;=58.49,"Accesible","Caro"))</f>
        <v>Caro</v>
      </c>
      <c r="J1619" t="s">
        <v>8</v>
      </c>
      <c r="K1619">
        <v>1</v>
      </c>
      <c r="L1619" s="19">
        <v>177.09</v>
      </c>
      <c r="M1619" s="19">
        <v>98.8</v>
      </c>
      <c r="N1619" s="11">
        <v>0.09</v>
      </c>
      <c r="O1619" s="17">
        <f t="shared" si="103"/>
        <v>161.15190000000001</v>
      </c>
      <c r="P1619" s="17">
        <f t="shared" si="100"/>
        <v>98.8</v>
      </c>
      <c r="Q1619" s="17">
        <f t="shared" si="101"/>
        <v>62.351900000000015</v>
      </c>
      <c r="R1619" s="24">
        <f t="shared" si="102"/>
        <v>0.38691383719335615</v>
      </c>
      <c r="S1619" t="s">
        <v>83</v>
      </c>
      <c r="T1619" t="s">
        <v>64</v>
      </c>
    </row>
    <row r="1620" spans="1:20" hidden="1">
      <c r="A1620" t="s">
        <v>1688</v>
      </c>
      <c r="B1620" s="5">
        <v>45345</v>
      </c>
      <c r="C1620" s="8">
        <f>YEAR(Tabla2[[#This Row],[fecha]])</f>
        <v>2024</v>
      </c>
      <c r="D1620" s="8">
        <f>MONTH(Tabla2[[#This Row],[fecha]])</f>
        <v>2</v>
      </c>
      <c r="E1620" s="8" t="str">
        <f>TEXT(Tabla2[[#This Row],[fecha]], "mmmm")</f>
        <v>febrero</v>
      </c>
      <c r="F1620" s="8" t="str">
        <f>"T"&amp;ROUNDUP(Tabla2[[#This Row],[mes]]/3,0)</f>
        <v>T1</v>
      </c>
      <c r="G1620" t="s">
        <v>13</v>
      </c>
      <c r="H1620" t="s">
        <v>14</v>
      </c>
      <c r="I1620" s="8" t="str">
        <f>IF(Tabla2[[#This Row],[precio_unitario]]&lt;=30,"Económico",IF(Tabla2[[#This Row],[precio_unitario]]&lt;=58.49,"Accesible","Caro"))</f>
        <v>Caro</v>
      </c>
      <c r="J1620" t="s">
        <v>8</v>
      </c>
      <c r="K1620">
        <v>3</v>
      </c>
      <c r="L1620" s="19">
        <v>168.34</v>
      </c>
      <c r="M1620" s="19">
        <v>108.77</v>
      </c>
      <c r="N1620" s="11">
        <v>7.0000000000000007E-2</v>
      </c>
      <c r="O1620" s="17">
        <f t="shared" si="103"/>
        <v>469.66859999999997</v>
      </c>
      <c r="P1620" s="17">
        <f t="shared" si="100"/>
        <v>326.31</v>
      </c>
      <c r="Q1620" s="17">
        <f t="shared" si="101"/>
        <v>143.35859999999997</v>
      </c>
      <c r="R1620" s="24">
        <f t="shared" si="102"/>
        <v>0.30523351997557424</v>
      </c>
      <c r="S1620" t="s">
        <v>67</v>
      </c>
      <c r="T1620" t="s">
        <v>64</v>
      </c>
    </row>
    <row r="1621" spans="1:20" hidden="1">
      <c r="A1621" t="s">
        <v>1689</v>
      </c>
      <c r="B1621" s="5">
        <v>45604</v>
      </c>
      <c r="C1621" s="8">
        <f>YEAR(Tabla2[[#This Row],[fecha]])</f>
        <v>2024</v>
      </c>
      <c r="D1621" s="8">
        <f>MONTH(Tabla2[[#This Row],[fecha]])</f>
        <v>11</v>
      </c>
      <c r="E1621" s="8" t="str">
        <f>TEXT(Tabla2[[#This Row],[fecha]], "mmmm")</f>
        <v>noviembre</v>
      </c>
      <c r="F1621" s="8" t="str">
        <f>"T"&amp;ROUNDUP(Tabla2[[#This Row],[mes]]/3,0)</f>
        <v>T4</v>
      </c>
      <c r="G1621" t="s">
        <v>31</v>
      </c>
      <c r="H1621" t="s">
        <v>32</v>
      </c>
      <c r="I1621" s="8" t="str">
        <f>IF(Tabla2[[#This Row],[precio_unitario]]&lt;=30,"Económico",IF(Tabla2[[#This Row],[precio_unitario]]&lt;=58.49,"Accesible","Caro"))</f>
        <v>Económico</v>
      </c>
      <c r="J1621" t="s">
        <v>26</v>
      </c>
      <c r="K1621">
        <v>4</v>
      </c>
      <c r="L1621" s="19">
        <v>8.56</v>
      </c>
      <c r="M1621" s="19">
        <v>5.93</v>
      </c>
      <c r="N1621" s="11">
        <v>0</v>
      </c>
      <c r="O1621" s="17">
        <f t="shared" si="103"/>
        <v>34.24</v>
      </c>
      <c r="P1621" s="17">
        <f t="shared" si="100"/>
        <v>23.72</v>
      </c>
      <c r="Q1621" s="17">
        <f t="shared" si="101"/>
        <v>10.520000000000003</v>
      </c>
      <c r="R1621" s="24">
        <f t="shared" si="102"/>
        <v>0.30724299065420568</v>
      </c>
      <c r="S1621" t="s">
        <v>101</v>
      </c>
      <c r="T1621" t="s">
        <v>64</v>
      </c>
    </row>
    <row r="1622" spans="1:20" hidden="1">
      <c r="A1622" t="s">
        <v>1690</v>
      </c>
      <c r="B1622" s="5">
        <v>45846</v>
      </c>
      <c r="C1622" s="8">
        <f>YEAR(Tabla2[[#This Row],[fecha]])</f>
        <v>2025</v>
      </c>
      <c r="D1622" s="8">
        <f>MONTH(Tabla2[[#This Row],[fecha]])</f>
        <v>7</v>
      </c>
      <c r="E1622" s="8" t="str">
        <f>TEXT(Tabla2[[#This Row],[fecha]], "mmmm")</f>
        <v>julio</v>
      </c>
      <c r="F1622" s="8" t="str">
        <f>"T"&amp;ROUNDUP(Tabla2[[#This Row],[mes]]/3,0)</f>
        <v>T3</v>
      </c>
      <c r="G1622" t="s">
        <v>13</v>
      </c>
      <c r="H1622" t="s">
        <v>14</v>
      </c>
      <c r="I1622" s="8" t="str">
        <f>IF(Tabla2[[#This Row],[precio_unitario]]&lt;=30,"Económico",IF(Tabla2[[#This Row],[precio_unitario]]&lt;=58.49,"Accesible","Caro"))</f>
        <v>Caro</v>
      </c>
      <c r="J1622" t="s">
        <v>8</v>
      </c>
      <c r="K1622">
        <v>1</v>
      </c>
      <c r="L1622" s="19">
        <v>172.44</v>
      </c>
      <c r="M1622" s="19">
        <v>108.28</v>
      </c>
      <c r="N1622" s="11">
        <v>0</v>
      </c>
      <c r="O1622" s="17">
        <f t="shared" si="103"/>
        <v>172.44</v>
      </c>
      <c r="P1622" s="17">
        <f t="shared" si="100"/>
        <v>108.28</v>
      </c>
      <c r="Q1622" s="17">
        <f t="shared" si="101"/>
        <v>64.16</v>
      </c>
      <c r="R1622" s="24">
        <f t="shared" si="102"/>
        <v>0.37207144514033863</v>
      </c>
      <c r="S1622" t="s">
        <v>63</v>
      </c>
      <c r="T1622" t="s">
        <v>64</v>
      </c>
    </row>
    <row r="1623" spans="1:20" hidden="1">
      <c r="A1623" t="s">
        <v>1691</v>
      </c>
      <c r="B1623" s="5">
        <v>45661</v>
      </c>
      <c r="C1623" s="8">
        <f>YEAR(Tabla2[[#This Row],[fecha]])</f>
        <v>2025</v>
      </c>
      <c r="D1623" s="8">
        <f>MONTH(Tabla2[[#This Row],[fecha]])</f>
        <v>1</v>
      </c>
      <c r="E1623" s="8" t="str">
        <f>TEXT(Tabla2[[#This Row],[fecha]], "mmmm")</f>
        <v>enero</v>
      </c>
      <c r="F1623" s="8" t="str">
        <f>"T"&amp;ROUNDUP(Tabla2[[#This Row],[mes]]/3,0)</f>
        <v>T1</v>
      </c>
      <c r="G1623" t="s">
        <v>49</v>
      </c>
      <c r="H1623" t="s">
        <v>50</v>
      </c>
      <c r="I1623" s="8" t="str">
        <f>IF(Tabla2[[#This Row],[precio_unitario]]&lt;=30,"Económico",IF(Tabla2[[#This Row],[precio_unitario]]&lt;=58.49,"Accesible","Caro"))</f>
        <v>Accesible</v>
      </c>
      <c r="J1623" t="s">
        <v>44</v>
      </c>
      <c r="K1623">
        <v>4</v>
      </c>
      <c r="L1623" s="19">
        <v>56.34</v>
      </c>
      <c r="M1623" s="19">
        <v>32.549999999999997</v>
      </c>
      <c r="N1623" s="11">
        <v>0.25</v>
      </c>
      <c r="O1623" s="17">
        <f t="shared" si="103"/>
        <v>169.02</v>
      </c>
      <c r="P1623" s="17">
        <f t="shared" si="100"/>
        <v>130.19999999999999</v>
      </c>
      <c r="Q1623" s="17">
        <f t="shared" si="101"/>
        <v>38.820000000000022</v>
      </c>
      <c r="R1623" s="24">
        <f t="shared" si="102"/>
        <v>0.2296769613063544</v>
      </c>
      <c r="S1623" t="s">
        <v>83</v>
      </c>
      <c r="T1623" t="s">
        <v>64</v>
      </c>
    </row>
    <row r="1624" spans="1:20" hidden="1">
      <c r="A1624" t="s">
        <v>1692</v>
      </c>
      <c r="B1624" s="5">
        <v>45873</v>
      </c>
      <c r="C1624" s="8">
        <f>YEAR(Tabla2[[#This Row],[fecha]])</f>
        <v>2025</v>
      </c>
      <c r="D1624" s="8">
        <f>MONTH(Tabla2[[#This Row],[fecha]])</f>
        <v>8</v>
      </c>
      <c r="E1624" s="8" t="str">
        <f>TEXT(Tabla2[[#This Row],[fecha]], "mmmm")</f>
        <v>agosto</v>
      </c>
      <c r="F1624" s="8" t="str">
        <f>"T"&amp;ROUNDUP(Tabla2[[#This Row],[mes]]/3,0)</f>
        <v>T3</v>
      </c>
      <c r="G1624" t="s">
        <v>15</v>
      </c>
      <c r="H1624" t="s">
        <v>16</v>
      </c>
      <c r="I1624" s="8" t="str">
        <f>IF(Tabla2[[#This Row],[precio_unitario]]&lt;=30,"Económico",IF(Tabla2[[#This Row],[precio_unitario]]&lt;=58.49,"Accesible","Caro"))</f>
        <v>Caro</v>
      </c>
      <c r="J1624" t="s">
        <v>17</v>
      </c>
      <c r="K1624">
        <v>3</v>
      </c>
      <c r="L1624" s="19">
        <v>63.08</v>
      </c>
      <c r="M1624" s="19">
        <v>40.53</v>
      </c>
      <c r="N1624" s="11">
        <v>0</v>
      </c>
      <c r="O1624" s="17">
        <f t="shared" si="103"/>
        <v>189.24</v>
      </c>
      <c r="P1624" s="17">
        <f t="shared" si="100"/>
        <v>121.59</v>
      </c>
      <c r="Q1624" s="17">
        <f t="shared" si="101"/>
        <v>67.650000000000006</v>
      </c>
      <c r="R1624" s="24">
        <f t="shared" si="102"/>
        <v>0.35748256182625238</v>
      </c>
      <c r="S1624" t="s">
        <v>540</v>
      </c>
      <c r="T1624" t="s">
        <v>60</v>
      </c>
    </row>
    <row r="1625" spans="1:20" hidden="1">
      <c r="A1625" t="s">
        <v>1693</v>
      </c>
      <c r="B1625" s="5">
        <v>45559</v>
      </c>
      <c r="C1625" s="8">
        <f>YEAR(Tabla2[[#This Row],[fecha]])</f>
        <v>2024</v>
      </c>
      <c r="D1625" s="8">
        <f>MONTH(Tabla2[[#This Row],[fecha]])</f>
        <v>9</v>
      </c>
      <c r="E1625" s="8" t="str">
        <f>TEXT(Tabla2[[#This Row],[fecha]], "mmmm")</f>
        <v>septiembre</v>
      </c>
      <c r="F1625" s="8" t="str">
        <f>"T"&amp;ROUNDUP(Tabla2[[#This Row],[mes]]/3,0)</f>
        <v>T3</v>
      </c>
      <c r="G1625" t="s">
        <v>33</v>
      </c>
      <c r="H1625" t="s">
        <v>34</v>
      </c>
      <c r="I1625" s="8" t="str">
        <f>IF(Tabla2[[#This Row],[precio_unitario]]&lt;=30,"Económico",IF(Tabla2[[#This Row],[precio_unitario]]&lt;=58.49,"Accesible","Caro"))</f>
        <v>Caro</v>
      </c>
      <c r="J1625" t="s">
        <v>35</v>
      </c>
      <c r="K1625">
        <v>2</v>
      </c>
      <c r="L1625" s="19">
        <v>82.18</v>
      </c>
      <c r="M1625" s="19">
        <v>46.76</v>
      </c>
      <c r="N1625" s="11">
        <v>0</v>
      </c>
      <c r="O1625" s="17">
        <f t="shared" si="103"/>
        <v>164.36</v>
      </c>
      <c r="P1625" s="17">
        <f t="shared" si="100"/>
        <v>93.52</v>
      </c>
      <c r="Q1625" s="17">
        <f t="shared" si="101"/>
        <v>70.840000000000018</v>
      </c>
      <c r="R1625" s="24">
        <f t="shared" si="102"/>
        <v>0.43100511073253839</v>
      </c>
      <c r="S1625" t="s">
        <v>83</v>
      </c>
      <c r="T1625" t="s">
        <v>64</v>
      </c>
    </row>
    <row r="1626" spans="1:20" hidden="1">
      <c r="A1626" t="s">
        <v>1694</v>
      </c>
      <c r="B1626" s="5">
        <v>45584</v>
      </c>
      <c r="C1626" s="8">
        <f>YEAR(Tabla2[[#This Row],[fecha]])</f>
        <v>2024</v>
      </c>
      <c r="D1626" s="8">
        <f>MONTH(Tabla2[[#This Row],[fecha]])</f>
        <v>10</v>
      </c>
      <c r="E1626" s="8" t="str">
        <f>TEXT(Tabla2[[#This Row],[fecha]], "mmmm")</f>
        <v>octubre</v>
      </c>
      <c r="F1626" s="8" t="str">
        <f>"T"&amp;ROUNDUP(Tabla2[[#This Row],[mes]]/3,0)</f>
        <v>T4</v>
      </c>
      <c r="G1626" t="s">
        <v>45</v>
      </c>
      <c r="H1626" t="s">
        <v>46</v>
      </c>
      <c r="I1626" s="8" t="str">
        <f>IF(Tabla2[[#This Row],[precio_unitario]]&lt;=30,"Económico",IF(Tabla2[[#This Row],[precio_unitario]]&lt;=58.49,"Accesible","Caro"))</f>
        <v>Accesible</v>
      </c>
      <c r="J1626" t="s">
        <v>44</v>
      </c>
      <c r="K1626">
        <v>5</v>
      </c>
      <c r="L1626" s="19">
        <v>32.369999999999997</v>
      </c>
      <c r="M1626" s="19">
        <v>16.72</v>
      </c>
      <c r="N1626" s="11">
        <v>0.3</v>
      </c>
      <c r="O1626" s="17">
        <f t="shared" si="103"/>
        <v>113.29499999999999</v>
      </c>
      <c r="P1626" s="17">
        <f t="shared" si="100"/>
        <v>83.6</v>
      </c>
      <c r="Q1626" s="17">
        <f t="shared" si="101"/>
        <v>29.694999999999993</v>
      </c>
      <c r="R1626" s="24">
        <f t="shared" si="102"/>
        <v>0.26210335848890065</v>
      </c>
      <c r="S1626" t="s">
        <v>67</v>
      </c>
      <c r="T1626" t="s">
        <v>60</v>
      </c>
    </row>
    <row r="1627" spans="1:20">
      <c r="A1627" t="s">
        <v>1695</v>
      </c>
      <c r="B1627" s="5">
        <v>45874</v>
      </c>
      <c r="C1627" s="8">
        <f>YEAR(Tabla2[[#This Row],[fecha]])</f>
        <v>2025</v>
      </c>
      <c r="D1627" s="8">
        <f>MONTH(Tabla2[[#This Row],[fecha]])</f>
        <v>8</v>
      </c>
      <c r="E1627" s="8" t="str">
        <f>TEXT(Tabla2[[#This Row],[fecha]], "mmmm")</f>
        <v>agosto</v>
      </c>
      <c r="F1627" s="8" t="str">
        <f>"T"&amp;ROUNDUP(Tabla2[[#This Row],[mes]]/3,0)</f>
        <v>T3</v>
      </c>
      <c r="G1627" t="s">
        <v>11</v>
      </c>
      <c r="H1627" t="s">
        <v>12</v>
      </c>
      <c r="I1627" s="8" t="str">
        <f>IF(Tabla2[[#This Row],[precio_unitario]]&lt;=30,"Económico",IF(Tabla2[[#This Row],[precio_unitario]]&lt;=58.49,"Accesible","Caro"))</f>
        <v>Caro</v>
      </c>
      <c r="J1627" t="s">
        <v>8</v>
      </c>
      <c r="K1627">
        <v>2</v>
      </c>
      <c r="L1627" s="19">
        <v>177.16</v>
      </c>
      <c r="M1627" s="19">
        <v>94.19</v>
      </c>
      <c r="N1627" s="11">
        <v>0</v>
      </c>
      <c r="O1627" s="17">
        <f t="shared" si="103"/>
        <v>354.32</v>
      </c>
      <c r="P1627" s="17">
        <f t="shared" si="100"/>
        <v>188.38</v>
      </c>
      <c r="Q1627" s="17">
        <f t="shared" si="101"/>
        <v>165.94</v>
      </c>
      <c r="R1627" s="24">
        <f t="shared" si="102"/>
        <v>0.46833370964100246</v>
      </c>
      <c r="S1627" t="s">
        <v>67</v>
      </c>
      <c r="T1627" t="s">
        <v>64</v>
      </c>
    </row>
    <row r="1628" spans="1:20" hidden="1">
      <c r="A1628" t="s">
        <v>1696</v>
      </c>
      <c r="B1628" s="5">
        <v>45938</v>
      </c>
      <c r="C1628" s="8">
        <f>YEAR(Tabla2[[#This Row],[fecha]])</f>
        <v>2025</v>
      </c>
      <c r="D1628" s="8">
        <f>MONTH(Tabla2[[#This Row],[fecha]])</f>
        <v>10</v>
      </c>
      <c r="E1628" s="8" t="str">
        <f>TEXT(Tabla2[[#This Row],[fecha]], "mmmm")</f>
        <v>octubre</v>
      </c>
      <c r="F1628" s="8" t="str">
        <f>"T"&amp;ROUNDUP(Tabla2[[#This Row],[mes]]/3,0)</f>
        <v>T4</v>
      </c>
      <c r="G1628" t="s">
        <v>42</v>
      </c>
      <c r="H1628" t="s">
        <v>43</v>
      </c>
      <c r="I1628" s="8" t="str">
        <f>IF(Tabla2[[#This Row],[precio_unitario]]&lt;=30,"Económico",IF(Tabla2[[#This Row],[precio_unitario]]&lt;=58.49,"Accesible","Caro"))</f>
        <v>Accesible</v>
      </c>
      <c r="J1628" t="s">
        <v>44</v>
      </c>
      <c r="K1628">
        <v>3</v>
      </c>
      <c r="L1628" s="19">
        <v>46.88</v>
      </c>
      <c r="M1628" s="19">
        <v>22.43</v>
      </c>
      <c r="N1628" s="13">
        <v>0</v>
      </c>
      <c r="O1628" s="17">
        <f t="shared" si="103"/>
        <v>140.64000000000001</v>
      </c>
      <c r="P1628" s="17">
        <f t="shared" si="100"/>
        <v>67.289999999999992</v>
      </c>
      <c r="Q1628" s="17">
        <f t="shared" si="101"/>
        <v>73.350000000000023</v>
      </c>
      <c r="R1628" s="24">
        <f t="shared" si="102"/>
        <v>0.52154436860068265</v>
      </c>
      <c r="S1628" t="s">
        <v>83</v>
      </c>
      <c r="T1628" t="s">
        <v>64</v>
      </c>
    </row>
    <row r="1629" spans="1:20" hidden="1">
      <c r="A1629" t="s">
        <v>1697</v>
      </c>
      <c r="B1629" s="5">
        <v>45832</v>
      </c>
      <c r="C1629" s="8">
        <f>YEAR(Tabla2[[#This Row],[fecha]])</f>
        <v>2025</v>
      </c>
      <c r="D1629" s="8">
        <f>MONTH(Tabla2[[#This Row],[fecha]])</f>
        <v>6</v>
      </c>
      <c r="E1629" s="8" t="str">
        <f>TEXT(Tabla2[[#This Row],[fecha]], "mmmm")</f>
        <v>junio</v>
      </c>
      <c r="F1629" s="8" t="str">
        <f>"T"&amp;ROUNDUP(Tabla2[[#This Row],[mes]]/3,0)</f>
        <v>T2</v>
      </c>
      <c r="G1629" t="s">
        <v>24</v>
      </c>
      <c r="H1629" t="s">
        <v>25</v>
      </c>
      <c r="I1629" s="8" t="str">
        <f>IF(Tabla2[[#This Row],[precio_unitario]]&lt;=30,"Económico",IF(Tabla2[[#This Row],[precio_unitario]]&lt;=58.49,"Accesible","Caro"))</f>
        <v>Económico</v>
      </c>
      <c r="J1629" t="s">
        <v>26</v>
      </c>
      <c r="K1629">
        <v>2</v>
      </c>
      <c r="L1629" s="19">
        <v>8.34</v>
      </c>
      <c r="M1629" s="19">
        <v>4.37</v>
      </c>
      <c r="N1629" s="11">
        <v>0</v>
      </c>
      <c r="O1629" s="17">
        <f t="shared" si="103"/>
        <v>16.68</v>
      </c>
      <c r="P1629" s="17">
        <f t="shared" si="100"/>
        <v>8.74</v>
      </c>
      <c r="Q1629" s="17">
        <f t="shared" si="101"/>
        <v>7.9399999999999995</v>
      </c>
      <c r="R1629" s="24">
        <f t="shared" si="102"/>
        <v>0.47601918465227816</v>
      </c>
      <c r="S1629" t="s">
        <v>83</v>
      </c>
      <c r="T1629" t="s">
        <v>60</v>
      </c>
    </row>
    <row r="1630" spans="1:20" hidden="1">
      <c r="A1630" t="s">
        <v>1698</v>
      </c>
      <c r="B1630" s="5">
        <v>45624</v>
      </c>
      <c r="C1630" s="8">
        <f>YEAR(Tabla2[[#This Row],[fecha]])</f>
        <v>2024</v>
      </c>
      <c r="D1630" s="8">
        <f>MONTH(Tabla2[[#This Row],[fecha]])</f>
        <v>11</v>
      </c>
      <c r="E1630" s="8" t="str">
        <f>TEXT(Tabla2[[#This Row],[fecha]], "mmmm")</f>
        <v>noviembre</v>
      </c>
      <c r="F1630" s="8" t="str">
        <f>"T"&amp;ROUNDUP(Tabla2[[#This Row],[mes]]/3,0)</f>
        <v>T4</v>
      </c>
      <c r="G1630" t="s">
        <v>6</v>
      </c>
      <c r="H1630" t="s">
        <v>7</v>
      </c>
      <c r="I1630" s="8" t="str">
        <f>IF(Tabla2[[#This Row],[precio_unitario]]&lt;=30,"Económico",IF(Tabla2[[#This Row],[precio_unitario]]&lt;=58.49,"Accesible","Caro"))</f>
        <v>Caro</v>
      </c>
      <c r="J1630" t="s">
        <v>8</v>
      </c>
      <c r="K1630">
        <v>4</v>
      </c>
      <c r="L1630" s="19">
        <v>131.02000000000001</v>
      </c>
      <c r="M1630" s="19">
        <v>80.290000000000006</v>
      </c>
      <c r="N1630" s="11">
        <v>0</v>
      </c>
      <c r="O1630" s="17">
        <f t="shared" si="103"/>
        <v>524.08000000000004</v>
      </c>
      <c r="P1630" s="17">
        <f t="shared" si="100"/>
        <v>321.16000000000003</v>
      </c>
      <c r="Q1630" s="17">
        <f t="shared" si="101"/>
        <v>202.92000000000002</v>
      </c>
      <c r="R1630" s="24">
        <f t="shared" si="102"/>
        <v>0.38719279499313081</v>
      </c>
      <c r="S1630" t="s">
        <v>83</v>
      </c>
      <c r="T1630" t="s">
        <v>60</v>
      </c>
    </row>
    <row r="1631" spans="1:20" hidden="1">
      <c r="A1631" t="s">
        <v>1699</v>
      </c>
      <c r="B1631" s="5">
        <v>45399</v>
      </c>
      <c r="C1631" s="8">
        <f>YEAR(Tabla2[[#This Row],[fecha]])</f>
        <v>2024</v>
      </c>
      <c r="D1631" s="8">
        <f>MONTH(Tabla2[[#This Row],[fecha]])</f>
        <v>4</v>
      </c>
      <c r="E1631" s="8" t="str">
        <f>TEXT(Tabla2[[#This Row],[fecha]], "mmmm")</f>
        <v>abril</v>
      </c>
      <c r="F1631" s="8" t="str">
        <f>"T"&amp;ROUNDUP(Tabla2[[#This Row],[mes]]/3,0)</f>
        <v>T2</v>
      </c>
      <c r="G1631" t="s">
        <v>9</v>
      </c>
      <c r="H1631" t="s">
        <v>10</v>
      </c>
      <c r="I1631" s="8" t="str">
        <f>IF(Tabla2[[#This Row],[precio_unitario]]&lt;=30,"Económico",IF(Tabla2[[#This Row],[precio_unitario]]&lt;=58.49,"Accesible","Caro"))</f>
        <v>Caro</v>
      </c>
      <c r="J1631" t="s">
        <v>8</v>
      </c>
      <c r="K1631">
        <v>1</v>
      </c>
      <c r="L1631" s="19">
        <v>68.400000000000006</v>
      </c>
      <c r="M1631" s="19">
        <v>46.63</v>
      </c>
      <c r="N1631" s="11">
        <v>0.1</v>
      </c>
      <c r="O1631" s="17">
        <f t="shared" si="103"/>
        <v>61.560000000000009</v>
      </c>
      <c r="P1631" s="17">
        <f t="shared" si="100"/>
        <v>46.63</v>
      </c>
      <c r="Q1631" s="17">
        <f t="shared" si="101"/>
        <v>14.930000000000007</v>
      </c>
      <c r="R1631" s="24">
        <f t="shared" si="102"/>
        <v>0.24252761533463296</v>
      </c>
      <c r="S1631" t="s">
        <v>83</v>
      </c>
      <c r="T1631" t="s">
        <v>64</v>
      </c>
    </row>
    <row r="1632" spans="1:20" hidden="1">
      <c r="A1632" t="s">
        <v>1700</v>
      </c>
      <c r="B1632" s="5">
        <v>45599</v>
      </c>
      <c r="C1632" s="8">
        <f>YEAR(Tabla2[[#This Row],[fecha]])</f>
        <v>2024</v>
      </c>
      <c r="D1632" s="8">
        <f>MONTH(Tabla2[[#This Row],[fecha]])</f>
        <v>11</v>
      </c>
      <c r="E1632" s="8" t="str">
        <f>TEXT(Tabla2[[#This Row],[fecha]], "mmmm")</f>
        <v>noviembre</v>
      </c>
      <c r="F1632" s="8" t="str">
        <f>"T"&amp;ROUNDUP(Tabla2[[#This Row],[mes]]/3,0)</f>
        <v>T4</v>
      </c>
      <c r="G1632" t="s">
        <v>11</v>
      </c>
      <c r="H1632" t="s">
        <v>12</v>
      </c>
      <c r="I1632" s="8" t="str">
        <f>IF(Tabla2[[#This Row],[precio_unitario]]&lt;=30,"Económico",IF(Tabla2[[#This Row],[precio_unitario]]&lt;=58.49,"Accesible","Caro"))</f>
        <v>Caro</v>
      </c>
      <c r="J1632" t="s">
        <v>8</v>
      </c>
      <c r="K1632">
        <v>1</v>
      </c>
      <c r="L1632" s="19">
        <v>166.61</v>
      </c>
      <c r="M1632" s="19">
        <v>97.02</v>
      </c>
      <c r="N1632" s="11">
        <v>0</v>
      </c>
      <c r="O1632" s="17">
        <f t="shared" si="103"/>
        <v>166.61</v>
      </c>
      <c r="P1632" s="17">
        <f t="shared" si="100"/>
        <v>97.02</v>
      </c>
      <c r="Q1632" s="17">
        <f t="shared" si="101"/>
        <v>69.590000000000018</v>
      </c>
      <c r="R1632" s="24">
        <f t="shared" si="102"/>
        <v>0.41768201188404064</v>
      </c>
      <c r="S1632" t="s">
        <v>67</v>
      </c>
      <c r="T1632" t="s">
        <v>64</v>
      </c>
    </row>
    <row r="1633" spans="1:20" hidden="1">
      <c r="A1633" t="s">
        <v>1701</v>
      </c>
      <c r="B1633" s="5">
        <v>45617</v>
      </c>
      <c r="C1633" s="8">
        <f>YEAR(Tabla2[[#This Row],[fecha]])</f>
        <v>2024</v>
      </c>
      <c r="D1633" s="8">
        <f>MONTH(Tabla2[[#This Row],[fecha]])</f>
        <v>11</v>
      </c>
      <c r="E1633" s="8" t="str">
        <f>TEXT(Tabla2[[#This Row],[fecha]], "mmmm")</f>
        <v>noviembre</v>
      </c>
      <c r="F1633" s="8" t="str">
        <f>"T"&amp;ROUNDUP(Tabla2[[#This Row],[mes]]/3,0)</f>
        <v>T4</v>
      </c>
      <c r="G1633" t="s">
        <v>24</v>
      </c>
      <c r="H1633" t="s">
        <v>25</v>
      </c>
      <c r="I1633" s="8" t="str">
        <f>IF(Tabla2[[#This Row],[precio_unitario]]&lt;=30,"Económico",IF(Tabla2[[#This Row],[precio_unitario]]&lt;=58.49,"Accesible","Caro"))</f>
        <v>Económico</v>
      </c>
      <c r="J1633" t="s">
        <v>26</v>
      </c>
      <c r="K1633">
        <v>1</v>
      </c>
      <c r="L1633" s="19">
        <v>8.0399999999999991</v>
      </c>
      <c r="M1633" s="19">
        <v>4.4000000000000004</v>
      </c>
      <c r="N1633" s="11">
        <v>0.17</v>
      </c>
      <c r="O1633" s="17">
        <f t="shared" si="103"/>
        <v>6.6731999999999987</v>
      </c>
      <c r="P1633" s="17">
        <f t="shared" si="100"/>
        <v>4.4000000000000004</v>
      </c>
      <c r="Q1633" s="17">
        <f t="shared" si="101"/>
        <v>2.2731999999999983</v>
      </c>
      <c r="R1633" s="24">
        <f t="shared" si="102"/>
        <v>0.34064616675657838</v>
      </c>
      <c r="S1633" t="s">
        <v>67</v>
      </c>
      <c r="T1633" t="s">
        <v>60</v>
      </c>
    </row>
    <row r="1634" spans="1:20" hidden="1">
      <c r="A1634" t="s">
        <v>1702</v>
      </c>
      <c r="B1634" s="5">
        <v>45407</v>
      </c>
      <c r="C1634" s="8">
        <f>YEAR(Tabla2[[#This Row],[fecha]])</f>
        <v>2024</v>
      </c>
      <c r="D1634" s="8">
        <f>MONTH(Tabla2[[#This Row],[fecha]])</f>
        <v>4</v>
      </c>
      <c r="E1634" s="8" t="str">
        <f>TEXT(Tabla2[[#This Row],[fecha]], "mmmm")</f>
        <v>abril</v>
      </c>
      <c r="F1634" s="8" t="str">
        <f>"T"&amp;ROUNDUP(Tabla2[[#This Row],[mes]]/3,0)</f>
        <v>T2</v>
      </c>
      <c r="G1634" t="s">
        <v>20</v>
      </c>
      <c r="H1634" t="s">
        <v>21</v>
      </c>
      <c r="I1634" s="8" t="str">
        <f>IF(Tabla2[[#This Row],[precio_unitario]]&lt;=30,"Económico",IF(Tabla2[[#This Row],[precio_unitario]]&lt;=58.49,"Accesible","Caro"))</f>
        <v>Económico</v>
      </c>
      <c r="J1634" t="s">
        <v>17</v>
      </c>
      <c r="K1634">
        <v>1</v>
      </c>
      <c r="L1634" s="19">
        <v>20.12</v>
      </c>
      <c r="M1634" s="19">
        <v>12.77</v>
      </c>
      <c r="N1634" s="11">
        <v>0</v>
      </c>
      <c r="O1634" s="17">
        <f t="shared" si="103"/>
        <v>20.12</v>
      </c>
      <c r="P1634" s="17">
        <f t="shared" si="100"/>
        <v>12.77</v>
      </c>
      <c r="Q1634" s="17">
        <f t="shared" si="101"/>
        <v>7.3500000000000014</v>
      </c>
      <c r="R1634" s="24">
        <f t="shared" si="102"/>
        <v>0.36530815109343939</v>
      </c>
      <c r="S1634" t="s">
        <v>67</v>
      </c>
      <c r="T1634" t="s">
        <v>64</v>
      </c>
    </row>
    <row r="1635" spans="1:20" hidden="1">
      <c r="A1635" t="s">
        <v>1703</v>
      </c>
      <c r="B1635" s="5">
        <v>45454</v>
      </c>
      <c r="C1635" s="8">
        <f>YEAR(Tabla2[[#This Row],[fecha]])</f>
        <v>2024</v>
      </c>
      <c r="D1635" s="8">
        <f>MONTH(Tabla2[[#This Row],[fecha]])</f>
        <v>6</v>
      </c>
      <c r="E1635" s="8" t="str">
        <f>TEXT(Tabla2[[#This Row],[fecha]], "mmmm")</f>
        <v>junio</v>
      </c>
      <c r="F1635" s="8" t="str">
        <f>"T"&amp;ROUNDUP(Tabla2[[#This Row],[mes]]/3,0)</f>
        <v>T2</v>
      </c>
      <c r="G1635" t="s">
        <v>24</v>
      </c>
      <c r="H1635" t="s">
        <v>25</v>
      </c>
      <c r="I1635" s="8" t="str">
        <f>IF(Tabla2[[#This Row],[precio_unitario]]&lt;=30,"Económico",IF(Tabla2[[#This Row],[precio_unitario]]&lt;=58.49,"Accesible","Caro"))</f>
        <v>Económico</v>
      </c>
      <c r="J1635" t="s">
        <v>26</v>
      </c>
      <c r="K1635">
        <v>1</v>
      </c>
      <c r="L1635" s="19">
        <v>7.94</v>
      </c>
      <c r="M1635" s="19">
        <v>4.4800000000000004</v>
      </c>
      <c r="N1635" s="11">
        <v>0</v>
      </c>
      <c r="O1635" s="17">
        <f t="shared" si="103"/>
        <v>7.94</v>
      </c>
      <c r="P1635" s="17">
        <f t="shared" si="100"/>
        <v>4.4800000000000004</v>
      </c>
      <c r="Q1635" s="17">
        <f t="shared" si="101"/>
        <v>3.46</v>
      </c>
      <c r="R1635" s="24">
        <f t="shared" si="102"/>
        <v>0.4357682619647355</v>
      </c>
      <c r="S1635" t="s">
        <v>83</v>
      </c>
      <c r="T1635" t="s">
        <v>64</v>
      </c>
    </row>
    <row r="1636" spans="1:20">
      <c r="A1636" t="s">
        <v>1704</v>
      </c>
      <c r="B1636" s="5">
        <v>45793</v>
      </c>
      <c r="C1636" s="8">
        <f>YEAR(Tabla2[[#This Row],[fecha]])</f>
        <v>2025</v>
      </c>
      <c r="D1636" s="8">
        <f>MONTH(Tabla2[[#This Row],[fecha]])</f>
        <v>5</v>
      </c>
      <c r="E1636" s="8" t="str">
        <f>TEXT(Tabla2[[#This Row],[fecha]], "mmmm")</f>
        <v>mayo</v>
      </c>
      <c r="F1636" s="8" t="str">
        <f>"T"&amp;ROUNDUP(Tabla2[[#This Row],[mes]]/3,0)</f>
        <v>T2</v>
      </c>
      <c r="G1636" t="s">
        <v>24</v>
      </c>
      <c r="H1636" t="s">
        <v>25</v>
      </c>
      <c r="I1636" s="8" t="str">
        <f>IF(Tabla2[[#This Row],[precio_unitario]]&lt;=30,"Económico",IF(Tabla2[[#This Row],[precio_unitario]]&lt;=58.49,"Accesible","Caro"))</f>
        <v>Económico</v>
      </c>
      <c r="J1636" t="s">
        <v>26</v>
      </c>
      <c r="K1636">
        <v>2</v>
      </c>
      <c r="L1636" s="19">
        <v>7.43</v>
      </c>
      <c r="M1636" s="19">
        <v>4.3099999999999996</v>
      </c>
      <c r="N1636" s="11">
        <v>0</v>
      </c>
      <c r="O1636" s="17">
        <f t="shared" si="103"/>
        <v>14.86</v>
      </c>
      <c r="P1636" s="17">
        <f t="shared" si="100"/>
        <v>8.6199999999999992</v>
      </c>
      <c r="Q1636" s="17">
        <f t="shared" si="101"/>
        <v>6.24</v>
      </c>
      <c r="R1636" s="24">
        <f t="shared" si="102"/>
        <v>0.41991924629878874</v>
      </c>
      <c r="S1636" t="s">
        <v>67</v>
      </c>
      <c r="T1636" t="s">
        <v>64</v>
      </c>
    </row>
    <row r="1637" spans="1:20" hidden="1">
      <c r="A1637" t="s">
        <v>1705</v>
      </c>
      <c r="B1637" s="5">
        <v>45387</v>
      </c>
      <c r="C1637" s="8">
        <f>YEAR(Tabla2[[#This Row],[fecha]])</f>
        <v>2024</v>
      </c>
      <c r="D1637" s="8">
        <f>MONTH(Tabla2[[#This Row],[fecha]])</f>
        <v>4</v>
      </c>
      <c r="E1637" s="8" t="str">
        <f>TEXT(Tabla2[[#This Row],[fecha]], "mmmm")</f>
        <v>abril</v>
      </c>
      <c r="F1637" s="8" t="str">
        <f>"T"&amp;ROUNDUP(Tabla2[[#This Row],[mes]]/3,0)</f>
        <v>T2</v>
      </c>
      <c r="G1637" t="s">
        <v>42</v>
      </c>
      <c r="H1637" t="s">
        <v>43</v>
      </c>
      <c r="I1637" s="8" t="str">
        <f>IF(Tabla2[[#This Row],[precio_unitario]]&lt;=30,"Económico",IF(Tabla2[[#This Row],[precio_unitario]]&lt;=58.49,"Accesible","Caro"))</f>
        <v>Accesible</v>
      </c>
      <c r="J1637" t="s">
        <v>44</v>
      </c>
      <c r="K1637">
        <v>2</v>
      </c>
      <c r="L1637" s="19">
        <v>49.14</v>
      </c>
      <c r="M1637" s="19">
        <v>23.68</v>
      </c>
      <c r="N1637" s="13">
        <v>0</v>
      </c>
      <c r="O1637" s="17">
        <f t="shared" si="103"/>
        <v>98.28</v>
      </c>
      <c r="P1637" s="17">
        <f t="shared" si="100"/>
        <v>47.36</v>
      </c>
      <c r="Q1637" s="17">
        <f t="shared" si="101"/>
        <v>50.92</v>
      </c>
      <c r="R1637" s="24">
        <f t="shared" si="102"/>
        <v>0.51811151811151812</v>
      </c>
      <c r="S1637" t="s">
        <v>67</v>
      </c>
      <c r="T1637" t="s">
        <v>60</v>
      </c>
    </row>
    <row r="1638" spans="1:20">
      <c r="A1638" t="s">
        <v>1706</v>
      </c>
      <c r="B1638" s="5">
        <v>45923</v>
      </c>
      <c r="C1638" s="8">
        <f>YEAR(Tabla2[[#This Row],[fecha]])</f>
        <v>2025</v>
      </c>
      <c r="D1638" s="8">
        <f>MONTH(Tabla2[[#This Row],[fecha]])</f>
        <v>9</v>
      </c>
      <c r="E1638" s="8" t="str">
        <f>TEXT(Tabla2[[#This Row],[fecha]], "mmmm")</f>
        <v>septiembre</v>
      </c>
      <c r="F1638" s="8" t="str">
        <f>"T"&amp;ROUNDUP(Tabla2[[#This Row],[mes]]/3,0)</f>
        <v>T3</v>
      </c>
      <c r="G1638" t="s">
        <v>47</v>
      </c>
      <c r="H1638" t="s">
        <v>48</v>
      </c>
      <c r="I1638" s="8" t="str">
        <f>IF(Tabla2[[#This Row],[precio_unitario]]&lt;=30,"Económico",IF(Tabla2[[#This Row],[precio_unitario]]&lt;=58.49,"Accesible","Caro"))</f>
        <v>Caro</v>
      </c>
      <c r="J1638" t="s">
        <v>44</v>
      </c>
      <c r="K1638">
        <v>7</v>
      </c>
      <c r="L1638" s="19">
        <v>62.51</v>
      </c>
      <c r="M1638" s="19">
        <v>33.44</v>
      </c>
      <c r="N1638" s="11">
        <v>0.27</v>
      </c>
      <c r="O1638" s="17">
        <f t="shared" si="103"/>
        <v>319.42609999999996</v>
      </c>
      <c r="P1638" s="17">
        <f t="shared" si="100"/>
        <v>234.07999999999998</v>
      </c>
      <c r="Q1638" s="17">
        <f t="shared" si="101"/>
        <v>85.346099999999979</v>
      </c>
      <c r="R1638" s="24">
        <f t="shared" si="102"/>
        <v>0.26718574343173584</v>
      </c>
      <c r="S1638" t="s">
        <v>67</v>
      </c>
      <c r="T1638" t="s">
        <v>64</v>
      </c>
    </row>
    <row r="1639" spans="1:20" hidden="1">
      <c r="A1639" t="s">
        <v>1707</v>
      </c>
      <c r="B1639" s="5">
        <v>45568</v>
      </c>
      <c r="C1639" s="8">
        <f>YEAR(Tabla2[[#This Row],[fecha]])</f>
        <v>2024</v>
      </c>
      <c r="D1639" s="8">
        <f>MONTH(Tabla2[[#This Row],[fecha]])</f>
        <v>10</v>
      </c>
      <c r="E1639" s="8" t="str">
        <f>TEXT(Tabla2[[#This Row],[fecha]], "mmmm")</f>
        <v>octubre</v>
      </c>
      <c r="F1639" s="8" t="str">
        <f>"T"&amp;ROUNDUP(Tabla2[[#This Row],[mes]]/3,0)</f>
        <v>T4</v>
      </c>
      <c r="G1639" t="s">
        <v>36</v>
      </c>
      <c r="H1639" t="s">
        <v>37</v>
      </c>
      <c r="I1639" s="8" t="str">
        <f>IF(Tabla2[[#This Row],[precio_unitario]]&lt;=30,"Económico",IF(Tabla2[[#This Row],[precio_unitario]]&lt;=58.49,"Accesible","Caro"))</f>
        <v>Económico</v>
      </c>
      <c r="J1639" t="s">
        <v>35</v>
      </c>
      <c r="K1639">
        <v>1</v>
      </c>
      <c r="L1639" s="19">
        <v>13.15</v>
      </c>
      <c r="M1639" s="19">
        <v>9.94</v>
      </c>
      <c r="N1639" s="11">
        <v>0</v>
      </c>
      <c r="O1639" s="17">
        <f t="shared" si="103"/>
        <v>13.15</v>
      </c>
      <c r="P1639" s="17">
        <f t="shared" si="100"/>
        <v>9.94</v>
      </c>
      <c r="Q1639" s="17">
        <f t="shared" si="101"/>
        <v>3.2100000000000009</v>
      </c>
      <c r="R1639" s="24">
        <f t="shared" si="102"/>
        <v>0.24410646387832705</v>
      </c>
      <c r="S1639" t="s">
        <v>67</v>
      </c>
      <c r="T1639" t="s">
        <v>60</v>
      </c>
    </row>
    <row r="1640" spans="1:20">
      <c r="A1640" t="s">
        <v>1708</v>
      </c>
      <c r="B1640" s="5">
        <v>45821</v>
      </c>
      <c r="C1640" s="8">
        <f>YEAR(Tabla2[[#This Row],[fecha]])</f>
        <v>2025</v>
      </c>
      <c r="D1640" s="8">
        <f>MONTH(Tabla2[[#This Row],[fecha]])</f>
        <v>6</v>
      </c>
      <c r="E1640" s="8" t="str">
        <f>TEXT(Tabla2[[#This Row],[fecha]], "mmmm")</f>
        <v>junio</v>
      </c>
      <c r="F1640" s="8" t="str">
        <f>"T"&amp;ROUNDUP(Tabla2[[#This Row],[mes]]/3,0)</f>
        <v>T2</v>
      </c>
      <c r="G1640" t="s">
        <v>24</v>
      </c>
      <c r="H1640" t="s">
        <v>25</v>
      </c>
      <c r="I1640" s="8" t="str">
        <f>IF(Tabla2[[#This Row],[precio_unitario]]&lt;=30,"Económico",IF(Tabla2[[#This Row],[precio_unitario]]&lt;=58.49,"Accesible","Caro"))</f>
        <v>Económico</v>
      </c>
      <c r="J1640" t="s">
        <v>26</v>
      </c>
      <c r="K1640">
        <v>2</v>
      </c>
      <c r="L1640" s="19">
        <v>8.18</v>
      </c>
      <c r="M1640" s="19">
        <v>4.17</v>
      </c>
      <c r="N1640" s="11">
        <v>0</v>
      </c>
      <c r="O1640" s="17">
        <f t="shared" si="103"/>
        <v>16.36</v>
      </c>
      <c r="P1640" s="17">
        <f t="shared" si="100"/>
        <v>8.34</v>
      </c>
      <c r="Q1640" s="17">
        <f t="shared" si="101"/>
        <v>8.02</v>
      </c>
      <c r="R1640" s="24">
        <f t="shared" si="102"/>
        <v>0.49022004889975551</v>
      </c>
      <c r="S1640" t="s">
        <v>67</v>
      </c>
      <c r="T1640" t="s">
        <v>64</v>
      </c>
    </row>
    <row r="1641" spans="1:20" hidden="1">
      <c r="A1641" t="s">
        <v>1709</v>
      </c>
      <c r="B1641" s="5">
        <v>45564</v>
      </c>
      <c r="C1641" s="8">
        <f>YEAR(Tabla2[[#This Row],[fecha]])</f>
        <v>2024</v>
      </c>
      <c r="D1641" s="8">
        <f>MONTH(Tabla2[[#This Row],[fecha]])</f>
        <v>9</v>
      </c>
      <c r="E1641" s="8" t="str">
        <f>TEXT(Tabla2[[#This Row],[fecha]], "mmmm")</f>
        <v>septiembre</v>
      </c>
      <c r="F1641" s="8" t="str">
        <f>"T"&amp;ROUNDUP(Tabla2[[#This Row],[mes]]/3,0)</f>
        <v>T3</v>
      </c>
      <c r="G1641" t="s">
        <v>49</v>
      </c>
      <c r="H1641" t="s">
        <v>50</v>
      </c>
      <c r="I1641" s="8" t="str">
        <f>IF(Tabla2[[#This Row],[precio_unitario]]&lt;=30,"Económico",IF(Tabla2[[#This Row],[precio_unitario]]&lt;=58.49,"Accesible","Caro"))</f>
        <v>Accesible</v>
      </c>
      <c r="J1641" t="s">
        <v>44</v>
      </c>
      <c r="K1641">
        <v>1</v>
      </c>
      <c r="L1641" s="19">
        <v>56.47</v>
      </c>
      <c r="M1641" s="19">
        <v>32.869999999999997</v>
      </c>
      <c r="N1641" s="11">
        <v>0</v>
      </c>
      <c r="O1641" s="17">
        <f t="shared" si="103"/>
        <v>56.47</v>
      </c>
      <c r="P1641" s="17">
        <f t="shared" si="100"/>
        <v>32.869999999999997</v>
      </c>
      <c r="Q1641" s="17">
        <f t="shared" si="101"/>
        <v>23.6</v>
      </c>
      <c r="R1641" s="24">
        <f t="shared" si="102"/>
        <v>0.41792102001062514</v>
      </c>
      <c r="S1641" t="s">
        <v>540</v>
      </c>
      <c r="T1641" t="s">
        <v>64</v>
      </c>
    </row>
    <row r="1642" spans="1:20">
      <c r="A1642" t="s">
        <v>1710</v>
      </c>
      <c r="B1642" s="5">
        <v>45899</v>
      </c>
      <c r="C1642" s="8">
        <f>YEAR(Tabla2[[#This Row],[fecha]])</f>
        <v>2025</v>
      </c>
      <c r="D1642" s="8">
        <f>MONTH(Tabla2[[#This Row],[fecha]])</f>
        <v>8</v>
      </c>
      <c r="E1642" s="8" t="str">
        <f>TEXT(Tabla2[[#This Row],[fecha]], "mmmm")</f>
        <v>agosto</v>
      </c>
      <c r="F1642" s="8" t="str">
        <f>"T"&amp;ROUNDUP(Tabla2[[#This Row],[mes]]/3,0)</f>
        <v>T3</v>
      </c>
      <c r="G1642" t="s">
        <v>15</v>
      </c>
      <c r="H1642" t="s">
        <v>16</v>
      </c>
      <c r="I1642" s="8" t="str">
        <f>IF(Tabla2[[#This Row],[precio_unitario]]&lt;=30,"Económico",IF(Tabla2[[#This Row],[precio_unitario]]&lt;=58.49,"Accesible","Caro"))</f>
        <v>Caro</v>
      </c>
      <c r="J1642" t="s">
        <v>17</v>
      </c>
      <c r="K1642">
        <v>1</v>
      </c>
      <c r="L1642" s="19">
        <v>62.7</v>
      </c>
      <c r="M1642" s="19">
        <v>43.18</v>
      </c>
      <c r="N1642" s="11">
        <v>0</v>
      </c>
      <c r="O1642" s="17">
        <f t="shared" si="103"/>
        <v>62.7</v>
      </c>
      <c r="P1642" s="17">
        <f t="shared" si="100"/>
        <v>43.18</v>
      </c>
      <c r="Q1642" s="17">
        <f t="shared" si="101"/>
        <v>19.520000000000003</v>
      </c>
      <c r="R1642" s="24">
        <f t="shared" si="102"/>
        <v>0.31132376395534295</v>
      </c>
      <c r="S1642" t="s">
        <v>67</v>
      </c>
      <c r="T1642" t="s">
        <v>64</v>
      </c>
    </row>
    <row r="1643" spans="1:20" hidden="1">
      <c r="A1643" t="s">
        <v>1711</v>
      </c>
      <c r="B1643" s="5">
        <v>45570</v>
      </c>
      <c r="C1643" s="8">
        <f>YEAR(Tabla2[[#This Row],[fecha]])</f>
        <v>2024</v>
      </c>
      <c r="D1643" s="8">
        <f>MONTH(Tabla2[[#This Row],[fecha]])</f>
        <v>10</v>
      </c>
      <c r="E1643" s="8" t="str">
        <f>TEXT(Tabla2[[#This Row],[fecha]], "mmmm")</f>
        <v>octubre</v>
      </c>
      <c r="F1643" s="8" t="str">
        <f>"T"&amp;ROUNDUP(Tabla2[[#This Row],[mes]]/3,0)</f>
        <v>T4</v>
      </c>
      <c r="G1643" t="s">
        <v>33</v>
      </c>
      <c r="H1643" t="s">
        <v>34</v>
      </c>
      <c r="I1643" s="8" t="str">
        <f>IF(Tabla2[[#This Row],[precio_unitario]]&lt;=30,"Económico",IF(Tabla2[[#This Row],[precio_unitario]]&lt;=58.49,"Accesible","Caro"))</f>
        <v>Caro</v>
      </c>
      <c r="J1643" t="s">
        <v>35</v>
      </c>
      <c r="K1643">
        <v>1</v>
      </c>
      <c r="L1643" s="19">
        <v>78.650000000000006</v>
      </c>
      <c r="M1643" s="19">
        <v>45.89</v>
      </c>
      <c r="N1643" s="11">
        <v>0</v>
      </c>
      <c r="O1643" s="17">
        <f t="shared" si="103"/>
        <v>78.650000000000006</v>
      </c>
      <c r="P1643" s="17">
        <f t="shared" si="100"/>
        <v>45.89</v>
      </c>
      <c r="Q1643" s="17">
        <f t="shared" si="101"/>
        <v>32.760000000000005</v>
      </c>
      <c r="R1643" s="24">
        <f t="shared" si="102"/>
        <v>0.41652892561983473</v>
      </c>
      <c r="S1643" t="s">
        <v>83</v>
      </c>
      <c r="T1643" t="s">
        <v>64</v>
      </c>
    </row>
    <row r="1644" spans="1:20" hidden="1">
      <c r="A1644" t="s">
        <v>1712</v>
      </c>
      <c r="B1644" s="5">
        <v>45887</v>
      </c>
      <c r="C1644" s="8">
        <f>YEAR(Tabla2[[#This Row],[fecha]])</f>
        <v>2025</v>
      </c>
      <c r="D1644" s="8">
        <f>MONTH(Tabla2[[#This Row],[fecha]])</f>
        <v>8</v>
      </c>
      <c r="E1644" s="8" t="str">
        <f>TEXT(Tabla2[[#This Row],[fecha]], "mmmm")</f>
        <v>agosto</v>
      </c>
      <c r="F1644" s="8" t="str">
        <f>"T"&amp;ROUNDUP(Tabla2[[#This Row],[mes]]/3,0)</f>
        <v>T3</v>
      </c>
      <c r="G1644" t="s">
        <v>38</v>
      </c>
      <c r="H1644" t="s">
        <v>39</v>
      </c>
      <c r="I1644" s="8" t="str">
        <f>IF(Tabla2[[#This Row],[precio_unitario]]&lt;=30,"Económico",IF(Tabla2[[#This Row],[precio_unitario]]&lt;=58.49,"Accesible","Caro"))</f>
        <v>Caro</v>
      </c>
      <c r="J1644" t="s">
        <v>35</v>
      </c>
      <c r="K1644">
        <v>3</v>
      </c>
      <c r="L1644" s="19">
        <v>80.489999999999995</v>
      </c>
      <c r="M1644" s="19">
        <v>40.840000000000003</v>
      </c>
      <c r="N1644" s="11">
        <v>0.25</v>
      </c>
      <c r="O1644" s="17">
        <f t="shared" si="103"/>
        <v>181.10249999999996</v>
      </c>
      <c r="P1644" s="17">
        <f t="shared" si="100"/>
        <v>122.52000000000001</v>
      </c>
      <c r="Q1644" s="17">
        <f t="shared" si="101"/>
        <v>58.582499999999953</v>
      </c>
      <c r="R1644" s="24">
        <f t="shared" si="102"/>
        <v>0.32347703648486337</v>
      </c>
      <c r="S1644" t="s">
        <v>83</v>
      </c>
      <c r="T1644" t="s">
        <v>64</v>
      </c>
    </row>
    <row r="1645" spans="1:20">
      <c r="A1645" t="s">
        <v>1713</v>
      </c>
      <c r="B1645" s="5">
        <v>45903</v>
      </c>
      <c r="C1645" s="8">
        <f>YEAR(Tabla2[[#This Row],[fecha]])</f>
        <v>2025</v>
      </c>
      <c r="D1645" s="8">
        <f>MONTH(Tabla2[[#This Row],[fecha]])</f>
        <v>9</v>
      </c>
      <c r="E1645" s="8" t="str">
        <f>TEXT(Tabla2[[#This Row],[fecha]], "mmmm")</f>
        <v>septiembre</v>
      </c>
      <c r="F1645" s="8" t="str">
        <f>"T"&amp;ROUNDUP(Tabla2[[#This Row],[mes]]/3,0)</f>
        <v>T3</v>
      </c>
      <c r="G1645" t="s">
        <v>20</v>
      </c>
      <c r="H1645" t="s">
        <v>21</v>
      </c>
      <c r="I1645" s="8" t="str">
        <f>IF(Tabla2[[#This Row],[precio_unitario]]&lt;=30,"Económico",IF(Tabla2[[#This Row],[precio_unitario]]&lt;=58.49,"Accesible","Caro"))</f>
        <v>Económico</v>
      </c>
      <c r="J1645" t="s">
        <v>17</v>
      </c>
      <c r="K1645">
        <v>1</v>
      </c>
      <c r="L1645" s="19">
        <v>21.21</v>
      </c>
      <c r="M1645" s="21">
        <f>INDEX(Tabla3[coste_objetivo], MATCH(Tabla2[[#This Row],[id_producto]], Tabla3[id_producto],0))</f>
        <v>12.9</v>
      </c>
      <c r="N1645" s="11">
        <v>0.19</v>
      </c>
      <c r="O1645" s="17">
        <f t="shared" si="103"/>
        <v>17.180100000000003</v>
      </c>
      <c r="P1645" s="17">
        <f t="shared" si="100"/>
        <v>12.9</v>
      </c>
      <c r="Q1645" s="17">
        <f t="shared" si="101"/>
        <v>4.2801000000000027</v>
      </c>
      <c r="R1645" s="24">
        <f t="shared" si="102"/>
        <v>0.24913126233258256</v>
      </c>
      <c r="S1645" t="s">
        <v>67</v>
      </c>
      <c r="T1645" t="s">
        <v>64</v>
      </c>
    </row>
    <row r="1646" spans="1:20">
      <c r="A1646" t="s">
        <v>1714</v>
      </c>
      <c r="B1646" s="5">
        <v>45798</v>
      </c>
      <c r="C1646" s="8">
        <f>YEAR(Tabla2[[#This Row],[fecha]])</f>
        <v>2025</v>
      </c>
      <c r="D1646" s="8">
        <f>MONTH(Tabla2[[#This Row],[fecha]])</f>
        <v>5</v>
      </c>
      <c r="E1646" s="8" t="str">
        <f>TEXT(Tabla2[[#This Row],[fecha]], "mmmm")</f>
        <v>mayo</v>
      </c>
      <c r="F1646" s="8" t="str">
        <f>"T"&amp;ROUNDUP(Tabla2[[#This Row],[mes]]/3,0)</f>
        <v>T2</v>
      </c>
      <c r="G1646" t="s">
        <v>20</v>
      </c>
      <c r="H1646" t="s">
        <v>21</v>
      </c>
      <c r="I1646" s="8" t="str">
        <f>IF(Tabla2[[#This Row],[precio_unitario]]&lt;=30,"Económico",IF(Tabla2[[#This Row],[precio_unitario]]&lt;=58.49,"Accesible","Caro"))</f>
        <v>Económico</v>
      </c>
      <c r="J1646" t="s">
        <v>17</v>
      </c>
      <c r="K1646">
        <v>1</v>
      </c>
      <c r="L1646" s="19">
        <v>18.75</v>
      </c>
      <c r="M1646" s="19">
        <v>13.18</v>
      </c>
      <c r="N1646" s="11">
        <v>0</v>
      </c>
      <c r="O1646" s="17">
        <f t="shared" si="103"/>
        <v>18.75</v>
      </c>
      <c r="P1646" s="17">
        <f t="shared" si="100"/>
        <v>13.18</v>
      </c>
      <c r="Q1646" s="17">
        <f t="shared" si="101"/>
        <v>5.57</v>
      </c>
      <c r="R1646" s="24">
        <f t="shared" si="102"/>
        <v>0.2970666666666667</v>
      </c>
      <c r="S1646" t="s">
        <v>67</v>
      </c>
      <c r="T1646" t="s">
        <v>64</v>
      </c>
    </row>
    <row r="1647" spans="1:20" hidden="1">
      <c r="A1647" t="s">
        <v>1715</v>
      </c>
      <c r="B1647" s="5">
        <v>45929</v>
      </c>
      <c r="C1647" s="8">
        <f>YEAR(Tabla2[[#This Row],[fecha]])</f>
        <v>2025</v>
      </c>
      <c r="D1647" s="8">
        <f>MONTH(Tabla2[[#This Row],[fecha]])</f>
        <v>9</v>
      </c>
      <c r="E1647" s="8" t="str">
        <f>TEXT(Tabla2[[#This Row],[fecha]], "mmmm")</f>
        <v>septiembre</v>
      </c>
      <c r="F1647" s="8" t="str">
        <f>"T"&amp;ROUNDUP(Tabla2[[#This Row],[mes]]/3,0)</f>
        <v>T3</v>
      </c>
      <c r="G1647" t="s">
        <v>33</v>
      </c>
      <c r="H1647" t="s">
        <v>34</v>
      </c>
      <c r="I1647" s="8" t="str">
        <f>IF(Tabla2[[#This Row],[precio_unitario]]&lt;=30,"Económico",IF(Tabla2[[#This Row],[precio_unitario]]&lt;=58.49,"Accesible","Caro"))</f>
        <v>Caro</v>
      </c>
      <c r="J1647" t="s">
        <v>35</v>
      </c>
      <c r="K1647">
        <v>3</v>
      </c>
      <c r="L1647" s="19">
        <v>72.569999999999993</v>
      </c>
      <c r="M1647" s="19">
        <v>49.46</v>
      </c>
      <c r="N1647" s="11">
        <v>0</v>
      </c>
      <c r="O1647" s="17">
        <f t="shared" si="103"/>
        <v>217.70999999999998</v>
      </c>
      <c r="P1647" s="17">
        <f t="shared" si="100"/>
        <v>148.38</v>
      </c>
      <c r="Q1647" s="17">
        <f t="shared" si="101"/>
        <v>69.329999999999984</v>
      </c>
      <c r="R1647" s="24">
        <f t="shared" si="102"/>
        <v>0.31845115061320101</v>
      </c>
      <c r="S1647" t="s">
        <v>83</v>
      </c>
      <c r="T1647" t="s">
        <v>64</v>
      </c>
    </row>
    <row r="1648" spans="1:20" hidden="1">
      <c r="A1648" t="s">
        <v>1716</v>
      </c>
      <c r="B1648" s="5">
        <v>45526</v>
      </c>
      <c r="C1648" s="8">
        <f>YEAR(Tabla2[[#This Row],[fecha]])</f>
        <v>2024</v>
      </c>
      <c r="D1648" s="8">
        <f>MONTH(Tabla2[[#This Row],[fecha]])</f>
        <v>8</v>
      </c>
      <c r="E1648" s="8" t="str">
        <f>TEXT(Tabla2[[#This Row],[fecha]], "mmmm")</f>
        <v>agosto</v>
      </c>
      <c r="F1648" s="8" t="str">
        <f>"T"&amp;ROUNDUP(Tabla2[[#This Row],[mes]]/3,0)</f>
        <v>T3</v>
      </c>
      <c r="G1648" t="s">
        <v>38</v>
      </c>
      <c r="H1648" t="s">
        <v>39</v>
      </c>
      <c r="I1648" s="8" t="str">
        <f>IF(Tabla2[[#This Row],[precio_unitario]]&lt;=30,"Económico",IF(Tabla2[[#This Row],[precio_unitario]]&lt;=58.49,"Accesible","Caro"))</f>
        <v>Caro</v>
      </c>
      <c r="J1648" t="s">
        <v>35</v>
      </c>
      <c r="K1648">
        <v>1</v>
      </c>
      <c r="L1648" s="19">
        <v>78.209999999999994</v>
      </c>
      <c r="M1648" s="19">
        <v>41.8</v>
      </c>
      <c r="N1648" s="13">
        <v>0</v>
      </c>
      <c r="O1648" s="17">
        <f t="shared" si="103"/>
        <v>78.209999999999994</v>
      </c>
      <c r="P1648" s="17">
        <f t="shared" si="100"/>
        <v>41.8</v>
      </c>
      <c r="Q1648" s="17">
        <f t="shared" si="101"/>
        <v>36.409999999999997</v>
      </c>
      <c r="R1648" s="24">
        <f t="shared" si="102"/>
        <v>0.46554149085794655</v>
      </c>
      <c r="S1648" t="s">
        <v>67</v>
      </c>
      <c r="T1648" t="s">
        <v>64</v>
      </c>
    </row>
    <row r="1649" spans="1:20" hidden="1">
      <c r="A1649" t="s">
        <v>1717</v>
      </c>
      <c r="B1649" s="5">
        <v>45800</v>
      </c>
      <c r="C1649" s="8">
        <f>YEAR(Tabla2[[#This Row],[fecha]])</f>
        <v>2025</v>
      </c>
      <c r="D1649" s="8">
        <f>MONTH(Tabla2[[#This Row],[fecha]])</f>
        <v>5</v>
      </c>
      <c r="E1649" s="8" t="str">
        <f>TEXT(Tabla2[[#This Row],[fecha]], "mmmm")</f>
        <v>mayo</v>
      </c>
      <c r="F1649" s="8" t="str">
        <f>"T"&amp;ROUNDUP(Tabla2[[#This Row],[mes]]/3,0)</f>
        <v>T2</v>
      </c>
      <c r="G1649" t="s">
        <v>11</v>
      </c>
      <c r="H1649" t="s">
        <v>12</v>
      </c>
      <c r="I1649" s="8" t="str">
        <f>IF(Tabla2[[#This Row],[precio_unitario]]&lt;=30,"Económico",IF(Tabla2[[#This Row],[precio_unitario]]&lt;=58.49,"Accesible","Caro"))</f>
        <v>Caro</v>
      </c>
      <c r="J1649" t="s">
        <v>8</v>
      </c>
      <c r="K1649">
        <v>1</v>
      </c>
      <c r="L1649" s="19">
        <v>179.87</v>
      </c>
      <c r="M1649" s="21">
        <f>INDEX(Tabla3[coste_objetivo], MATCH(Tabla2[[#This Row],[id_producto]], Tabla3[id_producto],0))</f>
        <v>94.19</v>
      </c>
      <c r="N1649" s="11">
        <v>0</v>
      </c>
      <c r="O1649" s="17">
        <f t="shared" si="103"/>
        <v>179.87</v>
      </c>
      <c r="P1649" s="17">
        <f t="shared" si="100"/>
        <v>94.19</v>
      </c>
      <c r="Q1649" s="17">
        <f t="shared" si="101"/>
        <v>85.68</v>
      </c>
      <c r="R1649" s="24">
        <f t="shared" si="102"/>
        <v>0.47634402624117422</v>
      </c>
      <c r="S1649" t="s">
        <v>101</v>
      </c>
      <c r="T1649" t="s">
        <v>60</v>
      </c>
    </row>
    <row r="1650" spans="1:20" hidden="1">
      <c r="A1650" t="s">
        <v>1718</v>
      </c>
      <c r="B1650" s="5">
        <v>45369</v>
      </c>
      <c r="C1650" s="8">
        <f>YEAR(Tabla2[[#This Row],[fecha]])</f>
        <v>2024</v>
      </c>
      <c r="D1650" s="8">
        <f>MONTH(Tabla2[[#This Row],[fecha]])</f>
        <v>3</v>
      </c>
      <c r="E1650" s="8" t="str">
        <f>TEXT(Tabla2[[#This Row],[fecha]], "mmmm")</f>
        <v>marzo</v>
      </c>
      <c r="F1650" s="8" t="str">
        <f>"T"&amp;ROUNDUP(Tabla2[[#This Row],[mes]]/3,0)</f>
        <v>T1</v>
      </c>
      <c r="G1650" t="s">
        <v>11</v>
      </c>
      <c r="H1650" t="s">
        <v>12</v>
      </c>
      <c r="I1650" s="8" t="str">
        <f>IF(Tabla2[[#This Row],[precio_unitario]]&lt;=30,"Económico",IF(Tabla2[[#This Row],[precio_unitario]]&lt;=58.49,"Accesible","Caro"))</f>
        <v>Caro</v>
      </c>
      <c r="J1650" t="s">
        <v>8</v>
      </c>
      <c r="K1650">
        <v>4</v>
      </c>
      <c r="L1650" s="19">
        <v>179.96</v>
      </c>
      <c r="M1650" s="19">
        <v>96.73</v>
      </c>
      <c r="N1650" s="11">
        <v>0.06</v>
      </c>
      <c r="O1650" s="17">
        <f t="shared" si="103"/>
        <v>676.64959999999996</v>
      </c>
      <c r="P1650" s="17">
        <f t="shared" si="100"/>
        <v>386.92</v>
      </c>
      <c r="Q1650" s="17">
        <f t="shared" si="101"/>
        <v>289.72959999999995</v>
      </c>
      <c r="R1650" s="24">
        <f t="shared" si="102"/>
        <v>0.42818262214298208</v>
      </c>
      <c r="S1650" t="s">
        <v>96</v>
      </c>
      <c r="T1650" t="s">
        <v>64</v>
      </c>
    </row>
    <row r="1651" spans="1:20" hidden="1">
      <c r="A1651" t="s">
        <v>1719</v>
      </c>
      <c r="B1651" s="5">
        <v>45349</v>
      </c>
      <c r="C1651" s="8">
        <f>YEAR(Tabla2[[#This Row],[fecha]])</f>
        <v>2024</v>
      </c>
      <c r="D1651" s="8">
        <f>MONTH(Tabla2[[#This Row],[fecha]])</f>
        <v>2</v>
      </c>
      <c r="E1651" s="8" t="str">
        <f>TEXT(Tabla2[[#This Row],[fecha]], "mmmm")</f>
        <v>febrero</v>
      </c>
      <c r="F1651" s="8" t="str">
        <f>"T"&amp;ROUNDUP(Tabla2[[#This Row],[mes]]/3,0)</f>
        <v>T1</v>
      </c>
      <c r="G1651" t="s">
        <v>49</v>
      </c>
      <c r="H1651" t="s">
        <v>50</v>
      </c>
      <c r="I1651" s="8" t="str">
        <f>IF(Tabla2[[#This Row],[precio_unitario]]&lt;=30,"Económico",IF(Tabla2[[#This Row],[precio_unitario]]&lt;=58.49,"Accesible","Caro"))</f>
        <v>Accesible</v>
      </c>
      <c r="J1651" t="s">
        <v>44</v>
      </c>
      <c r="K1651">
        <v>1</v>
      </c>
      <c r="L1651" s="19">
        <v>56.38</v>
      </c>
      <c r="M1651" s="19">
        <v>35.03</v>
      </c>
      <c r="N1651" s="13">
        <v>0</v>
      </c>
      <c r="O1651" s="17">
        <f t="shared" si="103"/>
        <v>56.38</v>
      </c>
      <c r="P1651" s="17">
        <f t="shared" si="100"/>
        <v>35.03</v>
      </c>
      <c r="Q1651" s="17">
        <f t="shared" si="101"/>
        <v>21.35</v>
      </c>
      <c r="R1651" s="24">
        <f t="shared" si="102"/>
        <v>0.37868038311457963</v>
      </c>
      <c r="S1651" t="s">
        <v>67</v>
      </c>
      <c r="T1651" t="s">
        <v>60</v>
      </c>
    </row>
    <row r="1652" spans="1:20" hidden="1">
      <c r="A1652" t="s">
        <v>1720</v>
      </c>
      <c r="B1652" s="5">
        <v>45721</v>
      </c>
      <c r="C1652" s="8">
        <f>YEAR(Tabla2[[#This Row],[fecha]])</f>
        <v>2025</v>
      </c>
      <c r="D1652" s="8">
        <f>MONTH(Tabla2[[#This Row],[fecha]])</f>
        <v>3</v>
      </c>
      <c r="E1652" s="8" t="str">
        <f>TEXT(Tabla2[[#This Row],[fecha]], "mmmm")</f>
        <v>marzo</v>
      </c>
      <c r="F1652" s="8" t="str">
        <f>"T"&amp;ROUNDUP(Tabla2[[#This Row],[mes]]/3,0)</f>
        <v>T1</v>
      </c>
      <c r="G1652" t="s">
        <v>22</v>
      </c>
      <c r="H1652" t="s">
        <v>23</v>
      </c>
      <c r="I1652" s="8" t="str">
        <f>IF(Tabla2[[#This Row],[precio_unitario]]&lt;=30,"Económico",IF(Tabla2[[#This Row],[precio_unitario]]&lt;=58.49,"Accesible","Caro"))</f>
        <v>Caro</v>
      </c>
      <c r="J1652" t="s">
        <v>17</v>
      </c>
      <c r="K1652">
        <v>7</v>
      </c>
      <c r="L1652" s="19">
        <v>96.73</v>
      </c>
      <c r="M1652" s="19">
        <v>56.72</v>
      </c>
      <c r="N1652" s="11">
        <v>0</v>
      </c>
      <c r="O1652" s="17">
        <f t="shared" si="103"/>
        <v>677.11</v>
      </c>
      <c r="P1652" s="17">
        <f t="shared" si="100"/>
        <v>397.03999999999996</v>
      </c>
      <c r="Q1652" s="17">
        <f t="shared" si="101"/>
        <v>280.07000000000005</v>
      </c>
      <c r="R1652" s="24">
        <f t="shared" si="102"/>
        <v>0.41362555567042292</v>
      </c>
      <c r="S1652" t="s">
        <v>83</v>
      </c>
      <c r="T1652" t="s">
        <v>64</v>
      </c>
    </row>
    <row r="1653" spans="1:20" hidden="1">
      <c r="A1653" t="s">
        <v>1721</v>
      </c>
      <c r="B1653" s="5">
        <v>45977</v>
      </c>
      <c r="C1653" s="8">
        <f>YEAR(Tabla2[[#This Row],[fecha]])</f>
        <v>2025</v>
      </c>
      <c r="D1653" s="8">
        <f>MONTH(Tabla2[[#This Row],[fecha]])</f>
        <v>11</v>
      </c>
      <c r="E1653" s="8" t="str">
        <f>TEXT(Tabla2[[#This Row],[fecha]], "mmmm")</f>
        <v>noviembre</v>
      </c>
      <c r="F1653" s="8" t="str">
        <f>"T"&amp;ROUNDUP(Tabla2[[#This Row],[mes]]/3,0)</f>
        <v>T4</v>
      </c>
      <c r="G1653" t="s">
        <v>36</v>
      </c>
      <c r="H1653" t="s">
        <v>37</v>
      </c>
      <c r="I1653" s="8" t="str">
        <f>IF(Tabla2[[#This Row],[precio_unitario]]&lt;=30,"Económico",IF(Tabla2[[#This Row],[precio_unitario]]&lt;=58.49,"Accesible","Caro"))</f>
        <v>Económico</v>
      </c>
      <c r="J1653" t="s">
        <v>35</v>
      </c>
      <c r="K1653">
        <v>6</v>
      </c>
      <c r="L1653" s="19">
        <v>14.51</v>
      </c>
      <c r="M1653" s="19">
        <v>9.4499999999999993</v>
      </c>
      <c r="N1653" s="11">
        <v>0</v>
      </c>
      <c r="O1653" s="17">
        <f t="shared" si="103"/>
        <v>87.06</v>
      </c>
      <c r="P1653" s="17">
        <f t="shared" si="100"/>
        <v>56.699999999999996</v>
      </c>
      <c r="Q1653" s="17">
        <f t="shared" si="101"/>
        <v>30.360000000000007</v>
      </c>
      <c r="R1653" s="24">
        <f t="shared" si="102"/>
        <v>0.34872501722949695</v>
      </c>
      <c r="S1653" t="s">
        <v>83</v>
      </c>
      <c r="T1653" t="s">
        <v>64</v>
      </c>
    </row>
    <row r="1654" spans="1:20" hidden="1">
      <c r="A1654" t="s">
        <v>1722</v>
      </c>
      <c r="B1654" s="5">
        <v>45561</v>
      </c>
      <c r="C1654" s="8">
        <f>YEAR(Tabla2[[#This Row],[fecha]])</f>
        <v>2024</v>
      </c>
      <c r="D1654" s="8">
        <f>MONTH(Tabla2[[#This Row],[fecha]])</f>
        <v>9</v>
      </c>
      <c r="E1654" s="8" t="str">
        <f>TEXT(Tabla2[[#This Row],[fecha]], "mmmm")</f>
        <v>septiembre</v>
      </c>
      <c r="F1654" s="8" t="str">
        <f>"T"&amp;ROUNDUP(Tabla2[[#This Row],[mes]]/3,0)</f>
        <v>T3</v>
      </c>
      <c r="G1654" t="s">
        <v>33</v>
      </c>
      <c r="H1654" t="s">
        <v>34</v>
      </c>
      <c r="I1654" s="8" t="str">
        <f>IF(Tabla2[[#This Row],[precio_unitario]]&lt;=30,"Económico",IF(Tabla2[[#This Row],[precio_unitario]]&lt;=58.49,"Accesible","Caro"))</f>
        <v>Caro</v>
      </c>
      <c r="J1654" t="s">
        <v>35</v>
      </c>
      <c r="K1654">
        <v>4</v>
      </c>
      <c r="L1654" s="19">
        <v>82.68</v>
      </c>
      <c r="M1654" s="21">
        <f>INDEX(Tabla3[coste_objetivo], MATCH(Tabla2[[#This Row],[id_producto]], Tabla3[id_producto],0))</f>
        <v>47.62</v>
      </c>
      <c r="N1654" s="11">
        <v>0.06</v>
      </c>
      <c r="O1654" s="17">
        <f t="shared" si="103"/>
        <v>310.8768</v>
      </c>
      <c r="P1654" s="17">
        <f t="shared" si="100"/>
        <v>190.48</v>
      </c>
      <c r="Q1654" s="17">
        <f t="shared" si="101"/>
        <v>120.39680000000001</v>
      </c>
      <c r="R1654" s="24">
        <f t="shared" si="102"/>
        <v>0.38728139250018018</v>
      </c>
      <c r="S1654" t="s">
        <v>540</v>
      </c>
      <c r="T1654" t="s">
        <v>64</v>
      </c>
    </row>
    <row r="1655" spans="1:20" hidden="1">
      <c r="A1655" t="s">
        <v>1723</v>
      </c>
      <c r="B1655" s="5">
        <v>45308</v>
      </c>
      <c r="C1655" s="8">
        <f>YEAR(Tabla2[[#This Row],[fecha]])</f>
        <v>2024</v>
      </c>
      <c r="D1655" s="8">
        <f>MONTH(Tabla2[[#This Row],[fecha]])</f>
        <v>1</v>
      </c>
      <c r="E1655" s="8" t="str">
        <f>TEXT(Tabla2[[#This Row],[fecha]], "mmmm")</f>
        <v>enero</v>
      </c>
      <c r="F1655" s="8" t="str">
        <f>"T"&amp;ROUNDUP(Tabla2[[#This Row],[mes]]/3,0)</f>
        <v>T1</v>
      </c>
      <c r="G1655" t="s">
        <v>40</v>
      </c>
      <c r="H1655" t="s">
        <v>41</v>
      </c>
      <c r="I1655" s="8" t="str">
        <f>IF(Tabla2[[#This Row],[precio_unitario]]&lt;=30,"Económico",IF(Tabla2[[#This Row],[precio_unitario]]&lt;=58.49,"Accesible","Caro"))</f>
        <v>Caro</v>
      </c>
      <c r="J1655" t="s">
        <v>35</v>
      </c>
      <c r="K1655">
        <v>4</v>
      </c>
      <c r="L1655" s="19">
        <v>74.34</v>
      </c>
      <c r="M1655" s="19">
        <v>39.979999999999997</v>
      </c>
      <c r="N1655" s="11">
        <v>0</v>
      </c>
      <c r="O1655" s="17">
        <f t="shared" si="103"/>
        <v>297.36</v>
      </c>
      <c r="P1655" s="17">
        <f t="shared" si="100"/>
        <v>159.91999999999999</v>
      </c>
      <c r="Q1655" s="17">
        <f t="shared" si="101"/>
        <v>137.44000000000003</v>
      </c>
      <c r="R1655" s="24">
        <f t="shared" si="102"/>
        <v>0.46220069948883513</v>
      </c>
      <c r="S1655" t="s">
        <v>101</v>
      </c>
      <c r="T1655" t="s">
        <v>60</v>
      </c>
    </row>
    <row r="1656" spans="1:20" hidden="1">
      <c r="A1656" t="s">
        <v>1724</v>
      </c>
      <c r="B1656" s="5">
        <v>45336</v>
      </c>
      <c r="C1656" s="8">
        <f>YEAR(Tabla2[[#This Row],[fecha]])</f>
        <v>2024</v>
      </c>
      <c r="D1656" s="8">
        <f>MONTH(Tabla2[[#This Row],[fecha]])</f>
        <v>2</v>
      </c>
      <c r="E1656" s="8" t="str">
        <f>TEXT(Tabla2[[#This Row],[fecha]], "mmmm")</f>
        <v>febrero</v>
      </c>
      <c r="F1656" s="8" t="str">
        <f>"T"&amp;ROUNDUP(Tabla2[[#This Row],[mes]]/3,0)</f>
        <v>T1</v>
      </c>
      <c r="G1656" t="s">
        <v>40</v>
      </c>
      <c r="H1656" t="s">
        <v>41</v>
      </c>
      <c r="I1656" s="8" t="str">
        <f>IF(Tabla2[[#This Row],[precio_unitario]]&lt;=30,"Económico",IF(Tabla2[[#This Row],[precio_unitario]]&lt;=58.49,"Accesible","Caro"))</f>
        <v>Caro</v>
      </c>
      <c r="J1656" t="s">
        <v>35</v>
      </c>
      <c r="K1656">
        <v>6</v>
      </c>
      <c r="L1656" s="19">
        <v>81.81</v>
      </c>
      <c r="M1656" s="19">
        <v>41.54</v>
      </c>
      <c r="N1656" s="11">
        <v>0</v>
      </c>
      <c r="O1656" s="17">
        <f t="shared" si="103"/>
        <v>490.86</v>
      </c>
      <c r="P1656" s="17">
        <f t="shared" si="100"/>
        <v>249.24</v>
      </c>
      <c r="Q1656" s="17">
        <f t="shared" si="101"/>
        <v>241.62</v>
      </c>
      <c r="R1656" s="24">
        <f t="shared" si="102"/>
        <v>0.49223811270015888</v>
      </c>
      <c r="S1656" t="s">
        <v>83</v>
      </c>
      <c r="T1656" t="s">
        <v>64</v>
      </c>
    </row>
    <row r="1657" spans="1:20" hidden="1">
      <c r="A1657" t="s">
        <v>1725</v>
      </c>
      <c r="B1657" s="5">
        <v>45390</v>
      </c>
      <c r="C1657" s="8">
        <f>YEAR(Tabla2[[#This Row],[fecha]])</f>
        <v>2024</v>
      </c>
      <c r="D1657" s="8">
        <f>MONTH(Tabla2[[#This Row],[fecha]])</f>
        <v>4</v>
      </c>
      <c r="E1657" s="8" t="str">
        <f>TEXT(Tabla2[[#This Row],[fecha]], "mmmm")</f>
        <v>abril</v>
      </c>
      <c r="F1657" s="8" t="str">
        <f>"T"&amp;ROUNDUP(Tabla2[[#This Row],[mes]]/3,0)</f>
        <v>T2</v>
      </c>
      <c r="G1657" t="s">
        <v>31</v>
      </c>
      <c r="H1657" t="s">
        <v>32</v>
      </c>
      <c r="I1657" s="8" t="str">
        <f>IF(Tabla2[[#This Row],[precio_unitario]]&lt;=30,"Económico",IF(Tabla2[[#This Row],[precio_unitario]]&lt;=58.49,"Accesible","Caro"))</f>
        <v>Económico</v>
      </c>
      <c r="J1657" t="s">
        <v>26</v>
      </c>
      <c r="K1657">
        <v>1</v>
      </c>
      <c r="L1657" s="19">
        <v>8.43</v>
      </c>
      <c r="M1657" s="19">
        <v>5.93</v>
      </c>
      <c r="N1657" s="11">
        <v>0</v>
      </c>
      <c r="O1657" s="17">
        <f t="shared" si="103"/>
        <v>8.43</v>
      </c>
      <c r="P1657" s="17">
        <f t="shared" si="100"/>
        <v>5.93</v>
      </c>
      <c r="Q1657" s="17">
        <f t="shared" si="101"/>
        <v>2.5</v>
      </c>
      <c r="R1657" s="24">
        <f t="shared" si="102"/>
        <v>0.29655990510083036</v>
      </c>
      <c r="S1657" t="s">
        <v>540</v>
      </c>
      <c r="T1657" t="s">
        <v>60</v>
      </c>
    </row>
    <row r="1658" spans="1:20" hidden="1">
      <c r="A1658" t="s">
        <v>1726</v>
      </c>
      <c r="B1658" s="5">
        <v>45335</v>
      </c>
      <c r="C1658" s="8">
        <f>YEAR(Tabla2[[#This Row],[fecha]])</f>
        <v>2024</v>
      </c>
      <c r="D1658" s="8">
        <f>MONTH(Tabla2[[#This Row],[fecha]])</f>
        <v>2</v>
      </c>
      <c r="E1658" s="8" t="str">
        <f>TEXT(Tabla2[[#This Row],[fecha]], "mmmm")</f>
        <v>febrero</v>
      </c>
      <c r="F1658" s="8" t="str">
        <f>"T"&amp;ROUNDUP(Tabla2[[#This Row],[mes]]/3,0)</f>
        <v>T1</v>
      </c>
      <c r="G1658" t="s">
        <v>49</v>
      </c>
      <c r="H1658" t="s">
        <v>50</v>
      </c>
      <c r="I1658" s="8" t="str">
        <f>IF(Tabla2[[#This Row],[precio_unitario]]&lt;=30,"Económico",IF(Tabla2[[#This Row],[precio_unitario]]&lt;=58.49,"Accesible","Caro"))</f>
        <v>Caro</v>
      </c>
      <c r="J1658" t="s">
        <v>44</v>
      </c>
      <c r="K1658">
        <v>1</v>
      </c>
      <c r="L1658" s="19">
        <v>65.11</v>
      </c>
      <c r="M1658" s="19">
        <v>34.29</v>
      </c>
      <c r="N1658" s="11">
        <v>0</v>
      </c>
      <c r="O1658" s="17">
        <f t="shared" si="103"/>
        <v>65.11</v>
      </c>
      <c r="P1658" s="17">
        <f t="shared" si="100"/>
        <v>34.29</v>
      </c>
      <c r="Q1658" s="17">
        <f t="shared" si="101"/>
        <v>30.82</v>
      </c>
      <c r="R1658" s="24">
        <f t="shared" si="102"/>
        <v>0.47335278759023192</v>
      </c>
      <c r="S1658" t="s">
        <v>83</v>
      </c>
      <c r="T1658" t="s">
        <v>64</v>
      </c>
    </row>
    <row r="1659" spans="1:20" hidden="1">
      <c r="A1659" t="s">
        <v>1727</v>
      </c>
      <c r="B1659" s="5">
        <v>45782</v>
      </c>
      <c r="C1659" s="8">
        <f>YEAR(Tabla2[[#This Row],[fecha]])</f>
        <v>2025</v>
      </c>
      <c r="D1659" s="8">
        <f>MONTH(Tabla2[[#This Row],[fecha]])</f>
        <v>5</v>
      </c>
      <c r="E1659" s="8" t="str">
        <f>TEXT(Tabla2[[#This Row],[fecha]], "mmmm")</f>
        <v>mayo</v>
      </c>
      <c r="F1659" s="8" t="str">
        <f>"T"&amp;ROUNDUP(Tabla2[[#This Row],[mes]]/3,0)</f>
        <v>T2</v>
      </c>
      <c r="G1659" t="s">
        <v>13</v>
      </c>
      <c r="H1659" t="s">
        <v>14</v>
      </c>
      <c r="I1659" s="8" t="str">
        <f>IF(Tabla2[[#This Row],[precio_unitario]]&lt;=30,"Económico",IF(Tabla2[[#This Row],[precio_unitario]]&lt;=58.49,"Accesible","Caro"))</f>
        <v>Caro</v>
      </c>
      <c r="J1659" t="s">
        <v>8</v>
      </c>
      <c r="K1659">
        <v>5</v>
      </c>
      <c r="L1659" s="19">
        <v>155.06</v>
      </c>
      <c r="M1659" s="19">
        <v>108.07</v>
      </c>
      <c r="N1659" s="11">
        <v>0</v>
      </c>
      <c r="O1659" s="17">
        <f t="shared" si="103"/>
        <v>775.3</v>
      </c>
      <c r="P1659" s="17">
        <f t="shared" si="100"/>
        <v>540.34999999999991</v>
      </c>
      <c r="Q1659" s="17">
        <f t="shared" si="101"/>
        <v>234.95000000000005</v>
      </c>
      <c r="R1659" s="24">
        <f t="shared" si="102"/>
        <v>0.3030439829743326</v>
      </c>
      <c r="S1659" t="s">
        <v>96</v>
      </c>
      <c r="T1659" t="s">
        <v>64</v>
      </c>
    </row>
    <row r="1660" spans="1:20" hidden="1">
      <c r="A1660" t="s">
        <v>1728</v>
      </c>
      <c r="B1660" s="5">
        <v>45877</v>
      </c>
      <c r="C1660" s="8">
        <f>YEAR(Tabla2[[#This Row],[fecha]])</f>
        <v>2025</v>
      </c>
      <c r="D1660" s="8">
        <f>MONTH(Tabla2[[#This Row],[fecha]])</f>
        <v>8</v>
      </c>
      <c r="E1660" s="8" t="str">
        <f>TEXT(Tabla2[[#This Row],[fecha]], "mmmm")</f>
        <v>agosto</v>
      </c>
      <c r="F1660" s="8" t="str">
        <f>"T"&amp;ROUNDUP(Tabla2[[#This Row],[mes]]/3,0)</f>
        <v>T3</v>
      </c>
      <c r="G1660" t="s">
        <v>22</v>
      </c>
      <c r="H1660" t="s">
        <v>23</v>
      </c>
      <c r="I1660" s="8" t="str">
        <f>IF(Tabla2[[#This Row],[precio_unitario]]&lt;=30,"Económico",IF(Tabla2[[#This Row],[precio_unitario]]&lt;=58.49,"Accesible","Caro"))</f>
        <v>Caro</v>
      </c>
      <c r="J1660" t="s">
        <v>17</v>
      </c>
      <c r="K1660">
        <v>1</v>
      </c>
      <c r="L1660" s="19">
        <v>98.82</v>
      </c>
      <c r="M1660" s="19">
        <v>55.44</v>
      </c>
      <c r="N1660" s="11">
        <v>0.12</v>
      </c>
      <c r="O1660" s="17">
        <f t="shared" si="103"/>
        <v>86.96159999999999</v>
      </c>
      <c r="P1660" s="17">
        <f t="shared" si="100"/>
        <v>55.44</v>
      </c>
      <c r="Q1660" s="17">
        <f t="shared" si="101"/>
        <v>31.521599999999992</v>
      </c>
      <c r="R1660" s="24">
        <f t="shared" si="102"/>
        <v>0.36247723132969029</v>
      </c>
      <c r="S1660" t="s">
        <v>540</v>
      </c>
      <c r="T1660" t="s">
        <v>64</v>
      </c>
    </row>
    <row r="1661" spans="1:20" hidden="1">
      <c r="A1661" t="s">
        <v>1729</v>
      </c>
      <c r="B1661" s="5">
        <v>45503</v>
      </c>
      <c r="C1661" s="8">
        <f>YEAR(Tabla2[[#This Row],[fecha]])</f>
        <v>2024</v>
      </c>
      <c r="D1661" s="8">
        <f>MONTH(Tabla2[[#This Row],[fecha]])</f>
        <v>7</v>
      </c>
      <c r="E1661" s="8" t="str">
        <f>TEXT(Tabla2[[#This Row],[fecha]], "mmmm")</f>
        <v>julio</v>
      </c>
      <c r="F1661" s="8" t="str">
        <f>"T"&amp;ROUNDUP(Tabla2[[#This Row],[mes]]/3,0)</f>
        <v>T3</v>
      </c>
      <c r="G1661" t="s">
        <v>45</v>
      </c>
      <c r="H1661" t="s">
        <v>46</v>
      </c>
      <c r="I1661" s="8" t="str">
        <f>IF(Tabla2[[#This Row],[precio_unitario]]&lt;=30,"Económico",IF(Tabla2[[#This Row],[precio_unitario]]&lt;=58.49,"Accesible","Caro"))</f>
        <v>Accesible</v>
      </c>
      <c r="J1661" t="s">
        <v>44</v>
      </c>
      <c r="K1661">
        <v>1</v>
      </c>
      <c r="L1661" s="19">
        <v>33.14</v>
      </c>
      <c r="M1661" s="19">
        <v>16.48</v>
      </c>
      <c r="N1661" s="11">
        <v>0</v>
      </c>
      <c r="O1661" s="17">
        <f t="shared" si="103"/>
        <v>33.14</v>
      </c>
      <c r="P1661" s="17">
        <f t="shared" si="100"/>
        <v>16.48</v>
      </c>
      <c r="Q1661" s="17">
        <f t="shared" si="101"/>
        <v>16.66</v>
      </c>
      <c r="R1661" s="24">
        <f t="shared" si="102"/>
        <v>0.50271575135787572</v>
      </c>
      <c r="S1661" t="s">
        <v>63</v>
      </c>
      <c r="T1661" t="s">
        <v>60</v>
      </c>
    </row>
    <row r="1662" spans="1:20" hidden="1">
      <c r="A1662" t="s">
        <v>1730</v>
      </c>
      <c r="B1662" s="5">
        <v>45325</v>
      </c>
      <c r="C1662" s="8">
        <f>YEAR(Tabla2[[#This Row],[fecha]])</f>
        <v>2024</v>
      </c>
      <c r="D1662" s="8">
        <f>MONTH(Tabla2[[#This Row],[fecha]])</f>
        <v>2</v>
      </c>
      <c r="E1662" s="8" t="str">
        <f>TEXT(Tabla2[[#This Row],[fecha]], "mmmm")</f>
        <v>febrero</v>
      </c>
      <c r="F1662" s="8" t="str">
        <f>"T"&amp;ROUNDUP(Tabla2[[#This Row],[mes]]/3,0)</f>
        <v>T1</v>
      </c>
      <c r="G1662" t="s">
        <v>6</v>
      </c>
      <c r="H1662" t="s">
        <v>7</v>
      </c>
      <c r="I1662" s="8" t="str">
        <f>IF(Tabla2[[#This Row],[precio_unitario]]&lt;=30,"Económico",IF(Tabla2[[#This Row],[precio_unitario]]&lt;=58.49,"Accesible","Caro"))</f>
        <v>Caro</v>
      </c>
      <c r="J1662" t="s">
        <v>8</v>
      </c>
      <c r="K1662">
        <v>3</v>
      </c>
      <c r="L1662" s="19">
        <v>119.95</v>
      </c>
      <c r="M1662" s="19">
        <v>86.7</v>
      </c>
      <c r="N1662" s="13">
        <v>0</v>
      </c>
      <c r="O1662" s="17">
        <f t="shared" si="103"/>
        <v>359.85</v>
      </c>
      <c r="P1662" s="17">
        <f t="shared" si="100"/>
        <v>260.10000000000002</v>
      </c>
      <c r="Q1662" s="17">
        <f t="shared" si="101"/>
        <v>99.75</v>
      </c>
      <c r="R1662" s="24">
        <f t="shared" si="102"/>
        <v>0.27719883284701957</v>
      </c>
      <c r="S1662" t="s">
        <v>83</v>
      </c>
      <c r="T1662" t="s">
        <v>60</v>
      </c>
    </row>
    <row r="1663" spans="1:20" hidden="1">
      <c r="A1663" t="s">
        <v>1731</v>
      </c>
      <c r="B1663" s="5">
        <v>45723</v>
      </c>
      <c r="C1663" s="8">
        <f>YEAR(Tabla2[[#This Row],[fecha]])</f>
        <v>2025</v>
      </c>
      <c r="D1663" s="8">
        <f>MONTH(Tabla2[[#This Row],[fecha]])</f>
        <v>3</v>
      </c>
      <c r="E1663" s="8" t="str">
        <f>TEXT(Tabla2[[#This Row],[fecha]], "mmmm")</f>
        <v>marzo</v>
      </c>
      <c r="F1663" s="8" t="str">
        <f>"T"&amp;ROUNDUP(Tabla2[[#This Row],[mes]]/3,0)</f>
        <v>T1</v>
      </c>
      <c r="G1663" t="s">
        <v>31</v>
      </c>
      <c r="H1663" t="s">
        <v>32</v>
      </c>
      <c r="I1663" s="8" t="str">
        <f>IF(Tabla2[[#This Row],[precio_unitario]]&lt;=30,"Económico",IF(Tabla2[[#This Row],[precio_unitario]]&lt;=58.49,"Accesible","Caro"))</f>
        <v>Económico</v>
      </c>
      <c r="J1663" t="s">
        <v>26</v>
      </c>
      <c r="K1663">
        <v>1</v>
      </c>
      <c r="L1663" s="19">
        <v>8.1</v>
      </c>
      <c r="M1663" s="19">
        <v>5.56</v>
      </c>
      <c r="N1663" s="11">
        <v>0</v>
      </c>
      <c r="O1663" s="17">
        <f t="shared" si="103"/>
        <v>8.1</v>
      </c>
      <c r="P1663" s="17">
        <f t="shared" si="100"/>
        <v>5.56</v>
      </c>
      <c r="Q1663" s="17">
        <f t="shared" si="101"/>
        <v>2.54</v>
      </c>
      <c r="R1663" s="24">
        <f t="shared" si="102"/>
        <v>0.31358024691358027</v>
      </c>
      <c r="S1663" t="s">
        <v>540</v>
      </c>
      <c r="T1663" t="s">
        <v>64</v>
      </c>
    </row>
    <row r="1664" spans="1:20" hidden="1">
      <c r="A1664" t="s">
        <v>1732</v>
      </c>
      <c r="B1664" s="5">
        <v>45708</v>
      </c>
      <c r="C1664" s="8">
        <f>YEAR(Tabla2[[#This Row],[fecha]])</f>
        <v>2025</v>
      </c>
      <c r="D1664" s="8">
        <f>MONTH(Tabla2[[#This Row],[fecha]])</f>
        <v>2</v>
      </c>
      <c r="E1664" s="8" t="str">
        <f>TEXT(Tabla2[[#This Row],[fecha]], "mmmm")</f>
        <v>febrero</v>
      </c>
      <c r="F1664" s="8" t="str">
        <f>"T"&amp;ROUNDUP(Tabla2[[#This Row],[mes]]/3,0)</f>
        <v>T1</v>
      </c>
      <c r="G1664" t="s">
        <v>18</v>
      </c>
      <c r="H1664" t="s">
        <v>19</v>
      </c>
      <c r="I1664" s="8" t="str">
        <f>IF(Tabla2[[#This Row],[precio_unitario]]&lt;=30,"Económico",IF(Tabla2[[#This Row],[precio_unitario]]&lt;=58.49,"Accesible","Caro"))</f>
        <v>Accesible</v>
      </c>
      <c r="J1664" t="s">
        <v>17</v>
      </c>
      <c r="K1664">
        <v>3</v>
      </c>
      <c r="L1664" s="19">
        <v>48.63</v>
      </c>
      <c r="M1664" s="19">
        <v>26.06</v>
      </c>
      <c r="N1664" s="13">
        <v>0</v>
      </c>
      <c r="O1664" s="17">
        <f t="shared" si="103"/>
        <v>145.89000000000001</v>
      </c>
      <c r="P1664" s="17">
        <f t="shared" si="100"/>
        <v>78.179999999999993</v>
      </c>
      <c r="Q1664" s="17">
        <f t="shared" si="101"/>
        <v>67.710000000000022</v>
      </c>
      <c r="R1664" s="24">
        <f t="shared" si="102"/>
        <v>0.46411680032901509</v>
      </c>
      <c r="S1664" t="s">
        <v>83</v>
      </c>
      <c r="T1664" t="s">
        <v>64</v>
      </c>
    </row>
    <row r="1665" spans="1:20" hidden="1">
      <c r="A1665" t="s">
        <v>1733</v>
      </c>
      <c r="B1665" s="5">
        <v>45962</v>
      </c>
      <c r="C1665" s="8">
        <f>YEAR(Tabla2[[#This Row],[fecha]])</f>
        <v>2025</v>
      </c>
      <c r="D1665" s="8">
        <f>MONTH(Tabla2[[#This Row],[fecha]])</f>
        <v>11</v>
      </c>
      <c r="E1665" s="8" t="str">
        <f>TEXT(Tabla2[[#This Row],[fecha]], "mmmm")</f>
        <v>noviembre</v>
      </c>
      <c r="F1665" s="8" t="str">
        <f>"T"&amp;ROUNDUP(Tabla2[[#This Row],[mes]]/3,0)</f>
        <v>T4</v>
      </c>
      <c r="G1665" t="s">
        <v>33</v>
      </c>
      <c r="H1665" t="s">
        <v>34</v>
      </c>
      <c r="I1665" s="8" t="str">
        <f>IF(Tabla2[[#This Row],[precio_unitario]]&lt;=30,"Económico",IF(Tabla2[[#This Row],[precio_unitario]]&lt;=58.49,"Accesible","Caro"))</f>
        <v>Caro</v>
      </c>
      <c r="J1665" t="s">
        <v>35</v>
      </c>
      <c r="K1665">
        <v>1</v>
      </c>
      <c r="L1665" s="19">
        <v>72.430000000000007</v>
      </c>
      <c r="M1665" s="19">
        <v>48.14</v>
      </c>
      <c r="N1665" s="11">
        <v>0</v>
      </c>
      <c r="O1665" s="17">
        <f t="shared" si="103"/>
        <v>72.430000000000007</v>
      </c>
      <c r="P1665" s="17">
        <f t="shared" si="100"/>
        <v>48.14</v>
      </c>
      <c r="Q1665" s="17">
        <f t="shared" si="101"/>
        <v>24.290000000000006</v>
      </c>
      <c r="R1665" s="24">
        <f t="shared" si="102"/>
        <v>0.33535827695706205</v>
      </c>
      <c r="S1665" t="s">
        <v>540</v>
      </c>
      <c r="T1665" t="s">
        <v>64</v>
      </c>
    </row>
    <row r="1666" spans="1:20" hidden="1">
      <c r="A1666" t="s">
        <v>1734</v>
      </c>
      <c r="B1666" s="5">
        <v>45619</v>
      </c>
      <c r="C1666" s="8">
        <f>YEAR(Tabla2[[#This Row],[fecha]])</f>
        <v>2024</v>
      </c>
      <c r="D1666" s="8">
        <f>MONTH(Tabla2[[#This Row],[fecha]])</f>
        <v>11</v>
      </c>
      <c r="E1666" s="8" t="str">
        <f>TEXT(Tabla2[[#This Row],[fecha]], "mmmm")</f>
        <v>noviembre</v>
      </c>
      <c r="F1666" s="8" t="str">
        <f>"T"&amp;ROUNDUP(Tabla2[[#This Row],[mes]]/3,0)</f>
        <v>T4</v>
      </c>
      <c r="G1666" t="s">
        <v>20</v>
      </c>
      <c r="H1666" t="s">
        <v>21</v>
      </c>
      <c r="I1666" s="8" t="str">
        <f>IF(Tabla2[[#This Row],[precio_unitario]]&lt;=30,"Económico",IF(Tabla2[[#This Row],[precio_unitario]]&lt;=58.49,"Accesible","Caro"))</f>
        <v>Económico</v>
      </c>
      <c r="J1666" t="s">
        <v>17</v>
      </c>
      <c r="K1666">
        <v>2</v>
      </c>
      <c r="L1666" s="19">
        <v>20.309999999999999</v>
      </c>
      <c r="M1666" s="19">
        <v>13.21</v>
      </c>
      <c r="N1666" s="11">
        <v>0</v>
      </c>
      <c r="O1666" s="17">
        <f t="shared" si="103"/>
        <v>40.619999999999997</v>
      </c>
      <c r="P1666" s="17">
        <f t="shared" ref="P1666:P1729" si="104">M1666*K1666</f>
        <v>26.42</v>
      </c>
      <c r="Q1666" s="17">
        <f t="shared" ref="Q1666:Q1729" si="105">O1666-P1666</f>
        <v>14.199999999999996</v>
      </c>
      <c r="R1666" s="24">
        <f t="shared" ref="R1666:R1729" si="106">IFERROR(Q1666/O1666,0)</f>
        <v>0.34958148695224017</v>
      </c>
      <c r="S1666" t="s">
        <v>83</v>
      </c>
      <c r="T1666" t="s">
        <v>60</v>
      </c>
    </row>
    <row r="1667" spans="1:20" hidden="1">
      <c r="A1667" t="s">
        <v>1735</v>
      </c>
      <c r="B1667" s="5">
        <v>45433</v>
      </c>
      <c r="C1667" s="8">
        <f>YEAR(Tabla2[[#This Row],[fecha]])</f>
        <v>2024</v>
      </c>
      <c r="D1667" s="8">
        <f>MONTH(Tabla2[[#This Row],[fecha]])</f>
        <v>5</v>
      </c>
      <c r="E1667" s="8" t="str">
        <f>TEXT(Tabla2[[#This Row],[fecha]], "mmmm")</f>
        <v>mayo</v>
      </c>
      <c r="F1667" s="8" t="str">
        <f>"T"&amp;ROUNDUP(Tabla2[[#This Row],[mes]]/3,0)</f>
        <v>T2</v>
      </c>
      <c r="G1667" t="s">
        <v>29</v>
      </c>
      <c r="H1667" t="s">
        <v>30</v>
      </c>
      <c r="I1667" s="8" t="str">
        <f>IF(Tabla2[[#This Row],[precio_unitario]]&lt;=30,"Económico",IF(Tabla2[[#This Row],[precio_unitario]]&lt;=58.49,"Accesible","Caro"))</f>
        <v>Económico</v>
      </c>
      <c r="J1667" t="s">
        <v>26</v>
      </c>
      <c r="K1667">
        <v>1</v>
      </c>
      <c r="L1667" s="19">
        <v>22.38</v>
      </c>
      <c r="M1667" s="19">
        <v>10.94</v>
      </c>
      <c r="N1667" s="13">
        <v>0</v>
      </c>
      <c r="O1667" s="17">
        <f t="shared" ref="O1667:O1730" si="107">K1667*L1667*(1-N1667)</f>
        <v>22.38</v>
      </c>
      <c r="P1667" s="17">
        <f t="shared" si="104"/>
        <v>10.94</v>
      </c>
      <c r="Q1667" s="17">
        <f t="shared" si="105"/>
        <v>11.44</v>
      </c>
      <c r="R1667" s="24">
        <f t="shared" si="106"/>
        <v>0.51117068811438782</v>
      </c>
      <c r="S1667" t="s">
        <v>83</v>
      </c>
      <c r="T1667" t="s">
        <v>64</v>
      </c>
    </row>
    <row r="1668" spans="1:20" hidden="1">
      <c r="A1668" t="s">
        <v>1736</v>
      </c>
      <c r="B1668" s="5">
        <v>45491</v>
      </c>
      <c r="C1668" s="8">
        <f>YEAR(Tabla2[[#This Row],[fecha]])</f>
        <v>2024</v>
      </c>
      <c r="D1668" s="8">
        <f>MONTH(Tabla2[[#This Row],[fecha]])</f>
        <v>7</v>
      </c>
      <c r="E1668" s="8" t="str">
        <f>TEXT(Tabla2[[#This Row],[fecha]], "mmmm")</f>
        <v>julio</v>
      </c>
      <c r="F1668" s="8" t="str">
        <f>"T"&amp;ROUNDUP(Tabla2[[#This Row],[mes]]/3,0)</f>
        <v>T3</v>
      </c>
      <c r="G1668" t="s">
        <v>36</v>
      </c>
      <c r="H1668" t="s">
        <v>37</v>
      </c>
      <c r="I1668" s="8" t="str">
        <f>IF(Tabla2[[#This Row],[precio_unitario]]&lt;=30,"Económico",IF(Tabla2[[#This Row],[precio_unitario]]&lt;=58.49,"Accesible","Caro"))</f>
        <v>Económico</v>
      </c>
      <c r="J1668" t="s">
        <v>35</v>
      </c>
      <c r="K1668">
        <v>2</v>
      </c>
      <c r="L1668" s="19">
        <v>13.72</v>
      </c>
      <c r="M1668" s="19">
        <v>9.33</v>
      </c>
      <c r="N1668" s="13">
        <v>0</v>
      </c>
      <c r="O1668" s="17">
        <f t="shared" si="107"/>
        <v>27.44</v>
      </c>
      <c r="P1668" s="17">
        <f t="shared" si="104"/>
        <v>18.66</v>
      </c>
      <c r="Q1668" s="17">
        <f t="shared" si="105"/>
        <v>8.7800000000000011</v>
      </c>
      <c r="R1668" s="24">
        <f t="shared" si="106"/>
        <v>0.31997084548104959</v>
      </c>
      <c r="S1668" t="s">
        <v>67</v>
      </c>
      <c r="T1668" t="s">
        <v>60</v>
      </c>
    </row>
    <row r="1669" spans="1:20" hidden="1">
      <c r="A1669" t="s">
        <v>1737</v>
      </c>
      <c r="B1669" s="5">
        <v>45557</v>
      </c>
      <c r="C1669" s="8">
        <f>YEAR(Tabla2[[#This Row],[fecha]])</f>
        <v>2024</v>
      </c>
      <c r="D1669" s="8">
        <f>MONTH(Tabla2[[#This Row],[fecha]])</f>
        <v>9</v>
      </c>
      <c r="E1669" s="8" t="str">
        <f>TEXT(Tabla2[[#This Row],[fecha]], "mmmm")</f>
        <v>septiembre</v>
      </c>
      <c r="F1669" s="8" t="str">
        <f>"T"&amp;ROUNDUP(Tabla2[[#This Row],[mes]]/3,0)</f>
        <v>T3</v>
      </c>
      <c r="G1669" t="s">
        <v>47</v>
      </c>
      <c r="H1669" t="s">
        <v>48</v>
      </c>
      <c r="I1669" s="8" t="str">
        <f>IF(Tabla2[[#This Row],[precio_unitario]]&lt;=30,"Económico",IF(Tabla2[[#This Row],[precio_unitario]]&lt;=58.49,"Accesible","Caro"))</f>
        <v>Accesible</v>
      </c>
      <c r="J1669" t="s">
        <v>44</v>
      </c>
      <c r="K1669">
        <v>2</v>
      </c>
      <c r="L1669" s="19">
        <v>55.08</v>
      </c>
      <c r="M1669" s="19">
        <v>33.770000000000003</v>
      </c>
      <c r="N1669" s="11">
        <v>0.16</v>
      </c>
      <c r="O1669" s="17">
        <f t="shared" si="107"/>
        <v>92.534399999999991</v>
      </c>
      <c r="P1669" s="17">
        <f t="shared" si="104"/>
        <v>67.540000000000006</v>
      </c>
      <c r="Q1669" s="17">
        <f t="shared" si="105"/>
        <v>24.994399999999985</v>
      </c>
      <c r="R1669" s="24">
        <f t="shared" si="106"/>
        <v>0.27010927827921277</v>
      </c>
      <c r="S1669" t="s">
        <v>540</v>
      </c>
      <c r="T1669" t="s">
        <v>64</v>
      </c>
    </row>
    <row r="1670" spans="1:20" hidden="1">
      <c r="A1670" t="s">
        <v>1738</v>
      </c>
      <c r="B1670" s="5">
        <v>45439</v>
      </c>
      <c r="C1670" s="8">
        <f>YEAR(Tabla2[[#This Row],[fecha]])</f>
        <v>2024</v>
      </c>
      <c r="D1670" s="8">
        <f>MONTH(Tabla2[[#This Row],[fecha]])</f>
        <v>5</v>
      </c>
      <c r="E1670" s="8" t="str">
        <f>TEXT(Tabla2[[#This Row],[fecha]], "mmmm")</f>
        <v>mayo</v>
      </c>
      <c r="F1670" s="8" t="str">
        <f>"T"&amp;ROUNDUP(Tabla2[[#This Row],[mes]]/3,0)</f>
        <v>T2</v>
      </c>
      <c r="G1670" t="s">
        <v>45</v>
      </c>
      <c r="H1670" t="s">
        <v>46</v>
      </c>
      <c r="I1670" s="8" t="str">
        <f>IF(Tabla2[[#This Row],[precio_unitario]]&lt;=30,"Económico",IF(Tabla2[[#This Row],[precio_unitario]]&lt;=58.49,"Accesible","Caro"))</f>
        <v>Económico</v>
      </c>
      <c r="J1670" t="s">
        <v>44</v>
      </c>
      <c r="K1670">
        <v>4</v>
      </c>
      <c r="L1670" s="19">
        <v>29.65</v>
      </c>
      <c r="M1670" s="19">
        <v>17.440000000000001</v>
      </c>
      <c r="N1670" s="11">
        <v>0</v>
      </c>
      <c r="O1670" s="17">
        <f t="shared" si="107"/>
        <v>118.6</v>
      </c>
      <c r="P1670" s="17">
        <f t="shared" si="104"/>
        <v>69.760000000000005</v>
      </c>
      <c r="Q1670" s="17">
        <f t="shared" si="105"/>
        <v>48.839999999999989</v>
      </c>
      <c r="R1670" s="24">
        <f t="shared" si="106"/>
        <v>0.41180438448566603</v>
      </c>
      <c r="S1670" t="s">
        <v>67</v>
      </c>
      <c r="T1670" t="s">
        <v>60</v>
      </c>
    </row>
    <row r="1671" spans="1:20">
      <c r="A1671" t="s">
        <v>1739</v>
      </c>
      <c r="B1671" s="5">
        <v>45762</v>
      </c>
      <c r="C1671" s="8">
        <f>YEAR(Tabla2[[#This Row],[fecha]])</f>
        <v>2025</v>
      </c>
      <c r="D1671" s="8">
        <f>MONTH(Tabla2[[#This Row],[fecha]])</f>
        <v>4</v>
      </c>
      <c r="E1671" s="8" t="str">
        <f>TEXT(Tabla2[[#This Row],[fecha]], "mmmm")</f>
        <v>abril</v>
      </c>
      <c r="F1671" s="8" t="str">
        <f>"T"&amp;ROUNDUP(Tabla2[[#This Row],[mes]]/3,0)</f>
        <v>T2</v>
      </c>
      <c r="G1671" t="s">
        <v>20</v>
      </c>
      <c r="H1671" t="s">
        <v>21</v>
      </c>
      <c r="I1671" s="8" t="str">
        <f>IF(Tabla2[[#This Row],[precio_unitario]]&lt;=30,"Económico",IF(Tabla2[[#This Row],[precio_unitario]]&lt;=58.49,"Accesible","Caro"))</f>
        <v>Económico</v>
      </c>
      <c r="J1671" t="s">
        <v>17</v>
      </c>
      <c r="K1671">
        <v>1</v>
      </c>
      <c r="L1671" s="19">
        <v>21.43</v>
      </c>
      <c r="M1671" s="19">
        <v>12.61</v>
      </c>
      <c r="N1671" s="11">
        <v>0</v>
      </c>
      <c r="O1671" s="17">
        <f t="shared" si="107"/>
        <v>21.43</v>
      </c>
      <c r="P1671" s="17">
        <f t="shared" si="104"/>
        <v>12.61</v>
      </c>
      <c r="Q1671" s="17">
        <f t="shared" si="105"/>
        <v>8.82</v>
      </c>
      <c r="R1671" s="24">
        <f t="shared" si="106"/>
        <v>0.41157256182921143</v>
      </c>
      <c r="S1671" t="s">
        <v>67</v>
      </c>
      <c r="T1671" t="s">
        <v>60</v>
      </c>
    </row>
    <row r="1672" spans="1:20" hidden="1">
      <c r="A1672" t="s">
        <v>1740</v>
      </c>
      <c r="B1672" s="5">
        <v>45769</v>
      </c>
      <c r="C1672" s="8">
        <f>YEAR(Tabla2[[#This Row],[fecha]])</f>
        <v>2025</v>
      </c>
      <c r="D1672" s="8">
        <f>MONTH(Tabla2[[#This Row],[fecha]])</f>
        <v>4</v>
      </c>
      <c r="E1672" s="8" t="str">
        <f>TEXT(Tabla2[[#This Row],[fecha]], "mmmm")</f>
        <v>abril</v>
      </c>
      <c r="F1672" s="8" t="str">
        <f>"T"&amp;ROUNDUP(Tabla2[[#This Row],[mes]]/3,0)</f>
        <v>T2</v>
      </c>
      <c r="G1672" t="s">
        <v>15</v>
      </c>
      <c r="H1672" t="s">
        <v>16</v>
      </c>
      <c r="I1672" s="8" t="str">
        <f>IF(Tabla2[[#This Row],[precio_unitario]]&lt;=30,"Económico",IF(Tabla2[[#This Row],[precio_unitario]]&lt;=58.49,"Accesible","Caro"))</f>
        <v>Accesible</v>
      </c>
      <c r="J1672" t="s">
        <v>17</v>
      </c>
      <c r="K1672">
        <v>1</v>
      </c>
      <c r="L1672" s="19">
        <v>56.45</v>
      </c>
      <c r="M1672" s="19">
        <v>41.12</v>
      </c>
      <c r="N1672" s="11">
        <v>0.12</v>
      </c>
      <c r="O1672" s="17">
        <f t="shared" si="107"/>
        <v>49.676000000000002</v>
      </c>
      <c r="P1672" s="17">
        <f t="shared" si="104"/>
        <v>41.12</v>
      </c>
      <c r="Q1672" s="17">
        <f t="shared" si="105"/>
        <v>8.5560000000000045</v>
      </c>
      <c r="R1672" s="24">
        <f t="shared" si="106"/>
        <v>0.17223608986230785</v>
      </c>
      <c r="S1672" t="s">
        <v>83</v>
      </c>
      <c r="T1672" t="s">
        <v>64</v>
      </c>
    </row>
    <row r="1673" spans="1:20">
      <c r="A1673" t="s">
        <v>1741</v>
      </c>
      <c r="B1673" s="5">
        <v>45948</v>
      </c>
      <c r="C1673" s="8">
        <f>YEAR(Tabla2[[#This Row],[fecha]])</f>
        <v>2025</v>
      </c>
      <c r="D1673" s="8">
        <f>MONTH(Tabla2[[#This Row],[fecha]])</f>
        <v>10</v>
      </c>
      <c r="E1673" s="8" t="str">
        <f>TEXT(Tabla2[[#This Row],[fecha]], "mmmm")</f>
        <v>octubre</v>
      </c>
      <c r="F1673" s="8" t="str">
        <f>"T"&amp;ROUNDUP(Tabla2[[#This Row],[mes]]/3,0)</f>
        <v>T4</v>
      </c>
      <c r="G1673" t="s">
        <v>24</v>
      </c>
      <c r="H1673" t="s">
        <v>25</v>
      </c>
      <c r="I1673" s="8" t="str">
        <f>IF(Tabla2[[#This Row],[precio_unitario]]&lt;=30,"Económico",IF(Tabla2[[#This Row],[precio_unitario]]&lt;=58.49,"Accesible","Caro"))</f>
        <v>Económico</v>
      </c>
      <c r="J1673" t="s">
        <v>26</v>
      </c>
      <c r="K1673">
        <v>2</v>
      </c>
      <c r="L1673" s="19">
        <v>8.2200000000000006</v>
      </c>
      <c r="M1673" s="19">
        <v>4.3600000000000003</v>
      </c>
      <c r="N1673" s="13">
        <v>0</v>
      </c>
      <c r="O1673" s="17">
        <f t="shared" si="107"/>
        <v>16.440000000000001</v>
      </c>
      <c r="P1673" s="17">
        <f t="shared" si="104"/>
        <v>8.7200000000000006</v>
      </c>
      <c r="Q1673" s="17">
        <f t="shared" si="105"/>
        <v>7.7200000000000006</v>
      </c>
      <c r="R1673" s="24">
        <f t="shared" si="106"/>
        <v>0.46958637469586373</v>
      </c>
      <c r="S1673" t="s">
        <v>67</v>
      </c>
      <c r="T1673" t="s">
        <v>60</v>
      </c>
    </row>
    <row r="1674" spans="1:20" hidden="1">
      <c r="A1674" t="s">
        <v>1742</v>
      </c>
      <c r="B1674" s="5">
        <v>45915</v>
      </c>
      <c r="C1674" s="8">
        <f>YEAR(Tabla2[[#This Row],[fecha]])</f>
        <v>2025</v>
      </c>
      <c r="D1674" s="8">
        <f>MONTH(Tabla2[[#This Row],[fecha]])</f>
        <v>9</v>
      </c>
      <c r="E1674" s="8" t="str">
        <f>TEXT(Tabla2[[#This Row],[fecha]], "mmmm")</f>
        <v>septiembre</v>
      </c>
      <c r="F1674" s="8" t="str">
        <f>"T"&amp;ROUNDUP(Tabla2[[#This Row],[mes]]/3,0)</f>
        <v>T3</v>
      </c>
      <c r="G1674" t="s">
        <v>6</v>
      </c>
      <c r="H1674" t="s">
        <v>7</v>
      </c>
      <c r="I1674" s="8" t="str">
        <f>IF(Tabla2[[#This Row],[precio_unitario]]&lt;=30,"Económico",IF(Tabla2[[#This Row],[precio_unitario]]&lt;=58.49,"Accesible","Caro"))</f>
        <v>Caro</v>
      </c>
      <c r="J1674" t="s">
        <v>8</v>
      </c>
      <c r="K1674">
        <v>4</v>
      </c>
      <c r="L1674" s="19">
        <v>129.91999999999999</v>
      </c>
      <c r="M1674" s="19">
        <v>86.02</v>
      </c>
      <c r="N1674" s="11">
        <v>0</v>
      </c>
      <c r="O1674" s="17">
        <f t="shared" si="107"/>
        <v>519.67999999999995</v>
      </c>
      <c r="P1674" s="17">
        <f t="shared" si="104"/>
        <v>344.08</v>
      </c>
      <c r="Q1674" s="17">
        <f t="shared" si="105"/>
        <v>175.59999999999997</v>
      </c>
      <c r="R1674" s="24">
        <f t="shared" si="106"/>
        <v>0.33790024630541871</v>
      </c>
      <c r="S1674" t="s">
        <v>540</v>
      </c>
      <c r="T1674" t="s">
        <v>64</v>
      </c>
    </row>
    <row r="1675" spans="1:20" hidden="1">
      <c r="A1675" t="s">
        <v>1743</v>
      </c>
      <c r="B1675" s="5">
        <v>45900</v>
      </c>
      <c r="C1675" s="8">
        <f>YEAR(Tabla2[[#This Row],[fecha]])</f>
        <v>2025</v>
      </c>
      <c r="D1675" s="8">
        <f>MONTH(Tabla2[[#This Row],[fecha]])</f>
        <v>8</v>
      </c>
      <c r="E1675" s="8" t="str">
        <f>TEXT(Tabla2[[#This Row],[fecha]], "mmmm")</f>
        <v>agosto</v>
      </c>
      <c r="F1675" s="8" t="str">
        <f>"T"&amp;ROUNDUP(Tabla2[[#This Row],[mes]]/3,0)</f>
        <v>T3</v>
      </c>
      <c r="G1675" t="s">
        <v>9</v>
      </c>
      <c r="H1675" t="s">
        <v>10</v>
      </c>
      <c r="I1675" s="8" t="str">
        <f>IF(Tabla2[[#This Row],[precio_unitario]]&lt;=30,"Económico",IF(Tabla2[[#This Row],[precio_unitario]]&lt;=58.49,"Accesible","Caro"))</f>
        <v>Caro</v>
      </c>
      <c r="J1675" t="s">
        <v>8</v>
      </c>
      <c r="K1675">
        <v>5</v>
      </c>
      <c r="L1675" s="19">
        <v>78.010000000000005</v>
      </c>
      <c r="M1675" s="19">
        <v>45.48</v>
      </c>
      <c r="N1675" s="11">
        <v>0</v>
      </c>
      <c r="O1675" s="17">
        <f t="shared" si="107"/>
        <v>390.05</v>
      </c>
      <c r="P1675" s="17">
        <f t="shared" si="104"/>
        <v>227.39999999999998</v>
      </c>
      <c r="Q1675" s="17">
        <f t="shared" si="105"/>
        <v>162.65000000000003</v>
      </c>
      <c r="R1675" s="24">
        <f t="shared" si="106"/>
        <v>0.41699782079220621</v>
      </c>
      <c r="S1675" t="s">
        <v>83</v>
      </c>
      <c r="T1675" t="s">
        <v>64</v>
      </c>
    </row>
    <row r="1676" spans="1:20" hidden="1">
      <c r="A1676" t="s">
        <v>1744</v>
      </c>
      <c r="B1676" s="5">
        <v>45382</v>
      </c>
      <c r="C1676" s="8">
        <f>YEAR(Tabla2[[#This Row],[fecha]])</f>
        <v>2024</v>
      </c>
      <c r="D1676" s="8">
        <f>MONTH(Tabla2[[#This Row],[fecha]])</f>
        <v>3</v>
      </c>
      <c r="E1676" s="8" t="str">
        <f>TEXT(Tabla2[[#This Row],[fecha]], "mmmm")</f>
        <v>marzo</v>
      </c>
      <c r="F1676" s="8" t="str">
        <f>"T"&amp;ROUNDUP(Tabla2[[#This Row],[mes]]/3,0)</f>
        <v>T1</v>
      </c>
      <c r="G1676" t="s">
        <v>24</v>
      </c>
      <c r="H1676" t="s">
        <v>25</v>
      </c>
      <c r="I1676" s="8" t="str">
        <f>IF(Tabla2[[#This Row],[precio_unitario]]&lt;=30,"Económico",IF(Tabla2[[#This Row],[precio_unitario]]&lt;=58.49,"Accesible","Caro"))</f>
        <v>Económico</v>
      </c>
      <c r="J1676" t="s">
        <v>26</v>
      </c>
      <c r="K1676">
        <v>2</v>
      </c>
      <c r="L1676" s="19">
        <v>7.36</v>
      </c>
      <c r="M1676" s="19">
        <v>4.3600000000000003</v>
      </c>
      <c r="N1676" s="11">
        <v>0</v>
      </c>
      <c r="O1676" s="17">
        <f t="shared" si="107"/>
        <v>14.72</v>
      </c>
      <c r="P1676" s="17">
        <f t="shared" si="104"/>
        <v>8.7200000000000006</v>
      </c>
      <c r="Q1676" s="17">
        <f t="shared" si="105"/>
        <v>6</v>
      </c>
      <c r="R1676" s="24">
        <f t="shared" si="106"/>
        <v>0.40760869565217389</v>
      </c>
      <c r="S1676" t="s">
        <v>67</v>
      </c>
      <c r="T1676" t="s">
        <v>64</v>
      </c>
    </row>
    <row r="1677" spans="1:20" hidden="1">
      <c r="A1677" t="s">
        <v>1745</v>
      </c>
      <c r="B1677" s="5">
        <v>45372</v>
      </c>
      <c r="C1677" s="8">
        <f>YEAR(Tabla2[[#This Row],[fecha]])</f>
        <v>2024</v>
      </c>
      <c r="D1677" s="8">
        <f>MONTH(Tabla2[[#This Row],[fecha]])</f>
        <v>3</v>
      </c>
      <c r="E1677" s="8" t="str">
        <f>TEXT(Tabla2[[#This Row],[fecha]], "mmmm")</f>
        <v>marzo</v>
      </c>
      <c r="F1677" s="8" t="str">
        <f>"T"&amp;ROUNDUP(Tabla2[[#This Row],[mes]]/3,0)</f>
        <v>T1</v>
      </c>
      <c r="G1677" t="s">
        <v>9</v>
      </c>
      <c r="H1677" t="s">
        <v>10</v>
      </c>
      <c r="I1677" s="8" t="str">
        <f>IF(Tabla2[[#This Row],[precio_unitario]]&lt;=30,"Económico",IF(Tabla2[[#This Row],[precio_unitario]]&lt;=58.49,"Accesible","Caro"))</f>
        <v>Caro</v>
      </c>
      <c r="J1677" t="s">
        <v>8</v>
      </c>
      <c r="K1677">
        <v>9</v>
      </c>
      <c r="L1677" s="19">
        <v>78.599999999999994</v>
      </c>
      <c r="M1677" s="19">
        <v>46.51</v>
      </c>
      <c r="N1677" s="13">
        <v>0</v>
      </c>
      <c r="O1677" s="17">
        <f t="shared" si="107"/>
        <v>707.4</v>
      </c>
      <c r="P1677" s="17">
        <f t="shared" si="104"/>
        <v>418.59</v>
      </c>
      <c r="Q1677" s="17">
        <f t="shared" si="105"/>
        <v>288.81</v>
      </c>
      <c r="R1677" s="24">
        <f t="shared" si="106"/>
        <v>0.4082697201017812</v>
      </c>
      <c r="S1677" t="s">
        <v>67</v>
      </c>
      <c r="T1677" t="s">
        <v>60</v>
      </c>
    </row>
    <row r="1678" spans="1:20" hidden="1">
      <c r="A1678" t="s">
        <v>1746</v>
      </c>
      <c r="B1678" s="5">
        <v>45683</v>
      </c>
      <c r="C1678" s="8">
        <f>YEAR(Tabla2[[#This Row],[fecha]])</f>
        <v>2025</v>
      </c>
      <c r="D1678" s="8">
        <f>MONTH(Tabla2[[#This Row],[fecha]])</f>
        <v>1</v>
      </c>
      <c r="E1678" s="8" t="str">
        <f>TEXT(Tabla2[[#This Row],[fecha]], "mmmm")</f>
        <v>enero</v>
      </c>
      <c r="F1678" s="8" t="str">
        <f>"T"&amp;ROUNDUP(Tabla2[[#This Row],[mes]]/3,0)</f>
        <v>T1</v>
      </c>
      <c r="G1678" t="s">
        <v>38</v>
      </c>
      <c r="H1678" t="s">
        <v>39</v>
      </c>
      <c r="I1678" s="8" t="str">
        <f>IF(Tabla2[[#This Row],[precio_unitario]]&lt;=30,"Económico",IF(Tabla2[[#This Row],[precio_unitario]]&lt;=58.49,"Accesible","Caro"))</f>
        <v>Caro</v>
      </c>
      <c r="J1678" t="s">
        <v>35</v>
      </c>
      <c r="K1678">
        <v>3</v>
      </c>
      <c r="L1678" s="19">
        <v>71.739999999999995</v>
      </c>
      <c r="M1678" s="19">
        <v>40.74</v>
      </c>
      <c r="N1678" s="11">
        <v>0</v>
      </c>
      <c r="O1678" s="17">
        <f t="shared" si="107"/>
        <v>215.21999999999997</v>
      </c>
      <c r="P1678" s="17">
        <f t="shared" si="104"/>
        <v>122.22</v>
      </c>
      <c r="Q1678" s="17">
        <f t="shared" si="105"/>
        <v>92.999999999999972</v>
      </c>
      <c r="R1678" s="24">
        <f t="shared" si="106"/>
        <v>0.43211597435182597</v>
      </c>
      <c r="S1678" t="s">
        <v>540</v>
      </c>
      <c r="T1678" t="s">
        <v>64</v>
      </c>
    </row>
    <row r="1679" spans="1:20" hidden="1">
      <c r="A1679" t="s">
        <v>1747</v>
      </c>
      <c r="B1679" s="5">
        <v>45421</v>
      </c>
      <c r="C1679" s="8">
        <f>YEAR(Tabla2[[#This Row],[fecha]])</f>
        <v>2024</v>
      </c>
      <c r="D1679" s="8">
        <f>MONTH(Tabla2[[#This Row],[fecha]])</f>
        <v>5</v>
      </c>
      <c r="E1679" s="8" t="str">
        <f>TEXT(Tabla2[[#This Row],[fecha]], "mmmm")</f>
        <v>mayo</v>
      </c>
      <c r="F1679" s="8" t="str">
        <f>"T"&amp;ROUNDUP(Tabla2[[#This Row],[mes]]/3,0)</f>
        <v>T2</v>
      </c>
      <c r="G1679" t="s">
        <v>47</v>
      </c>
      <c r="H1679" t="s">
        <v>48</v>
      </c>
      <c r="I1679" s="8" t="str">
        <f>IF(Tabla2[[#This Row],[precio_unitario]]&lt;=30,"Económico",IF(Tabla2[[#This Row],[precio_unitario]]&lt;=58.49,"Accesible","Caro"))</f>
        <v>Caro</v>
      </c>
      <c r="J1679" t="s">
        <v>44</v>
      </c>
      <c r="K1679">
        <v>1</v>
      </c>
      <c r="L1679" s="19">
        <v>60.99</v>
      </c>
      <c r="M1679" s="19">
        <v>34.24</v>
      </c>
      <c r="N1679" s="11">
        <v>0.16</v>
      </c>
      <c r="O1679" s="17">
        <f t="shared" si="107"/>
        <v>51.2316</v>
      </c>
      <c r="P1679" s="17">
        <f t="shared" si="104"/>
        <v>34.24</v>
      </c>
      <c r="Q1679" s="17">
        <f t="shared" si="105"/>
        <v>16.991599999999998</v>
      </c>
      <c r="R1679" s="24">
        <f t="shared" si="106"/>
        <v>0.33166248955722638</v>
      </c>
      <c r="S1679" t="s">
        <v>540</v>
      </c>
      <c r="T1679" t="s">
        <v>1064</v>
      </c>
    </row>
    <row r="1680" spans="1:20" hidden="1">
      <c r="A1680" t="s">
        <v>1748</v>
      </c>
      <c r="B1680" s="5">
        <v>45411</v>
      </c>
      <c r="C1680" s="8">
        <f>YEAR(Tabla2[[#This Row],[fecha]])</f>
        <v>2024</v>
      </c>
      <c r="D1680" s="8">
        <f>MONTH(Tabla2[[#This Row],[fecha]])</f>
        <v>4</v>
      </c>
      <c r="E1680" s="8" t="str">
        <f>TEXT(Tabla2[[#This Row],[fecha]], "mmmm")</f>
        <v>abril</v>
      </c>
      <c r="F1680" s="8" t="str">
        <f>"T"&amp;ROUNDUP(Tabla2[[#This Row],[mes]]/3,0)</f>
        <v>T2</v>
      </c>
      <c r="G1680" t="s">
        <v>40</v>
      </c>
      <c r="H1680" t="s">
        <v>41</v>
      </c>
      <c r="I1680" s="8" t="str">
        <f>IF(Tabla2[[#This Row],[precio_unitario]]&lt;=30,"Económico",IF(Tabla2[[#This Row],[precio_unitario]]&lt;=58.49,"Accesible","Caro"))</f>
        <v>Caro</v>
      </c>
      <c r="J1680" t="s">
        <v>35</v>
      </c>
      <c r="K1680">
        <v>3</v>
      </c>
      <c r="L1680" s="19">
        <v>82.94</v>
      </c>
      <c r="M1680" s="19">
        <v>42.08</v>
      </c>
      <c r="N1680" s="11">
        <v>0</v>
      </c>
      <c r="O1680" s="17">
        <f t="shared" si="107"/>
        <v>248.82</v>
      </c>
      <c r="P1680" s="17">
        <f t="shared" si="104"/>
        <v>126.24</v>
      </c>
      <c r="Q1680" s="17">
        <f t="shared" si="105"/>
        <v>122.58</v>
      </c>
      <c r="R1680" s="24">
        <f t="shared" si="106"/>
        <v>0.49264528574873401</v>
      </c>
      <c r="S1680" t="s">
        <v>67</v>
      </c>
      <c r="T1680" t="s">
        <v>64</v>
      </c>
    </row>
    <row r="1681" spans="1:20" hidden="1">
      <c r="A1681" t="s">
        <v>1749</v>
      </c>
      <c r="B1681" s="5">
        <v>45596</v>
      </c>
      <c r="C1681" s="8">
        <f>YEAR(Tabla2[[#This Row],[fecha]])</f>
        <v>2024</v>
      </c>
      <c r="D1681" s="8">
        <f>MONTH(Tabla2[[#This Row],[fecha]])</f>
        <v>10</v>
      </c>
      <c r="E1681" s="8" t="str">
        <f>TEXT(Tabla2[[#This Row],[fecha]], "mmmm")</f>
        <v>octubre</v>
      </c>
      <c r="F1681" s="8" t="str">
        <f>"T"&amp;ROUNDUP(Tabla2[[#This Row],[mes]]/3,0)</f>
        <v>T4</v>
      </c>
      <c r="G1681" t="s">
        <v>27</v>
      </c>
      <c r="H1681" t="s">
        <v>28</v>
      </c>
      <c r="I1681" s="8" t="str">
        <f>IF(Tabla2[[#This Row],[precio_unitario]]&lt;=30,"Económico",IF(Tabla2[[#This Row],[precio_unitario]]&lt;=58.49,"Accesible","Caro"))</f>
        <v>Económico</v>
      </c>
      <c r="J1681" t="s">
        <v>26</v>
      </c>
      <c r="K1681">
        <v>3</v>
      </c>
      <c r="L1681" s="19">
        <v>15.43</v>
      </c>
      <c r="M1681" s="19">
        <v>11.28</v>
      </c>
      <c r="N1681" s="11">
        <v>0</v>
      </c>
      <c r="O1681" s="17">
        <f t="shared" si="107"/>
        <v>46.29</v>
      </c>
      <c r="P1681" s="17">
        <f t="shared" si="104"/>
        <v>33.839999999999996</v>
      </c>
      <c r="Q1681" s="17">
        <f t="shared" si="105"/>
        <v>12.450000000000003</v>
      </c>
      <c r="R1681" s="24">
        <f t="shared" si="106"/>
        <v>0.26895657809462092</v>
      </c>
      <c r="S1681" t="s">
        <v>67</v>
      </c>
      <c r="T1681" t="s">
        <v>60</v>
      </c>
    </row>
    <row r="1682" spans="1:20" hidden="1">
      <c r="A1682" t="s">
        <v>1750</v>
      </c>
      <c r="B1682" s="5">
        <v>45944</v>
      </c>
      <c r="C1682" s="8">
        <f>YEAR(Tabla2[[#This Row],[fecha]])</f>
        <v>2025</v>
      </c>
      <c r="D1682" s="8">
        <f>MONTH(Tabla2[[#This Row],[fecha]])</f>
        <v>10</v>
      </c>
      <c r="E1682" s="8" t="str">
        <f>TEXT(Tabla2[[#This Row],[fecha]], "mmmm")</f>
        <v>octubre</v>
      </c>
      <c r="F1682" s="8" t="str">
        <f>"T"&amp;ROUNDUP(Tabla2[[#This Row],[mes]]/3,0)</f>
        <v>T4</v>
      </c>
      <c r="G1682" t="s">
        <v>15</v>
      </c>
      <c r="H1682" t="s">
        <v>16</v>
      </c>
      <c r="I1682" s="8" t="str">
        <f>IF(Tabla2[[#This Row],[precio_unitario]]&lt;=30,"Económico",IF(Tabla2[[#This Row],[precio_unitario]]&lt;=58.49,"Accesible","Caro"))</f>
        <v>Caro</v>
      </c>
      <c r="J1682" t="s">
        <v>17</v>
      </c>
      <c r="K1682">
        <v>3</v>
      </c>
      <c r="L1682" s="19">
        <v>64.099999999999994</v>
      </c>
      <c r="M1682" s="19">
        <v>40.090000000000003</v>
      </c>
      <c r="N1682" s="11">
        <v>0</v>
      </c>
      <c r="O1682" s="17">
        <f t="shared" si="107"/>
        <v>192.29999999999998</v>
      </c>
      <c r="P1682" s="17">
        <f t="shared" si="104"/>
        <v>120.27000000000001</v>
      </c>
      <c r="Q1682" s="17">
        <f t="shared" si="105"/>
        <v>72.029999999999973</v>
      </c>
      <c r="R1682" s="24">
        <f t="shared" si="106"/>
        <v>0.37457098283931345</v>
      </c>
      <c r="S1682" t="s">
        <v>63</v>
      </c>
      <c r="T1682" t="s">
        <v>60</v>
      </c>
    </row>
    <row r="1683" spans="1:20" hidden="1">
      <c r="A1683" t="s">
        <v>1751</v>
      </c>
      <c r="B1683" s="5">
        <v>45515</v>
      </c>
      <c r="C1683" s="8">
        <f>YEAR(Tabla2[[#This Row],[fecha]])</f>
        <v>2024</v>
      </c>
      <c r="D1683" s="8">
        <f>MONTH(Tabla2[[#This Row],[fecha]])</f>
        <v>8</v>
      </c>
      <c r="E1683" s="8" t="str">
        <f>TEXT(Tabla2[[#This Row],[fecha]], "mmmm")</f>
        <v>agosto</v>
      </c>
      <c r="F1683" s="8" t="str">
        <f>"T"&amp;ROUNDUP(Tabla2[[#This Row],[mes]]/3,0)</f>
        <v>T3</v>
      </c>
      <c r="G1683" t="s">
        <v>24</v>
      </c>
      <c r="H1683" t="s">
        <v>25</v>
      </c>
      <c r="I1683" s="8" t="str">
        <f>IF(Tabla2[[#This Row],[precio_unitario]]&lt;=30,"Económico",IF(Tabla2[[#This Row],[precio_unitario]]&lt;=58.49,"Accesible","Caro"))</f>
        <v>Económico</v>
      </c>
      <c r="J1683" t="s">
        <v>26</v>
      </c>
      <c r="K1683">
        <v>4</v>
      </c>
      <c r="L1683" s="19">
        <v>7.54</v>
      </c>
      <c r="M1683" s="19">
        <v>4.54</v>
      </c>
      <c r="N1683" s="11">
        <v>0</v>
      </c>
      <c r="O1683" s="17">
        <f t="shared" si="107"/>
        <v>30.16</v>
      </c>
      <c r="P1683" s="17">
        <f t="shared" si="104"/>
        <v>18.16</v>
      </c>
      <c r="Q1683" s="17">
        <f t="shared" si="105"/>
        <v>12</v>
      </c>
      <c r="R1683" s="24">
        <f t="shared" si="106"/>
        <v>0.39787798408488062</v>
      </c>
      <c r="S1683" t="s">
        <v>67</v>
      </c>
      <c r="T1683" t="s">
        <v>64</v>
      </c>
    </row>
    <row r="1684" spans="1:20" hidden="1">
      <c r="A1684" t="s">
        <v>1752</v>
      </c>
      <c r="B1684" s="5">
        <v>45491</v>
      </c>
      <c r="C1684" s="8">
        <f>YEAR(Tabla2[[#This Row],[fecha]])</f>
        <v>2024</v>
      </c>
      <c r="D1684" s="8">
        <f>MONTH(Tabla2[[#This Row],[fecha]])</f>
        <v>7</v>
      </c>
      <c r="E1684" s="8" t="str">
        <f>TEXT(Tabla2[[#This Row],[fecha]], "mmmm")</f>
        <v>julio</v>
      </c>
      <c r="F1684" s="8" t="str">
        <f>"T"&amp;ROUNDUP(Tabla2[[#This Row],[mes]]/3,0)</f>
        <v>T3</v>
      </c>
      <c r="G1684" t="s">
        <v>42</v>
      </c>
      <c r="H1684" t="s">
        <v>43</v>
      </c>
      <c r="I1684" s="8" t="str">
        <f>IF(Tabla2[[#This Row],[precio_unitario]]&lt;=30,"Económico",IF(Tabla2[[#This Row],[precio_unitario]]&lt;=58.49,"Accesible","Caro"))</f>
        <v>Accesible</v>
      </c>
      <c r="J1684" t="s">
        <v>44</v>
      </c>
      <c r="K1684">
        <v>1</v>
      </c>
      <c r="L1684" s="19">
        <v>47.39</v>
      </c>
      <c r="M1684" s="19">
        <v>23.65</v>
      </c>
      <c r="N1684" s="13">
        <v>0</v>
      </c>
      <c r="O1684" s="17">
        <f t="shared" si="107"/>
        <v>47.39</v>
      </c>
      <c r="P1684" s="17">
        <f t="shared" si="104"/>
        <v>23.65</v>
      </c>
      <c r="Q1684" s="17">
        <f t="shared" si="105"/>
        <v>23.740000000000002</v>
      </c>
      <c r="R1684" s="24">
        <f t="shared" si="106"/>
        <v>0.50094956741928676</v>
      </c>
      <c r="S1684" t="s">
        <v>67</v>
      </c>
      <c r="T1684" t="s">
        <v>60</v>
      </c>
    </row>
    <row r="1685" spans="1:20" hidden="1">
      <c r="A1685" t="s">
        <v>1753</v>
      </c>
      <c r="B1685" s="5">
        <v>45579</v>
      </c>
      <c r="C1685" s="8">
        <f>YEAR(Tabla2[[#This Row],[fecha]])</f>
        <v>2024</v>
      </c>
      <c r="D1685" s="8">
        <f>MONTH(Tabla2[[#This Row],[fecha]])</f>
        <v>10</v>
      </c>
      <c r="E1685" s="8" t="str">
        <f>TEXT(Tabla2[[#This Row],[fecha]], "mmmm")</f>
        <v>octubre</v>
      </c>
      <c r="F1685" s="8" t="str">
        <f>"T"&amp;ROUNDUP(Tabla2[[#This Row],[mes]]/3,0)</f>
        <v>T4</v>
      </c>
      <c r="G1685" t="s">
        <v>6</v>
      </c>
      <c r="H1685" t="s">
        <v>7</v>
      </c>
      <c r="I1685" s="8" t="str">
        <f>IF(Tabla2[[#This Row],[precio_unitario]]&lt;=30,"Económico",IF(Tabla2[[#This Row],[precio_unitario]]&lt;=58.49,"Accesible","Caro"))</f>
        <v>Caro</v>
      </c>
      <c r="J1685" t="s">
        <v>8</v>
      </c>
      <c r="K1685">
        <v>1</v>
      </c>
      <c r="L1685" s="19">
        <v>124.64</v>
      </c>
      <c r="M1685" s="19">
        <v>86.91</v>
      </c>
      <c r="N1685" s="11">
        <v>0</v>
      </c>
      <c r="O1685" s="17">
        <f t="shared" si="107"/>
        <v>124.64</v>
      </c>
      <c r="P1685" s="17">
        <f t="shared" si="104"/>
        <v>86.91</v>
      </c>
      <c r="Q1685" s="17">
        <f t="shared" si="105"/>
        <v>37.730000000000004</v>
      </c>
      <c r="R1685" s="24">
        <f t="shared" si="106"/>
        <v>0.30271181001283698</v>
      </c>
      <c r="S1685" t="s">
        <v>83</v>
      </c>
      <c r="T1685" t="s">
        <v>64</v>
      </c>
    </row>
    <row r="1686" spans="1:20" hidden="1">
      <c r="A1686" t="s">
        <v>1754</v>
      </c>
      <c r="B1686" s="5">
        <v>45334</v>
      </c>
      <c r="C1686" s="8">
        <f>YEAR(Tabla2[[#This Row],[fecha]])</f>
        <v>2024</v>
      </c>
      <c r="D1686" s="8">
        <f>MONTH(Tabla2[[#This Row],[fecha]])</f>
        <v>2</v>
      </c>
      <c r="E1686" s="8" t="str">
        <f>TEXT(Tabla2[[#This Row],[fecha]], "mmmm")</f>
        <v>febrero</v>
      </c>
      <c r="F1686" s="8" t="str">
        <f>"T"&amp;ROUNDUP(Tabla2[[#This Row],[mes]]/3,0)</f>
        <v>T1</v>
      </c>
      <c r="G1686" t="s">
        <v>24</v>
      </c>
      <c r="H1686" t="s">
        <v>25</v>
      </c>
      <c r="I1686" s="8" t="str">
        <f>IF(Tabla2[[#This Row],[precio_unitario]]&lt;=30,"Económico",IF(Tabla2[[#This Row],[precio_unitario]]&lt;=58.49,"Accesible","Caro"))</f>
        <v>Económico</v>
      </c>
      <c r="J1686" t="s">
        <v>26</v>
      </c>
      <c r="K1686">
        <v>1</v>
      </c>
      <c r="L1686" s="19">
        <v>7.82</v>
      </c>
      <c r="M1686" s="19">
        <v>4.4400000000000004</v>
      </c>
      <c r="N1686" s="11">
        <v>0</v>
      </c>
      <c r="O1686" s="17">
        <f t="shared" si="107"/>
        <v>7.82</v>
      </c>
      <c r="P1686" s="17">
        <f t="shared" si="104"/>
        <v>4.4400000000000004</v>
      </c>
      <c r="Q1686" s="17">
        <f t="shared" si="105"/>
        <v>3.38</v>
      </c>
      <c r="R1686" s="24">
        <f t="shared" si="106"/>
        <v>0.43222506393861887</v>
      </c>
      <c r="S1686" t="s">
        <v>67</v>
      </c>
      <c r="T1686" t="s">
        <v>64</v>
      </c>
    </row>
    <row r="1687" spans="1:20" hidden="1">
      <c r="A1687" t="s">
        <v>1755</v>
      </c>
      <c r="B1687" s="5">
        <v>45477</v>
      </c>
      <c r="C1687" s="8">
        <f>YEAR(Tabla2[[#This Row],[fecha]])</f>
        <v>2024</v>
      </c>
      <c r="D1687" s="8">
        <f>MONTH(Tabla2[[#This Row],[fecha]])</f>
        <v>7</v>
      </c>
      <c r="E1687" s="8" t="str">
        <f>TEXT(Tabla2[[#This Row],[fecha]], "mmmm")</f>
        <v>julio</v>
      </c>
      <c r="F1687" s="8" t="str">
        <f>"T"&amp;ROUNDUP(Tabla2[[#This Row],[mes]]/3,0)</f>
        <v>T3</v>
      </c>
      <c r="G1687" t="s">
        <v>40</v>
      </c>
      <c r="H1687" t="s">
        <v>41</v>
      </c>
      <c r="I1687" s="8" t="str">
        <f>IF(Tabla2[[#This Row],[precio_unitario]]&lt;=30,"Económico",IF(Tabla2[[#This Row],[precio_unitario]]&lt;=58.49,"Accesible","Caro"))</f>
        <v>Caro</v>
      </c>
      <c r="J1687" t="s">
        <v>35</v>
      </c>
      <c r="K1687">
        <v>1</v>
      </c>
      <c r="L1687" s="19">
        <v>84.46</v>
      </c>
      <c r="M1687" s="19">
        <v>39.700000000000003</v>
      </c>
      <c r="N1687" s="11">
        <v>0</v>
      </c>
      <c r="O1687" s="17">
        <f t="shared" si="107"/>
        <v>84.46</v>
      </c>
      <c r="P1687" s="17">
        <f t="shared" si="104"/>
        <v>39.700000000000003</v>
      </c>
      <c r="Q1687" s="17">
        <f t="shared" si="105"/>
        <v>44.759999999999991</v>
      </c>
      <c r="R1687" s="24">
        <f t="shared" si="106"/>
        <v>0.52995500828794684</v>
      </c>
      <c r="S1687" t="s">
        <v>540</v>
      </c>
      <c r="T1687" t="s">
        <v>64</v>
      </c>
    </row>
    <row r="1688" spans="1:20">
      <c r="A1688" t="s">
        <v>1756</v>
      </c>
      <c r="B1688" s="5">
        <v>45660</v>
      </c>
      <c r="C1688" s="8">
        <f>YEAR(Tabla2[[#This Row],[fecha]])</f>
        <v>2025</v>
      </c>
      <c r="D1688" s="8">
        <f>MONTH(Tabla2[[#This Row],[fecha]])</f>
        <v>1</v>
      </c>
      <c r="E1688" s="8" t="str">
        <f>TEXT(Tabla2[[#This Row],[fecha]], "mmmm")</f>
        <v>enero</v>
      </c>
      <c r="F1688" s="8" t="str">
        <f>"T"&amp;ROUNDUP(Tabla2[[#This Row],[mes]]/3,0)</f>
        <v>T1</v>
      </c>
      <c r="G1688" t="s">
        <v>9</v>
      </c>
      <c r="H1688" t="s">
        <v>10</v>
      </c>
      <c r="I1688" s="8" t="str">
        <f>IF(Tabla2[[#This Row],[precio_unitario]]&lt;=30,"Económico",IF(Tabla2[[#This Row],[precio_unitario]]&lt;=58.49,"Accesible","Caro"))</f>
        <v>Caro</v>
      </c>
      <c r="J1688" t="s">
        <v>8</v>
      </c>
      <c r="K1688">
        <v>1</v>
      </c>
      <c r="L1688" s="19">
        <v>77.099999999999994</v>
      </c>
      <c r="M1688" s="19">
        <v>46.54</v>
      </c>
      <c r="N1688" s="11">
        <v>0</v>
      </c>
      <c r="O1688" s="17">
        <f t="shared" si="107"/>
        <v>77.099999999999994</v>
      </c>
      <c r="P1688" s="17">
        <f t="shared" si="104"/>
        <v>46.54</v>
      </c>
      <c r="Q1688" s="17">
        <f t="shared" si="105"/>
        <v>30.559999999999995</v>
      </c>
      <c r="R1688" s="24">
        <f t="shared" si="106"/>
        <v>0.39636835278858623</v>
      </c>
      <c r="S1688" t="s">
        <v>67</v>
      </c>
      <c r="T1688" t="s">
        <v>60</v>
      </c>
    </row>
    <row r="1689" spans="1:20" hidden="1">
      <c r="A1689" t="s">
        <v>1757</v>
      </c>
      <c r="B1689" s="5">
        <v>45345</v>
      </c>
      <c r="C1689" s="8">
        <f>YEAR(Tabla2[[#This Row],[fecha]])</f>
        <v>2024</v>
      </c>
      <c r="D1689" s="8">
        <f>MONTH(Tabla2[[#This Row],[fecha]])</f>
        <v>2</v>
      </c>
      <c r="E1689" s="8" t="str">
        <f>TEXT(Tabla2[[#This Row],[fecha]], "mmmm")</f>
        <v>febrero</v>
      </c>
      <c r="F1689" s="8" t="str">
        <f>"T"&amp;ROUNDUP(Tabla2[[#This Row],[mes]]/3,0)</f>
        <v>T1</v>
      </c>
      <c r="G1689" t="s">
        <v>11</v>
      </c>
      <c r="H1689" t="s">
        <v>12</v>
      </c>
      <c r="I1689" s="8" t="str">
        <f>IF(Tabla2[[#This Row],[precio_unitario]]&lt;=30,"Económico",IF(Tabla2[[#This Row],[precio_unitario]]&lt;=58.49,"Accesible","Caro"))</f>
        <v>Caro</v>
      </c>
      <c r="J1689" t="s">
        <v>8</v>
      </c>
      <c r="K1689">
        <v>2</v>
      </c>
      <c r="L1689" s="20">
        <f>INDEX(Tabla3[precio_venta_recomendado], MATCH(Tabla2[[#This Row],[id_producto]], Tabla3[id_producto], 0))</f>
        <v>177.72</v>
      </c>
      <c r="M1689" s="19">
        <v>93.38</v>
      </c>
      <c r="N1689" s="11">
        <v>0.18</v>
      </c>
      <c r="O1689" s="17">
        <f t="shared" si="107"/>
        <v>291.46080000000001</v>
      </c>
      <c r="P1689" s="17">
        <f t="shared" si="104"/>
        <v>186.76</v>
      </c>
      <c r="Q1689" s="17">
        <f t="shared" si="105"/>
        <v>104.70080000000002</v>
      </c>
      <c r="R1689" s="24">
        <f t="shared" si="106"/>
        <v>0.3592277246202577</v>
      </c>
      <c r="S1689" t="s">
        <v>67</v>
      </c>
      <c r="T1689" t="s">
        <v>64</v>
      </c>
    </row>
    <row r="1690" spans="1:20">
      <c r="A1690" t="s">
        <v>1758</v>
      </c>
      <c r="B1690" s="5">
        <v>45968</v>
      </c>
      <c r="C1690" s="8">
        <f>YEAR(Tabla2[[#This Row],[fecha]])</f>
        <v>2025</v>
      </c>
      <c r="D1690" s="8">
        <f>MONTH(Tabla2[[#This Row],[fecha]])</f>
        <v>11</v>
      </c>
      <c r="E1690" s="8" t="str">
        <f>TEXT(Tabla2[[#This Row],[fecha]], "mmmm")</f>
        <v>noviembre</v>
      </c>
      <c r="F1690" s="8" t="str">
        <f>"T"&amp;ROUNDUP(Tabla2[[#This Row],[mes]]/3,0)</f>
        <v>T4</v>
      </c>
      <c r="G1690" t="s">
        <v>36</v>
      </c>
      <c r="H1690" t="s">
        <v>37</v>
      </c>
      <c r="I1690" s="8" t="str">
        <f>IF(Tabla2[[#This Row],[precio_unitario]]&lt;=30,"Económico",IF(Tabla2[[#This Row],[precio_unitario]]&lt;=58.49,"Accesible","Caro"))</f>
        <v>Económico</v>
      </c>
      <c r="J1690" t="s">
        <v>35</v>
      </c>
      <c r="K1690">
        <v>1</v>
      </c>
      <c r="L1690" s="19">
        <v>15</v>
      </c>
      <c r="M1690" s="19">
        <v>9.91</v>
      </c>
      <c r="N1690" s="11">
        <v>0.15</v>
      </c>
      <c r="O1690" s="17">
        <f t="shared" si="107"/>
        <v>12.75</v>
      </c>
      <c r="P1690" s="17">
        <f t="shared" si="104"/>
        <v>9.91</v>
      </c>
      <c r="Q1690" s="17">
        <f t="shared" si="105"/>
        <v>2.84</v>
      </c>
      <c r="R1690" s="24">
        <f t="shared" si="106"/>
        <v>0.22274509803921569</v>
      </c>
      <c r="S1690" t="s">
        <v>67</v>
      </c>
      <c r="T1690" t="s">
        <v>60</v>
      </c>
    </row>
    <row r="1691" spans="1:20" hidden="1">
      <c r="A1691" t="s">
        <v>1759</v>
      </c>
      <c r="B1691" s="5">
        <v>45407</v>
      </c>
      <c r="C1691" s="8">
        <f>YEAR(Tabla2[[#This Row],[fecha]])</f>
        <v>2024</v>
      </c>
      <c r="D1691" s="8">
        <f>MONTH(Tabla2[[#This Row],[fecha]])</f>
        <v>4</v>
      </c>
      <c r="E1691" s="8" t="str">
        <f>TEXT(Tabla2[[#This Row],[fecha]], "mmmm")</f>
        <v>abril</v>
      </c>
      <c r="F1691" s="8" t="str">
        <f>"T"&amp;ROUNDUP(Tabla2[[#This Row],[mes]]/3,0)</f>
        <v>T2</v>
      </c>
      <c r="G1691" t="s">
        <v>27</v>
      </c>
      <c r="H1691" t="s">
        <v>28</v>
      </c>
      <c r="I1691" s="8" t="str">
        <f>IF(Tabla2[[#This Row],[precio_unitario]]&lt;=30,"Económico",IF(Tabla2[[#This Row],[precio_unitario]]&lt;=58.49,"Accesible","Caro"))</f>
        <v>Económico</v>
      </c>
      <c r="J1691" t="s">
        <v>26</v>
      </c>
      <c r="K1691">
        <v>8</v>
      </c>
      <c r="L1691" s="19">
        <v>16.68</v>
      </c>
      <c r="M1691" s="19">
        <v>11.1</v>
      </c>
      <c r="N1691" s="11">
        <v>0</v>
      </c>
      <c r="O1691" s="17">
        <f t="shared" si="107"/>
        <v>133.44</v>
      </c>
      <c r="P1691" s="17">
        <f t="shared" si="104"/>
        <v>88.8</v>
      </c>
      <c r="Q1691" s="17">
        <f t="shared" si="105"/>
        <v>44.64</v>
      </c>
      <c r="R1691" s="24">
        <f t="shared" si="106"/>
        <v>0.33453237410071945</v>
      </c>
      <c r="S1691" t="s">
        <v>540</v>
      </c>
      <c r="T1691" t="s">
        <v>60</v>
      </c>
    </row>
    <row r="1692" spans="1:20" hidden="1">
      <c r="A1692" t="s">
        <v>1760</v>
      </c>
      <c r="B1692" s="5">
        <v>45708</v>
      </c>
      <c r="C1692" s="8">
        <f>YEAR(Tabla2[[#This Row],[fecha]])</f>
        <v>2025</v>
      </c>
      <c r="D1692" s="8">
        <f>MONTH(Tabla2[[#This Row],[fecha]])</f>
        <v>2</v>
      </c>
      <c r="E1692" s="8" t="str">
        <f>TEXT(Tabla2[[#This Row],[fecha]], "mmmm")</f>
        <v>febrero</v>
      </c>
      <c r="F1692" s="8" t="str">
        <f>"T"&amp;ROUNDUP(Tabla2[[#This Row],[mes]]/3,0)</f>
        <v>T1</v>
      </c>
      <c r="G1692" t="s">
        <v>36</v>
      </c>
      <c r="H1692" t="s">
        <v>37</v>
      </c>
      <c r="I1692" s="8" t="str">
        <f>IF(Tabla2[[#This Row],[precio_unitario]]&lt;=30,"Económico",IF(Tabla2[[#This Row],[precio_unitario]]&lt;=58.49,"Accesible","Caro"))</f>
        <v>Económico</v>
      </c>
      <c r="J1692" t="s">
        <v>35</v>
      </c>
      <c r="K1692">
        <v>2</v>
      </c>
      <c r="L1692" s="19">
        <v>13.4</v>
      </c>
      <c r="M1692" s="19">
        <v>9.3699999999999992</v>
      </c>
      <c r="N1692" s="11">
        <v>0.16</v>
      </c>
      <c r="O1692" s="17">
        <f t="shared" si="107"/>
        <v>22.512</v>
      </c>
      <c r="P1692" s="17">
        <f t="shared" si="104"/>
        <v>18.739999999999998</v>
      </c>
      <c r="Q1692" s="17">
        <f t="shared" si="105"/>
        <v>3.772000000000002</v>
      </c>
      <c r="R1692" s="24">
        <f t="shared" si="106"/>
        <v>0.16755508173418629</v>
      </c>
      <c r="S1692" t="s">
        <v>83</v>
      </c>
      <c r="T1692" t="s">
        <v>60</v>
      </c>
    </row>
    <row r="1693" spans="1:20">
      <c r="A1693" t="s">
        <v>1761</v>
      </c>
      <c r="B1693" s="5">
        <v>45755</v>
      </c>
      <c r="C1693" s="8">
        <f>YEAR(Tabla2[[#This Row],[fecha]])</f>
        <v>2025</v>
      </c>
      <c r="D1693" s="8">
        <f>MONTH(Tabla2[[#This Row],[fecha]])</f>
        <v>4</v>
      </c>
      <c r="E1693" s="8" t="str">
        <f>TEXT(Tabla2[[#This Row],[fecha]], "mmmm")</f>
        <v>abril</v>
      </c>
      <c r="F1693" s="8" t="str">
        <f>"T"&amp;ROUNDUP(Tabla2[[#This Row],[mes]]/3,0)</f>
        <v>T2</v>
      </c>
      <c r="G1693" t="s">
        <v>42</v>
      </c>
      <c r="H1693" t="s">
        <v>43</v>
      </c>
      <c r="I1693" s="8" t="str">
        <f>IF(Tabla2[[#This Row],[precio_unitario]]&lt;=30,"Económico",IF(Tabla2[[#This Row],[precio_unitario]]&lt;=58.49,"Accesible","Caro"))</f>
        <v>Accesible</v>
      </c>
      <c r="J1693" t="s">
        <v>44</v>
      </c>
      <c r="K1693">
        <v>3</v>
      </c>
      <c r="L1693" s="19">
        <v>47.06</v>
      </c>
      <c r="M1693" s="19">
        <v>22.46</v>
      </c>
      <c r="N1693" s="11">
        <v>0</v>
      </c>
      <c r="O1693" s="17">
        <f t="shared" si="107"/>
        <v>141.18</v>
      </c>
      <c r="P1693" s="17">
        <f t="shared" si="104"/>
        <v>67.38</v>
      </c>
      <c r="Q1693" s="17">
        <f t="shared" si="105"/>
        <v>73.800000000000011</v>
      </c>
      <c r="R1693" s="24">
        <f t="shared" si="106"/>
        <v>0.52273693157671064</v>
      </c>
      <c r="S1693" t="s">
        <v>67</v>
      </c>
      <c r="T1693" t="s">
        <v>60</v>
      </c>
    </row>
    <row r="1694" spans="1:20" hidden="1">
      <c r="A1694" t="s">
        <v>1762</v>
      </c>
      <c r="B1694" s="5">
        <v>45703</v>
      </c>
      <c r="C1694" s="8">
        <f>YEAR(Tabla2[[#This Row],[fecha]])</f>
        <v>2025</v>
      </c>
      <c r="D1694" s="8">
        <f>MONTH(Tabla2[[#This Row],[fecha]])</f>
        <v>2</v>
      </c>
      <c r="E1694" s="8" t="str">
        <f>TEXT(Tabla2[[#This Row],[fecha]], "mmmm")</f>
        <v>febrero</v>
      </c>
      <c r="F1694" s="8" t="str">
        <f>"T"&amp;ROUNDUP(Tabla2[[#This Row],[mes]]/3,0)</f>
        <v>T1</v>
      </c>
      <c r="G1694" t="s">
        <v>6</v>
      </c>
      <c r="H1694" t="s">
        <v>7</v>
      </c>
      <c r="I1694" s="8" t="str">
        <f>IF(Tabla2[[#This Row],[precio_unitario]]&lt;=30,"Económico",IF(Tabla2[[#This Row],[precio_unitario]]&lt;=58.49,"Accesible","Caro"))</f>
        <v>Caro</v>
      </c>
      <c r="J1694" t="s">
        <v>8</v>
      </c>
      <c r="K1694">
        <v>1</v>
      </c>
      <c r="L1694" s="19">
        <v>117.48</v>
      </c>
      <c r="M1694" s="19">
        <v>81.97</v>
      </c>
      <c r="N1694" s="11">
        <v>0</v>
      </c>
      <c r="O1694" s="17">
        <f t="shared" si="107"/>
        <v>117.48</v>
      </c>
      <c r="P1694" s="17">
        <f t="shared" si="104"/>
        <v>81.97</v>
      </c>
      <c r="Q1694" s="17">
        <f t="shared" si="105"/>
        <v>35.510000000000005</v>
      </c>
      <c r="R1694" s="24">
        <f t="shared" si="106"/>
        <v>0.30226421518556351</v>
      </c>
      <c r="S1694" t="s">
        <v>83</v>
      </c>
      <c r="T1694" t="s">
        <v>60</v>
      </c>
    </row>
    <row r="1695" spans="1:20" hidden="1">
      <c r="A1695" t="s">
        <v>1763</v>
      </c>
      <c r="B1695" s="5">
        <v>45626</v>
      </c>
      <c r="C1695" s="8">
        <f>YEAR(Tabla2[[#This Row],[fecha]])</f>
        <v>2024</v>
      </c>
      <c r="D1695" s="8">
        <f>MONTH(Tabla2[[#This Row],[fecha]])</f>
        <v>11</v>
      </c>
      <c r="E1695" s="8" t="str">
        <f>TEXT(Tabla2[[#This Row],[fecha]], "mmmm")</f>
        <v>noviembre</v>
      </c>
      <c r="F1695" s="8" t="str">
        <f>"T"&amp;ROUNDUP(Tabla2[[#This Row],[mes]]/3,0)</f>
        <v>T4</v>
      </c>
      <c r="G1695" t="s">
        <v>22</v>
      </c>
      <c r="H1695" t="s">
        <v>23</v>
      </c>
      <c r="I1695" s="8" t="str">
        <f>IF(Tabla2[[#This Row],[precio_unitario]]&lt;=30,"Económico",IF(Tabla2[[#This Row],[precio_unitario]]&lt;=58.49,"Accesible","Caro"))</f>
        <v>Caro</v>
      </c>
      <c r="J1695" t="s">
        <v>17</v>
      </c>
      <c r="K1695">
        <v>4</v>
      </c>
      <c r="L1695" s="19">
        <v>103.37</v>
      </c>
      <c r="M1695" s="19">
        <v>58.14</v>
      </c>
      <c r="N1695" s="11">
        <v>0</v>
      </c>
      <c r="O1695" s="17">
        <f t="shared" si="107"/>
        <v>413.48</v>
      </c>
      <c r="P1695" s="17">
        <f t="shared" si="104"/>
        <v>232.56</v>
      </c>
      <c r="Q1695" s="17">
        <f t="shared" si="105"/>
        <v>180.92000000000002</v>
      </c>
      <c r="R1695" s="24">
        <f t="shared" si="106"/>
        <v>0.4375544161749057</v>
      </c>
      <c r="S1695" t="s">
        <v>83</v>
      </c>
      <c r="T1695" t="s">
        <v>64</v>
      </c>
    </row>
    <row r="1696" spans="1:20" hidden="1">
      <c r="A1696" t="s">
        <v>1764</v>
      </c>
      <c r="B1696" s="5">
        <v>45514</v>
      </c>
      <c r="C1696" s="8">
        <f>YEAR(Tabla2[[#This Row],[fecha]])</f>
        <v>2024</v>
      </c>
      <c r="D1696" s="8">
        <f>MONTH(Tabla2[[#This Row],[fecha]])</f>
        <v>8</v>
      </c>
      <c r="E1696" s="8" t="str">
        <f>TEXT(Tabla2[[#This Row],[fecha]], "mmmm")</f>
        <v>agosto</v>
      </c>
      <c r="F1696" s="8" t="str">
        <f>"T"&amp;ROUNDUP(Tabla2[[#This Row],[mes]]/3,0)</f>
        <v>T3</v>
      </c>
      <c r="G1696" t="s">
        <v>18</v>
      </c>
      <c r="H1696" t="s">
        <v>19</v>
      </c>
      <c r="I1696" s="8" t="str">
        <f>IF(Tabla2[[#This Row],[precio_unitario]]&lt;=30,"Económico",IF(Tabla2[[#This Row],[precio_unitario]]&lt;=58.49,"Accesible","Caro"))</f>
        <v>Accesible</v>
      </c>
      <c r="J1696" t="s">
        <v>17</v>
      </c>
      <c r="K1696">
        <v>1</v>
      </c>
      <c r="L1696" s="19">
        <v>43.14</v>
      </c>
      <c r="M1696" s="19">
        <v>26.34</v>
      </c>
      <c r="N1696" s="11">
        <v>0</v>
      </c>
      <c r="O1696" s="17">
        <f t="shared" si="107"/>
        <v>43.14</v>
      </c>
      <c r="P1696" s="17">
        <f t="shared" si="104"/>
        <v>26.34</v>
      </c>
      <c r="Q1696" s="17">
        <f t="shared" si="105"/>
        <v>16.8</v>
      </c>
      <c r="R1696" s="24">
        <f t="shared" si="106"/>
        <v>0.38942976356050069</v>
      </c>
      <c r="S1696" t="s">
        <v>67</v>
      </c>
      <c r="T1696" t="s">
        <v>60</v>
      </c>
    </row>
    <row r="1697" spans="1:20" hidden="1">
      <c r="A1697" t="s">
        <v>1765</v>
      </c>
      <c r="B1697" s="5">
        <v>45347</v>
      </c>
      <c r="C1697" s="8">
        <f>YEAR(Tabla2[[#This Row],[fecha]])</f>
        <v>2024</v>
      </c>
      <c r="D1697" s="8">
        <f>MONTH(Tabla2[[#This Row],[fecha]])</f>
        <v>2</v>
      </c>
      <c r="E1697" s="8" t="str">
        <f>TEXT(Tabla2[[#This Row],[fecha]], "mmmm")</f>
        <v>febrero</v>
      </c>
      <c r="F1697" s="8" t="str">
        <f>"T"&amp;ROUNDUP(Tabla2[[#This Row],[mes]]/3,0)</f>
        <v>T1</v>
      </c>
      <c r="G1697" t="s">
        <v>36</v>
      </c>
      <c r="H1697" t="s">
        <v>37</v>
      </c>
      <c r="I1697" s="8" t="str">
        <f>IF(Tabla2[[#This Row],[precio_unitario]]&lt;=30,"Económico",IF(Tabla2[[#This Row],[precio_unitario]]&lt;=58.49,"Accesible","Caro"))</f>
        <v>Económico</v>
      </c>
      <c r="J1697" t="s">
        <v>35</v>
      </c>
      <c r="K1697">
        <v>6</v>
      </c>
      <c r="L1697" s="19">
        <v>14.68</v>
      </c>
      <c r="M1697" s="19">
        <v>9.3000000000000007</v>
      </c>
      <c r="N1697" s="13">
        <v>0</v>
      </c>
      <c r="O1697" s="17">
        <f t="shared" si="107"/>
        <v>88.08</v>
      </c>
      <c r="P1697" s="17">
        <f t="shared" si="104"/>
        <v>55.800000000000004</v>
      </c>
      <c r="Q1697" s="17">
        <f t="shared" si="105"/>
        <v>32.279999999999994</v>
      </c>
      <c r="R1697" s="24">
        <f t="shared" si="106"/>
        <v>0.36648501362397812</v>
      </c>
      <c r="S1697" t="s">
        <v>67</v>
      </c>
      <c r="T1697" t="s">
        <v>60</v>
      </c>
    </row>
    <row r="1698" spans="1:20" hidden="1">
      <c r="A1698" t="s">
        <v>1766</v>
      </c>
      <c r="B1698" s="5">
        <v>45391</v>
      </c>
      <c r="C1698" s="8">
        <f>YEAR(Tabla2[[#This Row],[fecha]])</f>
        <v>2024</v>
      </c>
      <c r="D1698" s="8">
        <f>MONTH(Tabla2[[#This Row],[fecha]])</f>
        <v>4</v>
      </c>
      <c r="E1698" s="8" t="str">
        <f>TEXT(Tabla2[[#This Row],[fecha]], "mmmm")</f>
        <v>abril</v>
      </c>
      <c r="F1698" s="8" t="str">
        <f>"T"&amp;ROUNDUP(Tabla2[[#This Row],[mes]]/3,0)</f>
        <v>T2</v>
      </c>
      <c r="G1698" t="s">
        <v>42</v>
      </c>
      <c r="H1698" t="s">
        <v>43</v>
      </c>
      <c r="I1698" s="8" t="str">
        <f>IF(Tabla2[[#This Row],[precio_unitario]]&lt;=30,"Económico",IF(Tabla2[[#This Row],[precio_unitario]]&lt;=58.49,"Accesible","Caro"))</f>
        <v>Accesible</v>
      </c>
      <c r="J1698" t="s">
        <v>44</v>
      </c>
      <c r="K1698">
        <v>1</v>
      </c>
      <c r="L1698" s="19">
        <v>48.47</v>
      </c>
      <c r="M1698" s="19">
        <v>23.66</v>
      </c>
      <c r="N1698" s="11">
        <v>0</v>
      </c>
      <c r="O1698" s="17">
        <f t="shared" si="107"/>
        <v>48.47</v>
      </c>
      <c r="P1698" s="17">
        <f t="shared" si="104"/>
        <v>23.66</v>
      </c>
      <c r="Q1698" s="17">
        <f t="shared" si="105"/>
        <v>24.81</v>
      </c>
      <c r="R1698" s="24">
        <f t="shared" si="106"/>
        <v>0.5118630080462141</v>
      </c>
      <c r="S1698" t="s">
        <v>67</v>
      </c>
      <c r="T1698" t="s">
        <v>60</v>
      </c>
    </row>
    <row r="1699" spans="1:20">
      <c r="A1699" t="s">
        <v>1767</v>
      </c>
      <c r="B1699" s="5">
        <v>45833</v>
      </c>
      <c r="C1699" s="8">
        <f>YEAR(Tabla2[[#This Row],[fecha]])</f>
        <v>2025</v>
      </c>
      <c r="D1699" s="8">
        <f>MONTH(Tabla2[[#This Row],[fecha]])</f>
        <v>6</v>
      </c>
      <c r="E1699" s="8" t="str">
        <f>TEXT(Tabla2[[#This Row],[fecha]], "mmmm")</f>
        <v>junio</v>
      </c>
      <c r="F1699" s="8" t="str">
        <f>"T"&amp;ROUNDUP(Tabla2[[#This Row],[mes]]/3,0)</f>
        <v>T2</v>
      </c>
      <c r="G1699" t="s">
        <v>13</v>
      </c>
      <c r="H1699" t="s">
        <v>14</v>
      </c>
      <c r="I1699" s="8" t="str">
        <f>IF(Tabla2[[#This Row],[precio_unitario]]&lt;=30,"Económico",IF(Tabla2[[#This Row],[precio_unitario]]&lt;=58.49,"Accesible","Caro"))</f>
        <v>Caro</v>
      </c>
      <c r="J1699" t="s">
        <v>8</v>
      </c>
      <c r="K1699">
        <v>1</v>
      </c>
      <c r="L1699" s="19">
        <v>151.43</v>
      </c>
      <c r="M1699" s="19">
        <v>105.06</v>
      </c>
      <c r="N1699" s="11">
        <v>0</v>
      </c>
      <c r="O1699" s="17">
        <f t="shared" si="107"/>
        <v>151.43</v>
      </c>
      <c r="P1699" s="17">
        <f t="shared" si="104"/>
        <v>105.06</v>
      </c>
      <c r="Q1699" s="17">
        <f t="shared" si="105"/>
        <v>46.370000000000005</v>
      </c>
      <c r="R1699" s="24">
        <f t="shared" si="106"/>
        <v>0.30621409231988378</v>
      </c>
      <c r="S1699" t="s">
        <v>67</v>
      </c>
      <c r="T1699" t="s">
        <v>64</v>
      </c>
    </row>
    <row r="1700" spans="1:20" hidden="1">
      <c r="A1700" t="s">
        <v>1768</v>
      </c>
      <c r="B1700" s="5">
        <v>45863</v>
      </c>
      <c r="C1700" s="8">
        <f>YEAR(Tabla2[[#This Row],[fecha]])</f>
        <v>2025</v>
      </c>
      <c r="D1700" s="8">
        <f>MONTH(Tabla2[[#This Row],[fecha]])</f>
        <v>7</v>
      </c>
      <c r="E1700" s="8" t="str">
        <f>TEXT(Tabla2[[#This Row],[fecha]], "mmmm")</f>
        <v>julio</v>
      </c>
      <c r="F1700" s="8" t="str">
        <f>"T"&amp;ROUNDUP(Tabla2[[#This Row],[mes]]/3,0)</f>
        <v>T3</v>
      </c>
      <c r="G1700" t="s">
        <v>15</v>
      </c>
      <c r="H1700" t="s">
        <v>16</v>
      </c>
      <c r="I1700" s="8" t="str">
        <f>IF(Tabla2[[#This Row],[precio_unitario]]&lt;=30,"Económico",IF(Tabla2[[#This Row],[precio_unitario]]&lt;=58.49,"Accesible","Caro"))</f>
        <v>Caro</v>
      </c>
      <c r="J1700" t="s">
        <v>17</v>
      </c>
      <c r="K1700">
        <v>1</v>
      </c>
      <c r="L1700" s="19">
        <v>59.72</v>
      </c>
      <c r="M1700" s="19">
        <v>41.04</v>
      </c>
      <c r="N1700" s="11">
        <v>0</v>
      </c>
      <c r="O1700" s="17">
        <f t="shared" si="107"/>
        <v>59.72</v>
      </c>
      <c r="P1700" s="17">
        <f t="shared" si="104"/>
        <v>41.04</v>
      </c>
      <c r="Q1700" s="17">
        <f t="shared" si="105"/>
        <v>18.68</v>
      </c>
      <c r="R1700" s="24">
        <f t="shared" si="106"/>
        <v>0.31279303415941057</v>
      </c>
      <c r="S1700" t="s">
        <v>96</v>
      </c>
      <c r="T1700" t="s">
        <v>64</v>
      </c>
    </row>
    <row r="1701" spans="1:20" hidden="1">
      <c r="A1701" t="s">
        <v>1769</v>
      </c>
      <c r="B1701" s="5">
        <v>45938</v>
      </c>
      <c r="C1701" s="8">
        <f>YEAR(Tabla2[[#This Row],[fecha]])</f>
        <v>2025</v>
      </c>
      <c r="D1701" s="8">
        <f>MONTH(Tabla2[[#This Row],[fecha]])</f>
        <v>10</v>
      </c>
      <c r="E1701" s="8" t="str">
        <f>TEXT(Tabla2[[#This Row],[fecha]], "mmmm")</f>
        <v>octubre</v>
      </c>
      <c r="F1701" s="8" t="str">
        <f>"T"&amp;ROUNDUP(Tabla2[[#This Row],[mes]]/3,0)</f>
        <v>T4</v>
      </c>
      <c r="G1701" t="s">
        <v>11</v>
      </c>
      <c r="H1701" t="s">
        <v>12</v>
      </c>
      <c r="I1701" s="8" t="str">
        <f>IF(Tabla2[[#This Row],[precio_unitario]]&lt;=30,"Económico",IF(Tabla2[[#This Row],[precio_unitario]]&lt;=58.49,"Accesible","Caro"))</f>
        <v>Caro</v>
      </c>
      <c r="J1701" t="s">
        <v>8</v>
      </c>
      <c r="K1701">
        <v>1</v>
      </c>
      <c r="L1701" s="19">
        <v>178.56</v>
      </c>
      <c r="M1701" s="19">
        <v>92.34</v>
      </c>
      <c r="N1701" s="11">
        <v>0</v>
      </c>
      <c r="O1701" s="17">
        <f t="shared" si="107"/>
        <v>178.56</v>
      </c>
      <c r="P1701" s="17">
        <f t="shared" si="104"/>
        <v>92.34</v>
      </c>
      <c r="Q1701" s="17">
        <f t="shared" si="105"/>
        <v>86.22</v>
      </c>
      <c r="R1701" s="24">
        <f t="shared" si="106"/>
        <v>0.48286290322580644</v>
      </c>
      <c r="S1701" t="s">
        <v>540</v>
      </c>
      <c r="T1701" t="s">
        <v>64</v>
      </c>
    </row>
    <row r="1702" spans="1:20" hidden="1">
      <c r="A1702" t="s">
        <v>1770</v>
      </c>
      <c r="B1702" s="5">
        <v>45394</v>
      </c>
      <c r="C1702" s="8">
        <f>YEAR(Tabla2[[#This Row],[fecha]])</f>
        <v>2024</v>
      </c>
      <c r="D1702" s="8">
        <f>MONTH(Tabla2[[#This Row],[fecha]])</f>
        <v>4</v>
      </c>
      <c r="E1702" s="8" t="str">
        <f>TEXT(Tabla2[[#This Row],[fecha]], "mmmm")</f>
        <v>abril</v>
      </c>
      <c r="F1702" s="8" t="str">
        <f>"T"&amp;ROUNDUP(Tabla2[[#This Row],[mes]]/3,0)</f>
        <v>T2</v>
      </c>
      <c r="G1702" t="s">
        <v>22</v>
      </c>
      <c r="H1702" t="s">
        <v>23</v>
      </c>
      <c r="I1702" s="8" t="str">
        <f>IF(Tabla2[[#This Row],[precio_unitario]]&lt;=30,"Económico",IF(Tabla2[[#This Row],[precio_unitario]]&lt;=58.49,"Accesible","Caro"))</f>
        <v>Caro</v>
      </c>
      <c r="J1702" t="s">
        <v>17</v>
      </c>
      <c r="K1702">
        <v>2</v>
      </c>
      <c r="L1702" s="19">
        <v>108.45</v>
      </c>
      <c r="M1702" s="19">
        <v>56.17</v>
      </c>
      <c r="N1702" s="11">
        <v>0</v>
      </c>
      <c r="O1702" s="17">
        <f t="shared" si="107"/>
        <v>216.9</v>
      </c>
      <c r="P1702" s="17">
        <f t="shared" si="104"/>
        <v>112.34</v>
      </c>
      <c r="Q1702" s="17">
        <f t="shared" si="105"/>
        <v>104.56</v>
      </c>
      <c r="R1702" s="24">
        <f t="shared" si="106"/>
        <v>0.48206546795758415</v>
      </c>
      <c r="S1702" t="s">
        <v>540</v>
      </c>
      <c r="T1702" t="s">
        <v>60</v>
      </c>
    </row>
    <row r="1703" spans="1:20" hidden="1">
      <c r="A1703" t="s">
        <v>1771</v>
      </c>
      <c r="B1703" s="5">
        <v>45563</v>
      </c>
      <c r="C1703" s="8">
        <f>YEAR(Tabla2[[#This Row],[fecha]])</f>
        <v>2024</v>
      </c>
      <c r="D1703" s="8">
        <f>MONTH(Tabla2[[#This Row],[fecha]])</f>
        <v>9</v>
      </c>
      <c r="E1703" s="8" t="str">
        <f>TEXT(Tabla2[[#This Row],[fecha]], "mmmm")</f>
        <v>septiembre</v>
      </c>
      <c r="F1703" s="8" t="str">
        <f>"T"&amp;ROUNDUP(Tabla2[[#This Row],[mes]]/3,0)</f>
        <v>T3</v>
      </c>
      <c r="G1703" t="s">
        <v>31</v>
      </c>
      <c r="H1703" t="s">
        <v>32</v>
      </c>
      <c r="I1703" s="8" t="str">
        <f>IF(Tabla2[[#This Row],[precio_unitario]]&lt;=30,"Económico",IF(Tabla2[[#This Row],[precio_unitario]]&lt;=58.49,"Accesible","Caro"))</f>
        <v>Económico</v>
      </c>
      <c r="J1703" t="s">
        <v>26</v>
      </c>
      <c r="K1703">
        <v>4</v>
      </c>
      <c r="L1703" s="19">
        <v>8.59</v>
      </c>
      <c r="M1703" s="19">
        <v>5.9</v>
      </c>
      <c r="N1703" s="11">
        <v>0</v>
      </c>
      <c r="O1703" s="17">
        <f t="shared" si="107"/>
        <v>34.36</v>
      </c>
      <c r="P1703" s="17">
        <f t="shared" si="104"/>
        <v>23.6</v>
      </c>
      <c r="Q1703" s="17">
        <f t="shared" si="105"/>
        <v>10.759999999999998</v>
      </c>
      <c r="R1703" s="24">
        <f t="shared" si="106"/>
        <v>0.31315483119906862</v>
      </c>
      <c r="S1703" t="s">
        <v>63</v>
      </c>
      <c r="T1703" t="s">
        <v>64</v>
      </c>
    </row>
    <row r="1704" spans="1:20" hidden="1">
      <c r="A1704" t="s">
        <v>1772</v>
      </c>
      <c r="B1704" s="5">
        <v>45394</v>
      </c>
      <c r="C1704" s="8">
        <f>YEAR(Tabla2[[#This Row],[fecha]])</f>
        <v>2024</v>
      </c>
      <c r="D1704" s="8">
        <f>MONTH(Tabla2[[#This Row],[fecha]])</f>
        <v>4</v>
      </c>
      <c r="E1704" s="8" t="str">
        <f>TEXT(Tabla2[[#This Row],[fecha]], "mmmm")</f>
        <v>abril</v>
      </c>
      <c r="F1704" s="8" t="str">
        <f>"T"&amp;ROUNDUP(Tabla2[[#This Row],[mes]]/3,0)</f>
        <v>T2</v>
      </c>
      <c r="G1704" t="s">
        <v>33</v>
      </c>
      <c r="H1704" t="s">
        <v>34</v>
      </c>
      <c r="I1704" s="8" t="str">
        <f>IF(Tabla2[[#This Row],[precio_unitario]]&lt;=30,"Económico",IF(Tabla2[[#This Row],[precio_unitario]]&lt;=58.49,"Accesible","Caro"))</f>
        <v>Caro</v>
      </c>
      <c r="J1704" t="s">
        <v>35</v>
      </c>
      <c r="K1704">
        <v>1</v>
      </c>
      <c r="L1704" s="19">
        <v>72.02</v>
      </c>
      <c r="M1704" s="19">
        <v>45.3</v>
      </c>
      <c r="N1704" s="11">
        <v>0</v>
      </c>
      <c r="O1704" s="17">
        <f t="shared" si="107"/>
        <v>72.02</v>
      </c>
      <c r="P1704" s="17">
        <f t="shared" si="104"/>
        <v>45.3</v>
      </c>
      <c r="Q1704" s="17">
        <f t="shared" si="105"/>
        <v>26.72</v>
      </c>
      <c r="R1704" s="24">
        <f t="shared" si="106"/>
        <v>0.37100805331852266</v>
      </c>
      <c r="S1704" t="s">
        <v>63</v>
      </c>
      <c r="T1704" t="s">
        <v>60</v>
      </c>
    </row>
    <row r="1705" spans="1:20" hidden="1">
      <c r="A1705" t="s">
        <v>1773</v>
      </c>
      <c r="B1705" s="5">
        <v>45347</v>
      </c>
      <c r="C1705" s="8">
        <f>YEAR(Tabla2[[#This Row],[fecha]])</f>
        <v>2024</v>
      </c>
      <c r="D1705" s="8">
        <f>MONTH(Tabla2[[#This Row],[fecha]])</f>
        <v>2</v>
      </c>
      <c r="E1705" s="8" t="str">
        <f>TEXT(Tabla2[[#This Row],[fecha]], "mmmm")</f>
        <v>febrero</v>
      </c>
      <c r="F1705" s="8" t="str">
        <f>"T"&amp;ROUNDUP(Tabla2[[#This Row],[mes]]/3,0)</f>
        <v>T1</v>
      </c>
      <c r="G1705" t="s">
        <v>31</v>
      </c>
      <c r="H1705" t="s">
        <v>32</v>
      </c>
      <c r="I1705" s="8" t="str">
        <f>IF(Tabla2[[#This Row],[precio_unitario]]&lt;=30,"Económico",IF(Tabla2[[#This Row],[precio_unitario]]&lt;=58.49,"Accesible","Caro"))</f>
        <v>Económico</v>
      </c>
      <c r="J1705" t="s">
        <v>26</v>
      </c>
      <c r="K1705">
        <v>1</v>
      </c>
      <c r="L1705" s="19">
        <v>8.6</v>
      </c>
      <c r="M1705" s="19">
        <v>5.66</v>
      </c>
      <c r="N1705" s="13">
        <v>0</v>
      </c>
      <c r="O1705" s="17">
        <f t="shared" si="107"/>
        <v>8.6</v>
      </c>
      <c r="P1705" s="17">
        <f t="shared" si="104"/>
        <v>5.66</v>
      </c>
      <c r="Q1705" s="17">
        <f t="shared" si="105"/>
        <v>2.9399999999999995</v>
      </c>
      <c r="R1705" s="24">
        <f t="shared" si="106"/>
        <v>0.34186046511627904</v>
      </c>
      <c r="S1705" t="s">
        <v>83</v>
      </c>
      <c r="T1705" t="s">
        <v>64</v>
      </c>
    </row>
    <row r="1706" spans="1:20">
      <c r="A1706" t="s">
        <v>1774</v>
      </c>
      <c r="B1706" s="5">
        <v>45792</v>
      </c>
      <c r="C1706" s="8">
        <f>YEAR(Tabla2[[#This Row],[fecha]])</f>
        <v>2025</v>
      </c>
      <c r="D1706" s="8">
        <f>MONTH(Tabla2[[#This Row],[fecha]])</f>
        <v>5</v>
      </c>
      <c r="E1706" s="8" t="str">
        <f>TEXT(Tabla2[[#This Row],[fecha]], "mmmm")</f>
        <v>mayo</v>
      </c>
      <c r="F1706" s="8" t="str">
        <f>"T"&amp;ROUNDUP(Tabla2[[#This Row],[mes]]/3,0)</f>
        <v>T2</v>
      </c>
      <c r="G1706" t="s">
        <v>49</v>
      </c>
      <c r="H1706" t="s">
        <v>50</v>
      </c>
      <c r="I1706" s="8" t="str">
        <f>IF(Tabla2[[#This Row],[precio_unitario]]&lt;=30,"Económico",IF(Tabla2[[#This Row],[precio_unitario]]&lt;=58.49,"Accesible","Caro"))</f>
        <v>Caro</v>
      </c>
      <c r="J1706" t="s">
        <v>44</v>
      </c>
      <c r="K1706">
        <v>1</v>
      </c>
      <c r="L1706" s="19">
        <v>60.56</v>
      </c>
      <c r="M1706" s="19">
        <v>33.630000000000003</v>
      </c>
      <c r="N1706" s="11">
        <v>0</v>
      </c>
      <c r="O1706" s="17">
        <f t="shared" si="107"/>
        <v>60.56</v>
      </c>
      <c r="P1706" s="17">
        <f t="shared" si="104"/>
        <v>33.630000000000003</v>
      </c>
      <c r="Q1706" s="17">
        <f t="shared" si="105"/>
        <v>26.93</v>
      </c>
      <c r="R1706" s="24">
        <f t="shared" si="106"/>
        <v>0.44468295904887711</v>
      </c>
      <c r="S1706" t="s">
        <v>67</v>
      </c>
      <c r="T1706" t="s">
        <v>60</v>
      </c>
    </row>
    <row r="1707" spans="1:20">
      <c r="A1707" t="s">
        <v>1775</v>
      </c>
      <c r="B1707" s="5">
        <v>45827</v>
      </c>
      <c r="C1707" s="8">
        <f>YEAR(Tabla2[[#This Row],[fecha]])</f>
        <v>2025</v>
      </c>
      <c r="D1707" s="8">
        <f>MONTH(Tabla2[[#This Row],[fecha]])</f>
        <v>6</v>
      </c>
      <c r="E1707" s="8" t="str">
        <f>TEXT(Tabla2[[#This Row],[fecha]], "mmmm")</f>
        <v>junio</v>
      </c>
      <c r="F1707" s="8" t="str">
        <f>"T"&amp;ROUNDUP(Tabla2[[#This Row],[mes]]/3,0)</f>
        <v>T2</v>
      </c>
      <c r="G1707" t="s">
        <v>45</v>
      </c>
      <c r="H1707" t="s">
        <v>46</v>
      </c>
      <c r="I1707" s="8" t="str">
        <f>IF(Tabla2[[#This Row],[precio_unitario]]&lt;=30,"Económico",IF(Tabla2[[#This Row],[precio_unitario]]&lt;=58.49,"Accesible","Caro"))</f>
        <v>Accesible</v>
      </c>
      <c r="J1707" t="s">
        <v>44</v>
      </c>
      <c r="K1707">
        <v>1</v>
      </c>
      <c r="L1707" s="19">
        <v>31.51</v>
      </c>
      <c r="M1707" s="19">
        <v>17.25</v>
      </c>
      <c r="N1707" s="11">
        <v>0</v>
      </c>
      <c r="O1707" s="17">
        <f t="shared" si="107"/>
        <v>31.51</v>
      </c>
      <c r="P1707" s="17">
        <f t="shared" si="104"/>
        <v>17.25</v>
      </c>
      <c r="Q1707" s="17">
        <f t="shared" si="105"/>
        <v>14.260000000000002</v>
      </c>
      <c r="R1707" s="24">
        <f t="shared" si="106"/>
        <v>0.45255474452554745</v>
      </c>
      <c r="S1707" t="s">
        <v>67</v>
      </c>
      <c r="T1707" t="s">
        <v>64</v>
      </c>
    </row>
    <row r="1708" spans="1:20">
      <c r="A1708" t="s">
        <v>1776</v>
      </c>
      <c r="B1708" s="5">
        <v>45886</v>
      </c>
      <c r="C1708" s="8">
        <f>YEAR(Tabla2[[#This Row],[fecha]])</f>
        <v>2025</v>
      </c>
      <c r="D1708" s="8">
        <f>MONTH(Tabla2[[#This Row],[fecha]])</f>
        <v>8</v>
      </c>
      <c r="E1708" s="8" t="str">
        <f>TEXT(Tabla2[[#This Row],[fecha]], "mmmm")</f>
        <v>agosto</v>
      </c>
      <c r="F1708" s="8" t="str">
        <f>"T"&amp;ROUNDUP(Tabla2[[#This Row],[mes]]/3,0)</f>
        <v>T3</v>
      </c>
      <c r="G1708" t="s">
        <v>9</v>
      </c>
      <c r="H1708" t="s">
        <v>10</v>
      </c>
      <c r="I1708" s="8" t="str">
        <f>IF(Tabla2[[#This Row],[precio_unitario]]&lt;=30,"Económico",IF(Tabla2[[#This Row],[precio_unitario]]&lt;=58.49,"Accesible","Caro"))</f>
        <v>Caro</v>
      </c>
      <c r="J1708" t="s">
        <v>8</v>
      </c>
      <c r="K1708">
        <v>1</v>
      </c>
      <c r="L1708" s="19">
        <v>75.540000000000006</v>
      </c>
      <c r="M1708" s="19">
        <v>44.96</v>
      </c>
      <c r="N1708" s="11">
        <v>0</v>
      </c>
      <c r="O1708" s="17">
        <f t="shared" si="107"/>
        <v>75.540000000000006</v>
      </c>
      <c r="P1708" s="17">
        <f t="shared" si="104"/>
        <v>44.96</v>
      </c>
      <c r="Q1708" s="17">
        <f t="shared" si="105"/>
        <v>30.580000000000005</v>
      </c>
      <c r="R1708" s="24">
        <f t="shared" si="106"/>
        <v>0.40481863913158594</v>
      </c>
      <c r="S1708" t="s">
        <v>67</v>
      </c>
      <c r="T1708" t="s">
        <v>1064</v>
      </c>
    </row>
    <row r="1709" spans="1:20" hidden="1">
      <c r="A1709" t="s">
        <v>1777</v>
      </c>
      <c r="B1709" s="5">
        <v>45940</v>
      </c>
      <c r="C1709" s="8">
        <f>YEAR(Tabla2[[#This Row],[fecha]])</f>
        <v>2025</v>
      </c>
      <c r="D1709" s="8">
        <f>MONTH(Tabla2[[#This Row],[fecha]])</f>
        <v>10</v>
      </c>
      <c r="E1709" s="8" t="str">
        <f>TEXT(Tabla2[[#This Row],[fecha]], "mmmm")</f>
        <v>octubre</v>
      </c>
      <c r="F1709" s="8" t="str">
        <f>"T"&amp;ROUNDUP(Tabla2[[#This Row],[mes]]/3,0)</f>
        <v>T4</v>
      </c>
      <c r="G1709" t="s">
        <v>47</v>
      </c>
      <c r="H1709" t="s">
        <v>48</v>
      </c>
      <c r="I1709" s="8" t="str">
        <f>IF(Tabla2[[#This Row],[precio_unitario]]&lt;=30,"Económico",IF(Tabla2[[#This Row],[precio_unitario]]&lt;=58.49,"Accesible","Caro"))</f>
        <v>Accesible</v>
      </c>
      <c r="J1709" t="s">
        <v>44</v>
      </c>
      <c r="K1709">
        <v>3</v>
      </c>
      <c r="L1709" s="19">
        <v>56.55</v>
      </c>
      <c r="M1709" s="19">
        <v>32.15</v>
      </c>
      <c r="N1709" s="11">
        <v>0</v>
      </c>
      <c r="O1709" s="17">
        <f t="shared" si="107"/>
        <v>169.64999999999998</v>
      </c>
      <c r="P1709" s="17">
        <f t="shared" si="104"/>
        <v>96.449999999999989</v>
      </c>
      <c r="Q1709" s="17">
        <f t="shared" si="105"/>
        <v>73.199999999999989</v>
      </c>
      <c r="R1709" s="24">
        <f t="shared" si="106"/>
        <v>0.43147656940760387</v>
      </c>
      <c r="S1709" t="s">
        <v>101</v>
      </c>
      <c r="T1709" t="s">
        <v>496</v>
      </c>
    </row>
    <row r="1710" spans="1:20" hidden="1">
      <c r="A1710" t="s">
        <v>1778</v>
      </c>
      <c r="B1710" s="5">
        <v>45863</v>
      </c>
      <c r="C1710" s="8">
        <f>YEAR(Tabla2[[#This Row],[fecha]])</f>
        <v>2025</v>
      </c>
      <c r="D1710" s="8">
        <f>MONTH(Tabla2[[#This Row],[fecha]])</f>
        <v>7</v>
      </c>
      <c r="E1710" s="8" t="str">
        <f>TEXT(Tabla2[[#This Row],[fecha]], "mmmm")</f>
        <v>julio</v>
      </c>
      <c r="F1710" s="8" t="str">
        <f>"T"&amp;ROUNDUP(Tabla2[[#This Row],[mes]]/3,0)</f>
        <v>T3</v>
      </c>
      <c r="G1710" t="s">
        <v>49</v>
      </c>
      <c r="H1710" t="s">
        <v>50</v>
      </c>
      <c r="I1710" s="8" t="str">
        <f>IF(Tabla2[[#This Row],[precio_unitario]]&lt;=30,"Económico",IF(Tabla2[[#This Row],[precio_unitario]]&lt;=58.49,"Accesible","Caro"))</f>
        <v>Caro</v>
      </c>
      <c r="J1710" t="s">
        <v>44</v>
      </c>
      <c r="K1710">
        <v>6</v>
      </c>
      <c r="L1710" s="19">
        <v>63.76</v>
      </c>
      <c r="M1710" s="19">
        <v>33.869999999999997</v>
      </c>
      <c r="N1710" s="11">
        <v>7.0000000000000007E-2</v>
      </c>
      <c r="O1710" s="17">
        <f t="shared" si="107"/>
        <v>355.7808</v>
      </c>
      <c r="P1710" s="17">
        <f t="shared" si="104"/>
        <v>203.21999999999997</v>
      </c>
      <c r="Q1710" s="17">
        <f t="shared" si="105"/>
        <v>152.56080000000003</v>
      </c>
      <c r="R1710" s="24">
        <f t="shared" si="106"/>
        <v>0.42880560165135395</v>
      </c>
      <c r="S1710" t="s">
        <v>540</v>
      </c>
      <c r="T1710" t="s">
        <v>60</v>
      </c>
    </row>
    <row r="1711" spans="1:20" hidden="1">
      <c r="A1711" t="s">
        <v>1779</v>
      </c>
      <c r="B1711" s="5">
        <v>45305</v>
      </c>
      <c r="C1711" s="8">
        <f>YEAR(Tabla2[[#This Row],[fecha]])</f>
        <v>2024</v>
      </c>
      <c r="D1711" s="8">
        <f>MONTH(Tabla2[[#This Row],[fecha]])</f>
        <v>1</v>
      </c>
      <c r="E1711" s="8" t="str">
        <f>TEXT(Tabla2[[#This Row],[fecha]], "mmmm")</f>
        <v>enero</v>
      </c>
      <c r="F1711" s="8" t="str">
        <f>"T"&amp;ROUNDUP(Tabla2[[#This Row],[mes]]/3,0)</f>
        <v>T1</v>
      </c>
      <c r="G1711" t="s">
        <v>47</v>
      </c>
      <c r="H1711" t="s">
        <v>48</v>
      </c>
      <c r="I1711" s="8" t="str">
        <f>IF(Tabla2[[#This Row],[precio_unitario]]&lt;=30,"Económico",IF(Tabla2[[#This Row],[precio_unitario]]&lt;=58.49,"Accesible","Caro"))</f>
        <v>Caro</v>
      </c>
      <c r="J1711" t="s">
        <v>44</v>
      </c>
      <c r="K1711">
        <v>2</v>
      </c>
      <c r="L1711" s="19">
        <v>62.5</v>
      </c>
      <c r="M1711" s="19">
        <v>31.24</v>
      </c>
      <c r="N1711" s="11">
        <v>0</v>
      </c>
      <c r="O1711" s="17">
        <f t="shared" si="107"/>
        <v>125</v>
      </c>
      <c r="P1711" s="17">
        <f t="shared" si="104"/>
        <v>62.48</v>
      </c>
      <c r="Q1711" s="17">
        <f t="shared" si="105"/>
        <v>62.52</v>
      </c>
      <c r="R1711" s="24">
        <f t="shared" si="106"/>
        <v>0.50016000000000005</v>
      </c>
      <c r="S1711" t="s">
        <v>83</v>
      </c>
      <c r="T1711" t="s">
        <v>60</v>
      </c>
    </row>
    <row r="1712" spans="1:20" hidden="1">
      <c r="A1712" t="s">
        <v>1780</v>
      </c>
      <c r="B1712" s="5">
        <v>45912</v>
      </c>
      <c r="C1712" s="8">
        <f>YEAR(Tabla2[[#This Row],[fecha]])</f>
        <v>2025</v>
      </c>
      <c r="D1712" s="8">
        <f>MONTH(Tabla2[[#This Row],[fecha]])</f>
        <v>9</v>
      </c>
      <c r="E1712" s="8" t="str">
        <f>TEXT(Tabla2[[#This Row],[fecha]], "mmmm")</f>
        <v>septiembre</v>
      </c>
      <c r="F1712" s="8" t="str">
        <f>"T"&amp;ROUNDUP(Tabla2[[#This Row],[mes]]/3,0)</f>
        <v>T3</v>
      </c>
      <c r="G1712" t="s">
        <v>6</v>
      </c>
      <c r="H1712" t="s">
        <v>7</v>
      </c>
      <c r="I1712" s="8" t="str">
        <f>IF(Tabla2[[#This Row],[precio_unitario]]&lt;=30,"Económico",IF(Tabla2[[#This Row],[precio_unitario]]&lt;=58.49,"Accesible","Caro"))</f>
        <v>Caro</v>
      </c>
      <c r="J1712" t="s">
        <v>8</v>
      </c>
      <c r="K1712">
        <v>1</v>
      </c>
      <c r="L1712" s="19">
        <v>123.64</v>
      </c>
      <c r="M1712" s="21">
        <f>INDEX(Tabla3[coste_objetivo], MATCH(Tabla2[[#This Row],[id_producto]], Tabla3[id_producto],0))</f>
        <v>84.31</v>
      </c>
      <c r="N1712" s="11">
        <v>0</v>
      </c>
      <c r="O1712" s="17">
        <f t="shared" si="107"/>
        <v>123.64</v>
      </c>
      <c r="P1712" s="17">
        <f t="shared" si="104"/>
        <v>84.31</v>
      </c>
      <c r="Q1712" s="17">
        <f t="shared" si="105"/>
        <v>39.33</v>
      </c>
      <c r="R1712" s="24">
        <f t="shared" si="106"/>
        <v>0.31810093820769975</v>
      </c>
      <c r="S1712" t="s">
        <v>63</v>
      </c>
      <c r="T1712" t="s">
        <v>64</v>
      </c>
    </row>
    <row r="1713" spans="1:20" hidden="1">
      <c r="A1713" t="s">
        <v>1781</v>
      </c>
      <c r="B1713" s="5">
        <v>45573</v>
      </c>
      <c r="C1713" s="8">
        <f>YEAR(Tabla2[[#This Row],[fecha]])</f>
        <v>2024</v>
      </c>
      <c r="D1713" s="8">
        <f>MONTH(Tabla2[[#This Row],[fecha]])</f>
        <v>10</v>
      </c>
      <c r="E1713" s="8" t="str">
        <f>TEXT(Tabla2[[#This Row],[fecha]], "mmmm")</f>
        <v>octubre</v>
      </c>
      <c r="F1713" s="8" t="str">
        <f>"T"&amp;ROUNDUP(Tabla2[[#This Row],[mes]]/3,0)</f>
        <v>T4</v>
      </c>
      <c r="G1713" t="s">
        <v>33</v>
      </c>
      <c r="H1713" t="s">
        <v>34</v>
      </c>
      <c r="I1713" s="8" t="str">
        <f>IF(Tabla2[[#This Row],[precio_unitario]]&lt;=30,"Económico",IF(Tabla2[[#This Row],[precio_unitario]]&lt;=58.49,"Accesible","Caro"))</f>
        <v>Caro</v>
      </c>
      <c r="J1713" t="s">
        <v>35</v>
      </c>
      <c r="K1713">
        <v>1</v>
      </c>
      <c r="L1713" s="19">
        <v>81.83</v>
      </c>
      <c r="M1713" s="19">
        <v>46.31</v>
      </c>
      <c r="N1713" s="11">
        <v>0</v>
      </c>
      <c r="O1713" s="17">
        <f t="shared" si="107"/>
        <v>81.83</v>
      </c>
      <c r="P1713" s="17">
        <f t="shared" si="104"/>
        <v>46.31</v>
      </c>
      <c r="Q1713" s="17">
        <f t="shared" si="105"/>
        <v>35.519999999999996</v>
      </c>
      <c r="R1713" s="24">
        <f t="shared" si="106"/>
        <v>0.4340706342417206</v>
      </c>
      <c r="S1713" t="s">
        <v>83</v>
      </c>
      <c r="T1713" t="s">
        <v>64</v>
      </c>
    </row>
    <row r="1714" spans="1:20" hidden="1">
      <c r="A1714" t="s">
        <v>1782</v>
      </c>
      <c r="B1714" s="5">
        <v>45750</v>
      </c>
      <c r="C1714" s="8">
        <f>YEAR(Tabla2[[#This Row],[fecha]])</f>
        <v>2025</v>
      </c>
      <c r="D1714" s="8">
        <f>MONTH(Tabla2[[#This Row],[fecha]])</f>
        <v>4</v>
      </c>
      <c r="E1714" s="8" t="str">
        <f>TEXT(Tabla2[[#This Row],[fecha]], "mmmm")</f>
        <v>abril</v>
      </c>
      <c r="F1714" s="8" t="str">
        <f>"T"&amp;ROUNDUP(Tabla2[[#This Row],[mes]]/3,0)</f>
        <v>T2</v>
      </c>
      <c r="G1714" t="s">
        <v>29</v>
      </c>
      <c r="H1714" t="s">
        <v>30</v>
      </c>
      <c r="I1714" s="8" t="str">
        <f>IF(Tabla2[[#This Row],[precio_unitario]]&lt;=30,"Económico",IF(Tabla2[[#This Row],[precio_unitario]]&lt;=58.49,"Accesible","Caro"))</f>
        <v>Económico</v>
      </c>
      <c r="J1714" t="s">
        <v>26</v>
      </c>
      <c r="K1714">
        <v>2</v>
      </c>
      <c r="L1714" s="19">
        <v>21.27</v>
      </c>
      <c r="M1714" s="19">
        <v>11.85</v>
      </c>
      <c r="N1714" s="13">
        <v>0</v>
      </c>
      <c r="O1714" s="17">
        <f t="shared" si="107"/>
        <v>42.54</v>
      </c>
      <c r="P1714" s="17">
        <f t="shared" si="104"/>
        <v>23.7</v>
      </c>
      <c r="Q1714" s="17">
        <f t="shared" si="105"/>
        <v>18.84</v>
      </c>
      <c r="R1714" s="24">
        <f t="shared" si="106"/>
        <v>0.44287729196050779</v>
      </c>
      <c r="S1714" t="s">
        <v>63</v>
      </c>
      <c r="T1714" t="s">
        <v>60</v>
      </c>
    </row>
    <row r="1715" spans="1:20" hidden="1">
      <c r="A1715" t="s">
        <v>1783</v>
      </c>
      <c r="B1715" s="5">
        <v>45373</v>
      </c>
      <c r="C1715" s="8">
        <f>YEAR(Tabla2[[#This Row],[fecha]])</f>
        <v>2024</v>
      </c>
      <c r="D1715" s="8">
        <f>MONTH(Tabla2[[#This Row],[fecha]])</f>
        <v>3</v>
      </c>
      <c r="E1715" s="8" t="str">
        <f>TEXT(Tabla2[[#This Row],[fecha]], "mmmm")</f>
        <v>marzo</v>
      </c>
      <c r="F1715" s="8" t="str">
        <f>"T"&amp;ROUNDUP(Tabla2[[#This Row],[mes]]/3,0)</f>
        <v>T1</v>
      </c>
      <c r="G1715" t="s">
        <v>47</v>
      </c>
      <c r="H1715" t="s">
        <v>48</v>
      </c>
      <c r="I1715" s="8" t="str">
        <f>IF(Tabla2[[#This Row],[precio_unitario]]&lt;=30,"Económico",IF(Tabla2[[#This Row],[precio_unitario]]&lt;=58.49,"Accesible","Caro"))</f>
        <v>Caro</v>
      </c>
      <c r="J1715" t="s">
        <v>44</v>
      </c>
      <c r="K1715">
        <v>3</v>
      </c>
      <c r="L1715" s="19">
        <v>64.03</v>
      </c>
      <c r="M1715" s="19">
        <v>32.049999999999997</v>
      </c>
      <c r="N1715" s="11">
        <v>0</v>
      </c>
      <c r="O1715" s="17">
        <f t="shared" si="107"/>
        <v>192.09</v>
      </c>
      <c r="P1715" s="17">
        <f t="shared" si="104"/>
        <v>96.149999999999991</v>
      </c>
      <c r="Q1715" s="17">
        <f t="shared" si="105"/>
        <v>95.940000000000012</v>
      </c>
      <c r="R1715" s="24">
        <f t="shared" si="106"/>
        <v>0.49945338122754962</v>
      </c>
      <c r="S1715" t="s">
        <v>67</v>
      </c>
      <c r="T1715" t="s">
        <v>64</v>
      </c>
    </row>
    <row r="1716" spans="1:20" hidden="1">
      <c r="A1716" t="s">
        <v>1784</v>
      </c>
      <c r="B1716" s="5">
        <v>45523</v>
      </c>
      <c r="C1716" s="8">
        <f>YEAR(Tabla2[[#This Row],[fecha]])</f>
        <v>2024</v>
      </c>
      <c r="D1716" s="8">
        <f>MONTH(Tabla2[[#This Row],[fecha]])</f>
        <v>8</v>
      </c>
      <c r="E1716" s="8" t="str">
        <f>TEXT(Tabla2[[#This Row],[fecha]], "mmmm")</f>
        <v>agosto</v>
      </c>
      <c r="F1716" s="8" t="str">
        <f>"T"&amp;ROUNDUP(Tabla2[[#This Row],[mes]]/3,0)</f>
        <v>T3</v>
      </c>
      <c r="G1716" t="s">
        <v>6</v>
      </c>
      <c r="H1716" t="s">
        <v>7</v>
      </c>
      <c r="I1716" s="8" t="str">
        <f>IF(Tabla2[[#This Row],[precio_unitario]]&lt;=30,"Económico",IF(Tabla2[[#This Row],[precio_unitario]]&lt;=58.49,"Accesible","Caro"))</f>
        <v>Caro</v>
      </c>
      <c r="J1716" t="s">
        <v>8</v>
      </c>
      <c r="K1716">
        <v>1</v>
      </c>
      <c r="L1716" s="19">
        <v>115.63</v>
      </c>
      <c r="M1716" s="19">
        <v>82.71</v>
      </c>
      <c r="N1716" s="11">
        <v>0</v>
      </c>
      <c r="O1716" s="17">
        <f t="shared" si="107"/>
        <v>115.63</v>
      </c>
      <c r="P1716" s="17">
        <f t="shared" si="104"/>
        <v>82.71</v>
      </c>
      <c r="Q1716" s="17">
        <f t="shared" si="105"/>
        <v>32.92</v>
      </c>
      <c r="R1716" s="24">
        <f t="shared" si="106"/>
        <v>0.28470120211017902</v>
      </c>
      <c r="S1716" t="s">
        <v>101</v>
      </c>
      <c r="T1716" t="s">
        <v>64</v>
      </c>
    </row>
    <row r="1717" spans="1:20" hidden="1">
      <c r="A1717" t="s">
        <v>1785</v>
      </c>
      <c r="B1717" s="5">
        <v>45428</v>
      </c>
      <c r="C1717" s="8">
        <f>YEAR(Tabla2[[#This Row],[fecha]])</f>
        <v>2024</v>
      </c>
      <c r="D1717" s="8">
        <f>MONTH(Tabla2[[#This Row],[fecha]])</f>
        <v>5</v>
      </c>
      <c r="E1717" s="8" t="str">
        <f>TEXT(Tabla2[[#This Row],[fecha]], "mmmm")</f>
        <v>mayo</v>
      </c>
      <c r="F1717" s="8" t="str">
        <f>"T"&amp;ROUNDUP(Tabla2[[#This Row],[mes]]/3,0)</f>
        <v>T2</v>
      </c>
      <c r="G1717" t="s">
        <v>27</v>
      </c>
      <c r="H1717" t="s">
        <v>28</v>
      </c>
      <c r="I1717" s="8" t="str">
        <f>IF(Tabla2[[#This Row],[precio_unitario]]&lt;=30,"Económico",IF(Tabla2[[#This Row],[precio_unitario]]&lt;=58.49,"Accesible","Caro"))</f>
        <v>Económico</v>
      </c>
      <c r="J1717" t="s">
        <v>26</v>
      </c>
      <c r="K1717">
        <v>1</v>
      </c>
      <c r="L1717" s="19">
        <v>16.52</v>
      </c>
      <c r="M1717" s="19">
        <v>11.44</v>
      </c>
      <c r="N1717" s="11">
        <v>0</v>
      </c>
      <c r="O1717" s="17">
        <f t="shared" si="107"/>
        <v>16.52</v>
      </c>
      <c r="P1717" s="17">
        <f t="shared" si="104"/>
        <v>11.44</v>
      </c>
      <c r="Q1717" s="17">
        <f t="shared" si="105"/>
        <v>5.08</v>
      </c>
      <c r="R1717" s="24">
        <f t="shared" si="106"/>
        <v>0.30750605326876512</v>
      </c>
      <c r="S1717" t="s">
        <v>96</v>
      </c>
      <c r="T1717" t="s">
        <v>64</v>
      </c>
    </row>
    <row r="1718" spans="1:20">
      <c r="A1718" t="s">
        <v>1786</v>
      </c>
      <c r="B1718" s="5">
        <v>45903</v>
      </c>
      <c r="C1718" s="8">
        <f>YEAR(Tabla2[[#This Row],[fecha]])</f>
        <v>2025</v>
      </c>
      <c r="D1718" s="8">
        <f>MONTH(Tabla2[[#This Row],[fecha]])</f>
        <v>9</v>
      </c>
      <c r="E1718" s="8" t="str">
        <f>TEXT(Tabla2[[#This Row],[fecha]], "mmmm")</f>
        <v>septiembre</v>
      </c>
      <c r="F1718" s="8" t="str">
        <f>"T"&amp;ROUNDUP(Tabla2[[#This Row],[mes]]/3,0)</f>
        <v>T3</v>
      </c>
      <c r="G1718" t="s">
        <v>49</v>
      </c>
      <c r="H1718" t="s">
        <v>50</v>
      </c>
      <c r="I1718" s="8" t="str">
        <f>IF(Tabla2[[#This Row],[precio_unitario]]&lt;=30,"Económico",IF(Tabla2[[#This Row],[precio_unitario]]&lt;=58.49,"Accesible","Caro"))</f>
        <v>Caro</v>
      </c>
      <c r="J1718" t="s">
        <v>44</v>
      </c>
      <c r="K1718">
        <v>5</v>
      </c>
      <c r="L1718" s="19">
        <v>59.66</v>
      </c>
      <c r="M1718" s="19">
        <v>32.590000000000003</v>
      </c>
      <c r="N1718" s="11">
        <v>0.06</v>
      </c>
      <c r="O1718" s="17">
        <f t="shared" si="107"/>
        <v>280.40199999999993</v>
      </c>
      <c r="P1718" s="17">
        <f t="shared" si="104"/>
        <v>162.95000000000002</v>
      </c>
      <c r="Q1718" s="17">
        <f t="shared" si="105"/>
        <v>117.45199999999991</v>
      </c>
      <c r="R1718" s="24">
        <f t="shared" si="106"/>
        <v>0.41887005085555717</v>
      </c>
      <c r="S1718" t="s">
        <v>67</v>
      </c>
      <c r="T1718" t="s">
        <v>64</v>
      </c>
    </row>
    <row r="1719" spans="1:20" hidden="1">
      <c r="A1719" t="s">
        <v>1787</v>
      </c>
      <c r="B1719" s="5">
        <v>45486</v>
      </c>
      <c r="C1719" s="8">
        <f>YEAR(Tabla2[[#This Row],[fecha]])</f>
        <v>2024</v>
      </c>
      <c r="D1719" s="8">
        <f>MONTH(Tabla2[[#This Row],[fecha]])</f>
        <v>7</v>
      </c>
      <c r="E1719" s="8" t="str">
        <f>TEXT(Tabla2[[#This Row],[fecha]], "mmmm")</f>
        <v>julio</v>
      </c>
      <c r="F1719" s="8" t="str">
        <f>"T"&amp;ROUNDUP(Tabla2[[#This Row],[mes]]/3,0)</f>
        <v>T3</v>
      </c>
      <c r="G1719" t="s">
        <v>15</v>
      </c>
      <c r="H1719" t="s">
        <v>16</v>
      </c>
      <c r="I1719" s="8" t="str">
        <f>IF(Tabla2[[#This Row],[precio_unitario]]&lt;=30,"Económico",IF(Tabla2[[#This Row],[precio_unitario]]&lt;=58.49,"Accesible","Caro"))</f>
        <v>Caro</v>
      </c>
      <c r="J1719" t="s">
        <v>17</v>
      </c>
      <c r="K1719">
        <v>5</v>
      </c>
      <c r="L1719" s="19">
        <v>58.76</v>
      </c>
      <c r="M1719" s="19">
        <v>40.82</v>
      </c>
      <c r="N1719" s="13">
        <v>0</v>
      </c>
      <c r="O1719" s="17">
        <f t="shared" si="107"/>
        <v>293.8</v>
      </c>
      <c r="P1719" s="17">
        <f t="shared" si="104"/>
        <v>204.1</v>
      </c>
      <c r="Q1719" s="17">
        <f t="shared" si="105"/>
        <v>89.700000000000017</v>
      </c>
      <c r="R1719" s="24">
        <f t="shared" si="106"/>
        <v>0.30530973451327437</v>
      </c>
      <c r="S1719" t="s">
        <v>67</v>
      </c>
      <c r="T1719" t="s">
        <v>64</v>
      </c>
    </row>
    <row r="1720" spans="1:20" hidden="1">
      <c r="A1720" t="s">
        <v>1788</v>
      </c>
      <c r="B1720" s="5">
        <v>45425</v>
      </c>
      <c r="C1720" s="8">
        <f>YEAR(Tabla2[[#This Row],[fecha]])</f>
        <v>2024</v>
      </c>
      <c r="D1720" s="8">
        <f>MONTH(Tabla2[[#This Row],[fecha]])</f>
        <v>5</v>
      </c>
      <c r="E1720" s="8" t="str">
        <f>TEXT(Tabla2[[#This Row],[fecha]], "mmmm")</f>
        <v>mayo</v>
      </c>
      <c r="F1720" s="8" t="str">
        <f>"T"&amp;ROUNDUP(Tabla2[[#This Row],[mes]]/3,0)</f>
        <v>T2</v>
      </c>
      <c r="G1720" t="s">
        <v>22</v>
      </c>
      <c r="H1720" t="s">
        <v>23</v>
      </c>
      <c r="I1720" s="8" t="str">
        <f>IF(Tabla2[[#This Row],[precio_unitario]]&lt;=30,"Económico",IF(Tabla2[[#This Row],[precio_unitario]]&lt;=58.49,"Accesible","Caro"))</f>
        <v>Caro</v>
      </c>
      <c r="J1720" t="s">
        <v>17</v>
      </c>
      <c r="K1720">
        <v>5</v>
      </c>
      <c r="L1720" s="19">
        <v>95.79</v>
      </c>
      <c r="M1720" s="19">
        <v>57.96</v>
      </c>
      <c r="N1720" s="11">
        <v>0</v>
      </c>
      <c r="O1720" s="17">
        <f t="shared" si="107"/>
        <v>478.95000000000005</v>
      </c>
      <c r="P1720" s="17">
        <f t="shared" si="104"/>
        <v>289.8</v>
      </c>
      <c r="Q1720" s="17">
        <f t="shared" si="105"/>
        <v>189.15000000000003</v>
      </c>
      <c r="R1720" s="24">
        <f t="shared" si="106"/>
        <v>0.3949264015032885</v>
      </c>
      <c r="S1720" t="s">
        <v>67</v>
      </c>
      <c r="T1720" t="s">
        <v>60</v>
      </c>
    </row>
    <row r="1721" spans="1:20" hidden="1">
      <c r="A1721" t="s">
        <v>1789</v>
      </c>
      <c r="B1721" s="5">
        <v>45839</v>
      </c>
      <c r="C1721" s="8">
        <f>YEAR(Tabla2[[#This Row],[fecha]])</f>
        <v>2025</v>
      </c>
      <c r="D1721" s="8">
        <f>MONTH(Tabla2[[#This Row],[fecha]])</f>
        <v>7</v>
      </c>
      <c r="E1721" s="8" t="str">
        <f>TEXT(Tabla2[[#This Row],[fecha]], "mmmm")</f>
        <v>julio</v>
      </c>
      <c r="F1721" s="8" t="str">
        <f>"T"&amp;ROUNDUP(Tabla2[[#This Row],[mes]]/3,0)</f>
        <v>T3</v>
      </c>
      <c r="G1721" t="s">
        <v>13</v>
      </c>
      <c r="H1721" t="s">
        <v>14</v>
      </c>
      <c r="I1721" s="8" t="str">
        <f>IF(Tabla2[[#This Row],[precio_unitario]]&lt;=30,"Económico",IF(Tabla2[[#This Row],[precio_unitario]]&lt;=58.49,"Accesible","Caro"))</f>
        <v>Caro</v>
      </c>
      <c r="J1721" t="s">
        <v>8</v>
      </c>
      <c r="K1721">
        <v>2</v>
      </c>
      <c r="L1721" s="19">
        <v>159.04</v>
      </c>
      <c r="M1721" s="19">
        <v>115.29</v>
      </c>
      <c r="N1721" s="11">
        <v>0</v>
      </c>
      <c r="O1721" s="17">
        <f t="shared" si="107"/>
        <v>318.08</v>
      </c>
      <c r="P1721" s="17">
        <f t="shared" si="104"/>
        <v>230.58</v>
      </c>
      <c r="Q1721" s="17">
        <f t="shared" si="105"/>
        <v>87.499999999999972</v>
      </c>
      <c r="R1721" s="24">
        <f t="shared" si="106"/>
        <v>0.27508802816901401</v>
      </c>
      <c r="S1721" t="s">
        <v>96</v>
      </c>
      <c r="T1721" t="s">
        <v>64</v>
      </c>
    </row>
    <row r="1722" spans="1:20" hidden="1">
      <c r="A1722" t="s">
        <v>1790</v>
      </c>
      <c r="B1722" s="5">
        <v>45848</v>
      </c>
      <c r="C1722" s="8">
        <f>YEAR(Tabla2[[#This Row],[fecha]])</f>
        <v>2025</v>
      </c>
      <c r="D1722" s="8">
        <f>MONTH(Tabla2[[#This Row],[fecha]])</f>
        <v>7</v>
      </c>
      <c r="E1722" s="8" t="str">
        <f>TEXT(Tabla2[[#This Row],[fecha]], "mmmm")</f>
        <v>julio</v>
      </c>
      <c r="F1722" s="8" t="str">
        <f>"T"&amp;ROUNDUP(Tabla2[[#This Row],[mes]]/3,0)</f>
        <v>T3</v>
      </c>
      <c r="G1722" t="s">
        <v>15</v>
      </c>
      <c r="H1722" t="s">
        <v>16</v>
      </c>
      <c r="I1722" s="8" t="str">
        <f>IF(Tabla2[[#This Row],[precio_unitario]]&lt;=30,"Económico",IF(Tabla2[[#This Row],[precio_unitario]]&lt;=58.49,"Accesible","Caro"))</f>
        <v>Caro</v>
      </c>
      <c r="J1722" t="s">
        <v>17</v>
      </c>
      <c r="K1722">
        <v>1</v>
      </c>
      <c r="L1722" s="19">
        <v>62.37</v>
      </c>
      <c r="M1722" s="19">
        <v>40.770000000000003</v>
      </c>
      <c r="N1722" s="11">
        <v>0</v>
      </c>
      <c r="O1722" s="17">
        <f t="shared" si="107"/>
        <v>62.37</v>
      </c>
      <c r="P1722" s="17">
        <f t="shared" si="104"/>
        <v>40.770000000000003</v>
      </c>
      <c r="Q1722" s="17">
        <f t="shared" si="105"/>
        <v>21.599999999999994</v>
      </c>
      <c r="R1722" s="24">
        <f t="shared" si="106"/>
        <v>0.34632034632034625</v>
      </c>
      <c r="S1722" t="s">
        <v>96</v>
      </c>
      <c r="T1722" t="s">
        <v>60</v>
      </c>
    </row>
    <row r="1723" spans="1:20" hidden="1">
      <c r="A1723" t="s">
        <v>1791</v>
      </c>
      <c r="B1723" s="5">
        <v>45677</v>
      </c>
      <c r="C1723" s="8">
        <f>YEAR(Tabla2[[#This Row],[fecha]])</f>
        <v>2025</v>
      </c>
      <c r="D1723" s="8">
        <f>MONTH(Tabla2[[#This Row],[fecha]])</f>
        <v>1</v>
      </c>
      <c r="E1723" s="8" t="str">
        <f>TEXT(Tabla2[[#This Row],[fecha]], "mmmm")</f>
        <v>enero</v>
      </c>
      <c r="F1723" s="8" t="str">
        <f>"T"&amp;ROUNDUP(Tabla2[[#This Row],[mes]]/3,0)</f>
        <v>T1</v>
      </c>
      <c r="G1723" t="s">
        <v>40</v>
      </c>
      <c r="H1723" t="s">
        <v>41</v>
      </c>
      <c r="I1723" s="8" t="str">
        <f>IF(Tabla2[[#This Row],[precio_unitario]]&lt;=30,"Económico",IF(Tabla2[[#This Row],[precio_unitario]]&lt;=58.49,"Accesible","Caro"))</f>
        <v>Caro</v>
      </c>
      <c r="J1723" t="s">
        <v>35</v>
      </c>
      <c r="K1723">
        <v>1</v>
      </c>
      <c r="L1723" s="19">
        <v>78.959999999999994</v>
      </c>
      <c r="M1723" s="19">
        <v>41.66</v>
      </c>
      <c r="N1723" s="13">
        <v>0</v>
      </c>
      <c r="O1723" s="17">
        <f t="shared" si="107"/>
        <v>78.959999999999994</v>
      </c>
      <c r="P1723" s="17">
        <f t="shared" si="104"/>
        <v>41.66</v>
      </c>
      <c r="Q1723" s="17">
        <f t="shared" si="105"/>
        <v>37.299999999999997</v>
      </c>
      <c r="R1723" s="24">
        <f t="shared" si="106"/>
        <v>0.47239108409321173</v>
      </c>
      <c r="S1723" t="s">
        <v>101</v>
      </c>
      <c r="T1723" t="s">
        <v>64</v>
      </c>
    </row>
    <row r="1724" spans="1:20" hidden="1">
      <c r="A1724" t="s">
        <v>1792</v>
      </c>
      <c r="B1724" s="5">
        <v>45851</v>
      </c>
      <c r="C1724" s="8">
        <f>YEAR(Tabla2[[#This Row],[fecha]])</f>
        <v>2025</v>
      </c>
      <c r="D1724" s="8">
        <f>MONTH(Tabla2[[#This Row],[fecha]])</f>
        <v>7</v>
      </c>
      <c r="E1724" s="8" t="str">
        <f>TEXT(Tabla2[[#This Row],[fecha]], "mmmm")</f>
        <v>julio</v>
      </c>
      <c r="F1724" s="8" t="str">
        <f>"T"&amp;ROUNDUP(Tabla2[[#This Row],[mes]]/3,0)</f>
        <v>T3</v>
      </c>
      <c r="G1724" t="s">
        <v>29</v>
      </c>
      <c r="H1724" t="s">
        <v>30</v>
      </c>
      <c r="I1724" s="8" t="str">
        <f>IF(Tabla2[[#This Row],[precio_unitario]]&lt;=30,"Económico",IF(Tabla2[[#This Row],[precio_unitario]]&lt;=58.49,"Accesible","Caro"))</f>
        <v>Económico</v>
      </c>
      <c r="J1724" t="s">
        <v>26</v>
      </c>
      <c r="K1724">
        <v>3</v>
      </c>
      <c r="L1724" s="19">
        <v>21</v>
      </c>
      <c r="M1724" s="19">
        <v>11.36</v>
      </c>
      <c r="N1724" s="11">
        <v>0</v>
      </c>
      <c r="O1724" s="17">
        <f t="shared" si="107"/>
        <v>63</v>
      </c>
      <c r="P1724" s="17">
        <f t="shared" si="104"/>
        <v>34.08</v>
      </c>
      <c r="Q1724" s="17">
        <f t="shared" si="105"/>
        <v>28.92</v>
      </c>
      <c r="R1724" s="24">
        <f t="shared" si="106"/>
        <v>0.45904761904761909</v>
      </c>
      <c r="S1724" t="s">
        <v>101</v>
      </c>
      <c r="T1724" t="s">
        <v>60</v>
      </c>
    </row>
    <row r="1725" spans="1:20" hidden="1">
      <c r="A1725" t="s">
        <v>1793</v>
      </c>
      <c r="B1725" s="5">
        <v>45662</v>
      </c>
      <c r="C1725" s="8">
        <f>YEAR(Tabla2[[#This Row],[fecha]])</f>
        <v>2025</v>
      </c>
      <c r="D1725" s="8">
        <f>MONTH(Tabla2[[#This Row],[fecha]])</f>
        <v>1</v>
      </c>
      <c r="E1725" s="8" t="str">
        <f>TEXT(Tabla2[[#This Row],[fecha]], "mmmm")</f>
        <v>enero</v>
      </c>
      <c r="F1725" s="8" t="str">
        <f>"T"&amp;ROUNDUP(Tabla2[[#This Row],[mes]]/3,0)</f>
        <v>T1</v>
      </c>
      <c r="G1725" t="s">
        <v>18</v>
      </c>
      <c r="H1725" t="s">
        <v>19</v>
      </c>
      <c r="I1725" s="8" t="str">
        <f>IF(Tabla2[[#This Row],[precio_unitario]]&lt;=30,"Económico",IF(Tabla2[[#This Row],[precio_unitario]]&lt;=58.49,"Accesible","Caro"))</f>
        <v>Accesible</v>
      </c>
      <c r="J1725" t="s">
        <v>17</v>
      </c>
      <c r="K1725">
        <v>2</v>
      </c>
      <c r="L1725" s="19">
        <v>47.08</v>
      </c>
      <c r="M1725" s="19">
        <v>25.48</v>
      </c>
      <c r="N1725" s="11">
        <v>0</v>
      </c>
      <c r="O1725" s="17">
        <f t="shared" si="107"/>
        <v>94.16</v>
      </c>
      <c r="P1725" s="17">
        <f t="shared" si="104"/>
        <v>50.96</v>
      </c>
      <c r="Q1725" s="17">
        <f t="shared" si="105"/>
        <v>43.199999999999996</v>
      </c>
      <c r="R1725" s="24">
        <f t="shared" si="106"/>
        <v>0.45879354290569241</v>
      </c>
      <c r="S1725" s="10" t="s">
        <v>2377</v>
      </c>
      <c r="T1725" t="s">
        <v>64</v>
      </c>
    </row>
    <row r="1726" spans="1:20" hidden="1">
      <c r="A1726" t="s">
        <v>1794</v>
      </c>
      <c r="B1726" s="5">
        <v>46020</v>
      </c>
      <c r="C1726" s="8">
        <f>YEAR(Tabla2[[#This Row],[fecha]])</f>
        <v>2025</v>
      </c>
      <c r="D1726" s="8">
        <f>MONTH(Tabla2[[#This Row],[fecha]])</f>
        <v>12</v>
      </c>
      <c r="E1726" s="8" t="str">
        <f>TEXT(Tabla2[[#This Row],[fecha]], "mmmm")</f>
        <v>diciembre</v>
      </c>
      <c r="F1726" s="8" t="str">
        <f>"T"&amp;ROUNDUP(Tabla2[[#This Row],[mes]]/3,0)</f>
        <v>T4</v>
      </c>
      <c r="G1726" t="s">
        <v>33</v>
      </c>
      <c r="H1726" t="s">
        <v>34</v>
      </c>
      <c r="I1726" s="8" t="str">
        <f>IF(Tabla2[[#This Row],[precio_unitario]]&lt;=30,"Económico",IF(Tabla2[[#This Row],[precio_unitario]]&lt;=58.49,"Accesible","Caro"))</f>
        <v>Caro</v>
      </c>
      <c r="J1726" t="s">
        <v>35</v>
      </c>
      <c r="K1726">
        <v>2</v>
      </c>
      <c r="L1726" s="19">
        <v>71.790000000000006</v>
      </c>
      <c r="M1726" s="19">
        <v>49.73</v>
      </c>
      <c r="N1726" s="11">
        <v>0</v>
      </c>
      <c r="O1726" s="17">
        <f t="shared" si="107"/>
        <v>143.58000000000001</v>
      </c>
      <c r="P1726" s="17">
        <f t="shared" si="104"/>
        <v>99.46</v>
      </c>
      <c r="Q1726" s="17">
        <f t="shared" si="105"/>
        <v>44.120000000000019</v>
      </c>
      <c r="R1726" s="24">
        <f t="shared" si="106"/>
        <v>0.30728513720573908</v>
      </c>
      <c r="S1726" t="s">
        <v>63</v>
      </c>
      <c r="T1726" t="s">
        <v>60</v>
      </c>
    </row>
    <row r="1727" spans="1:20" hidden="1">
      <c r="A1727" t="s">
        <v>1795</v>
      </c>
      <c r="B1727" s="5">
        <v>45788</v>
      </c>
      <c r="C1727" s="8">
        <f>YEAR(Tabla2[[#This Row],[fecha]])</f>
        <v>2025</v>
      </c>
      <c r="D1727" s="8">
        <f>MONTH(Tabla2[[#This Row],[fecha]])</f>
        <v>5</v>
      </c>
      <c r="E1727" s="8" t="str">
        <f>TEXT(Tabla2[[#This Row],[fecha]], "mmmm")</f>
        <v>mayo</v>
      </c>
      <c r="F1727" s="8" t="str">
        <f>"T"&amp;ROUNDUP(Tabla2[[#This Row],[mes]]/3,0)</f>
        <v>T2</v>
      </c>
      <c r="G1727" t="s">
        <v>38</v>
      </c>
      <c r="H1727" t="s">
        <v>39</v>
      </c>
      <c r="I1727" s="8" t="str">
        <f>IF(Tabla2[[#This Row],[precio_unitario]]&lt;=30,"Económico",IF(Tabla2[[#This Row],[precio_unitario]]&lt;=58.49,"Accesible","Caro"))</f>
        <v>Caro</v>
      </c>
      <c r="J1727" t="s">
        <v>35</v>
      </c>
      <c r="K1727">
        <v>1</v>
      </c>
      <c r="L1727" s="19">
        <v>83.7</v>
      </c>
      <c r="M1727" s="19">
        <v>42.25</v>
      </c>
      <c r="N1727" s="11">
        <v>0</v>
      </c>
      <c r="O1727" s="17">
        <f t="shared" si="107"/>
        <v>83.7</v>
      </c>
      <c r="P1727" s="17">
        <f t="shared" si="104"/>
        <v>42.25</v>
      </c>
      <c r="Q1727" s="17">
        <f t="shared" si="105"/>
        <v>41.45</v>
      </c>
      <c r="R1727" s="24">
        <f t="shared" si="106"/>
        <v>0.49522102747909202</v>
      </c>
      <c r="S1727" t="s">
        <v>96</v>
      </c>
      <c r="T1727" t="s">
        <v>64</v>
      </c>
    </row>
    <row r="1728" spans="1:20" hidden="1">
      <c r="A1728" t="s">
        <v>1796</v>
      </c>
      <c r="B1728" s="5">
        <v>45732</v>
      </c>
      <c r="C1728" s="8">
        <f>YEAR(Tabla2[[#This Row],[fecha]])</f>
        <v>2025</v>
      </c>
      <c r="D1728" s="8">
        <f>MONTH(Tabla2[[#This Row],[fecha]])</f>
        <v>3</v>
      </c>
      <c r="E1728" s="8" t="str">
        <f>TEXT(Tabla2[[#This Row],[fecha]], "mmmm")</f>
        <v>marzo</v>
      </c>
      <c r="F1728" s="8" t="str">
        <f>"T"&amp;ROUNDUP(Tabla2[[#This Row],[mes]]/3,0)</f>
        <v>T1</v>
      </c>
      <c r="G1728" t="s">
        <v>20</v>
      </c>
      <c r="H1728" t="s">
        <v>21</v>
      </c>
      <c r="I1728" s="8" t="str">
        <f>IF(Tabla2[[#This Row],[precio_unitario]]&lt;=30,"Económico",IF(Tabla2[[#This Row],[precio_unitario]]&lt;=58.49,"Accesible","Caro"))</f>
        <v>Económico</v>
      </c>
      <c r="J1728" t="s">
        <v>17</v>
      </c>
      <c r="K1728">
        <v>4</v>
      </c>
      <c r="L1728" s="19">
        <v>19.170000000000002</v>
      </c>
      <c r="M1728" s="19">
        <v>12.41</v>
      </c>
      <c r="N1728" s="11">
        <v>0</v>
      </c>
      <c r="O1728" s="17">
        <f t="shared" si="107"/>
        <v>76.680000000000007</v>
      </c>
      <c r="P1728" s="17">
        <f t="shared" si="104"/>
        <v>49.64</v>
      </c>
      <c r="Q1728" s="17">
        <f t="shared" si="105"/>
        <v>27.040000000000006</v>
      </c>
      <c r="R1728" s="24">
        <f t="shared" si="106"/>
        <v>0.35263432446531046</v>
      </c>
      <c r="S1728" t="s">
        <v>540</v>
      </c>
      <c r="T1728" t="s">
        <v>133</v>
      </c>
    </row>
    <row r="1729" spans="1:20">
      <c r="A1729" t="s">
        <v>1797</v>
      </c>
      <c r="B1729" s="5">
        <v>45955</v>
      </c>
      <c r="C1729" s="8">
        <f>YEAR(Tabla2[[#This Row],[fecha]])</f>
        <v>2025</v>
      </c>
      <c r="D1729" s="8">
        <f>MONTH(Tabla2[[#This Row],[fecha]])</f>
        <v>10</v>
      </c>
      <c r="E1729" s="8" t="str">
        <f>TEXT(Tabla2[[#This Row],[fecha]], "mmmm")</f>
        <v>octubre</v>
      </c>
      <c r="F1729" s="8" t="str">
        <f>"T"&amp;ROUNDUP(Tabla2[[#This Row],[mes]]/3,0)</f>
        <v>T4</v>
      </c>
      <c r="G1729" t="s">
        <v>22</v>
      </c>
      <c r="H1729" t="s">
        <v>23</v>
      </c>
      <c r="I1729" s="8" t="str">
        <f>IF(Tabla2[[#This Row],[precio_unitario]]&lt;=30,"Económico",IF(Tabla2[[#This Row],[precio_unitario]]&lt;=58.49,"Accesible","Caro"))</f>
        <v>Caro</v>
      </c>
      <c r="J1729" t="s">
        <v>17</v>
      </c>
      <c r="K1729">
        <v>2</v>
      </c>
      <c r="L1729" s="19">
        <v>101.22</v>
      </c>
      <c r="M1729" s="19">
        <v>58.06</v>
      </c>
      <c r="N1729" s="13">
        <v>0</v>
      </c>
      <c r="O1729" s="17">
        <f t="shared" si="107"/>
        <v>202.44</v>
      </c>
      <c r="P1729" s="17">
        <f t="shared" si="104"/>
        <v>116.12</v>
      </c>
      <c r="Q1729" s="17">
        <f t="shared" si="105"/>
        <v>86.32</v>
      </c>
      <c r="R1729" s="24">
        <f t="shared" si="106"/>
        <v>0.42639794507014422</v>
      </c>
      <c r="S1729" t="s">
        <v>67</v>
      </c>
      <c r="T1729" t="s">
        <v>64</v>
      </c>
    </row>
    <row r="1730" spans="1:20" hidden="1">
      <c r="A1730" t="s">
        <v>1798</v>
      </c>
      <c r="B1730" s="5">
        <v>45877</v>
      </c>
      <c r="C1730" s="8">
        <f>YEAR(Tabla2[[#This Row],[fecha]])</f>
        <v>2025</v>
      </c>
      <c r="D1730" s="8">
        <f>MONTH(Tabla2[[#This Row],[fecha]])</f>
        <v>8</v>
      </c>
      <c r="E1730" s="8" t="str">
        <f>TEXT(Tabla2[[#This Row],[fecha]], "mmmm")</f>
        <v>agosto</v>
      </c>
      <c r="F1730" s="8" t="str">
        <f>"T"&amp;ROUNDUP(Tabla2[[#This Row],[mes]]/3,0)</f>
        <v>T3</v>
      </c>
      <c r="G1730" t="s">
        <v>40</v>
      </c>
      <c r="H1730" t="s">
        <v>41</v>
      </c>
      <c r="I1730" s="8" t="str">
        <f>IF(Tabla2[[#This Row],[precio_unitario]]&lt;=30,"Económico",IF(Tabla2[[#This Row],[precio_unitario]]&lt;=58.49,"Accesible","Caro"))</f>
        <v>Caro</v>
      </c>
      <c r="J1730" t="s">
        <v>35</v>
      </c>
      <c r="K1730">
        <v>1</v>
      </c>
      <c r="L1730" s="19">
        <v>78.040000000000006</v>
      </c>
      <c r="M1730" s="19">
        <v>41.82</v>
      </c>
      <c r="N1730" s="11">
        <v>0</v>
      </c>
      <c r="O1730" s="17">
        <f t="shared" si="107"/>
        <v>78.040000000000006</v>
      </c>
      <c r="P1730" s="17">
        <f t="shared" ref="P1730:P1793" si="108">M1730*K1730</f>
        <v>41.82</v>
      </c>
      <c r="Q1730" s="17">
        <f t="shared" ref="Q1730:Q1793" si="109">O1730-P1730</f>
        <v>36.220000000000006</v>
      </c>
      <c r="R1730" s="24">
        <f t="shared" ref="R1730:R1793" si="110">IFERROR(Q1730/O1730,0)</f>
        <v>0.46412096360840599</v>
      </c>
      <c r="S1730" t="s">
        <v>63</v>
      </c>
      <c r="T1730" t="s">
        <v>64</v>
      </c>
    </row>
    <row r="1731" spans="1:20" hidden="1">
      <c r="A1731" t="s">
        <v>1799</v>
      </c>
      <c r="B1731" s="5">
        <v>45499</v>
      </c>
      <c r="C1731" s="8">
        <f>YEAR(Tabla2[[#This Row],[fecha]])</f>
        <v>2024</v>
      </c>
      <c r="D1731" s="8">
        <f>MONTH(Tabla2[[#This Row],[fecha]])</f>
        <v>7</v>
      </c>
      <c r="E1731" s="8" t="str">
        <f>TEXT(Tabla2[[#This Row],[fecha]], "mmmm")</f>
        <v>julio</v>
      </c>
      <c r="F1731" s="8" t="str">
        <f>"T"&amp;ROUNDUP(Tabla2[[#This Row],[mes]]/3,0)</f>
        <v>T3</v>
      </c>
      <c r="G1731" t="s">
        <v>47</v>
      </c>
      <c r="H1731" t="s">
        <v>48</v>
      </c>
      <c r="I1731" s="8" t="str">
        <f>IF(Tabla2[[#This Row],[precio_unitario]]&lt;=30,"Económico",IF(Tabla2[[#This Row],[precio_unitario]]&lt;=58.49,"Accesible","Caro"))</f>
        <v>Accesible</v>
      </c>
      <c r="J1731" t="s">
        <v>44</v>
      </c>
      <c r="K1731">
        <v>1</v>
      </c>
      <c r="L1731" s="19">
        <v>58.46</v>
      </c>
      <c r="M1731" s="19">
        <v>33.69</v>
      </c>
      <c r="N1731" s="11">
        <v>0</v>
      </c>
      <c r="O1731" s="17">
        <f t="shared" ref="O1731:O1794" si="111">K1731*L1731*(1-N1731)</f>
        <v>58.46</v>
      </c>
      <c r="P1731" s="17">
        <f t="shared" si="108"/>
        <v>33.69</v>
      </c>
      <c r="Q1731" s="17">
        <f t="shared" si="109"/>
        <v>24.770000000000003</v>
      </c>
      <c r="R1731" s="24">
        <f t="shared" si="110"/>
        <v>0.42370851864522757</v>
      </c>
      <c r="S1731" s="10" t="s">
        <v>2377</v>
      </c>
      <c r="T1731" t="s">
        <v>64</v>
      </c>
    </row>
    <row r="1732" spans="1:20">
      <c r="A1732" t="s">
        <v>1800</v>
      </c>
      <c r="B1732" s="5">
        <v>45980</v>
      </c>
      <c r="C1732" s="8">
        <f>YEAR(Tabla2[[#This Row],[fecha]])</f>
        <v>2025</v>
      </c>
      <c r="D1732" s="8">
        <f>MONTH(Tabla2[[#This Row],[fecha]])</f>
        <v>11</v>
      </c>
      <c r="E1732" s="8" t="str">
        <f>TEXT(Tabla2[[#This Row],[fecha]], "mmmm")</f>
        <v>noviembre</v>
      </c>
      <c r="F1732" s="8" t="str">
        <f>"T"&amp;ROUNDUP(Tabla2[[#This Row],[mes]]/3,0)</f>
        <v>T4</v>
      </c>
      <c r="G1732" t="s">
        <v>33</v>
      </c>
      <c r="H1732" t="s">
        <v>34</v>
      </c>
      <c r="I1732" s="8" t="str">
        <f>IF(Tabla2[[#This Row],[precio_unitario]]&lt;=30,"Económico",IF(Tabla2[[#This Row],[precio_unitario]]&lt;=58.49,"Accesible","Caro"))</f>
        <v>Caro</v>
      </c>
      <c r="J1732" t="s">
        <v>35</v>
      </c>
      <c r="K1732">
        <v>4</v>
      </c>
      <c r="L1732" s="19">
        <v>73.87</v>
      </c>
      <c r="M1732" s="19">
        <v>45.64</v>
      </c>
      <c r="N1732" s="13">
        <v>0</v>
      </c>
      <c r="O1732" s="17">
        <f t="shared" si="111"/>
        <v>295.48</v>
      </c>
      <c r="P1732" s="17">
        <f t="shared" si="108"/>
        <v>182.56</v>
      </c>
      <c r="Q1732" s="17">
        <f t="shared" si="109"/>
        <v>112.92000000000002</v>
      </c>
      <c r="R1732" s="24">
        <f t="shared" si="110"/>
        <v>0.38215784486259646</v>
      </c>
      <c r="S1732" t="s">
        <v>67</v>
      </c>
      <c r="T1732" t="s">
        <v>64</v>
      </c>
    </row>
    <row r="1733" spans="1:20" hidden="1">
      <c r="A1733" t="s">
        <v>1801</v>
      </c>
      <c r="B1733" s="5">
        <v>45652</v>
      </c>
      <c r="C1733" s="8">
        <f>YEAR(Tabla2[[#This Row],[fecha]])</f>
        <v>2024</v>
      </c>
      <c r="D1733" s="8">
        <f>MONTH(Tabla2[[#This Row],[fecha]])</f>
        <v>12</v>
      </c>
      <c r="E1733" s="8" t="str">
        <f>TEXT(Tabla2[[#This Row],[fecha]], "mmmm")</f>
        <v>diciembre</v>
      </c>
      <c r="F1733" s="8" t="str">
        <f>"T"&amp;ROUNDUP(Tabla2[[#This Row],[mes]]/3,0)</f>
        <v>T4</v>
      </c>
      <c r="G1733" t="s">
        <v>31</v>
      </c>
      <c r="H1733" t="s">
        <v>32</v>
      </c>
      <c r="I1733" s="8" t="str">
        <f>IF(Tabla2[[#This Row],[precio_unitario]]&lt;=30,"Económico",IF(Tabla2[[#This Row],[precio_unitario]]&lt;=58.49,"Accesible","Caro"))</f>
        <v>Económico</v>
      </c>
      <c r="J1733" t="s">
        <v>26</v>
      </c>
      <c r="K1733">
        <v>1</v>
      </c>
      <c r="L1733" s="19">
        <v>8.86</v>
      </c>
      <c r="M1733" s="19">
        <v>5.61</v>
      </c>
      <c r="N1733" s="11">
        <v>0</v>
      </c>
      <c r="O1733" s="17">
        <f t="shared" si="111"/>
        <v>8.86</v>
      </c>
      <c r="P1733" s="17">
        <f t="shared" si="108"/>
        <v>5.61</v>
      </c>
      <c r="Q1733" s="17">
        <f t="shared" si="109"/>
        <v>3.2499999999999991</v>
      </c>
      <c r="R1733" s="24">
        <f t="shared" si="110"/>
        <v>0.3668171557562076</v>
      </c>
      <c r="S1733" t="s">
        <v>67</v>
      </c>
      <c r="T1733" t="s">
        <v>64</v>
      </c>
    </row>
    <row r="1734" spans="1:20">
      <c r="A1734" t="s">
        <v>1802</v>
      </c>
      <c r="B1734" s="5">
        <v>45794</v>
      </c>
      <c r="C1734" s="8">
        <f>YEAR(Tabla2[[#This Row],[fecha]])</f>
        <v>2025</v>
      </c>
      <c r="D1734" s="8">
        <f>MONTH(Tabla2[[#This Row],[fecha]])</f>
        <v>5</v>
      </c>
      <c r="E1734" s="8" t="str">
        <f>TEXT(Tabla2[[#This Row],[fecha]], "mmmm")</f>
        <v>mayo</v>
      </c>
      <c r="F1734" s="8" t="str">
        <f>"T"&amp;ROUNDUP(Tabla2[[#This Row],[mes]]/3,0)</f>
        <v>T2</v>
      </c>
      <c r="G1734" t="s">
        <v>11</v>
      </c>
      <c r="H1734" t="s">
        <v>12</v>
      </c>
      <c r="I1734" s="8" t="str">
        <f>IF(Tabla2[[#This Row],[precio_unitario]]&lt;=30,"Económico",IF(Tabla2[[#This Row],[precio_unitario]]&lt;=58.49,"Accesible","Caro"))</f>
        <v>Caro</v>
      </c>
      <c r="J1734" t="s">
        <v>8</v>
      </c>
      <c r="K1734">
        <v>3</v>
      </c>
      <c r="L1734" s="19">
        <v>172.2</v>
      </c>
      <c r="M1734" s="19">
        <v>98.83</v>
      </c>
      <c r="N1734" s="11">
        <v>0</v>
      </c>
      <c r="O1734" s="17">
        <f t="shared" si="111"/>
        <v>516.59999999999991</v>
      </c>
      <c r="P1734" s="17">
        <f t="shared" si="108"/>
        <v>296.49</v>
      </c>
      <c r="Q1734" s="17">
        <f t="shared" si="109"/>
        <v>220.1099999999999</v>
      </c>
      <c r="R1734" s="24">
        <f t="shared" si="110"/>
        <v>0.42607433217189306</v>
      </c>
      <c r="S1734" t="s">
        <v>67</v>
      </c>
      <c r="T1734" t="s">
        <v>60</v>
      </c>
    </row>
    <row r="1735" spans="1:20" hidden="1">
      <c r="A1735" t="s">
        <v>1803</v>
      </c>
      <c r="B1735" s="5">
        <v>45300</v>
      </c>
      <c r="C1735" s="8">
        <f>YEAR(Tabla2[[#This Row],[fecha]])</f>
        <v>2024</v>
      </c>
      <c r="D1735" s="8">
        <f>MONTH(Tabla2[[#This Row],[fecha]])</f>
        <v>1</v>
      </c>
      <c r="E1735" s="8" t="str">
        <f>TEXT(Tabla2[[#This Row],[fecha]], "mmmm")</f>
        <v>enero</v>
      </c>
      <c r="F1735" s="8" t="str">
        <f>"T"&amp;ROUNDUP(Tabla2[[#This Row],[mes]]/3,0)</f>
        <v>T1</v>
      </c>
      <c r="G1735" t="s">
        <v>31</v>
      </c>
      <c r="H1735" t="s">
        <v>32</v>
      </c>
      <c r="I1735" s="8" t="str">
        <f>IF(Tabla2[[#This Row],[precio_unitario]]&lt;=30,"Económico",IF(Tabla2[[#This Row],[precio_unitario]]&lt;=58.49,"Accesible","Caro"))</f>
        <v>Económico</v>
      </c>
      <c r="J1735" t="s">
        <v>26</v>
      </c>
      <c r="K1735">
        <v>1</v>
      </c>
      <c r="L1735" s="19">
        <v>9.19</v>
      </c>
      <c r="M1735" s="19">
        <v>5.8</v>
      </c>
      <c r="N1735" s="11">
        <v>0.14000000000000001</v>
      </c>
      <c r="O1735" s="17">
        <f t="shared" si="111"/>
        <v>7.9033999999999995</v>
      </c>
      <c r="P1735" s="17">
        <f t="shared" si="108"/>
        <v>5.8</v>
      </c>
      <c r="Q1735" s="17">
        <f t="shared" si="109"/>
        <v>2.1033999999999997</v>
      </c>
      <c r="R1735" s="24">
        <f t="shared" si="110"/>
        <v>0.26613862388339193</v>
      </c>
      <c r="S1735" t="s">
        <v>540</v>
      </c>
      <c r="T1735" t="s">
        <v>64</v>
      </c>
    </row>
    <row r="1736" spans="1:20" hidden="1">
      <c r="A1736" t="s">
        <v>1804</v>
      </c>
      <c r="B1736" s="5">
        <v>45303</v>
      </c>
      <c r="C1736" s="8">
        <f>YEAR(Tabla2[[#This Row],[fecha]])</f>
        <v>2024</v>
      </c>
      <c r="D1736" s="8">
        <f>MONTH(Tabla2[[#This Row],[fecha]])</f>
        <v>1</v>
      </c>
      <c r="E1736" s="8" t="str">
        <f>TEXT(Tabla2[[#This Row],[fecha]], "mmmm")</f>
        <v>enero</v>
      </c>
      <c r="F1736" s="8" t="str">
        <f>"T"&amp;ROUNDUP(Tabla2[[#This Row],[mes]]/3,0)</f>
        <v>T1</v>
      </c>
      <c r="G1736" t="s">
        <v>15</v>
      </c>
      <c r="H1736" t="s">
        <v>16</v>
      </c>
      <c r="I1736" s="8" t="str">
        <f>IF(Tabla2[[#This Row],[precio_unitario]]&lt;=30,"Económico",IF(Tabla2[[#This Row],[precio_unitario]]&lt;=58.49,"Accesible","Caro"))</f>
        <v>Accesible</v>
      </c>
      <c r="J1736" t="s">
        <v>17</v>
      </c>
      <c r="K1736">
        <v>3</v>
      </c>
      <c r="L1736" s="19">
        <v>56.7</v>
      </c>
      <c r="M1736" s="19">
        <v>40.53</v>
      </c>
      <c r="N1736" s="13">
        <v>0</v>
      </c>
      <c r="O1736" s="17">
        <f t="shared" si="111"/>
        <v>170.10000000000002</v>
      </c>
      <c r="P1736" s="17">
        <f t="shared" si="108"/>
        <v>121.59</v>
      </c>
      <c r="Q1736" s="17">
        <f t="shared" si="109"/>
        <v>48.510000000000019</v>
      </c>
      <c r="R1736" s="24">
        <f t="shared" si="110"/>
        <v>0.28518518518518526</v>
      </c>
      <c r="S1736" t="s">
        <v>540</v>
      </c>
      <c r="T1736" t="s">
        <v>60</v>
      </c>
    </row>
    <row r="1737" spans="1:20" hidden="1">
      <c r="A1737" t="s">
        <v>1805</v>
      </c>
      <c r="B1737" s="5">
        <v>45757</v>
      </c>
      <c r="C1737" s="8">
        <f>YEAR(Tabla2[[#This Row],[fecha]])</f>
        <v>2025</v>
      </c>
      <c r="D1737" s="8">
        <f>MONTH(Tabla2[[#This Row],[fecha]])</f>
        <v>4</v>
      </c>
      <c r="E1737" s="8" t="str">
        <f>TEXT(Tabla2[[#This Row],[fecha]], "mmmm")</f>
        <v>abril</v>
      </c>
      <c r="F1737" s="8" t="str">
        <f>"T"&amp;ROUNDUP(Tabla2[[#This Row],[mes]]/3,0)</f>
        <v>T2</v>
      </c>
      <c r="G1737" t="s">
        <v>11</v>
      </c>
      <c r="H1737" t="s">
        <v>12</v>
      </c>
      <c r="I1737" s="8" t="str">
        <f>IF(Tabla2[[#This Row],[precio_unitario]]&lt;=30,"Económico",IF(Tabla2[[#This Row],[precio_unitario]]&lt;=58.49,"Accesible","Caro"))</f>
        <v>Caro</v>
      </c>
      <c r="J1737" t="s">
        <v>8</v>
      </c>
      <c r="K1737">
        <v>3</v>
      </c>
      <c r="L1737" s="20">
        <f>INDEX(Tabla3[precio_venta_recomendado], MATCH(Tabla2[[#This Row],[id_producto]], Tabla3[id_producto], 0))</f>
        <v>177.72</v>
      </c>
      <c r="M1737" s="19">
        <v>98.26</v>
      </c>
      <c r="N1737" s="11">
        <v>0</v>
      </c>
      <c r="O1737" s="17">
        <f t="shared" si="111"/>
        <v>533.16</v>
      </c>
      <c r="P1737" s="17">
        <f t="shared" si="108"/>
        <v>294.78000000000003</v>
      </c>
      <c r="Q1737" s="17">
        <f t="shared" si="109"/>
        <v>238.37999999999994</v>
      </c>
      <c r="R1737" s="24">
        <f t="shared" si="110"/>
        <v>0.44710781003826233</v>
      </c>
      <c r="S1737" t="s">
        <v>96</v>
      </c>
      <c r="T1737" t="s">
        <v>64</v>
      </c>
    </row>
    <row r="1738" spans="1:20">
      <c r="A1738" t="s">
        <v>1806</v>
      </c>
      <c r="B1738" s="5">
        <v>45700</v>
      </c>
      <c r="C1738" s="8">
        <f>YEAR(Tabla2[[#This Row],[fecha]])</f>
        <v>2025</v>
      </c>
      <c r="D1738" s="8">
        <f>MONTH(Tabla2[[#This Row],[fecha]])</f>
        <v>2</v>
      </c>
      <c r="E1738" s="8" t="str">
        <f>TEXT(Tabla2[[#This Row],[fecha]], "mmmm")</f>
        <v>febrero</v>
      </c>
      <c r="F1738" s="8" t="str">
        <f>"T"&amp;ROUNDUP(Tabla2[[#This Row],[mes]]/3,0)</f>
        <v>T1</v>
      </c>
      <c r="G1738" t="s">
        <v>38</v>
      </c>
      <c r="H1738" t="s">
        <v>39</v>
      </c>
      <c r="I1738" s="8" t="str">
        <f>IF(Tabla2[[#This Row],[precio_unitario]]&lt;=30,"Económico",IF(Tabla2[[#This Row],[precio_unitario]]&lt;=58.49,"Accesible","Caro"))</f>
        <v>Caro</v>
      </c>
      <c r="J1738" t="s">
        <v>35</v>
      </c>
      <c r="K1738">
        <v>6</v>
      </c>
      <c r="L1738" s="19">
        <v>79.81</v>
      </c>
      <c r="M1738" s="19">
        <v>44.3</v>
      </c>
      <c r="N1738" s="11">
        <v>0</v>
      </c>
      <c r="O1738" s="17">
        <f t="shared" si="111"/>
        <v>478.86</v>
      </c>
      <c r="P1738" s="17">
        <f t="shared" si="108"/>
        <v>265.79999999999995</v>
      </c>
      <c r="Q1738" s="17">
        <f t="shared" si="109"/>
        <v>213.06000000000006</v>
      </c>
      <c r="R1738" s="24">
        <f t="shared" si="110"/>
        <v>0.44493171281794275</v>
      </c>
      <c r="S1738" t="s">
        <v>67</v>
      </c>
      <c r="T1738" t="s">
        <v>64</v>
      </c>
    </row>
    <row r="1739" spans="1:20">
      <c r="A1739" t="s">
        <v>1807</v>
      </c>
      <c r="B1739" s="5">
        <v>45682</v>
      </c>
      <c r="C1739" s="8">
        <f>YEAR(Tabla2[[#This Row],[fecha]])</f>
        <v>2025</v>
      </c>
      <c r="D1739" s="8">
        <f>MONTH(Tabla2[[#This Row],[fecha]])</f>
        <v>1</v>
      </c>
      <c r="E1739" s="8" t="str">
        <f>TEXT(Tabla2[[#This Row],[fecha]], "mmmm")</f>
        <v>enero</v>
      </c>
      <c r="F1739" s="8" t="str">
        <f>"T"&amp;ROUNDUP(Tabla2[[#This Row],[mes]]/3,0)</f>
        <v>T1</v>
      </c>
      <c r="G1739" t="s">
        <v>45</v>
      </c>
      <c r="H1739" t="s">
        <v>46</v>
      </c>
      <c r="I1739" s="8" t="str">
        <f>IF(Tabla2[[#This Row],[precio_unitario]]&lt;=30,"Económico",IF(Tabla2[[#This Row],[precio_unitario]]&lt;=58.49,"Accesible","Caro"))</f>
        <v>Accesible</v>
      </c>
      <c r="J1739" t="s">
        <v>44</v>
      </c>
      <c r="K1739">
        <v>6</v>
      </c>
      <c r="L1739" s="19">
        <v>32.93</v>
      </c>
      <c r="M1739" s="19">
        <v>17.559999999999999</v>
      </c>
      <c r="N1739" s="13">
        <v>0</v>
      </c>
      <c r="O1739" s="17">
        <f t="shared" si="111"/>
        <v>197.57999999999998</v>
      </c>
      <c r="P1739" s="17">
        <f t="shared" si="108"/>
        <v>105.35999999999999</v>
      </c>
      <c r="Q1739" s="17">
        <f t="shared" si="109"/>
        <v>92.22</v>
      </c>
      <c r="R1739" s="24">
        <f t="shared" si="110"/>
        <v>0.46674764652292744</v>
      </c>
      <c r="S1739" t="s">
        <v>67</v>
      </c>
      <c r="T1739" t="s">
        <v>64</v>
      </c>
    </row>
    <row r="1740" spans="1:20" hidden="1">
      <c r="A1740" t="s">
        <v>1808</v>
      </c>
      <c r="B1740" s="5">
        <v>45546</v>
      </c>
      <c r="C1740" s="8">
        <f>YEAR(Tabla2[[#This Row],[fecha]])</f>
        <v>2024</v>
      </c>
      <c r="D1740" s="8">
        <f>MONTH(Tabla2[[#This Row],[fecha]])</f>
        <v>9</v>
      </c>
      <c r="E1740" s="8" t="str">
        <f>TEXT(Tabla2[[#This Row],[fecha]], "mmmm")</f>
        <v>septiembre</v>
      </c>
      <c r="F1740" s="8" t="str">
        <f>"T"&amp;ROUNDUP(Tabla2[[#This Row],[mes]]/3,0)</f>
        <v>T3</v>
      </c>
      <c r="G1740" t="s">
        <v>45</v>
      </c>
      <c r="H1740" t="s">
        <v>46</v>
      </c>
      <c r="I1740" s="8" t="str">
        <f>IF(Tabla2[[#This Row],[precio_unitario]]&lt;=30,"Económico",IF(Tabla2[[#This Row],[precio_unitario]]&lt;=58.49,"Accesible","Caro"))</f>
        <v>Accesible</v>
      </c>
      <c r="J1740" t="s">
        <v>44</v>
      </c>
      <c r="K1740">
        <v>2</v>
      </c>
      <c r="L1740" s="19">
        <v>30.97</v>
      </c>
      <c r="M1740" s="19">
        <v>16.71</v>
      </c>
      <c r="N1740" s="11">
        <v>0</v>
      </c>
      <c r="O1740" s="17">
        <f t="shared" si="111"/>
        <v>61.94</v>
      </c>
      <c r="P1740" s="17">
        <f t="shared" si="108"/>
        <v>33.42</v>
      </c>
      <c r="Q1740" s="17">
        <f t="shared" si="109"/>
        <v>28.519999999999996</v>
      </c>
      <c r="R1740" s="24">
        <f t="shared" si="110"/>
        <v>0.46044559250887951</v>
      </c>
      <c r="S1740" t="s">
        <v>63</v>
      </c>
      <c r="T1740" t="s">
        <v>64</v>
      </c>
    </row>
    <row r="1741" spans="1:20" hidden="1">
      <c r="A1741" t="s">
        <v>1809</v>
      </c>
      <c r="B1741" s="5">
        <v>45949</v>
      </c>
      <c r="C1741" s="8">
        <f>YEAR(Tabla2[[#This Row],[fecha]])</f>
        <v>2025</v>
      </c>
      <c r="D1741" s="8">
        <f>MONTH(Tabla2[[#This Row],[fecha]])</f>
        <v>10</v>
      </c>
      <c r="E1741" s="8" t="str">
        <f>TEXT(Tabla2[[#This Row],[fecha]], "mmmm")</f>
        <v>octubre</v>
      </c>
      <c r="F1741" s="8" t="str">
        <f>"T"&amp;ROUNDUP(Tabla2[[#This Row],[mes]]/3,0)</f>
        <v>T4</v>
      </c>
      <c r="G1741" t="s">
        <v>9</v>
      </c>
      <c r="H1741" t="s">
        <v>10</v>
      </c>
      <c r="I1741" s="8" t="str">
        <f>IF(Tabla2[[#This Row],[precio_unitario]]&lt;=30,"Económico",IF(Tabla2[[#This Row],[precio_unitario]]&lt;=58.49,"Accesible","Caro"))</f>
        <v>Caro</v>
      </c>
      <c r="J1741" t="s">
        <v>8</v>
      </c>
      <c r="K1741">
        <v>1</v>
      </c>
      <c r="L1741" s="19">
        <v>75.56</v>
      </c>
      <c r="M1741" s="19">
        <v>47.86</v>
      </c>
      <c r="N1741" s="11">
        <v>0</v>
      </c>
      <c r="O1741" s="17">
        <f t="shared" si="111"/>
        <v>75.56</v>
      </c>
      <c r="P1741" s="17">
        <f t="shared" si="108"/>
        <v>47.86</v>
      </c>
      <c r="Q1741" s="17">
        <f t="shared" si="109"/>
        <v>27.700000000000003</v>
      </c>
      <c r="R1741" s="24">
        <f t="shared" si="110"/>
        <v>0.36659608258337745</v>
      </c>
      <c r="S1741" t="s">
        <v>101</v>
      </c>
      <c r="T1741" t="s">
        <v>64</v>
      </c>
    </row>
    <row r="1742" spans="1:20" hidden="1">
      <c r="A1742" t="s">
        <v>1810</v>
      </c>
      <c r="B1742" s="5">
        <v>45500</v>
      </c>
      <c r="C1742" s="8">
        <f>YEAR(Tabla2[[#This Row],[fecha]])</f>
        <v>2024</v>
      </c>
      <c r="D1742" s="8">
        <f>MONTH(Tabla2[[#This Row],[fecha]])</f>
        <v>7</v>
      </c>
      <c r="E1742" s="8" t="str">
        <f>TEXT(Tabla2[[#This Row],[fecha]], "mmmm")</f>
        <v>julio</v>
      </c>
      <c r="F1742" s="8" t="str">
        <f>"T"&amp;ROUNDUP(Tabla2[[#This Row],[mes]]/3,0)</f>
        <v>T3</v>
      </c>
      <c r="G1742" t="s">
        <v>27</v>
      </c>
      <c r="H1742" t="s">
        <v>28</v>
      </c>
      <c r="I1742" s="8" t="str">
        <f>IF(Tabla2[[#This Row],[precio_unitario]]&lt;=30,"Económico",IF(Tabla2[[#This Row],[precio_unitario]]&lt;=58.49,"Accesible","Caro"))</f>
        <v>Económico</v>
      </c>
      <c r="J1742" t="s">
        <v>26</v>
      </c>
      <c r="K1742">
        <v>9</v>
      </c>
      <c r="L1742" s="19">
        <v>17.29</v>
      </c>
      <c r="M1742" s="19">
        <v>11.72</v>
      </c>
      <c r="N1742" s="11">
        <v>0</v>
      </c>
      <c r="O1742" s="17">
        <f t="shared" si="111"/>
        <v>155.60999999999999</v>
      </c>
      <c r="P1742" s="17">
        <f t="shared" si="108"/>
        <v>105.48</v>
      </c>
      <c r="Q1742" s="17">
        <f t="shared" si="109"/>
        <v>50.129999999999981</v>
      </c>
      <c r="R1742" s="24">
        <f t="shared" si="110"/>
        <v>0.32215153267784835</v>
      </c>
      <c r="S1742" t="s">
        <v>63</v>
      </c>
      <c r="T1742" t="s">
        <v>145</v>
      </c>
    </row>
    <row r="1743" spans="1:20">
      <c r="A1743" t="s">
        <v>1811</v>
      </c>
      <c r="B1743" s="5">
        <v>46004</v>
      </c>
      <c r="C1743" s="8">
        <f>YEAR(Tabla2[[#This Row],[fecha]])</f>
        <v>2025</v>
      </c>
      <c r="D1743" s="8">
        <f>MONTH(Tabla2[[#This Row],[fecha]])</f>
        <v>12</v>
      </c>
      <c r="E1743" s="8" t="str">
        <f>TEXT(Tabla2[[#This Row],[fecha]], "mmmm")</f>
        <v>diciembre</v>
      </c>
      <c r="F1743" s="8" t="str">
        <f>"T"&amp;ROUNDUP(Tabla2[[#This Row],[mes]]/3,0)</f>
        <v>T4</v>
      </c>
      <c r="G1743" t="s">
        <v>45</v>
      </c>
      <c r="H1743" t="s">
        <v>46</v>
      </c>
      <c r="I1743" s="8" t="str">
        <f>IF(Tabla2[[#This Row],[precio_unitario]]&lt;=30,"Económico",IF(Tabla2[[#This Row],[precio_unitario]]&lt;=58.49,"Accesible","Caro"))</f>
        <v>Accesible</v>
      </c>
      <c r="J1743" t="s">
        <v>44</v>
      </c>
      <c r="K1743">
        <v>1</v>
      </c>
      <c r="L1743" s="19">
        <v>30.98</v>
      </c>
      <c r="M1743" s="19">
        <v>17.98</v>
      </c>
      <c r="N1743" s="11">
        <v>0.23</v>
      </c>
      <c r="O1743" s="17">
        <f t="shared" si="111"/>
        <v>23.854600000000001</v>
      </c>
      <c r="P1743" s="17">
        <f t="shared" si="108"/>
        <v>17.98</v>
      </c>
      <c r="Q1743" s="17">
        <f t="shared" si="109"/>
        <v>5.8746000000000009</v>
      </c>
      <c r="R1743" s="24">
        <f t="shared" si="110"/>
        <v>0.2462669673773612</v>
      </c>
      <c r="S1743" t="s">
        <v>67</v>
      </c>
      <c r="T1743" t="s">
        <v>64</v>
      </c>
    </row>
    <row r="1744" spans="1:20" hidden="1">
      <c r="A1744" t="s">
        <v>1812</v>
      </c>
      <c r="B1744" s="5">
        <v>45894</v>
      </c>
      <c r="C1744" s="8">
        <f>YEAR(Tabla2[[#This Row],[fecha]])</f>
        <v>2025</v>
      </c>
      <c r="D1744" s="8">
        <f>MONTH(Tabla2[[#This Row],[fecha]])</f>
        <v>8</v>
      </c>
      <c r="E1744" s="8" t="str">
        <f>TEXT(Tabla2[[#This Row],[fecha]], "mmmm")</f>
        <v>agosto</v>
      </c>
      <c r="F1744" s="8" t="str">
        <f>"T"&amp;ROUNDUP(Tabla2[[#This Row],[mes]]/3,0)</f>
        <v>T3</v>
      </c>
      <c r="G1744" t="s">
        <v>31</v>
      </c>
      <c r="H1744" t="s">
        <v>32</v>
      </c>
      <c r="I1744" s="8" t="str">
        <f>IF(Tabla2[[#This Row],[precio_unitario]]&lt;=30,"Económico",IF(Tabla2[[#This Row],[precio_unitario]]&lt;=58.49,"Accesible","Caro"))</f>
        <v>Económico</v>
      </c>
      <c r="J1744" t="s">
        <v>26</v>
      </c>
      <c r="K1744">
        <v>6</v>
      </c>
      <c r="L1744" s="19">
        <v>8.4499999999999993</v>
      </c>
      <c r="M1744" s="19">
        <v>5.58</v>
      </c>
      <c r="N1744" s="13">
        <v>0</v>
      </c>
      <c r="O1744" s="17">
        <f t="shared" si="111"/>
        <v>50.699999999999996</v>
      </c>
      <c r="P1744" s="17">
        <f t="shared" si="108"/>
        <v>33.480000000000004</v>
      </c>
      <c r="Q1744" s="17">
        <f t="shared" si="109"/>
        <v>17.219999999999992</v>
      </c>
      <c r="R1744" s="24">
        <f t="shared" si="110"/>
        <v>0.33964497041420105</v>
      </c>
      <c r="S1744" t="s">
        <v>540</v>
      </c>
      <c r="T1744" t="s">
        <v>64</v>
      </c>
    </row>
    <row r="1745" spans="1:20">
      <c r="A1745" t="s">
        <v>1813</v>
      </c>
      <c r="B1745" s="5">
        <v>45736</v>
      </c>
      <c r="C1745" s="8">
        <f>YEAR(Tabla2[[#This Row],[fecha]])</f>
        <v>2025</v>
      </c>
      <c r="D1745" s="8">
        <f>MONTH(Tabla2[[#This Row],[fecha]])</f>
        <v>3</v>
      </c>
      <c r="E1745" s="8" t="str">
        <f>TEXT(Tabla2[[#This Row],[fecha]], "mmmm")</f>
        <v>marzo</v>
      </c>
      <c r="F1745" s="8" t="str">
        <f>"T"&amp;ROUNDUP(Tabla2[[#This Row],[mes]]/3,0)</f>
        <v>T1</v>
      </c>
      <c r="G1745" t="s">
        <v>18</v>
      </c>
      <c r="H1745" t="s">
        <v>19</v>
      </c>
      <c r="I1745" s="8" t="str">
        <f>IF(Tabla2[[#This Row],[precio_unitario]]&lt;=30,"Económico",IF(Tabla2[[#This Row],[precio_unitario]]&lt;=58.49,"Accesible","Caro"))</f>
        <v>Accesible</v>
      </c>
      <c r="J1745" t="s">
        <v>17</v>
      </c>
      <c r="K1745">
        <v>4</v>
      </c>
      <c r="L1745" s="19">
        <v>49.73</v>
      </c>
      <c r="M1745" s="19">
        <v>25.45</v>
      </c>
      <c r="N1745" s="11">
        <v>0</v>
      </c>
      <c r="O1745" s="17">
        <f t="shared" si="111"/>
        <v>198.92</v>
      </c>
      <c r="P1745" s="17">
        <f t="shared" si="108"/>
        <v>101.8</v>
      </c>
      <c r="Q1745" s="17">
        <f t="shared" si="109"/>
        <v>97.11999999999999</v>
      </c>
      <c r="R1745" s="24">
        <f t="shared" si="110"/>
        <v>0.48823647697566858</v>
      </c>
      <c r="S1745" t="s">
        <v>67</v>
      </c>
      <c r="T1745" t="s">
        <v>64</v>
      </c>
    </row>
    <row r="1746" spans="1:20" hidden="1">
      <c r="A1746" t="s">
        <v>1814</v>
      </c>
      <c r="B1746" s="5">
        <v>45296</v>
      </c>
      <c r="C1746" s="8">
        <f>YEAR(Tabla2[[#This Row],[fecha]])</f>
        <v>2024</v>
      </c>
      <c r="D1746" s="8">
        <f>MONTH(Tabla2[[#This Row],[fecha]])</f>
        <v>1</v>
      </c>
      <c r="E1746" s="8" t="str">
        <f>TEXT(Tabla2[[#This Row],[fecha]], "mmmm")</f>
        <v>enero</v>
      </c>
      <c r="F1746" s="8" t="str">
        <f>"T"&amp;ROUNDUP(Tabla2[[#This Row],[mes]]/3,0)</f>
        <v>T1</v>
      </c>
      <c r="G1746" t="s">
        <v>9</v>
      </c>
      <c r="H1746" t="s">
        <v>10</v>
      </c>
      <c r="I1746" s="8" t="str">
        <f>IF(Tabla2[[#This Row],[precio_unitario]]&lt;=30,"Económico",IF(Tabla2[[#This Row],[precio_unitario]]&lt;=58.49,"Accesible","Caro"))</f>
        <v>Caro</v>
      </c>
      <c r="J1746" t="s">
        <v>8</v>
      </c>
      <c r="K1746">
        <v>6</v>
      </c>
      <c r="L1746" s="19">
        <v>69.77</v>
      </c>
      <c r="M1746" s="19">
        <v>48.58</v>
      </c>
      <c r="N1746" s="11">
        <v>0</v>
      </c>
      <c r="O1746" s="17">
        <f t="shared" si="111"/>
        <v>418.62</v>
      </c>
      <c r="P1746" s="17">
        <f t="shared" si="108"/>
        <v>291.48</v>
      </c>
      <c r="Q1746" s="17">
        <f t="shared" si="109"/>
        <v>127.13999999999999</v>
      </c>
      <c r="R1746" s="24">
        <f t="shared" si="110"/>
        <v>0.30371219721943526</v>
      </c>
      <c r="S1746" t="s">
        <v>540</v>
      </c>
      <c r="T1746" t="s">
        <v>60</v>
      </c>
    </row>
    <row r="1747" spans="1:20" hidden="1">
      <c r="A1747" t="s">
        <v>1815</v>
      </c>
      <c r="B1747" s="5">
        <v>45415</v>
      </c>
      <c r="C1747" s="8">
        <f>YEAR(Tabla2[[#This Row],[fecha]])</f>
        <v>2024</v>
      </c>
      <c r="D1747" s="8">
        <f>MONTH(Tabla2[[#This Row],[fecha]])</f>
        <v>5</v>
      </c>
      <c r="E1747" s="8" t="str">
        <f>TEXT(Tabla2[[#This Row],[fecha]], "mmmm")</f>
        <v>mayo</v>
      </c>
      <c r="F1747" s="8" t="str">
        <f>"T"&amp;ROUNDUP(Tabla2[[#This Row],[mes]]/3,0)</f>
        <v>T2</v>
      </c>
      <c r="G1747" t="s">
        <v>45</v>
      </c>
      <c r="H1747" t="s">
        <v>46</v>
      </c>
      <c r="I1747" s="8" t="str">
        <f>IF(Tabla2[[#This Row],[precio_unitario]]&lt;=30,"Económico",IF(Tabla2[[#This Row],[precio_unitario]]&lt;=58.49,"Accesible","Caro"))</f>
        <v>Económico</v>
      </c>
      <c r="J1747" t="s">
        <v>44</v>
      </c>
      <c r="K1747">
        <v>2</v>
      </c>
      <c r="L1747" s="19">
        <v>28.73</v>
      </c>
      <c r="M1747" s="19">
        <v>17.850000000000001</v>
      </c>
      <c r="N1747" s="11">
        <v>0</v>
      </c>
      <c r="O1747" s="17">
        <f t="shared" si="111"/>
        <v>57.46</v>
      </c>
      <c r="P1747" s="17">
        <f t="shared" si="108"/>
        <v>35.700000000000003</v>
      </c>
      <c r="Q1747" s="17">
        <f t="shared" si="109"/>
        <v>21.759999999999998</v>
      </c>
      <c r="R1747" s="24">
        <f t="shared" si="110"/>
        <v>0.37869822485207094</v>
      </c>
      <c r="S1747" t="s">
        <v>63</v>
      </c>
      <c r="T1747" t="s">
        <v>64</v>
      </c>
    </row>
    <row r="1748" spans="1:20">
      <c r="A1748" t="s">
        <v>1816</v>
      </c>
      <c r="B1748" s="5">
        <v>45734</v>
      </c>
      <c r="C1748" s="8">
        <f>YEAR(Tabla2[[#This Row],[fecha]])</f>
        <v>2025</v>
      </c>
      <c r="D1748" s="8">
        <f>MONTH(Tabla2[[#This Row],[fecha]])</f>
        <v>3</v>
      </c>
      <c r="E1748" s="8" t="str">
        <f>TEXT(Tabla2[[#This Row],[fecha]], "mmmm")</f>
        <v>marzo</v>
      </c>
      <c r="F1748" s="8" t="str">
        <f>"T"&amp;ROUNDUP(Tabla2[[#This Row],[mes]]/3,0)</f>
        <v>T1</v>
      </c>
      <c r="G1748" t="s">
        <v>33</v>
      </c>
      <c r="H1748" t="s">
        <v>34</v>
      </c>
      <c r="I1748" s="8" t="str">
        <f>IF(Tabla2[[#This Row],[precio_unitario]]&lt;=30,"Económico",IF(Tabla2[[#This Row],[precio_unitario]]&lt;=58.49,"Accesible","Caro"))</f>
        <v>Caro</v>
      </c>
      <c r="J1748" t="s">
        <v>35</v>
      </c>
      <c r="K1748">
        <v>2</v>
      </c>
      <c r="L1748" s="19">
        <v>74.3</v>
      </c>
      <c r="M1748" s="19">
        <v>46.41</v>
      </c>
      <c r="N1748" s="13">
        <v>0</v>
      </c>
      <c r="O1748" s="17">
        <f t="shared" si="111"/>
        <v>148.6</v>
      </c>
      <c r="P1748" s="17">
        <f t="shared" si="108"/>
        <v>92.82</v>
      </c>
      <c r="Q1748" s="17">
        <f t="shared" si="109"/>
        <v>55.78</v>
      </c>
      <c r="R1748" s="24">
        <f t="shared" si="110"/>
        <v>0.37537012113055185</v>
      </c>
      <c r="S1748" t="s">
        <v>67</v>
      </c>
      <c r="T1748" t="s">
        <v>64</v>
      </c>
    </row>
    <row r="1749" spans="1:20" hidden="1">
      <c r="A1749" t="s">
        <v>1817</v>
      </c>
      <c r="B1749" s="5">
        <v>45776</v>
      </c>
      <c r="C1749" s="8">
        <f>YEAR(Tabla2[[#This Row],[fecha]])</f>
        <v>2025</v>
      </c>
      <c r="D1749" s="8">
        <f>MONTH(Tabla2[[#This Row],[fecha]])</f>
        <v>4</v>
      </c>
      <c r="E1749" s="8" t="str">
        <f>TEXT(Tabla2[[#This Row],[fecha]], "mmmm")</f>
        <v>abril</v>
      </c>
      <c r="F1749" s="8" t="str">
        <f>"T"&amp;ROUNDUP(Tabla2[[#This Row],[mes]]/3,0)</f>
        <v>T2</v>
      </c>
      <c r="G1749" t="s">
        <v>27</v>
      </c>
      <c r="H1749" t="s">
        <v>28</v>
      </c>
      <c r="I1749" s="8" t="str">
        <f>IF(Tabla2[[#This Row],[precio_unitario]]&lt;=30,"Económico",IF(Tabla2[[#This Row],[precio_unitario]]&lt;=58.49,"Accesible","Caro"))</f>
        <v>Económico</v>
      </c>
      <c r="J1749" t="s">
        <v>26</v>
      </c>
      <c r="K1749">
        <v>2</v>
      </c>
      <c r="L1749" s="19">
        <v>17.14</v>
      </c>
      <c r="M1749" s="19">
        <v>11.21</v>
      </c>
      <c r="N1749" s="11">
        <v>0</v>
      </c>
      <c r="O1749" s="17">
        <f t="shared" si="111"/>
        <v>34.28</v>
      </c>
      <c r="P1749" s="17">
        <f t="shared" si="108"/>
        <v>22.42</v>
      </c>
      <c r="Q1749" s="17">
        <f t="shared" si="109"/>
        <v>11.86</v>
      </c>
      <c r="R1749" s="24">
        <f t="shared" si="110"/>
        <v>0.34597432905484243</v>
      </c>
      <c r="S1749" t="s">
        <v>540</v>
      </c>
      <c r="T1749" t="s">
        <v>60</v>
      </c>
    </row>
    <row r="1750" spans="1:20" hidden="1">
      <c r="A1750" t="s">
        <v>1818</v>
      </c>
      <c r="B1750" s="5">
        <v>45669</v>
      </c>
      <c r="C1750" s="8">
        <f>YEAR(Tabla2[[#This Row],[fecha]])</f>
        <v>2025</v>
      </c>
      <c r="D1750" s="8">
        <f>MONTH(Tabla2[[#This Row],[fecha]])</f>
        <v>1</v>
      </c>
      <c r="E1750" s="8" t="str">
        <f>TEXT(Tabla2[[#This Row],[fecha]], "mmmm")</f>
        <v>enero</v>
      </c>
      <c r="F1750" s="8" t="str">
        <f>"T"&amp;ROUNDUP(Tabla2[[#This Row],[mes]]/3,0)</f>
        <v>T1</v>
      </c>
      <c r="G1750" t="s">
        <v>38</v>
      </c>
      <c r="H1750" t="s">
        <v>39</v>
      </c>
      <c r="I1750" s="8" t="str">
        <f>IF(Tabla2[[#This Row],[precio_unitario]]&lt;=30,"Económico",IF(Tabla2[[#This Row],[precio_unitario]]&lt;=58.49,"Accesible","Caro"))</f>
        <v>Caro</v>
      </c>
      <c r="J1750" t="s">
        <v>35</v>
      </c>
      <c r="K1750">
        <v>4</v>
      </c>
      <c r="L1750" s="19">
        <v>78.92</v>
      </c>
      <c r="M1750" s="19">
        <v>43.98</v>
      </c>
      <c r="N1750" s="11">
        <v>0</v>
      </c>
      <c r="O1750" s="17">
        <f t="shared" si="111"/>
        <v>315.68</v>
      </c>
      <c r="P1750" s="17">
        <f t="shared" si="108"/>
        <v>175.92</v>
      </c>
      <c r="Q1750" s="17">
        <f t="shared" si="109"/>
        <v>139.76000000000002</v>
      </c>
      <c r="R1750" s="24">
        <f t="shared" si="110"/>
        <v>0.44272681196148</v>
      </c>
      <c r="S1750" t="s">
        <v>540</v>
      </c>
      <c r="T1750" t="s">
        <v>64</v>
      </c>
    </row>
    <row r="1751" spans="1:20" hidden="1">
      <c r="A1751" t="s">
        <v>1819</v>
      </c>
      <c r="B1751" s="5">
        <v>45593</v>
      </c>
      <c r="C1751" s="8">
        <f>YEAR(Tabla2[[#This Row],[fecha]])</f>
        <v>2024</v>
      </c>
      <c r="D1751" s="8">
        <f>MONTH(Tabla2[[#This Row],[fecha]])</f>
        <v>10</v>
      </c>
      <c r="E1751" s="8" t="str">
        <f>TEXT(Tabla2[[#This Row],[fecha]], "mmmm")</f>
        <v>octubre</v>
      </c>
      <c r="F1751" s="8" t="str">
        <f>"T"&amp;ROUNDUP(Tabla2[[#This Row],[mes]]/3,0)</f>
        <v>T4</v>
      </c>
      <c r="G1751" t="s">
        <v>45</v>
      </c>
      <c r="H1751" t="s">
        <v>46</v>
      </c>
      <c r="I1751" s="8" t="str">
        <f>IF(Tabla2[[#This Row],[precio_unitario]]&lt;=30,"Económico",IF(Tabla2[[#This Row],[precio_unitario]]&lt;=58.49,"Accesible","Caro"))</f>
        <v>Accesible</v>
      </c>
      <c r="J1751" t="s">
        <v>44</v>
      </c>
      <c r="K1751">
        <v>3</v>
      </c>
      <c r="L1751" s="19">
        <v>30.04</v>
      </c>
      <c r="M1751" s="19">
        <v>17.260000000000002</v>
      </c>
      <c r="N1751" s="11">
        <v>0</v>
      </c>
      <c r="O1751" s="17">
        <f t="shared" si="111"/>
        <v>90.12</v>
      </c>
      <c r="P1751" s="17">
        <f t="shared" si="108"/>
        <v>51.78</v>
      </c>
      <c r="Q1751" s="17">
        <f t="shared" si="109"/>
        <v>38.340000000000003</v>
      </c>
      <c r="R1751" s="24">
        <f t="shared" si="110"/>
        <v>0.42543275632490013</v>
      </c>
      <c r="S1751" t="s">
        <v>540</v>
      </c>
      <c r="T1751" t="s">
        <v>64</v>
      </c>
    </row>
    <row r="1752" spans="1:20" hidden="1">
      <c r="A1752" t="s">
        <v>1820</v>
      </c>
      <c r="B1752" s="5">
        <v>45727</v>
      </c>
      <c r="C1752" s="8">
        <f>YEAR(Tabla2[[#This Row],[fecha]])</f>
        <v>2025</v>
      </c>
      <c r="D1752" s="8">
        <f>MONTH(Tabla2[[#This Row],[fecha]])</f>
        <v>3</v>
      </c>
      <c r="E1752" s="8" t="str">
        <f>TEXT(Tabla2[[#This Row],[fecha]], "mmmm")</f>
        <v>marzo</v>
      </c>
      <c r="F1752" s="8" t="str">
        <f>"T"&amp;ROUNDUP(Tabla2[[#This Row],[mes]]/3,0)</f>
        <v>T1</v>
      </c>
      <c r="G1752" t="s">
        <v>49</v>
      </c>
      <c r="H1752" t="s">
        <v>50</v>
      </c>
      <c r="I1752" s="8" t="str">
        <f>IF(Tabla2[[#This Row],[precio_unitario]]&lt;=30,"Económico",IF(Tabla2[[#This Row],[precio_unitario]]&lt;=58.49,"Accesible","Caro"))</f>
        <v>Caro</v>
      </c>
      <c r="J1752" t="s">
        <v>44</v>
      </c>
      <c r="K1752">
        <v>2</v>
      </c>
      <c r="L1752" s="19">
        <v>59.21</v>
      </c>
      <c r="M1752" s="19">
        <v>32.85</v>
      </c>
      <c r="N1752" s="11">
        <v>0</v>
      </c>
      <c r="O1752" s="17">
        <f t="shared" si="111"/>
        <v>118.42</v>
      </c>
      <c r="P1752" s="17">
        <f t="shared" si="108"/>
        <v>65.7</v>
      </c>
      <c r="Q1752" s="17">
        <f t="shared" si="109"/>
        <v>52.72</v>
      </c>
      <c r="R1752" s="24">
        <f t="shared" si="110"/>
        <v>0.44519506840060796</v>
      </c>
      <c r="S1752" t="s">
        <v>83</v>
      </c>
      <c r="T1752" t="s">
        <v>64</v>
      </c>
    </row>
    <row r="1753" spans="1:20">
      <c r="A1753" t="s">
        <v>1821</v>
      </c>
      <c r="B1753" s="5">
        <v>45755</v>
      </c>
      <c r="C1753" s="8">
        <f>YEAR(Tabla2[[#This Row],[fecha]])</f>
        <v>2025</v>
      </c>
      <c r="D1753" s="8">
        <f>MONTH(Tabla2[[#This Row],[fecha]])</f>
        <v>4</v>
      </c>
      <c r="E1753" s="8" t="str">
        <f>TEXT(Tabla2[[#This Row],[fecha]], "mmmm")</f>
        <v>abril</v>
      </c>
      <c r="F1753" s="8" t="str">
        <f>"T"&amp;ROUNDUP(Tabla2[[#This Row],[mes]]/3,0)</f>
        <v>T2</v>
      </c>
      <c r="G1753" t="s">
        <v>13</v>
      </c>
      <c r="H1753" t="s">
        <v>14</v>
      </c>
      <c r="I1753" s="8" t="str">
        <f>IF(Tabla2[[#This Row],[precio_unitario]]&lt;=30,"Económico",IF(Tabla2[[#This Row],[precio_unitario]]&lt;=58.49,"Accesible","Caro"))</f>
        <v>Caro</v>
      </c>
      <c r="J1753" t="s">
        <v>8</v>
      </c>
      <c r="K1753">
        <v>2</v>
      </c>
      <c r="L1753" s="19">
        <v>158.44</v>
      </c>
      <c r="M1753" s="19">
        <v>110.72</v>
      </c>
      <c r="N1753" s="11">
        <v>0</v>
      </c>
      <c r="O1753" s="17">
        <f t="shared" si="111"/>
        <v>316.88</v>
      </c>
      <c r="P1753" s="17">
        <f t="shared" si="108"/>
        <v>221.44</v>
      </c>
      <c r="Q1753" s="17">
        <f t="shared" si="109"/>
        <v>95.44</v>
      </c>
      <c r="R1753" s="24">
        <f t="shared" si="110"/>
        <v>0.30118656904822017</v>
      </c>
      <c r="S1753" t="s">
        <v>67</v>
      </c>
      <c r="T1753" t="s">
        <v>64</v>
      </c>
    </row>
    <row r="1754" spans="1:20" hidden="1">
      <c r="A1754" t="s">
        <v>1822</v>
      </c>
      <c r="B1754" s="5">
        <v>45435</v>
      </c>
      <c r="C1754" s="8">
        <f>YEAR(Tabla2[[#This Row],[fecha]])</f>
        <v>2024</v>
      </c>
      <c r="D1754" s="8">
        <f>MONTH(Tabla2[[#This Row],[fecha]])</f>
        <v>5</v>
      </c>
      <c r="E1754" s="8" t="str">
        <f>TEXT(Tabla2[[#This Row],[fecha]], "mmmm")</f>
        <v>mayo</v>
      </c>
      <c r="F1754" s="8" t="str">
        <f>"T"&amp;ROUNDUP(Tabla2[[#This Row],[mes]]/3,0)</f>
        <v>T2</v>
      </c>
      <c r="G1754" t="s">
        <v>38</v>
      </c>
      <c r="H1754" t="s">
        <v>39</v>
      </c>
      <c r="I1754" s="8" t="str">
        <f>IF(Tabla2[[#This Row],[precio_unitario]]&lt;=30,"Económico",IF(Tabla2[[#This Row],[precio_unitario]]&lt;=58.49,"Accesible","Caro"))</f>
        <v>Caro</v>
      </c>
      <c r="J1754" t="s">
        <v>35</v>
      </c>
      <c r="K1754">
        <v>2</v>
      </c>
      <c r="L1754" s="19">
        <v>73.28</v>
      </c>
      <c r="M1754" s="19">
        <v>40.729999999999997</v>
      </c>
      <c r="N1754" s="11">
        <v>0</v>
      </c>
      <c r="O1754" s="17">
        <f t="shared" si="111"/>
        <v>146.56</v>
      </c>
      <c r="P1754" s="17">
        <f t="shared" si="108"/>
        <v>81.459999999999994</v>
      </c>
      <c r="Q1754" s="17">
        <f t="shared" si="109"/>
        <v>65.100000000000009</v>
      </c>
      <c r="R1754" s="24">
        <f t="shared" si="110"/>
        <v>0.44418668122270749</v>
      </c>
      <c r="S1754" t="s">
        <v>63</v>
      </c>
      <c r="T1754" t="s">
        <v>64</v>
      </c>
    </row>
    <row r="1755" spans="1:20" hidden="1">
      <c r="A1755" t="s">
        <v>1823</v>
      </c>
      <c r="B1755" s="5">
        <v>45376</v>
      </c>
      <c r="C1755" s="8">
        <f>YEAR(Tabla2[[#This Row],[fecha]])</f>
        <v>2024</v>
      </c>
      <c r="D1755" s="8">
        <f>MONTH(Tabla2[[#This Row],[fecha]])</f>
        <v>3</v>
      </c>
      <c r="E1755" s="8" t="str">
        <f>TEXT(Tabla2[[#This Row],[fecha]], "mmmm")</f>
        <v>marzo</v>
      </c>
      <c r="F1755" s="8" t="str">
        <f>"T"&amp;ROUNDUP(Tabla2[[#This Row],[mes]]/3,0)</f>
        <v>T1</v>
      </c>
      <c r="G1755" t="s">
        <v>13</v>
      </c>
      <c r="H1755" t="s">
        <v>14</v>
      </c>
      <c r="I1755" s="8" t="str">
        <f>IF(Tabla2[[#This Row],[precio_unitario]]&lt;=30,"Económico",IF(Tabla2[[#This Row],[precio_unitario]]&lt;=58.49,"Accesible","Caro"))</f>
        <v>Caro</v>
      </c>
      <c r="J1755" t="s">
        <v>8</v>
      </c>
      <c r="K1755">
        <v>2</v>
      </c>
      <c r="L1755" s="19">
        <v>170.9</v>
      </c>
      <c r="M1755" s="19">
        <v>114.24</v>
      </c>
      <c r="N1755" s="11">
        <v>0.25</v>
      </c>
      <c r="O1755" s="17">
        <f t="shared" si="111"/>
        <v>256.35000000000002</v>
      </c>
      <c r="P1755" s="17">
        <f t="shared" si="108"/>
        <v>228.48</v>
      </c>
      <c r="Q1755" s="17">
        <f t="shared" si="109"/>
        <v>27.870000000000033</v>
      </c>
      <c r="R1755" s="24">
        <f t="shared" si="110"/>
        <v>0.10871854885898198</v>
      </c>
      <c r="S1755" t="s">
        <v>63</v>
      </c>
      <c r="T1755" t="s">
        <v>64</v>
      </c>
    </row>
    <row r="1756" spans="1:20" hidden="1">
      <c r="A1756" t="s">
        <v>1824</v>
      </c>
      <c r="B1756" s="5">
        <v>45565</v>
      </c>
      <c r="C1756" s="8">
        <f>YEAR(Tabla2[[#This Row],[fecha]])</f>
        <v>2024</v>
      </c>
      <c r="D1756" s="8">
        <f>MONTH(Tabla2[[#This Row],[fecha]])</f>
        <v>9</v>
      </c>
      <c r="E1756" s="8" t="str">
        <f>TEXT(Tabla2[[#This Row],[fecha]], "mmmm")</f>
        <v>septiembre</v>
      </c>
      <c r="F1756" s="8" t="str">
        <f>"T"&amp;ROUNDUP(Tabla2[[#This Row],[mes]]/3,0)</f>
        <v>T3</v>
      </c>
      <c r="G1756" t="s">
        <v>15</v>
      </c>
      <c r="H1756" t="s">
        <v>16</v>
      </c>
      <c r="I1756" s="8" t="str">
        <f>IF(Tabla2[[#This Row],[precio_unitario]]&lt;=30,"Económico",IF(Tabla2[[#This Row],[precio_unitario]]&lt;=58.49,"Accesible","Caro"))</f>
        <v>Caro</v>
      </c>
      <c r="J1756" t="s">
        <v>17</v>
      </c>
      <c r="K1756">
        <v>7</v>
      </c>
      <c r="L1756" s="19">
        <v>60.04</v>
      </c>
      <c r="M1756" s="19">
        <v>39.49</v>
      </c>
      <c r="N1756" s="11">
        <v>0</v>
      </c>
      <c r="O1756" s="17">
        <f t="shared" si="111"/>
        <v>420.28</v>
      </c>
      <c r="P1756" s="17">
        <f t="shared" si="108"/>
        <v>276.43</v>
      </c>
      <c r="Q1756" s="17">
        <f t="shared" si="109"/>
        <v>143.84999999999997</v>
      </c>
      <c r="R1756" s="24">
        <f t="shared" si="110"/>
        <v>0.34227181878747498</v>
      </c>
      <c r="S1756" t="s">
        <v>96</v>
      </c>
      <c r="T1756" t="s">
        <v>64</v>
      </c>
    </row>
    <row r="1757" spans="1:20" hidden="1">
      <c r="A1757" t="s">
        <v>1825</v>
      </c>
      <c r="B1757" s="5">
        <v>45410</v>
      </c>
      <c r="C1757" s="8">
        <f>YEAR(Tabla2[[#This Row],[fecha]])</f>
        <v>2024</v>
      </c>
      <c r="D1757" s="8">
        <f>MONTH(Tabla2[[#This Row],[fecha]])</f>
        <v>4</v>
      </c>
      <c r="E1757" s="8" t="str">
        <f>TEXT(Tabla2[[#This Row],[fecha]], "mmmm")</f>
        <v>abril</v>
      </c>
      <c r="F1757" s="8" t="str">
        <f>"T"&amp;ROUNDUP(Tabla2[[#This Row],[mes]]/3,0)</f>
        <v>T2</v>
      </c>
      <c r="G1757" t="s">
        <v>40</v>
      </c>
      <c r="H1757" t="s">
        <v>41</v>
      </c>
      <c r="I1757" s="8" t="str">
        <f>IF(Tabla2[[#This Row],[precio_unitario]]&lt;=30,"Económico",IF(Tabla2[[#This Row],[precio_unitario]]&lt;=58.49,"Accesible","Caro"))</f>
        <v>Caro</v>
      </c>
      <c r="J1757" t="s">
        <v>35</v>
      </c>
      <c r="K1757">
        <v>1</v>
      </c>
      <c r="L1757" s="19">
        <v>81.02</v>
      </c>
      <c r="M1757" s="19">
        <v>42.01</v>
      </c>
      <c r="N1757" s="11">
        <v>0</v>
      </c>
      <c r="O1757" s="17">
        <f t="shared" si="111"/>
        <v>81.02</v>
      </c>
      <c r="P1757" s="17">
        <f t="shared" si="108"/>
        <v>42.01</v>
      </c>
      <c r="Q1757" s="17">
        <f t="shared" si="109"/>
        <v>39.01</v>
      </c>
      <c r="R1757" s="24">
        <f t="shared" si="110"/>
        <v>0.48148605282646262</v>
      </c>
      <c r="S1757" t="s">
        <v>67</v>
      </c>
      <c r="T1757" t="s">
        <v>64</v>
      </c>
    </row>
    <row r="1758" spans="1:20">
      <c r="A1758" t="s">
        <v>1826</v>
      </c>
      <c r="B1758" s="5">
        <v>45961</v>
      </c>
      <c r="C1758" s="8">
        <f>YEAR(Tabla2[[#This Row],[fecha]])</f>
        <v>2025</v>
      </c>
      <c r="D1758" s="8">
        <f>MONTH(Tabla2[[#This Row],[fecha]])</f>
        <v>10</v>
      </c>
      <c r="E1758" s="8" t="str">
        <f>TEXT(Tabla2[[#This Row],[fecha]], "mmmm")</f>
        <v>octubre</v>
      </c>
      <c r="F1758" s="8" t="str">
        <f>"T"&amp;ROUNDUP(Tabla2[[#This Row],[mes]]/3,0)</f>
        <v>T4</v>
      </c>
      <c r="G1758" t="s">
        <v>6</v>
      </c>
      <c r="H1758" t="s">
        <v>7</v>
      </c>
      <c r="I1758" s="8" t="str">
        <f>IF(Tabla2[[#This Row],[precio_unitario]]&lt;=30,"Económico",IF(Tabla2[[#This Row],[precio_unitario]]&lt;=58.49,"Accesible","Caro"))</f>
        <v>Caro</v>
      </c>
      <c r="J1758" t="s">
        <v>8</v>
      </c>
      <c r="K1758">
        <v>2</v>
      </c>
      <c r="L1758" s="19">
        <v>113.1</v>
      </c>
      <c r="M1758" s="19">
        <v>81.05</v>
      </c>
      <c r="N1758" s="11">
        <v>0</v>
      </c>
      <c r="O1758" s="17">
        <f t="shared" si="111"/>
        <v>226.2</v>
      </c>
      <c r="P1758" s="17">
        <f t="shared" si="108"/>
        <v>162.1</v>
      </c>
      <c r="Q1758" s="17">
        <f t="shared" si="109"/>
        <v>64.099999999999994</v>
      </c>
      <c r="R1758" s="24">
        <f t="shared" si="110"/>
        <v>0.28337754199823162</v>
      </c>
      <c r="S1758" t="s">
        <v>67</v>
      </c>
      <c r="T1758" t="s">
        <v>64</v>
      </c>
    </row>
    <row r="1759" spans="1:20" hidden="1">
      <c r="A1759" t="s">
        <v>1827</v>
      </c>
      <c r="B1759" s="5">
        <v>45398</v>
      </c>
      <c r="C1759" s="8">
        <f>YEAR(Tabla2[[#This Row],[fecha]])</f>
        <v>2024</v>
      </c>
      <c r="D1759" s="8">
        <f>MONTH(Tabla2[[#This Row],[fecha]])</f>
        <v>4</v>
      </c>
      <c r="E1759" s="8" t="str">
        <f>TEXT(Tabla2[[#This Row],[fecha]], "mmmm")</f>
        <v>abril</v>
      </c>
      <c r="F1759" s="8" t="str">
        <f>"T"&amp;ROUNDUP(Tabla2[[#This Row],[mes]]/3,0)</f>
        <v>T2</v>
      </c>
      <c r="G1759" t="s">
        <v>42</v>
      </c>
      <c r="H1759" t="s">
        <v>43</v>
      </c>
      <c r="I1759" s="8" t="str">
        <f>IF(Tabla2[[#This Row],[precio_unitario]]&lt;=30,"Económico",IF(Tabla2[[#This Row],[precio_unitario]]&lt;=58.49,"Accesible","Caro"))</f>
        <v>Accesible</v>
      </c>
      <c r="J1759" t="s">
        <v>44</v>
      </c>
      <c r="K1759">
        <v>1</v>
      </c>
      <c r="L1759" s="19">
        <v>45.71</v>
      </c>
      <c r="M1759" s="19">
        <v>22.65</v>
      </c>
      <c r="N1759" s="11">
        <v>0</v>
      </c>
      <c r="O1759" s="17">
        <f t="shared" si="111"/>
        <v>45.71</v>
      </c>
      <c r="P1759" s="17">
        <f t="shared" si="108"/>
        <v>22.65</v>
      </c>
      <c r="Q1759" s="17">
        <f t="shared" si="109"/>
        <v>23.060000000000002</v>
      </c>
      <c r="R1759" s="24">
        <f t="shared" si="110"/>
        <v>0.50448479544957348</v>
      </c>
      <c r="S1759" t="s">
        <v>63</v>
      </c>
      <c r="T1759" t="s">
        <v>60</v>
      </c>
    </row>
    <row r="1760" spans="1:20">
      <c r="A1760" t="s">
        <v>1828</v>
      </c>
      <c r="B1760" s="5">
        <v>45732</v>
      </c>
      <c r="C1760" s="8">
        <f>YEAR(Tabla2[[#This Row],[fecha]])</f>
        <v>2025</v>
      </c>
      <c r="D1760" s="8">
        <f>MONTH(Tabla2[[#This Row],[fecha]])</f>
        <v>3</v>
      </c>
      <c r="E1760" s="8" t="str">
        <f>TEXT(Tabla2[[#This Row],[fecha]], "mmmm")</f>
        <v>marzo</v>
      </c>
      <c r="F1760" s="8" t="str">
        <f>"T"&amp;ROUNDUP(Tabla2[[#This Row],[mes]]/3,0)</f>
        <v>T1</v>
      </c>
      <c r="G1760" t="s">
        <v>31</v>
      </c>
      <c r="H1760" t="s">
        <v>32</v>
      </c>
      <c r="I1760" s="8" t="str">
        <f>IF(Tabla2[[#This Row],[precio_unitario]]&lt;=30,"Económico",IF(Tabla2[[#This Row],[precio_unitario]]&lt;=58.49,"Accesible","Caro"))</f>
        <v>Económico</v>
      </c>
      <c r="J1760" t="s">
        <v>26</v>
      </c>
      <c r="K1760">
        <v>3</v>
      </c>
      <c r="L1760" s="19">
        <v>8.4700000000000006</v>
      </c>
      <c r="M1760" s="19">
        <v>5.61</v>
      </c>
      <c r="N1760" s="13">
        <v>0</v>
      </c>
      <c r="O1760" s="17">
        <f t="shared" si="111"/>
        <v>25.410000000000004</v>
      </c>
      <c r="P1760" s="17">
        <f t="shared" si="108"/>
        <v>16.830000000000002</v>
      </c>
      <c r="Q1760" s="17">
        <f t="shared" si="109"/>
        <v>8.5800000000000018</v>
      </c>
      <c r="R1760" s="24">
        <f t="shared" si="110"/>
        <v>0.33766233766233766</v>
      </c>
      <c r="S1760" t="s">
        <v>67</v>
      </c>
      <c r="T1760" t="s">
        <v>64</v>
      </c>
    </row>
    <row r="1761" spans="1:20" hidden="1">
      <c r="A1761" t="s">
        <v>1829</v>
      </c>
      <c r="B1761" s="5">
        <v>45685</v>
      </c>
      <c r="C1761" s="8">
        <f>YEAR(Tabla2[[#This Row],[fecha]])</f>
        <v>2025</v>
      </c>
      <c r="D1761" s="8">
        <f>MONTH(Tabla2[[#This Row],[fecha]])</f>
        <v>1</v>
      </c>
      <c r="E1761" s="8" t="str">
        <f>TEXT(Tabla2[[#This Row],[fecha]], "mmmm")</f>
        <v>enero</v>
      </c>
      <c r="F1761" s="8" t="str">
        <f>"T"&amp;ROUNDUP(Tabla2[[#This Row],[mes]]/3,0)</f>
        <v>T1</v>
      </c>
      <c r="G1761" t="s">
        <v>13</v>
      </c>
      <c r="H1761" t="s">
        <v>14</v>
      </c>
      <c r="I1761" s="8" t="str">
        <f>IF(Tabla2[[#This Row],[precio_unitario]]&lt;=30,"Económico",IF(Tabla2[[#This Row],[precio_unitario]]&lt;=58.49,"Accesible","Caro"))</f>
        <v>Caro</v>
      </c>
      <c r="J1761" t="s">
        <v>8</v>
      </c>
      <c r="K1761">
        <v>1</v>
      </c>
      <c r="L1761" s="19">
        <v>164.47</v>
      </c>
      <c r="M1761" s="19">
        <v>114.33</v>
      </c>
      <c r="N1761" s="11">
        <v>0</v>
      </c>
      <c r="O1761" s="17">
        <f t="shared" si="111"/>
        <v>164.47</v>
      </c>
      <c r="P1761" s="17">
        <f t="shared" si="108"/>
        <v>114.33</v>
      </c>
      <c r="Q1761" s="17">
        <f t="shared" si="109"/>
        <v>50.14</v>
      </c>
      <c r="R1761" s="24">
        <f t="shared" si="110"/>
        <v>0.30485802881984558</v>
      </c>
      <c r="S1761" s="10" t="s">
        <v>2377</v>
      </c>
      <c r="T1761" t="s">
        <v>64</v>
      </c>
    </row>
    <row r="1762" spans="1:20" hidden="1">
      <c r="A1762" t="s">
        <v>1830</v>
      </c>
      <c r="B1762" s="5">
        <v>45614</v>
      </c>
      <c r="C1762" s="8">
        <f>YEAR(Tabla2[[#This Row],[fecha]])</f>
        <v>2024</v>
      </c>
      <c r="D1762" s="8">
        <f>MONTH(Tabla2[[#This Row],[fecha]])</f>
        <v>11</v>
      </c>
      <c r="E1762" s="8" t="str">
        <f>TEXT(Tabla2[[#This Row],[fecha]], "mmmm")</f>
        <v>noviembre</v>
      </c>
      <c r="F1762" s="8" t="str">
        <f>"T"&amp;ROUNDUP(Tabla2[[#This Row],[mes]]/3,0)</f>
        <v>T4</v>
      </c>
      <c r="G1762" t="s">
        <v>31</v>
      </c>
      <c r="H1762" t="s">
        <v>32</v>
      </c>
      <c r="I1762" s="8" t="str">
        <f>IF(Tabla2[[#This Row],[precio_unitario]]&lt;=30,"Económico",IF(Tabla2[[#This Row],[precio_unitario]]&lt;=58.49,"Accesible","Caro"))</f>
        <v>Económico</v>
      </c>
      <c r="J1762" t="s">
        <v>26</v>
      </c>
      <c r="K1762">
        <v>4</v>
      </c>
      <c r="L1762" s="19">
        <v>8.49</v>
      </c>
      <c r="M1762" s="19">
        <v>5.62</v>
      </c>
      <c r="N1762" s="11">
        <v>0</v>
      </c>
      <c r="O1762" s="17">
        <f t="shared" si="111"/>
        <v>33.96</v>
      </c>
      <c r="P1762" s="17">
        <f t="shared" si="108"/>
        <v>22.48</v>
      </c>
      <c r="Q1762" s="17">
        <f t="shared" si="109"/>
        <v>11.48</v>
      </c>
      <c r="R1762" s="24">
        <f t="shared" si="110"/>
        <v>0.3380447585394582</v>
      </c>
      <c r="S1762" t="s">
        <v>83</v>
      </c>
      <c r="T1762" t="s">
        <v>64</v>
      </c>
    </row>
    <row r="1763" spans="1:20" hidden="1">
      <c r="A1763" t="s">
        <v>1831</v>
      </c>
      <c r="B1763" s="5">
        <v>45664</v>
      </c>
      <c r="C1763" s="8">
        <f>YEAR(Tabla2[[#This Row],[fecha]])</f>
        <v>2025</v>
      </c>
      <c r="D1763" s="8">
        <f>MONTH(Tabla2[[#This Row],[fecha]])</f>
        <v>1</v>
      </c>
      <c r="E1763" s="8" t="str">
        <f>TEXT(Tabla2[[#This Row],[fecha]], "mmmm")</f>
        <v>enero</v>
      </c>
      <c r="F1763" s="8" t="str">
        <f>"T"&amp;ROUNDUP(Tabla2[[#This Row],[mes]]/3,0)</f>
        <v>T1</v>
      </c>
      <c r="G1763" t="s">
        <v>22</v>
      </c>
      <c r="H1763" t="s">
        <v>23</v>
      </c>
      <c r="I1763" s="8" t="str">
        <f>IF(Tabla2[[#This Row],[precio_unitario]]&lt;=30,"Económico",IF(Tabla2[[#This Row],[precio_unitario]]&lt;=58.49,"Accesible","Caro"))</f>
        <v>Caro</v>
      </c>
      <c r="J1763" t="s">
        <v>17</v>
      </c>
      <c r="K1763">
        <v>4</v>
      </c>
      <c r="L1763" s="19">
        <v>100.98</v>
      </c>
      <c r="M1763" s="19">
        <v>54.99</v>
      </c>
      <c r="N1763" s="11">
        <v>0</v>
      </c>
      <c r="O1763" s="17">
        <f t="shared" si="111"/>
        <v>403.92</v>
      </c>
      <c r="P1763" s="17">
        <f t="shared" si="108"/>
        <v>219.96</v>
      </c>
      <c r="Q1763" s="17">
        <f t="shared" si="109"/>
        <v>183.96</v>
      </c>
      <c r="R1763" s="24">
        <f t="shared" si="110"/>
        <v>0.4554367201426025</v>
      </c>
      <c r="S1763" t="s">
        <v>540</v>
      </c>
      <c r="T1763" t="s">
        <v>64</v>
      </c>
    </row>
    <row r="1764" spans="1:20" hidden="1">
      <c r="A1764" t="s">
        <v>1832</v>
      </c>
      <c r="B1764" s="5">
        <v>45353</v>
      </c>
      <c r="C1764" s="8">
        <f>YEAR(Tabla2[[#This Row],[fecha]])</f>
        <v>2024</v>
      </c>
      <c r="D1764" s="8">
        <f>MONTH(Tabla2[[#This Row],[fecha]])</f>
        <v>3</v>
      </c>
      <c r="E1764" s="8" t="str">
        <f>TEXT(Tabla2[[#This Row],[fecha]], "mmmm")</f>
        <v>marzo</v>
      </c>
      <c r="F1764" s="8" t="str">
        <f>"T"&amp;ROUNDUP(Tabla2[[#This Row],[mes]]/3,0)</f>
        <v>T1</v>
      </c>
      <c r="G1764" t="s">
        <v>11</v>
      </c>
      <c r="H1764" t="s">
        <v>12</v>
      </c>
      <c r="I1764" s="8" t="str">
        <f>IF(Tabla2[[#This Row],[precio_unitario]]&lt;=30,"Económico",IF(Tabla2[[#This Row],[precio_unitario]]&lt;=58.49,"Accesible","Caro"))</f>
        <v>Caro</v>
      </c>
      <c r="J1764" t="s">
        <v>8</v>
      </c>
      <c r="K1764">
        <v>3</v>
      </c>
      <c r="L1764" s="19">
        <v>174.44</v>
      </c>
      <c r="M1764" s="19">
        <v>89.9</v>
      </c>
      <c r="N1764" s="13">
        <v>0</v>
      </c>
      <c r="O1764" s="17">
        <f t="shared" si="111"/>
        <v>523.31999999999994</v>
      </c>
      <c r="P1764" s="17">
        <f t="shared" si="108"/>
        <v>269.70000000000005</v>
      </c>
      <c r="Q1764" s="17">
        <f t="shared" si="109"/>
        <v>253.61999999999989</v>
      </c>
      <c r="R1764" s="24">
        <f t="shared" si="110"/>
        <v>0.48463655124971322</v>
      </c>
      <c r="S1764" t="s">
        <v>67</v>
      </c>
      <c r="T1764" t="s">
        <v>64</v>
      </c>
    </row>
    <row r="1765" spans="1:20" hidden="1">
      <c r="A1765" t="s">
        <v>1833</v>
      </c>
      <c r="B1765" s="5">
        <v>45478</v>
      </c>
      <c r="C1765" s="8">
        <f>YEAR(Tabla2[[#This Row],[fecha]])</f>
        <v>2024</v>
      </c>
      <c r="D1765" s="8">
        <f>MONTH(Tabla2[[#This Row],[fecha]])</f>
        <v>7</v>
      </c>
      <c r="E1765" s="8" t="str">
        <f>TEXT(Tabla2[[#This Row],[fecha]], "mmmm")</f>
        <v>julio</v>
      </c>
      <c r="F1765" s="8" t="str">
        <f>"T"&amp;ROUNDUP(Tabla2[[#This Row],[mes]]/3,0)</f>
        <v>T3</v>
      </c>
      <c r="G1765" t="s">
        <v>20</v>
      </c>
      <c r="H1765" t="s">
        <v>21</v>
      </c>
      <c r="I1765" s="8" t="str">
        <f>IF(Tabla2[[#This Row],[precio_unitario]]&lt;=30,"Económico",IF(Tabla2[[#This Row],[precio_unitario]]&lt;=58.49,"Accesible","Caro"))</f>
        <v>Económico</v>
      </c>
      <c r="J1765" t="s">
        <v>17</v>
      </c>
      <c r="K1765">
        <v>2</v>
      </c>
      <c r="L1765" s="19">
        <v>19.79</v>
      </c>
      <c r="M1765" s="19">
        <v>13.36</v>
      </c>
      <c r="N1765" s="11">
        <v>0.27</v>
      </c>
      <c r="O1765" s="17">
        <f t="shared" si="111"/>
        <v>28.8934</v>
      </c>
      <c r="P1765" s="17">
        <f t="shared" si="108"/>
        <v>26.72</v>
      </c>
      <c r="Q1765" s="17">
        <f t="shared" si="109"/>
        <v>2.1734000000000009</v>
      </c>
      <c r="R1765" s="24">
        <f t="shared" si="110"/>
        <v>7.5221330822956137E-2</v>
      </c>
      <c r="S1765" t="s">
        <v>67</v>
      </c>
      <c r="T1765" t="s">
        <v>64</v>
      </c>
    </row>
    <row r="1766" spans="1:20" hidden="1">
      <c r="A1766" t="s">
        <v>1834</v>
      </c>
      <c r="B1766" s="5">
        <v>45586</v>
      </c>
      <c r="C1766" s="8">
        <f>YEAR(Tabla2[[#This Row],[fecha]])</f>
        <v>2024</v>
      </c>
      <c r="D1766" s="8">
        <f>MONTH(Tabla2[[#This Row],[fecha]])</f>
        <v>10</v>
      </c>
      <c r="E1766" s="8" t="str">
        <f>TEXT(Tabla2[[#This Row],[fecha]], "mmmm")</f>
        <v>octubre</v>
      </c>
      <c r="F1766" s="8" t="str">
        <f>"T"&amp;ROUNDUP(Tabla2[[#This Row],[mes]]/3,0)</f>
        <v>T4</v>
      </c>
      <c r="G1766" t="s">
        <v>6</v>
      </c>
      <c r="H1766" t="s">
        <v>7</v>
      </c>
      <c r="I1766" s="8" t="str">
        <f>IF(Tabla2[[#This Row],[precio_unitario]]&lt;=30,"Económico",IF(Tabla2[[#This Row],[precio_unitario]]&lt;=58.49,"Accesible","Caro"))</f>
        <v>Caro</v>
      </c>
      <c r="J1766" t="s">
        <v>8</v>
      </c>
      <c r="K1766">
        <v>4</v>
      </c>
      <c r="L1766" s="19">
        <v>123</v>
      </c>
      <c r="M1766" s="19">
        <v>83.5</v>
      </c>
      <c r="N1766" s="11">
        <v>0</v>
      </c>
      <c r="O1766" s="17">
        <f t="shared" si="111"/>
        <v>492</v>
      </c>
      <c r="P1766" s="17">
        <f t="shared" si="108"/>
        <v>334</v>
      </c>
      <c r="Q1766" s="17">
        <f t="shared" si="109"/>
        <v>158</v>
      </c>
      <c r="R1766" s="24">
        <f t="shared" si="110"/>
        <v>0.32113821138211385</v>
      </c>
      <c r="S1766" t="s">
        <v>540</v>
      </c>
      <c r="T1766" t="s">
        <v>64</v>
      </c>
    </row>
    <row r="1767" spans="1:20">
      <c r="A1767" t="s">
        <v>1835</v>
      </c>
      <c r="B1767" s="5">
        <v>45685</v>
      </c>
      <c r="C1767" s="8">
        <f>YEAR(Tabla2[[#This Row],[fecha]])</f>
        <v>2025</v>
      </c>
      <c r="D1767" s="8">
        <f>MONTH(Tabla2[[#This Row],[fecha]])</f>
        <v>1</v>
      </c>
      <c r="E1767" s="8" t="str">
        <f>TEXT(Tabla2[[#This Row],[fecha]], "mmmm")</f>
        <v>enero</v>
      </c>
      <c r="F1767" s="8" t="str">
        <f>"T"&amp;ROUNDUP(Tabla2[[#This Row],[mes]]/3,0)</f>
        <v>T1</v>
      </c>
      <c r="G1767" t="s">
        <v>47</v>
      </c>
      <c r="H1767" t="s">
        <v>48</v>
      </c>
      <c r="I1767" s="8" t="str">
        <f>IF(Tabla2[[#This Row],[precio_unitario]]&lt;=30,"Económico",IF(Tabla2[[#This Row],[precio_unitario]]&lt;=58.49,"Accesible","Caro"))</f>
        <v>Accesible</v>
      </c>
      <c r="J1767" t="s">
        <v>44</v>
      </c>
      <c r="K1767">
        <v>4</v>
      </c>
      <c r="L1767" s="19">
        <v>55.06</v>
      </c>
      <c r="M1767" s="19">
        <v>34.21</v>
      </c>
      <c r="N1767" s="11">
        <v>0</v>
      </c>
      <c r="O1767" s="17">
        <f t="shared" si="111"/>
        <v>220.24</v>
      </c>
      <c r="P1767" s="17">
        <f t="shared" si="108"/>
        <v>136.84</v>
      </c>
      <c r="Q1767" s="17">
        <f t="shared" si="109"/>
        <v>83.4</v>
      </c>
      <c r="R1767" s="24">
        <f t="shared" si="110"/>
        <v>0.37867780602978568</v>
      </c>
      <c r="S1767" t="s">
        <v>67</v>
      </c>
      <c r="T1767" t="s">
        <v>60</v>
      </c>
    </row>
    <row r="1768" spans="1:20" hidden="1">
      <c r="A1768" t="s">
        <v>1836</v>
      </c>
      <c r="B1768" s="5">
        <v>45918</v>
      </c>
      <c r="C1768" s="8">
        <f>YEAR(Tabla2[[#This Row],[fecha]])</f>
        <v>2025</v>
      </c>
      <c r="D1768" s="8">
        <f>MONTH(Tabla2[[#This Row],[fecha]])</f>
        <v>9</v>
      </c>
      <c r="E1768" s="8" t="str">
        <f>TEXT(Tabla2[[#This Row],[fecha]], "mmmm")</f>
        <v>septiembre</v>
      </c>
      <c r="F1768" s="8" t="str">
        <f>"T"&amp;ROUNDUP(Tabla2[[#This Row],[mes]]/3,0)</f>
        <v>T3</v>
      </c>
      <c r="G1768" t="s">
        <v>6</v>
      </c>
      <c r="H1768" t="s">
        <v>7</v>
      </c>
      <c r="I1768" s="8" t="str">
        <f>IF(Tabla2[[#This Row],[precio_unitario]]&lt;=30,"Económico",IF(Tabla2[[#This Row],[precio_unitario]]&lt;=58.49,"Accesible","Caro"))</f>
        <v>Caro</v>
      </c>
      <c r="J1768" t="s">
        <v>8</v>
      </c>
      <c r="K1768">
        <v>4</v>
      </c>
      <c r="L1768" s="19">
        <v>116.93</v>
      </c>
      <c r="M1768" s="19">
        <v>80.31</v>
      </c>
      <c r="N1768" s="11">
        <v>0.24</v>
      </c>
      <c r="O1768" s="17">
        <f t="shared" si="111"/>
        <v>355.46720000000005</v>
      </c>
      <c r="P1768" s="17">
        <f t="shared" si="108"/>
        <v>321.24</v>
      </c>
      <c r="Q1768" s="17">
        <f t="shared" si="109"/>
        <v>34.227200000000039</v>
      </c>
      <c r="R1768" s="24">
        <f t="shared" si="110"/>
        <v>9.6287927549996266E-2</v>
      </c>
      <c r="S1768" t="s">
        <v>83</v>
      </c>
      <c r="T1768" t="s">
        <v>64</v>
      </c>
    </row>
    <row r="1769" spans="1:20" hidden="1">
      <c r="A1769" t="s">
        <v>1837</v>
      </c>
      <c r="B1769" s="5">
        <v>45501</v>
      </c>
      <c r="C1769" s="8">
        <f>YEAR(Tabla2[[#This Row],[fecha]])</f>
        <v>2024</v>
      </c>
      <c r="D1769" s="8">
        <f>MONTH(Tabla2[[#This Row],[fecha]])</f>
        <v>7</v>
      </c>
      <c r="E1769" s="8" t="str">
        <f>TEXT(Tabla2[[#This Row],[fecha]], "mmmm")</f>
        <v>julio</v>
      </c>
      <c r="F1769" s="8" t="str">
        <f>"T"&amp;ROUNDUP(Tabla2[[#This Row],[mes]]/3,0)</f>
        <v>T3</v>
      </c>
      <c r="G1769" t="s">
        <v>22</v>
      </c>
      <c r="H1769" t="s">
        <v>23</v>
      </c>
      <c r="I1769" s="8" t="str">
        <f>IF(Tabla2[[#This Row],[precio_unitario]]&lt;=30,"Económico",IF(Tabla2[[#This Row],[precio_unitario]]&lt;=58.49,"Accesible","Caro"))</f>
        <v>Caro</v>
      </c>
      <c r="J1769" t="s">
        <v>17</v>
      </c>
      <c r="K1769">
        <v>6</v>
      </c>
      <c r="L1769" s="19">
        <v>108.01</v>
      </c>
      <c r="M1769" s="19">
        <v>56.08</v>
      </c>
      <c r="N1769" s="13">
        <v>0</v>
      </c>
      <c r="O1769" s="17">
        <f t="shared" si="111"/>
        <v>648.06000000000006</v>
      </c>
      <c r="P1769" s="17">
        <f t="shared" si="108"/>
        <v>336.48</v>
      </c>
      <c r="Q1769" s="17">
        <f t="shared" si="109"/>
        <v>311.58000000000004</v>
      </c>
      <c r="R1769" s="24">
        <f t="shared" si="110"/>
        <v>0.48078881585038424</v>
      </c>
      <c r="S1769" t="s">
        <v>96</v>
      </c>
      <c r="T1769" t="s">
        <v>60</v>
      </c>
    </row>
    <row r="1770" spans="1:20" hidden="1">
      <c r="A1770" t="s">
        <v>1838</v>
      </c>
      <c r="B1770" s="5">
        <v>45851</v>
      </c>
      <c r="C1770" s="8">
        <f>YEAR(Tabla2[[#This Row],[fecha]])</f>
        <v>2025</v>
      </c>
      <c r="D1770" s="8">
        <f>MONTH(Tabla2[[#This Row],[fecha]])</f>
        <v>7</v>
      </c>
      <c r="E1770" s="8" t="str">
        <f>TEXT(Tabla2[[#This Row],[fecha]], "mmmm")</f>
        <v>julio</v>
      </c>
      <c r="F1770" s="8" t="str">
        <f>"T"&amp;ROUNDUP(Tabla2[[#This Row],[mes]]/3,0)</f>
        <v>T3</v>
      </c>
      <c r="G1770" t="s">
        <v>15</v>
      </c>
      <c r="H1770" t="s">
        <v>16</v>
      </c>
      <c r="I1770" s="8" t="str">
        <f>IF(Tabla2[[#This Row],[precio_unitario]]&lt;=30,"Económico",IF(Tabla2[[#This Row],[precio_unitario]]&lt;=58.49,"Accesible","Caro"))</f>
        <v>Accesible</v>
      </c>
      <c r="J1770" t="s">
        <v>17</v>
      </c>
      <c r="K1770">
        <v>3</v>
      </c>
      <c r="L1770" s="19">
        <v>55.46</v>
      </c>
      <c r="M1770" s="19">
        <v>39.25</v>
      </c>
      <c r="N1770" s="11">
        <v>0</v>
      </c>
      <c r="O1770" s="17">
        <f t="shared" si="111"/>
        <v>166.38</v>
      </c>
      <c r="P1770" s="17">
        <f t="shared" si="108"/>
        <v>117.75</v>
      </c>
      <c r="Q1770" s="17">
        <f t="shared" si="109"/>
        <v>48.629999999999995</v>
      </c>
      <c r="R1770" s="24">
        <f t="shared" si="110"/>
        <v>0.29228272628921742</v>
      </c>
      <c r="S1770" s="10" t="s">
        <v>2377</v>
      </c>
      <c r="T1770" t="s">
        <v>64</v>
      </c>
    </row>
    <row r="1771" spans="1:20">
      <c r="A1771" t="s">
        <v>1839</v>
      </c>
      <c r="B1771" s="5">
        <v>45698</v>
      </c>
      <c r="C1771" s="8">
        <f>YEAR(Tabla2[[#This Row],[fecha]])</f>
        <v>2025</v>
      </c>
      <c r="D1771" s="8">
        <f>MONTH(Tabla2[[#This Row],[fecha]])</f>
        <v>2</v>
      </c>
      <c r="E1771" s="8" t="str">
        <f>TEXT(Tabla2[[#This Row],[fecha]], "mmmm")</f>
        <v>febrero</v>
      </c>
      <c r="F1771" s="8" t="str">
        <f>"T"&amp;ROUNDUP(Tabla2[[#This Row],[mes]]/3,0)</f>
        <v>T1</v>
      </c>
      <c r="G1771" t="s">
        <v>33</v>
      </c>
      <c r="H1771" t="s">
        <v>34</v>
      </c>
      <c r="I1771" s="8" t="str">
        <f>IF(Tabla2[[#This Row],[precio_unitario]]&lt;=30,"Económico",IF(Tabla2[[#This Row],[precio_unitario]]&lt;=58.49,"Accesible","Caro"))</f>
        <v>Caro</v>
      </c>
      <c r="J1771" t="s">
        <v>35</v>
      </c>
      <c r="K1771">
        <v>1</v>
      </c>
      <c r="L1771" s="19">
        <v>70.83</v>
      </c>
      <c r="M1771" s="19">
        <v>49.38</v>
      </c>
      <c r="N1771" s="11">
        <v>0</v>
      </c>
      <c r="O1771" s="17">
        <f t="shared" si="111"/>
        <v>70.83</v>
      </c>
      <c r="P1771" s="17">
        <f t="shared" si="108"/>
        <v>49.38</v>
      </c>
      <c r="Q1771" s="17">
        <f t="shared" si="109"/>
        <v>21.449999999999996</v>
      </c>
      <c r="R1771" s="24">
        <f t="shared" si="110"/>
        <v>0.30283778060144001</v>
      </c>
      <c r="S1771" t="s">
        <v>67</v>
      </c>
      <c r="T1771" t="s">
        <v>64</v>
      </c>
    </row>
    <row r="1772" spans="1:20" hidden="1">
      <c r="A1772" t="s">
        <v>1840</v>
      </c>
      <c r="B1772" s="5">
        <v>45755</v>
      </c>
      <c r="C1772" s="8">
        <f>YEAR(Tabla2[[#This Row],[fecha]])</f>
        <v>2025</v>
      </c>
      <c r="D1772" s="8">
        <f>MONTH(Tabla2[[#This Row],[fecha]])</f>
        <v>4</v>
      </c>
      <c r="E1772" s="8" t="str">
        <f>TEXT(Tabla2[[#This Row],[fecha]], "mmmm")</f>
        <v>abril</v>
      </c>
      <c r="F1772" s="8" t="str">
        <f>"T"&amp;ROUNDUP(Tabla2[[#This Row],[mes]]/3,0)</f>
        <v>T2</v>
      </c>
      <c r="G1772" t="s">
        <v>13</v>
      </c>
      <c r="H1772" t="s">
        <v>14</v>
      </c>
      <c r="I1772" s="8" t="str">
        <f>IF(Tabla2[[#This Row],[precio_unitario]]&lt;=30,"Económico",IF(Tabla2[[#This Row],[precio_unitario]]&lt;=58.49,"Accesible","Caro"))</f>
        <v>Caro</v>
      </c>
      <c r="J1772" t="s">
        <v>8</v>
      </c>
      <c r="K1772">
        <v>6</v>
      </c>
      <c r="L1772" s="19">
        <v>159.38999999999999</v>
      </c>
      <c r="M1772" s="19">
        <v>106.93</v>
      </c>
      <c r="N1772" s="11">
        <v>0</v>
      </c>
      <c r="O1772" s="17">
        <f t="shared" si="111"/>
        <v>956.33999999999992</v>
      </c>
      <c r="P1772" s="17">
        <f t="shared" si="108"/>
        <v>641.58000000000004</v>
      </c>
      <c r="Q1772" s="17">
        <f t="shared" si="109"/>
        <v>314.75999999999988</v>
      </c>
      <c r="R1772" s="24">
        <f t="shared" si="110"/>
        <v>0.32912980739067688</v>
      </c>
      <c r="S1772" t="s">
        <v>540</v>
      </c>
      <c r="T1772" t="s">
        <v>60</v>
      </c>
    </row>
    <row r="1773" spans="1:20" hidden="1">
      <c r="A1773" t="s">
        <v>1841</v>
      </c>
      <c r="B1773" s="5">
        <v>45995</v>
      </c>
      <c r="C1773" s="8">
        <f>YEAR(Tabla2[[#This Row],[fecha]])</f>
        <v>2025</v>
      </c>
      <c r="D1773" s="8">
        <f>MONTH(Tabla2[[#This Row],[fecha]])</f>
        <v>12</v>
      </c>
      <c r="E1773" s="8" t="str">
        <f>TEXT(Tabla2[[#This Row],[fecha]], "mmmm")</f>
        <v>diciembre</v>
      </c>
      <c r="F1773" s="8" t="str">
        <f>"T"&amp;ROUNDUP(Tabla2[[#This Row],[mes]]/3,0)</f>
        <v>T4</v>
      </c>
      <c r="G1773" t="s">
        <v>22</v>
      </c>
      <c r="H1773" t="s">
        <v>23</v>
      </c>
      <c r="I1773" s="8" t="str">
        <f>IF(Tabla2[[#This Row],[precio_unitario]]&lt;=30,"Económico",IF(Tabla2[[#This Row],[precio_unitario]]&lt;=58.49,"Accesible","Caro"))</f>
        <v>Caro</v>
      </c>
      <c r="J1773" t="s">
        <v>17</v>
      </c>
      <c r="K1773">
        <v>1</v>
      </c>
      <c r="L1773" s="19">
        <v>95.47</v>
      </c>
      <c r="M1773" s="19">
        <v>57.42</v>
      </c>
      <c r="N1773" s="13">
        <v>0</v>
      </c>
      <c r="O1773" s="17">
        <f t="shared" si="111"/>
        <v>95.47</v>
      </c>
      <c r="P1773" s="17">
        <f t="shared" si="108"/>
        <v>57.42</v>
      </c>
      <c r="Q1773" s="17">
        <f t="shared" si="109"/>
        <v>38.049999999999997</v>
      </c>
      <c r="R1773" s="24">
        <f t="shared" si="110"/>
        <v>0.3985545197444223</v>
      </c>
      <c r="S1773" t="s">
        <v>83</v>
      </c>
      <c r="T1773" t="s">
        <v>60</v>
      </c>
    </row>
    <row r="1774" spans="1:20" hidden="1">
      <c r="A1774" t="s">
        <v>1842</v>
      </c>
      <c r="B1774" s="5">
        <v>45624</v>
      </c>
      <c r="C1774" s="8">
        <f>YEAR(Tabla2[[#This Row],[fecha]])</f>
        <v>2024</v>
      </c>
      <c r="D1774" s="8">
        <f>MONTH(Tabla2[[#This Row],[fecha]])</f>
        <v>11</v>
      </c>
      <c r="E1774" s="8" t="str">
        <f>TEXT(Tabla2[[#This Row],[fecha]], "mmmm")</f>
        <v>noviembre</v>
      </c>
      <c r="F1774" s="8" t="str">
        <f>"T"&amp;ROUNDUP(Tabla2[[#This Row],[mes]]/3,0)</f>
        <v>T4</v>
      </c>
      <c r="G1774" t="s">
        <v>11</v>
      </c>
      <c r="H1774" t="s">
        <v>12</v>
      </c>
      <c r="I1774" s="8" t="str">
        <f>IF(Tabla2[[#This Row],[precio_unitario]]&lt;=30,"Económico",IF(Tabla2[[#This Row],[precio_unitario]]&lt;=58.49,"Accesible","Caro"))</f>
        <v>Caro</v>
      </c>
      <c r="J1774" t="s">
        <v>8</v>
      </c>
      <c r="K1774">
        <v>7</v>
      </c>
      <c r="L1774" s="20">
        <f>INDEX(Tabla3[precio_venta_recomendado], MATCH(Tabla2[[#This Row],[id_producto]], Tabla3[id_producto], 0))</f>
        <v>177.72</v>
      </c>
      <c r="M1774" s="19">
        <v>94.89</v>
      </c>
      <c r="N1774" s="11">
        <v>0</v>
      </c>
      <c r="O1774" s="17">
        <f t="shared" si="111"/>
        <v>1244.04</v>
      </c>
      <c r="P1774" s="17">
        <f t="shared" si="108"/>
        <v>664.23</v>
      </c>
      <c r="Q1774" s="17">
        <f t="shared" si="109"/>
        <v>579.80999999999995</v>
      </c>
      <c r="R1774" s="24">
        <f t="shared" si="110"/>
        <v>0.46607022282241728</v>
      </c>
      <c r="S1774" t="s">
        <v>101</v>
      </c>
      <c r="T1774" t="s">
        <v>64</v>
      </c>
    </row>
    <row r="1775" spans="1:20" hidden="1">
      <c r="A1775" t="s">
        <v>1843</v>
      </c>
      <c r="B1775" s="5">
        <v>45613</v>
      </c>
      <c r="C1775" s="8">
        <f>YEAR(Tabla2[[#This Row],[fecha]])</f>
        <v>2024</v>
      </c>
      <c r="D1775" s="8">
        <f>MONTH(Tabla2[[#This Row],[fecha]])</f>
        <v>11</v>
      </c>
      <c r="E1775" s="8" t="str">
        <f>TEXT(Tabla2[[#This Row],[fecha]], "mmmm")</f>
        <v>noviembre</v>
      </c>
      <c r="F1775" s="8" t="str">
        <f>"T"&amp;ROUNDUP(Tabla2[[#This Row],[mes]]/3,0)</f>
        <v>T4</v>
      </c>
      <c r="G1775" t="s">
        <v>42</v>
      </c>
      <c r="H1775" t="s">
        <v>43</v>
      </c>
      <c r="I1775" s="8" t="str">
        <f>IF(Tabla2[[#This Row],[precio_unitario]]&lt;=30,"Económico",IF(Tabla2[[#This Row],[precio_unitario]]&lt;=58.49,"Accesible","Caro"))</f>
        <v>Accesible</v>
      </c>
      <c r="J1775" t="s">
        <v>44</v>
      </c>
      <c r="K1775">
        <v>6</v>
      </c>
      <c r="L1775" s="19">
        <v>46.9</v>
      </c>
      <c r="M1775" s="19">
        <v>22.16</v>
      </c>
      <c r="N1775" s="13">
        <v>0</v>
      </c>
      <c r="O1775" s="17">
        <f t="shared" si="111"/>
        <v>281.39999999999998</v>
      </c>
      <c r="P1775" s="17">
        <f t="shared" si="108"/>
        <v>132.96</v>
      </c>
      <c r="Q1775" s="17">
        <f t="shared" si="109"/>
        <v>148.43999999999997</v>
      </c>
      <c r="R1775" s="24">
        <f t="shared" si="110"/>
        <v>0.52750533049040504</v>
      </c>
      <c r="S1775" t="s">
        <v>83</v>
      </c>
      <c r="T1775" t="s">
        <v>64</v>
      </c>
    </row>
    <row r="1776" spans="1:20" hidden="1">
      <c r="A1776" t="s">
        <v>1844</v>
      </c>
      <c r="B1776" s="5">
        <v>45665</v>
      </c>
      <c r="C1776" s="8">
        <f>YEAR(Tabla2[[#This Row],[fecha]])</f>
        <v>2025</v>
      </c>
      <c r="D1776" s="8">
        <f>MONTH(Tabla2[[#This Row],[fecha]])</f>
        <v>1</v>
      </c>
      <c r="E1776" s="8" t="str">
        <f>TEXT(Tabla2[[#This Row],[fecha]], "mmmm")</f>
        <v>enero</v>
      </c>
      <c r="F1776" s="8" t="str">
        <f>"T"&amp;ROUNDUP(Tabla2[[#This Row],[mes]]/3,0)</f>
        <v>T1</v>
      </c>
      <c r="G1776" t="s">
        <v>38</v>
      </c>
      <c r="H1776" t="s">
        <v>39</v>
      </c>
      <c r="I1776" s="8" t="str">
        <f>IF(Tabla2[[#This Row],[precio_unitario]]&lt;=30,"Económico",IF(Tabla2[[#This Row],[precio_unitario]]&lt;=58.49,"Accesible","Caro"))</f>
        <v>Caro</v>
      </c>
      <c r="J1776" t="s">
        <v>35</v>
      </c>
      <c r="K1776">
        <v>3</v>
      </c>
      <c r="L1776" s="19">
        <v>80.92</v>
      </c>
      <c r="M1776" s="19">
        <v>42</v>
      </c>
      <c r="N1776" s="11">
        <v>0</v>
      </c>
      <c r="O1776" s="17">
        <f t="shared" si="111"/>
        <v>242.76</v>
      </c>
      <c r="P1776" s="17">
        <f t="shared" si="108"/>
        <v>126</v>
      </c>
      <c r="Q1776" s="17">
        <f t="shared" si="109"/>
        <v>116.75999999999999</v>
      </c>
      <c r="R1776" s="24">
        <f t="shared" si="110"/>
        <v>0.48096885813148788</v>
      </c>
      <c r="S1776" t="s">
        <v>101</v>
      </c>
      <c r="T1776" t="s">
        <v>60</v>
      </c>
    </row>
    <row r="1777" spans="1:20" hidden="1">
      <c r="A1777" t="s">
        <v>1845</v>
      </c>
      <c r="B1777" s="5">
        <v>45553</v>
      </c>
      <c r="C1777" s="8">
        <f>YEAR(Tabla2[[#This Row],[fecha]])</f>
        <v>2024</v>
      </c>
      <c r="D1777" s="8">
        <f>MONTH(Tabla2[[#This Row],[fecha]])</f>
        <v>9</v>
      </c>
      <c r="E1777" s="8" t="str">
        <f>TEXT(Tabla2[[#This Row],[fecha]], "mmmm")</f>
        <v>septiembre</v>
      </c>
      <c r="F1777" s="8" t="str">
        <f>"T"&amp;ROUNDUP(Tabla2[[#This Row],[mes]]/3,0)</f>
        <v>T3</v>
      </c>
      <c r="G1777" t="s">
        <v>47</v>
      </c>
      <c r="H1777" t="s">
        <v>48</v>
      </c>
      <c r="I1777" s="8" t="str">
        <f>IF(Tabla2[[#This Row],[precio_unitario]]&lt;=30,"Económico",IF(Tabla2[[#This Row],[precio_unitario]]&lt;=58.49,"Accesible","Caro"))</f>
        <v>Caro</v>
      </c>
      <c r="J1777" t="s">
        <v>44</v>
      </c>
      <c r="K1777">
        <v>1</v>
      </c>
      <c r="L1777" s="19">
        <v>62.15</v>
      </c>
      <c r="M1777" s="19">
        <v>31.76</v>
      </c>
      <c r="N1777" s="11">
        <v>0</v>
      </c>
      <c r="O1777" s="17">
        <f t="shared" si="111"/>
        <v>62.15</v>
      </c>
      <c r="P1777" s="17">
        <f t="shared" si="108"/>
        <v>31.76</v>
      </c>
      <c r="Q1777" s="17">
        <f t="shared" si="109"/>
        <v>30.389999999999997</v>
      </c>
      <c r="R1777" s="24">
        <f t="shared" si="110"/>
        <v>0.4889782783588093</v>
      </c>
      <c r="S1777" t="s">
        <v>101</v>
      </c>
      <c r="T1777" t="s">
        <v>60</v>
      </c>
    </row>
    <row r="1778" spans="1:20" hidden="1">
      <c r="A1778" t="s">
        <v>1846</v>
      </c>
      <c r="B1778" s="5">
        <v>45698</v>
      </c>
      <c r="C1778" s="8">
        <f>YEAR(Tabla2[[#This Row],[fecha]])</f>
        <v>2025</v>
      </c>
      <c r="D1778" s="8">
        <f>MONTH(Tabla2[[#This Row],[fecha]])</f>
        <v>2</v>
      </c>
      <c r="E1778" s="8" t="str">
        <f>TEXT(Tabla2[[#This Row],[fecha]], "mmmm")</f>
        <v>febrero</v>
      </c>
      <c r="F1778" s="8" t="str">
        <f>"T"&amp;ROUNDUP(Tabla2[[#This Row],[mes]]/3,0)</f>
        <v>T1</v>
      </c>
      <c r="G1778" t="s">
        <v>33</v>
      </c>
      <c r="H1778" t="s">
        <v>34</v>
      </c>
      <c r="I1778" s="8" t="str">
        <f>IF(Tabla2[[#This Row],[precio_unitario]]&lt;=30,"Económico",IF(Tabla2[[#This Row],[precio_unitario]]&lt;=58.49,"Accesible","Caro"))</f>
        <v>Caro</v>
      </c>
      <c r="J1778" t="s">
        <v>35</v>
      </c>
      <c r="K1778">
        <v>3</v>
      </c>
      <c r="L1778" s="19">
        <v>73.650000000000006</v>
      </c>
      <c r="M1778" s="19">
        <v>48.56</v>
      </c>
      <c r="N1778" s="11">
        <v>0</v>
      </c>
      <c r="O1778" s="17">
        <f t="shared" si="111"/>
        <v>220.95000000000002</v>
      </c>
      <c r="P1778" s="17">
        <f t="shared" si="108"/>
        <v>145.68</v>
      </c>
      <c r="Q1778" s="17">
        <f t="shared" si="109"/>
        <v>75.27000000000001</v>
      </c>
      <c r="R1778" s="24">
        <f t="shared" si="110"/>
        <v>0.34066530889341484</v>
      </c>
      <c r="S1778" t="s">
        <v>101</v>
      </c>
      <c r="T1778" t="s">
        <v>60</v>
      </c>
    </row>
    <row r="1779" spans="1:20">
      <c r="A1779" t="s">
        <v>1847</v>
      </c>
      <c r="B1779" s="5">
        <v>45906</v>
      </c>
      <c r="C1779" s="8">
        <f>YEAR(Tabla2[[#This Row],[fecha]])</f>
        <v>2025</v>
      </c>
      <c r="D1779" s="8">
        <f>MONTH(Tabla2[[#This Row],[fecha]])</f>
        <v>9</v>
      </c>
      <c r="E1779" s="8" t="str">
        <f>TEXT(Tabla2[[#This Row],[fecha]], "mmmm")</f>
        <v>septiembre</v>
      </c>
      <c r="F1779" s="8" t="str">
        <f>"T"&amp;ROUNDUP(Tabla2[[#This Row],[mes]]/3,0)</f>
        <v>T3</v>
      </c>
      <c r="G1779" t="s">
        <v>49</v>
      </c>
      <c r="H1779" t="s">
        <v>50</v>
      </c>
      <c r="I1779" s="8" t="str">
        <f>IF(Tabla2[[#This Row],[precio_unitario]]&lt;=30,"Económico",IF(Tabla2[[#This Row],[precio_unitario]]&lt;=58.49,"Accesible","Caro"))</f>
        <v>Caro</v>
      </c>
      <c r="J1779" t="s">
        <v>44</v>
      </c>
      <c r="K1779">
        <v>1</v>
      </c>
      <c r="L1779" s="19">
        <v>63.41</v>
      </c>
      <c r="M1779" s="19">
        <v>32.79</v>
      </c>
      <c r="N1779" s="11">
        <v>0.06</v>
      </c>
      <c r="O1779" s="17">
        <f t="shared" si="111"/>
        <v>59.605399999999996</v>
      </c>
      <c r="P1779" s="17">
        <f t="shared" si="108"/>
        <v>32.79</v>
      </c>
      <c r="Q1779" s="17">
        <f t="shared" si="109"/>
        <v>26.815399999999997</v>
      </c>
      <c r="R1779" s="24">
        <f t="shared" si="110"/>
        <v>0.44988205766591616</v>
      </c>
      <c r="S1779" t="s">
        <v>67</v>
      </c>
      <c r="T1779" t="s">
        <v>64</v>
      </c>
    </row>
    <row r="1780" spans="1:20" hidden="1">
      <c r="A1780" t="s">
        <v>1848</v>
      </c>
      <c r="B1780" s="5">
        <v>45930</v>
      </c>
      <c r="C1780" s="8">
        <f>YEAR(Tabla2[[#This Row],[fecha]])</f>
        <v>2025</v>
      </c>
      <c r="D1780" s="8">
        <f>MONTH(Tabla2[[#This Row],[fecha]])</f>
        <v>9</v>
      </c>
      <c r="E1780" s="8" t="str">
        <f>TEXT(Tabla2[[#This Row],[fecha]], "mmmm")</f>
        <v>septiembre</v>
      </c>
      <c r="F1780" s="8" t="str">
        <f>"T"&amp;ROUNDUP(Tabla2[[#This Row],[mes]]/3,0)</f>
        <v>T3</v>
      </c>
      <c r="G1780" t="s">
        <v>42</v>
      </c>
      <c r="H1780" t="s">
        <v>43</v>
      </c>
      <c r="I1780" s="8" t="str">
        <f>IF(Tabla2[[#This Row],[precio_unitario]]&lt;=30,"Económico",IF(Tabla2[[#This Row],[precio_unitario]]&lt;=58.49,"Accesible","Caro"))</f>
        <v>Accesible</v>
      </c>
      <c r="J1780" t="s">
        <v>44</v>
      </c>
      <c r="K1780">
        <v>2</v>
      </c>
      <c r="L1780" s="19">
        <v>45.94</v>
      </c>
      <c r="M1780" s="19">
        <v>23.67</v>
      </c>
      <c r="N1780" s="11">
        <v>0.17</v>
      </c>
      <c r="O1780" s="17">
        <f t="shared" si="111"/>
        <v>76.26039999999999</v>
      </c>
      <c r="P1780" s="17">
        <f t="shared" si="108"/>
        <v>47.34</v>
      </c>
      <c r="Q1780" s="17">
        <f t="shared" si="109"/>
        <v>28.920399999999987</v>
      </c>
      <c r="R1780" s="24">
        <f t="shared" si="110"/>
        <v>0.37923220963960314</v>
      </c>
      <c r="S1780" t="s">
        <v>83</v>
      </c>
      <c r="T1780" t="s">
        <v>60</v>
      </c>
    </row>
    <row r="1781" spans="1:20" hidden="1">
      <c r="A1781" t="s">
        <v>1849</v>
      </c>
      <c r="B1781" s="5">
        <v>45709</v>
      </c>
      <c r="C1781" s="8">
        <f>YEAR(Tabla2[[#This Row],[fecha]])</f>
        <v>2025</v>
      </c>
      <c r="D1781" s="8">
        <f>MONTH(Tabla2[[#This Row],[fecha]])</f>
        <v>2</v>
      </c>
      <c r="E1781" s="8" t="str">
        <f>TEXT(Tabla2[[#This Row],[fecha]], "mmmm")</f>
        <v>febrero</v>
      </c>
      <c r="F1781" s="8" t="str">
        <f>"T"&amp;ROUNDUP(Tabla2[[#This Row],[mes]]/3,0)</f>
        <v>T1</v>
      </c>
      <c r="G1781" t="s">
        <v>20</v>
      </c>
      <c r="H1781" t="s">
        <v>21</v>
      </c>
      <c r="I1781" s="8" t="str">
        <f>IF(Tabla2[[#This Row],[precio_unitario]]&lt;=30,"Económico",IF(Tabla2[[#This Row],[precio_unitario]]&lt;=58.49,"Accesible","Caro"))</f>
        <v>Económico</v>
      </c>
      <c r="J1781" t="s">
        <v>17</v>
      </c>
      <c r="K1781">
        <v>1</v>
      </c>
      <c r="L1781" s="19">
        <v>18.29</v>
      </c>
      <c r="M1781" s="19">
        <v>12.97</v>
      </c>
      <c r="N1781" s="11">
        <v>0</v>
      </c>
      <c r="O1781" s="17">
        <f t="shared" si="111"/>
        <v>18.29</v>
      </c>
      <c r="P1781" s="17">
        <f t="shared" si="108"/>
        <v>12.97</v>
      </c>
      <c r="Q1781" s="17">
        <f t="shared" si="109"/>
        <v>5.3199999999999985</v>
      </c>
      <c r="R1781" s="24">
        <f t="shared" si="110"/>
        <v>0.29086932750136679</v>
      </c>
      <c r="S1781" t="s">
        <v>83</v>
      </c>
      <c r="T1781" t="s">
        <v>64</v>
      </c>
    </row>
    <row r="1782" spans="1:20" hidden="1">
      <c r="A1782" t="s">
        <v>1850</v>
      </c>
      <c r="B1782" s="5">
        <v>45875</v>
      </c>
      <c r="C1782" s="8">
        <f>YEAR(Tabla2[[#This Row],[fecha]])</f>
        <v>2025</v>
      </c>
      <c r="D1782" s="8">
        <f>MONTH(Tabla2[[#This Row],[fecha]])</f>
        <v>8</v>
      </c>
      <c r="E1782" s="8" t="str">
        <f>TEXT(Tabla2[[#This Row],[fecha]], "mmmm")</f>
        <v>agosto</v>
      </c>
      <c r="F1782" s="8" t="str">
        <f>"T"&amp;ROUNDUP(Tabla2[[#This Row],[mes]]/3,0)</f>
        <v>T3</v>
      </c>
      <c r="G1782" t="s">
        <v>29</v>
      </c>
      <c r="H1782" t="s">
        <v>30</v>
      </c>
      <c r="I1782" s="8" t="str">
        <f>IF(Tabla2[[#This Row],[precio_unitario]]&lt;=30,"Económico",IF(Tabla2[[#This Row],[precio_unitario]]&lt;=58.49,"Accesible","Caro"))</f>
        <v>Económico</v>
      </c>
      <c r="J1782" t="s">
        <v>26</v>
      </c>
      <c r="K1782">
        <v>1</v>
      </c>
      <c r="L1782" s="19">
        <v>22.11</v>
      </c>
      <c r="M1782" s="19">
        <v>11.03</v>
      </c>
      <c r="N1782" s="11">
        <v>0</v>
      </c>
      <c r="O1782" s="17">
        <f t="shared" si="111"/>
        <v>22.11</v>
      </c>
      <c r="P1782" s="17">
        <f t="shared" si="108"/>
        <v>11.03</v>
      </c>
      <c r="Q1782" s="17">
        <f t="shared" si="109"/>
        <v>11.08</v>
      </c>
      <c r="R1782" s="24">
        <f t="shared" si="110"/>
        <v>0.50113071008593402</v>
      </c>
      <c r="S1782" t="s">
        <v>101</v>
      </c>
      <c r="T1782" t="s">
        <v>64</v>
      </c>
    </row>
    <row r="1783" spans="1:20">
      <c r="A1783" t="s">
        <v>1851</v>
      </c>
      <c r="B1783" s="5">
        <v>45928</v>
      </c>
      <c r="C1783" s="8">
        <f>YEAR(Tabla2[[#This Row],[fecha]])</f>
        <v>2025</v>
      </c>
      <c r="D1783" s="8">
        <f>MONTH(Tabla2[[#This Row],[fecha]])</f>
        <v>9</v>
      </c>
      <c r="E1783" s="8" t="str">
        <f>TEXT(Tabla2[[#This Row],[fecha]], "mmmm")</f>
        <v>septiembre</v>
      </c>
      <c r="F1783" s="8" t="str">
        <f>"T"&amp;ROUNDUP(Tabla2[[#This Row],[mes]]/3,0)</f>
        <v>T3</v>
      </c>
      <c r="G1783" t="s">
        <v>45</v>
      </c>
      <c r="H1783" t="s">
        <v>46</v>
      </c>
      <c r="I1783" s="8" t="str">
        <f>IF(Tabla2[[#This Row],[precio_unitario]]&lt;=30,"Económico",IF(Tabla2[[#This Row],[precio_unitario]]&lt;=58.49,"Accesible","Caro"))</f>
        <v>Accesible</v>
      </c>
      <c r="J1783" t="s">
        <v>44</v>
      </c>
      <c r="K1783">
        <v>2</v>
      </c>
      <c r="L1783" s="19">
        <v>31.84</v>
      </c>
      <c r="M1783" s="19">
        <v>16.82</v>
      </c>
      <c r="N1783" s="11">
        <v>0</v>
      </c>
      <c r="O1783" s="17">
        <f t="shared" si="111"/>
        <v>63.68</v>
      </c>
      <c r="P1783" s="17">
        <f t="shared" si="108"/>
        <v>33.64</v>
      </c>
      <c r="Q1783" s="17">
        <f t="shared" si="109"/>
        <v>30.04</v>
      </c>
      <c r="R1783" s="24">
        <f t="shared" si="110"/>
        <v>0.47173366834170855</v>
      </c>
      <c r="S1783" t="s">
        <v>67</v>
      </c>
      <c r="T1783" t="s">
        <v>60</v>
      </c>
    </row>
    <row r="1784" spans="1:20" hidden="1">
      <c r="A1784" t="s">
        <v>1852</v>
      </c>
      <c r="B1784" s="5">
        <v>45373</v>
      </c>
      <c r="C1784" s="8">
        <f>YEAR(Tabla2[[#This Row],[fecha]])</f>
        <v>2024</v>
      </c>
      <c r="D1784" s="8">
        <f>MONTH(Tabla2[[#This Row],[fecha]])</f>
        <v>3</v>
      </c>
      <c r="E1784" s="8" t="str">
        <f>TEXT(Tabla2[[#This Row],[fecha]], "mmmm")</f>
        <v>marzo</v>
      </c>
      <c r="F1784" s="8" t="str">
        <f>"T"&amp;ROUNDUP(Tabla2[[#This Row],[mes]]/3,0)</f>
        <v>T1</v>
      </c>
      <c r="G1784" t="s">
        <v>13</v>
      </c>
      <c r="H1784" t="s">
        <v>14</v>
      </c>
      <c r="I1784" s="8" t="str">
        <f>IF(Tabla2[[#This Row],[precio_unitario]]&lt;=30,"Económico",IF(Tabla2[[#This Row],[precio_unitario]]&lt;=58.49,"Accesible","Caro"))</f>
        <v>Caro</v>
      </c>
      <c r="J1784" t="s">
        <v>8</v>
      </c>
      <c r="K1784">
        <v>2</v>
      </c>
      <c r="L1784" s="19">
        <v>153.18</v>
      </c>
      <c r="M1784" s="19">
        <v>109.41</v>
      </c>
      <c r="N1784" s="11">
        <v>0</v>
      </c>
      <c r="O1784" s="17">
        <f t="shared" si="111"/>
        <v>306.36</v>
      </c>
      <c r="P1784" s="17">
        <f t="shared" si="108"/>
        <v>218.82</v>
      </c>
      <c r="Q1784" s="17">
        <f t="shared" si="109"/>
        <v>87.54000000000002</v>
      </c>
      <c r="R1784" s="24">
        <f t="shared" si="110"/>
        <v>0.28574226400313363</v>
      </c>
      <c r="S1784" t="s">
        <v>67</v>
      </c>
      <c r="T1784" t="s">
        <v>60</v>
      </c>
    </row>
    <row r="1785" spans="1:20" hidden="1">
      <c r="A1785" t="s">
        <v>1853</v>
      </c>
      <c r="B1785" s="5">
        <v>45974</v>
      </c>
      <c r="C1785" s="8">
        <f>YEAR(Tabla2[[#This Row],[fecha]])</f>
        <v>2025</v>
      </c>
      <c r="D1785" s="8">
        <f>MONTH(Tabla2[[#This Row],[fecha]])</f>
        <v>11</v>
      </c>
      <c r="E1785" s="8" t="str">
        <f>TEXT(Tabla2[[#This Row],[fecha]], "mmmm")</f>
        <v>noviembre</v>
      </c>
      <c r="F1785" s="8" t="str">
        <f>"T"&amp;ROUNDUP(Tabla2[[#This Row],[mes]]/3,0)</f>
        <v>T4</v>
      </c>
      <c r="G1785" t="s">
        <v>11</v>
      </c>
      <c r="H1785" t="s">
        <v>12</v>
      </c>
      <c r="I1785" s="8" t="str">
        <f>IF(Tabla2[[#This Row],[precio_unitario]]&lt;=30,"Económico",IF(Tabla2[[#This Row],[precio_unitario]]&lt;=58.49,"Accesible","Caro"))</f>
        <v>Caro</v>
      </c>
      <c r="J1785" t="s">
        <v>8</v>
      </c>
      <c r="K1785">
        <v>1</v>
      </c>
      <c r="L1785" s="19">
        <v>170.41</v>
      </c>
      <c r="M1785" s="19">
        <v>91.15</v>
      </c>
      <c r="N1785" s="11">
        <v>0.19</v>
      </c>
      <c r="O1785" s="17">
        <f t="shared" si="111"/>
        <v>138.03210000000001</v>
      </c>
      <c r="P1785" s="17">
        <f t="shared" si="108"/>
        <v>91.15</v>
      </c>
      <c r="Q1785" s="17">
        <f t="shared" si="109"/>
        <v>46.882100000000008</v>
      </c>
      <c r="R1785" s="24">
        <f t="shared" si="110"/>
        <v>0.33964635762261097</v>
      </c>
      <c r="S1785" t="s">
        <v>96</v>
      </c>
      <c r="T1785" t="s">
        <v>64</v>
      </c>
    </row>
    <row r="1786" spans="1:20" hidden="1">
      <c r="A1786" t="s">
        <v>1854</v>
      </c>
      <c r="B1786" s="5">
        <v>45582</v>
      </c>
      <c r="C1786" s="8">
        <f>YEAR(Tabla2[[#This Row],[fecha]])</f>
        <v>2024</v>
      </c>
      <c r="D1786" s="8">
        <f>MONTH(Tabla2[[#This Row],[fecha]])</f>
        <v>10</v>
      </c>
      <c r="E1786" s="8" t="str">
        <f>TEXT(Tabla2[[#This Row],[fecha]], "mmmm")</f>
        <v>octubre</v>
      </c>
      <c r="F1786" s="8" t="str">
        <f>"T"&amp;ROUNDUP(Tabla2[[#This Row],[mes]]/3,0)</f>
        <v>T4</v>
      </c>
      <c r="G1786" t="s">
        <v>47</v>
      </c>
      <c r="H1786" t="s">
        <v>48</v>
      </c>
      <c r="I1786" s="8" t="str">
        <f>IF(Tabla2[[#This Row],[precio_unitario]]&lt;=30,"Económico",IF(Tabla2[[#This Row],[precio_unitario]]&lt;=58.49,"Accesible","Caro"))</f>
        <v>Accesible</v>
      </c>
      <c r="J1786" t="s">
        <v>44</v>
      </c>
      <c r="K1786">
        <v>6</v>
      </c>
      <c r="L1786" s="19">
        <v>56.63</v>
      </c>
      <c r="M1786" s="19">
        <v>33.14</v>
      </c>
      <c r="N1786" s="11">
        <v>0</v>
      </c>
      <c r="O1786" s="17">
        <f t="shared" si="111"/>
        <v>339.78000000000003</v>
      </c>
      <c r="P1786" s="17">
        <f t="shared" si="108"/>
        <v>198.84</v>
      </c>
      <c r="Q1786" s="17">
        <f t="shared" si="109"/>
        <v>140.94000000000003</v>
      </c>
      <c r="R1786" s="24">
        <f t="shared" si="110"/>
        <v>0.41479781034787222</v>
      </c>
      <c r="S1786" t="s">
        <v>540</v>
      </c>
      <c r="T1786" t="s">
        <v>64</v>
      </c>
    </row>
    <row r="1787" spans="1:20" hidden="1">
      <c r="A1787" t="s">
        <v>1855</v>
      </c>
      <c r="B1787" s="5">
        <v>45387</v>
      </c>
      <c r="C1787" s="8">
        <f>YEAR(Tabla2[[#This Row],[fecha]])</f>
        <v>2024</v>
      </c>
      <c r="D1787" s="8">
        <f>MONTH(Tabla2[[#This Row],[fecha]])</f>
        <v>4</v>
      </c>
      <c r="E1787" s="8" t="str">
        <f>TEXT(Tabla2[[#This Row],[fecha]], "mmmm")</f>
        <v>abril</v>
      </c>
      <c r="F1787" s="8" t="str">
        <f>"T"&amp;ROUNDUP(Tabla2[[#This Row],[mes]]/3,0)</f>
        <v>T2</v>
      </c>
      <c r="G1787" t="s">
        <v>38</v>
      </c>
      <c r="H1787" t="s">
        <v>39</v>
      </c>
      <c r="I1787" s="8" t="str">
        <f>IF(Tabla2[[#This Row],[precio_unitario]]&lt;=30,"Económico",IF(Tabla2[[#This Row],[precio_unitario]]&lt;=58.49,"Accesible","Caro"))</f>
        <v>Caro</v>
      </c>
      <c r="J1787" t="s">
        <v>35</v>
      </c>
      <c r="K1787">
        <v>1</v>
      </c>
      <c r="L1787" s="19">
        <v>83.17</v>
      </c>
      <c r="M1787" s="19">
        <v>41.26</v>
      </c>
      <c r="N1787" s="11">
        <v>0</v>
      </c>
      <c r="O1787" s="17">
        <f t="shared" si="111"/>
        <v>83.17</v>
      </c>
      <c r="P1787" s="17">
        <f t="shared" si="108"/>
        <v>41.26</v>
      </c>
      <c r="Q1787" s="17">
        <f t="shared" si="109"/>
        <v>41.910000000000004</v>
      </c>
      <c r="R1787" s="24">
        <f t="shared" si="110"/>
        <v>0.5039076590116629</v>
      </c>
      <c r="S1787" t="s">
        <v>67</v>
      </c>
      <c r="T1787" t="s">
        <v>64</v>
      </c>
    </row>
    <row r="1788" spans="1:20" hidden="1">
      <c r="A1788" t="s">
        <v>1856</v>
      </c>
      <c r="B1788" s="5">
        <v>45823</v>
      </c>
      <c r="C1788" s="8">
        <f>YEAR(Tabla2[[#This Row],[fecha]])</f>
        <v>2025</v>
      </c>
      <c r="D1788" s="8">
        <f>MONTH(Tabla2[[#This Row],[fecha]])</f>
        <v>6</v>
      </c>
      <c r="E1788" s="8" t="str">
        <f>TEXT(Tabla2[[#This Row],[fecha]], "mmmm")</f>
        <v>junio</v>
      </c>
      <c r="F1788" s="8" t="str">
        <f>"T"&amp;ROUNDUP(Tabla2[[#This Row],[mes]]/3,0)</f>
        <v>T2</v>
      </c>
      <c r="G1788" t="s">
        <v>42</v>
      </c>
      <c r="H1788" t="s">
        <v>43</v>
      </c>
      <c r="I1788" s="8" t="str">
        <f>IF(Tabla2[[#This Row],[precio_unitario]]&lt;=30,"Económico",IF(Tabla2[[#This Row],[precio_unitario]]&lt;=58.49,"Accesible","Caro"))</f>
        <v>Accesible</v>
      </c>
      <c r="J1788" t="s">
        <v>44</v>
      </c>
      <c r="K1788">
        <v>1</v>
      </c>
      <c r="L1788" s="19">
        <v>49.04</v>
      </c>
      <c r="M1788" s="19">
        <v>23.1</v>
      </c>
      <c r="N1788" s="11">
        <v>0</v>
      </c>
      <c r="O1788" s="17">
        <f t="shared" si="111"/>
        <v>49.04</v>
      </c>
      <c r="P1788" s="17">
        <f t="shared" si="108"/>
        <v>23.1</v>
      </c>
      <c r="Q1788" s="17">
        <f t="shared" si="109"/>
        <v>25.939999999999998</v>
      </c>
      <c r="R1788" s="24">
        <f t="shared" si="110"/>
        <v>0.52895595432300158</v>
      </c>
      <c r="S1788" t="s">
        <v>83</v>
      </c>
      <c r="T1788" t="s">
        <v>64</v>
      </c>
    </row>
    <row r="1789" spans="1:20" hidden="1">
      <c r="A1789" t="s">
        <v>1857</v>
      </c>
      <c r="B1789" s="5">
        <v>45877</v>
      </c>
      <c r="C1789" s="8">
        <f>YEAR(Tabla2[[#This Row],[fecha]])</f>
        <v>2025</v>
      </c>
      <c r="D1789" s="8">
        <f>MONTH(Tabla2[[#This Row],[fecha]])</f>
        <v>8</v>
      </c>
      <c r="E1789" s="8" t="str">
        <f>TEXT(Tabla2[[#This Row],[fecha]], "mmmm")</f>
        <v>agosto</v>
      </c>
      <c r="F1789" s="8" t="str">
        <f>"T"&amp;ROUNDUP(Tabla2[[#This Row],[mes]]/3,0)</f>
        <v>T3</v>
      </c>
      <c r="G1789" t="s">
        <v>6</v>
      </c>
      <c r="H1789" t="s">
        <v>7</v>
      </c>
      <c r="I1789" s="8" t="str">
        <f>IF(Tabla2[[#This Row],[precio_unitario]]&lt;=30,"Económico",IF(Tabla2[[#This Row],[precio_unitario]]&lt;=58.49,"Accesible","Caro"))</f>
        <v>Caro</v>
      </c>
      <c r="J1789" t="s">
        <v>8</v>
      </c>
      <c r="K1789">
        <v>2</v>
      </c>
      <c r="L1789" s="19">
        <v>125</v>
      </c>
      <c r="M1789" s="19">
        <v>80.81</v>
      </c>
      <c r="N1789" s="11">
        <v>0</v>
      </c>
      <c r="O1789" s="17">
        <f t="shared" si="111"/>
        <v>250</v>
      </c>
      <c r="P1789" s="17">
        <f t="shared" si="108"/>
        <v>161.62</v>
      </c>
      <c r="Q1789" s="17">
        <f t="shared" si="109"/>
        <v>88.38</v>
      </c>
      <c r="R1789" s="24">
        <f t="shared" si="110"/>
        <v>0.35352</v>
      </c>
      <c r="S1789" t="s">
        <v>83</v>
      </c>
      <c r="T1789" t="s">
        <v>64</v>
      </c>
    </row>
    <row r="1790" spans="1:20" hidden="1">
      <c r="A1790" t="s">
        <v>1858</v>
      </c>
      <c r="B1790" s="5">
        <v>45642</v>
      </c>
      <c r="C1790" s="8">
        <f>YEAR(Tabla2[[#This Row],[fecha]])</f>
        <v>2024</v>
      </c>
      <c r="D1790" s="8">
        <f>MONTH(Tabla2[[#This Row],[fecha]])</f>
        <v>12</v>
      </c>
      <c r="E1790" s="8" t="str">
        <f>TEXT(Tabla2[[#This Row],[fecha]], "mmmm")</f>
        <v>diciembre</v>
      </c>
      <c r="F1790" s="8" t="str">
        <f>"T"&amp;ROUNDUP(Tabla2[[#This Row],[mes]]/3,0)</f>
        <v>T4</v>
      </c>
      <c r="G1790" t="s">
        <v>42</v>
      </c>
      <c r="H1790" t="s">
        <v>43</v>
      </c>
      <c r="I1790" s="8" t="str">
        <f>IF(Tabla2[[#This Row],[precio_unitario]]&lt;=30,"Económico",IF(Tabla2[[#This Row],[precio_unitario]]&lt;=58.49,"Accesible","Caro"))</f>
        <v>Accesible</v>
      </c>
      <c r="J1790" t="s">
        <v>44</v>
      </c>
      <c r="K1790">
        <v>4</v>
      </c>
      <c r="L1790" s="19">
        <v>50.17</v>
      </c>
      <c r="M1790" s="19">
        <v>22.4</v>
      </c>
      <c r="N1790" s="11">
        <v>0</v>
      </c>
      <c r="O1790" s="17">
        <f t="shared" si="111"/>
        <v>200.68</v>
      </c>
      <c r="P1790" s="17">
        <f t="shared" si="108"/>
        <v>89.6</v>
      </c>
      <c r="Q1790" s="17">
        <f t="shared" si="109"/>
        <v>111.08000000000001</v>
      </c>
      <c r="R1790" s="24">
        <f t="shared" si="110"/>
        <v>0.553518038668527</v>
      </c>
      <c r="S1790" t="s">
        <v>67</v>
      </c>
      <c r="T1790" t="s">
        <v>64</v>
      </c>
    </row>
    <row r="1791" spans="1:20" hidden="1">
      <c r="A1791" t="s">
        <v>1859</v>
      </c>
      <c r="B1791" s="5">
        <v>45819</v>
      </c>
      <c r="C1791" s="8">
        <f>YEAR(Tabla2[[#This Row],[fecha]])</f>
        <v>2025</v>
      </c>
      <c r="D1791" s="8">
        <f>MONTH(Tabla2[[#This Row],[fecha]])</f>
        <v>6</v>
      </c>
      <c r="E1791" s="8" t="str">
        <f>TEXT(Tabla2[[#This Row],[fecha]], "mmmm")</f>
        <v>junio</v>
      </c>
      <c r="F1791" s="8" t="str">
        <f>"T"&amp;ROUNDUP(Tabla2[[#This Row],[mes]]/3,0)</f>
        <v>T2</v>
      </c>
      <c r="G1791" t="s">
        <v>6</v>
      </c>
      <c r="H1791" t="s">
        <v>7</v>
      </c>
      <c r="I1791" s="8" t="str">
        <f>IF(Tabla2[[#This Row],[precio_unitario]]&lt;=30,"Económico",IF(Tabla2[[#This Row],[precio_unitario]]&lt;=58.49,"Accesible","Caro"))</f>
        <v>Caro</v>
      </c>
      <c r="J1791" t="s">
        <v>8</v>
      </c>
      <c r="K1791">
        <v>3</v>
      </c>
      <c r="L1791" s="19">
        <v>126.64</v>
      </c>
      <c r="M1791" s="19">
        <v>86.94</v>
      </c>
      <c r="N1791" s="13">
        <v>0</v>
      </c>
      <c r="O1791" s="17">
        <f t="shared" si="111"/>
        <v>379.92</v>
      </c>
      <c r="P1791" s="17">
        <f t="shared" si="108"/>
        <v>260.82</v>
      </c>
      <c r="Q1791" s="17">
        <f t="shared" si="109"/>
        <v>119.10000000000002</v>
      </c>
      <c r="R1791" s="24">
        <f t="shared" si="110"/>
        <v>0.31348704990524323</v>
      </c>
      <c r="S1791" t="s">
        <v>83</v>
      </c>
      <c r="T1791" t="s">
        <v>64</v>
      </c>
    </row>
    <row r="1792" spans="1:20" hidden="1">
      <c r="A1792" t="s">
        <v>1860</v>
      </c>
      <c r="B1792" s="5">
        <v>45566</v>
      </c>
      <c r="C1792" s="8">
        <f>YEAR(Tabla2[[#This Row],[fecha]])</f>
        <v>2024</v>
      </c>
      <c r="D1792" s="8">
        <f>MONTH(Tabla2[[#This Row],[fecha]])</f>
        <v>10</v>
      </c>
      <c r="E1792" s="8" t="str">
        <f>TEXT(Tabla2[[#This Row],[fecha]], "mmmm")</f>
        <v>octubre</v>
      </c>
      <c r="F1792" s="8" t="str">
        <f>"T"&amp;ROUNDUP(Tabla2[[#This Row],[mes]]/3,0)</f>
        <v>T4</v>
      </c>
      <c r="G1792" t="s">
        <v>9</v>
      </c>
      <c r="H1792" t="s">
        <v>10</v>
      </c>
      <c r="I1792" s="8" t="str">
        <f>IF(Tabla2[[#This Row],[precio_unitario]]&lt;=30,"Económico",IF(Tabla2[[#This Row],[precio_unitario]]&lt;=58.49,"Accesible","Caro"))</f>
        <v>Caro</v>
      </c>
      <c r="J1792" t="s">
        <v>8</v>
      </c>
      <c r="K1792">
        <v>4</v>
      </c>
      <c r="L1792" s="19">
        <v>73.180000000000007</v>
      </c>
      <c r="M1792" s="19">
        <v>45.91</v>
      </c>
      <c r="N1792" s="11">
        <v>0</v>
      </c>
      <c r="O1792" s="17">
        <f t="shared" si="111"/>
        <v>292.72000000000003</v>
      </c>
      <c r="P1792" s="17">
        <f t="shared" si="108"/>
        <v>183.64</v>
      </c>
      <c r="Q1792" s="17">
        <f t="shared" si="109"/>
        <v>109.08000000000004</v>
      </c>
      <c r="R1792" s="24">
        <f t="shared" si="110"/>
        <v>0.3726427985788468</v>
      </c>
      <c r="S1792" t="s">
        <v>540</v>
      </c>
      <c r="T1792" t="s">
        <v>60</v>
      </c>
    </row>
    <row r="1793" spans="1:20" hidden="1">
      <c r="A1793" t="s">
        <v>1861</v>
      </c>
      <c r="B1793" s="5">
        <v>46014</v>
      </c>
      <c r="C1793" s="8">
        <f>YEAR(Tabla2[[#This Row],[fecha]])</f>
        <v>2025</v>
      </c>
      <c r="D1793" s="8">
        <f>MONTH(Tabla2[[#This Row],[fecha]])</f>
        <v>12</v>
      </c>
      <c r="E1793" s="8" t="str">
        <f>TEXT(Tabla2[[#This Row],[fecha]], "mmmm")</f>
        <v>diciembre</v>
      </c>
      <c r="F1793" s="8" t="str">
        <f>"T"&amp;ROUNDUP(Tabla2[[#This Row],[mes]]/3,0)</f>
        <v>T4</v>
      </c>
      <c r="G1793" t="s">
        <v>27</v>
      </c>
      <c r="H1793" t="s">
        <v>28</v>
      </c>
      <c r="I1793" s="8" t="str">
        <f>IF(Tabla2[[#This Row],[precio_unitario]]&lt;=30,"Económico",IF(Tabla2[[#This Row],[precio_unitario]]&lt;=58.49,"Accesible","Caro"))</f>
        <v>Económico</v>
      </c>
      <c r="J1793" t="s">
        <v>26</v>
      </c>
      <c r="K1793">
        <v>1</v>
      </c>
      <c r="L1793" s="19">
        <v>17.329999999999998</v>
      </c>
      <c r="M1793" s="19">
        <v>11.29</v>
      </c>
      <c r="N1793" s="11">
        <v>0</v>
      </c>
      <c r="O1793" s="17">
        <f t="shared" si="111"/>
        <v>17.329999999999998</v>
      </c>
      <c r="P1793" s="17">
        <f t="shared" si="108"/>
        <v>11.29</v>
      </c>
      <c r="Q1793" s="17">
        <f t="shared" si="109"/>
        <v>6.0399999999999991</v>
      </c>
      <c r="R1793" s="24">
        <f t="shared" si="110"/>
        <v>0.3485285631852279</v>
      </c>
      <c r="S1793" t="s">
        <v>96</v>
      </c>
      <c r="T1793" t="s">
        <v>64</v>
      </c>
    </row>
    <row r="1794" spans="1:20" hidden="1">
      <c r="A1794" t="s">
        <v>1862</v>
      </c>
      <c r="B1794" s="5">
        <v>45959</v>
      </c>
      <c r="C1794" s="8">
        <f>YEAR(Tabla2[[#This Row],[fecha]])</f>
        <v>2025</v>
      </c>
      <c r="D1794" s="8">
        <f>MONTH(Tabla2[[#This Row],[fecha]])</f>
        <v>10</v>
      </c>
      <c r="E1794" s="8" t="str">
        <f>TEXT(Tabla2[[#This Row],[fecha]], "mmmm")</f>
        <v>octubre</v>
      </c>
      <c r="F1794" s="8" t="str">
        <f>"T"&amp;ROUNDUP(Tabla2[[#This Row],[mes]]/3,0)</f>
        <v>T4</v>
      </c>
      <c r="G1794" t="s">
        <v>42</v>
      </c>
      <c r="H1794" t="s">
        <v>43</v>
      </c>
      <c r="I1794" s="8" t="str">
        <f>IF(Tabla2[[#This Row],[precio_unitario]]&lt;=30,"Económico",IF(Tabla2[[#This Row],[precio_unitario]]&lt;=58.49,"Accesible","Caro"))</f>
        <v>Accesible</v>
      </c>
      <c r="J1794" t="s">
        <v>44</v>
      </c>
      <c r="K1794">
        <v>10</v>
      </c>
      <c r="L1794" s="19">
        <v>46.55</v>
      </c>
      <c r="M1794" s="19">
        <v>22.26</v>
      </c>
      <c r="N1794" s="11">
        <v>0</v>
      </c>
      <c r="O1794" s="17">
        <f t="shared" si="111"/>
        <v>465.5</v>
      </c>
      <c r="P1794" s="17">
        <f t="shared" ref="P1794:P1857" si="112">M1794*K1794</f>
        <v>222.60000000000002</v>
      </c>
      <c r="Q1794" s="17">
        <f t="shared" ref="Q1794:Q1857" si="113">O1794-P1794</f>
        <v>242.89999999999998</v>
      </c>
      <c r="R1794" s="24">
        <f t="shared" ref="R1794:R1857" si="114">IFERROR(Q1794/O1794,0)</f>
        <v>0.52180451127819549</v>
      </c>
      <c r="S1794" t="s">
        <v>63</v>
      </c>
      <c r="T1794" t="s">
        <v>1064</v>
      </c>
    </row>
    <row r="1795" spans="1:20" hidden="1">
      <c r="A1795" t="s">
        <v>1863</v>
      </c>
      <c r="B1795" s="5">
        <v>45478</v>
      </c>
      <c r="C1795" s="8">
        <f>YEAR(Tabla2[[#This Row],[fecha]])</f>
        <v>2024</v>
      </c>
      <c r="D1795" s="8">
        <f>MONTH(Tabla2[[#This Row],[fecha]])</f>
        <v>7</v>
      </c>
      <c r="E1795" s="8" t="str">
        <f>TEXT(Tabla2[[#This Row],[fecha]], "mmmm")</f>
        <v>julio</v>
      </c>
      <c r="F1795" s="8" t="str">
        <f>"T"&amp;ROUNDUP(Tabla2[[#This Row],[mes]]/3,0)</f>
        <v>T3</v>
      </c>
      <c r="G1795" t="s">
        <v>36</v>
      </c>
      <c r="H1795" t="s">
        <v>37</v>
      </c>
      <c r="I1795" s="8" t="str">
        <f>IF(Tabla2[[#This Row],[precio_unitario]]&lt;=30,"Económico",IF(Tabla2[[#This Row],[precio_unitario]]&lt;=58.49,"Accesible","Caro"))</f>
        <v>Económico</v>
      </c>
      <c r="J1795" t="s">
        <v>35</v>
      </c>
      <c r="K1795">
        <v>4</v>
      </c>
      <c r="L1795" s="19">
        <v>14.55</v>
      </c>
      <c r="M1795" s="19">
        <v>9.67</v>
      </c>
      <c r="N1795" s="13">
        <v>0</v>
      </c>
      <c r="O1795" s="17">
        <f t="shared" ref="O1795:O1858" si="115">K1795*L1795*(1-N1795)</f>
        <v>58.2</v>
      </c>
      <c r="P1795" s="17">
        <f t="shared" si="112"/>
        <v>38.68</v>
      </c>
      <c r="Q1795" s="17">
        <f t="shared" si="113"/>
        <v>19.520000000000003</v>
      </c>
      <c r="R1795" s="24">
        <f t="shared" si="114"/>
        <v>0.33539518900343646</v>
      </c>
      <c r="S1795" t="s">
        <v>67</v>
      </c>
      <c r="T1795" t="s">
        <v>64</v>
      </c>
    </row>
    <row r="1796" spans="1:20" hidden="1">
      <c r="A1796" t="s">
        <v>1864</v>
      </c>
      <c r="B1796" s="5">
        <v>45439</v>
      </c>
      <c r="C1796" s="8">
        <f>YEAR(Tabla2[[#This Row],[fecha]])</f>
        <v>2024</v>
      </c>
      <c r="D1796" s="8">
        <f>MONTH(Tabla2[[#This Row],[fecha]])</f>
        <v>5</v>
      </c>
      <c r="E1796" s="8" t="str">
        <f>TEXT(Tabla2[[#This Row],[fecha]], "mmmm")</f>
        <v>mayo</v>
      </c>
      <c r="F1796" s="8" t="str">
        <f>"T"&amp;ROUNDUP(Tabla2[[#This Row],[mes]]/3,0)</f>
        <v>T2</v>
      </c>
      <c r="G1796" t="s">
        <v>29</v>
      </c>
      <c r="H1796" t="s">
        <v>30</v>
      </c>
      <c r="I1796" s="8" t="str">
        <f>IF(Tabla2[[#This Row],[precio_unitario]]&lt;=30,"Económico",IF(Tabla2[[#This Row],[precio_unitario]]&lt;=58.49,"Accesible","Caro"))</f>
        <v>Económico</v>
      </c>
      <c r="J1796" t="s">
        <v>26</v>
      </c>
      <c r="K1796">
        <v>1</v>
      </c>
      <c r="L1796" s="19">
        <v>22.77</v>
      </c>
      <c r="M1796" s="19">
        <v>11.39</v>
      </c>
      <c r="N1796" s="11">
        <v>0</v>
      </c>
      <c r="O1796" s="17">
        <f t="shared" si="115"/>
        <v>22.77</v>
      </c>
      <c r="P1796" s="17">
        <f t="shared" si="112"/>
        <v>11.39</v>
      </c>
      <c r="Q1796" s="17">
        <f t="shared" si="113"/>
        <v>11.379999999999999</v>
      </c>
      <c r="R1796" s="24">
        <f t="shared" si="114"/>
        <v>0.49978041282389107</v>
      </c>
      <c r="S1796" t="s">
        <v>63</v>
      </c>
      <c r="T1796" t="s">
        <v>64</v>
      </c>
    </row>
    <row r="1797" spans="1:20" hidden="1">
      <c r="A1797" t="s">
        <v>1865</v>
      </c>
      <c r="B1797" s="5">
        <v>45932</v>
      </c>
      <c r="C1797" s="8">
        <f>YEAR(Tabla2[[#This Row],[fecha]])</f>
        <v>2025</v>
      </c>
      <c r="D1797" s="8">
        <f>MONTH(Tabla2[[#This Row],[fecha]])</f>
        <v>10</v>
      </c>
      <c r="E1797" s="8" t="str">
        <f>TEXT(Tabla2[[#This Row],[fecha]], "mmmm")</f>
        <v>octubre</v>
      </c>
      <c r="F1797" s="8" t="str">
        <f>"T"&amp;ROUNDUP(Tabla2[[#This Row],[mes]]/3,0)</f>
        <v>T4</v>
      </c>
      <c r="G1797" t="s">
        <v>15</v>
      </c>
      <c r="H1797" t="s">
        <v>16</v>
      </c>
      <c r="I1797" s="8" t="str">
        <f>IF(Tabla2[[#This Row],[precio_unitario]]&lt;=30,"Económico",IF(Tabla2[[#This Row],[precio_unitario]]&lt;=58.49,"Accesible","Caro"))</f>
        <v>Accesible</v>
      </c>
      <c r="J1797" t="s">
        <v>17</v>
      </c>
      <c r="K1797">
        <v>1</v>
      </c>
      <c r="L1797" s="19">
        <v>55.46</v>
      </c>
      <c r="M1797" s="19">
        <v>39.479999999999997</v>
      </c>
      <c r="N1797" s="13">
        <v>0</v>
      </c>
      <c r="O1797" s="17">
        <f t="shared" si="115"/>
        <v>55.46</v>
      </c>
      <c r="P1797" s="17">
        <f t="shared" si="112"/>
        <v>39.479999999999997</v>
      </c>
      <c r="Q1797" s="17">
        <f t="shared" si="113"/>
        <v>15.980000000000004</v>
      </c>
      <c r="R1797" s="24">
        <f t="shared" si="114"/>
        <v>0.28813559322033905</v>
      </c>
      <c r="S1797" t="s">
        <v>101</v>
      </c>
      <c r="T1797" t="s">
        <v>64</v>
      </c>
    </row>
    <row r="1798" spans="1:20">
      <c r="A1798" t="s">
        <v>1866</v>
      </c>
      <c r="B1798" s="5">
        <v>45838</v>
      </c>
      <c r="C1798" s="8">
        <f>YEAR(Tabla2[[#This Row],[fecha]])</f>
        <v>2025</v>
      </c>
      <c r="D1798" s="8">
        <f>MONTH(Tabla2[[#This Row],[fecha]])</f>
        <v>6</v>
      </c>
      <c r="E1798" s="8" t="str">
        <f>TEXT(Tabla2[[#This Row],[fecha]], "mmmm")</f>
        <v>junio</v>
      </c>
      <c r="F1798" s="8" t="str">
        <f>"T"&amp;ROUNDUP(Tabla2[[#This Row],[mes]]/3,0)</f>
        <v>T2</v>
      </c>
      <c r="G1798" t="s">
        <v>18</v>
      </c>
      <c r="H1798" t="s">
        <v>19</v>
      </c>
      <c r="I1798" s="8" t="str">
        <f>IF(Tabla2[[#This Row],[precio_unitario]]&lt;=30,"Económico",IF(Tabla2[[#This Row],[precio_unitario]]&lt;=58.49,"Accesible","Caro"))</f>
        <v>Accesible</v>
      </c>
      <c r="J1798" t="s">
        <v>17</v>
      </c>
      <c r="K1798">
        <v>2</v>
      </c>
      <c r="L1798" s="19">
        <v>44.07</v>
      </c>
      <c r="M1798" s="19">
        <v>26.52</v>
      </c>
      <c r="N1798" s="11">
        <v>0</v>
      </c>
      <c r="O1798" s="17">
        <f t="shared" si="115"/>
        <v>88.14</v>
      </c>
      <c r="P1798" s="17">
        <f t="shared" si="112"/>
        <v>53.04</v>
      </c>
      <c r="Q1798" s="17">
        <f t="shared" si="113"/>
        <v>35.1</v>
      </c>
      <c r="R1798" s="24">
        <f t="shared" si="114"/>
        <v>0.39823008849557523</v>
      </c>
      <c r="S1798" t="s">
        <v>67</v>
      </c>
      <c r="T1798" t="s">
        <v>64</v>
      </c>
    </row>
    <row r="1799" spans="1:20" hidden="1">
      <c r="A1799" t="s">
        <v>1867</v>
      </c>
      <c r="B1799" s="5">
        <v>45428</v>
      </c>
      <c r="C1799" s="8">
        <f>YEAR(Tabla2[[#This Row],[fecha]])</f>
        <v>2024</v>
      </c>
      <c r="D1799" s="8">
        <f>MONTH(Tabla2[[#This Row],[fecha]])</f>
        <v>5</v>
      </c>
      <c r="E1799" s="8" t="str">
        <f>TEXT(Tabla2[[#This Row],[fecha]], "mmmm")</f>
        <v>mayo</v>
      </c>
      <c r="F1799" s="8" t="str">
        <f>"T"&amp;ROUNDUP(Tabla2[[#This Row],[mes]]/3,0)</f>
        <v>T2</v>
      </c>
      <c r="G1799" t="s">
        <v>29</v>
      </c>
      <c r="H1799" t="s">
        <v>30</v>
      </c>
      <c r="I1799" s="8" t="str">
        <f>IF(Tabla2[[#This Row],[precio_unitario]]&lt;=30,"Económico",IF(Tabla2[[#This Row],[precio_unitario]]&lt;=58.49,"Accesible","Caro"))</f>
        <v>Económico</v>
      </c>
      <c r="J1799" t="s">
        <v>26</v>
      </c>
      <c r="K1799">
        <v>6</v>
      </c>
      <c r="L1799" s="19">
        <v>22.18</v>
      </c>
      <c r="M1799" s="19">
        <v>11.55</v>
      </c>
      <c r="N1799" s="11">
        <v>0</v>
      </c>
      <c r="O1799" s="17">
        <f t="shared" si="115"/>
        <v>133.07999999999998</v>
      </c>
      <c r="P1799" s="17">
        <f t="shared" si="112"/>
        <v>69.300000000000011</v>
      </c>
      <c r="Q1799" s="17">
        <f t="shared" si="113"/>
        <v>63.779999999999973</v>
      </c>
      <c r="R1799" s="24">
        <f t="shared" si="114"/>
        <v>0.47926059513074826</v>
      </c>
      <c r="S1799" s="10" t="s">
        <v>2377</v>
      </c>
      <c r="T1799" t="s">
        <v>64</v>
      </c>
    </row>
    <row r="1800" spans="1:20" hidden="1">
      <c r="A1800" t="s">
        <v>1868</v>
      </c>
      <c r="B1800" s="5">
        <v>45639</v>
      </c>
      <c r="C1800" s="8">
        <f>YEAR(Tabla2[[#This Row],[fecha]])</f>
        <v>2024</v>
      </c>
      <c r="D1800" s="8">
        <f>MONTH(Tabla2[[#This Row],[fecha]])</f>
        <v>12</v>
      </c>
      <c r="E1800" s="8" t="str">
        <f>TEXT(Tabla2[[#This Row],[fecha]], "mmmm")</f>
        <v>diciembre</v>
      </c>
      <c r="F1800" s="8" t="str">
        <f>"T"&amp;ROUNDUP(Tabla2[[#This Row],[mes]]/3,0)</f>
        <v>T4</v>
      </c>
      <c r="G1800" t="s">
        <v>6</v>
      </c>
      <c r="H1800" t="s">
        <v>7</v>
      </c>
      <c r="I1800" s="8" t="str">
        <f>IF(Tabla2[[#This Row],[precio_unitario]]&lt;=30,"Económico",IF(Tabla2[[#This Row],[precio_unitario]]&lt;=58.49,"Accesible","Caro"))</f>
        <v>Caro</v>
      </c>
      <c r="J1800" t="s">
        <v>8</v>
      </c>
      <c r="K1800">
        <v>1</v>
      </c>
      <c r="L1800" s="19">
        <v>128.01</v>
      </c>
      <c r="M1800" s="19">
        <v>88.24</v>
      </c>
      <c r="N1800" s="11">
        <v>0.17</v>
      </c>
      <c r="O1800" s="17">
        <f t="shared" si="115"/>
        <v>106.24829999999999</v>
      </c>
      <c r="P1800" s="17">
        <f t="shared" si="112"/>
        <v>88.24</v>
      </c>
      <c r="Q1800" s="17">
        <f t="shared" si="113"/>
        <v>18.008299999999991</v>
      </c>
      <c r="R1800" s="24">
        <f t="shared" si="114"/>
        <v>0.16949259423444887</v>
      </c>
      <c r="S1800" t="s">
        <v>540</v>
      </c>
      <c r="T1800" t="s">
        <v>64</v>
      </c>
    </row>
    <row r="1801" spans="1:20" hidden="1">
      <c r="A1801" t="s">
        <v>1869</v>
      </c>
      <c r="B1801" s="5">
        <v>45610</v>
      </c>
      <c r="C1801" s="8">
        <f>YEAR(Tabla2[[#This Row],[fecha]])</f>
        <v>2024</v>
      </c>
      <c r="D1801" s="8">
        <f>MONTH(Tabla2[[#This Row],[fecha]])</f>
        <v>11</v>
      </c>
      <c r="E1801" s="8" t="str">
        <f>TEXT(Tabla2[[#This Row],[fecha]], "mmmm")</f>
        <v>noviembre</v>
      </c>
      <c r="F1801" s="8" t="str">
        <f>"T"&amp;ROUNDUP(Tabla2[[#This Row],[mes]]/3,0)</f>
        <v>T4</v>
      </c>
      <c r="G1801" t="s">
        <v>27</v>
      </c>
      <c r="H1801" t="s">
        <v>28</v>
      </c>
      <c r="I1801" s="8" t="str">
        <f>IF(Tabla2[[#This Row],[precio_unitario]]&lt;=30,"Económico",IF(Tabla2[[#This Row],[precio_unitario]]&lt;=58.49,"Accesible","Caro"))</f>
        <v>Económico</v>
      </c>
      <c r="J1801" t="s">
        <v>26</v>
      </c>
      <c r="K1801">
        <v>3</v>
      </c>
      <c r="L1801" s="19">
        <v>16.66</v>
      </c>
      <c r="M1801" s="19">
        <v>11.4</v>
      </c>
      <c r="N1801" s="11">
        <v>0</v>
      </c>
      <c r="O1801" s="17">
        <f t="shared" si="115"/>
        <v>49.980000000000004</v>
      </c>
      <c r="P1801" s="17">
        <f t="shared" si="112"/>
        <v>34.200000000000003</v>
      </c>
      <c r="Q1801" s="17">
        <f t="shared" si="113"/>
        <v>15.780000000000001</v>
      </c>
      <c r="R1801" s="24">
        <f t="shared" si="114"/>
        <v>0.31572629051620649</v>
      </c>
      <c r="S1801" t="s">
        <v>67</v>
      </c>
      <c r="T1801" t="s">
        <v>64</v>
      </c>
    </row>
    <row r="1802" spans="1:20" hidden="1">
      <c r="A1802" t="s">
        <v>1870</v>
      </c>
      <c r="B1802" s="5">
        <v>45494</v>
      </c>
      <c r="C1802" s="8">
        <f>YEAR(Tabla2[[#This Row],[fecha]])</f>
        <v>2024</v>
      </c>
      <c r="D1802" s="8">
        <f>MONTH(Tabla2[[#This Row],[fecha]])</f>
        <v>7</v>
      </c>
      <c r="E1802" s="8" t="str">
        <f>TEXT(Tabla2[[#This Row],[fecha]], "mmmm")</f>
        <v>julio</v>
      </c>
      <c r="F1802" s="8" t="str">
        <f>"T"&amp;ROUNDUP(Tabla2[[#This Row],[mes]]/3,0)</f>
        <v>T3</v>
      </c>
      <c r="G1802" t="s">
        <v>20</v>
      </c>
      <c r="H1802" t="s">
        <v>21</v>
      </c>
      <c r="I1802" s="8" t="str">
        <f>IF(Tabla2[[#This Row],[precio_unitario]]&lt;=30,"Económico",IF(Tabla2[[#This Row],[precio_unitario]]&lt;=58.49,"Accesible","Caro"))</f>
        <v>Económico</v>
      </c>
      <c r="J1802" t="s">
        <v>17</v>
      </c>
      <c r="K1802">
        <v>4</v>
      </c>
      <c r="L1802" s="19">
        <v>18.690000000000001</v>
      </c>
      <c r="M1802" s="19">
        <v>12.41</v>
      </c>
      <c r="N1802" s="11">
        <v>0</v>
      </c>
      <c r="O1802" s="17">
        <f t="shared" si="115"/>
        <v>74.760000000000005</v>
      </c>
      <c r="P1802" s="17">
        <f t="shared" si="112"/>
        <v>49.64</v>
      </c>
      <c r="Q1802" s="17">
        <f t="shared" si="113"/>
        <v>25.120000000000005</v>
      </c>
      <c r="R1802" s="24">
        <f t="shared" si="114"/>
        <v>0.33600856072766189</v>
      </c>
      <c r="S1802" t="s">
        <v>67</v>
      </c>
      <c r="T1802" t="s">
        <v>64</v>
      </c>
    </row>
    <row r="1803" spans="1:20" hidden="1">
      <c r="A1803" t="s">
        <v>1871</v>
      </c>
      <c r="B1803" s="5">
        <v>45398</v>
      </c>
      <c r="C1803" s="8">
        <f>YEAR(Tabla2[[#This Row],[fecha]])</f>
        <v>2024</v>
      </c>
      <c r="D1803" s="8">
        <f>MONTH(Tabla2[[#This Row],[fecha]])</f>
        <v>4</v>
      </c>
      <c r="E1803" s="8" t="str">
        <f>TEXT(Tabla2[[#This Row],[fecha]], "mmmm")</f>
        <v>abril</v>
      </c>
      <c r="F1803" s="8" t="str">
        <f>"T"&amp;ROUNDUP(Tabla2[[#This Row],[mes]]/3,0)</f>
        <v>T2</v>
      </c>
      <c r="G1803" t="s">
        <v>15</v>
      </c>
      <c r="H1803" t="s">
        <v>16</v>
      </c>
      <c r="I1803" s="8" t="str">
        <f>IF(Tabla2[[#This Row],[precio_unitario]]&lt;=30,"Económico",IF(Tabla2[[#This Row],[precio_unitario]]&lt;=58.49,"Accesible","Caro"))</f>
        <v>Caro</v>
      </c>
      <c r="J1803" t="s">
        <v>17</v>
      </c>
      <c r="K1803">
        <v>2</v>
      </c>
      <c r="L1803" s="19">
        <v>63.64</v>
      </c>
      <c r="M1803" s="19">
        <v>42.25</v>
      </c>
      <c r="N1803" s="11">
        <v>0</v>
      </c>
      <c r="O1803" s="17">
        <f t="shared" si="115"/>
        <v>127.28</v>
      </c>
      <c r="P1803" s="17">
        <f t="shared" si="112"/>
        <v>84.5</v>
      </c>
      <c r="Q1803" s="17">
        <f t="shared" si="113"/>
        <v>42.78</v>
      </c>
      <c r="R1803" s="24">
        <f t="shared" si="114"/>
        <v>0.33610936517913265</v>
      </c>
      <c r="S1803" t="s">
        <v>540</v>
      </c>
      <c r="T1803" t="s">
        <v>64</v>
      </c>
    </row>
    <row r="1804" spans="1:20" hidden="1">
      <c r="A1804" t="s">
        <v>1872</v>
      </c>
      <c r="B1804" s="5">
        <v>45794</v>
      </c>
      <c r="C1804" s="8">
        <f>YEAR(Tabla2[[#This Row],[fecha]])</f>
        <v>2025</v>
      </c>
      <c r="D1804" s="8">
        <f>MONTH(Tabla2[[#This Row],[fecha]])</f>
        <v>5</v>
      </c>
      <c r="E1804" s="8" t="str">
        <f>TEXT(Tabla2[[#This Row],[fecha]], "mmmm")</f>
        <v>mayo</v>
      </c>
      <c r="F1804" s="8" t="str">
        <f>"T"&amp;ROUNDUP(Tabla2[[#This Row],[mes]]/3,0)</f>
        <v>T2</v>
      </c>
      <c r="G1804" t="s">
        <v>9</v>
      </c>
      <c r="H1804" t="s">
        <v>10</v>
      </c>
      <c r="I1804" s="8" t="str">
        <f>IF(Tabla2[[#This Row],[precio_unitario]]&lt;=30,"Económico",IF(Tabla2[[#This Row],[precio_unitario]]&lt;=58.49,"Accesible","Caro"))</f>
        <v>Caro</v>
      </c>
      <c r="J1804" t="s">
        <v>8</v>
      </c>
      <c r="K1804">
        <v>1</v>
      </c>
      <c r="L1804" s="19">
        <v>73.5</v>
      </c>
      <c r="M1804" s="19">
        <v>46.03</v>
      </c>
      <c r="N1804" s="13">
        <v>0</v>
      </c>
      <c r="O1804" s="17">
        <f t="shared" si="115"/>
        <v>73.5</v>
      </c>
      <c r="P1804" s="17">
        <f t="shared" si="112"/>
        <v>46.03</v>
      </c>
      <c r="Q1804" s="17">
        <f t="shared" si="113"/>
        <v>27.47</v>
      </c>
      <c r="R1804" s="24">
        <f t="shared" si="114"/>
        <v>0.37374149659863942</v>
      </c>
      <c r="S1804" t="s">
        <v>540</v>
      </c>
      <c r="T1804" t="s">
        <v>64</v>
      </c>
    </row>
    <row r="1805" spans="1:20" hidden="1">
      <c r="A1805" t="s">
        <v>1873</v>
      </c>
      <c r="B1805" s="5">
        <v>45381</v>
      </c>
      <c r="C1805" s="8">
        <f>YEAR(Tabla2[[#This Row],[fecha]])</f>
        <v>2024</v>
      </c>
      <c r="D1805" s="8">
        <f>MONTH(Tabla2[[#This Row],[fecha]])</f>
        <v>3</v>
      </c>
      <c r="E1805" s="8" t="str">
        <f>TEXT(Tabla2[[#This Row],[fecha]], "mmmm")</f>
        <v>marzo</v>
      </c>
      <c r="F1805" s="8" t="str">
        <f>"T"&amp;ROUNDUP(Tabla2[[#This Row],[mes]]/3,0)</f>
        <v>T1</v>
      </c>
      <c r="G1805" t="s">
        <v>22</v>
      </c>
      <c r="H1805" t="s">
        <v>23</v>
      </c>
      <c r="I1805" s="8" t="str">
        <f>IF(Tabla2[[#This Row],[precio_unitario]]&lt;=30,"Económico",IF(Tabla2[[#This Row],[precio_unitario]]&lt;=58.49,"Accesible","Caro"))</f>
        <v>Caro</v>
      </c>
      <c r="J1805" t="s">
        <v>17</v>
      </c>
      <c r="K1805">
        <v>1</v>
      </c>
      <c r="L1805" s="19">
        <v>108.7</v>
      </c>
      <c r="M1805" s="19">
        <v>58.15</v>
      </c>
      <c r="N1805" s="11">
        <v>0.21</v>
      </c>
      <c r="O1805" s="17">
        <f t="shared" si="115"/>
        <v>85.873000000000005</v>
      </c>
      <c r="P1805" s="17">
        <f t="shared" si="112"/>
        <v>58.15</v>
      </c>
      <c r="Q1805" s="17">
        <f t="shared" si="113"/>
        <v>27.723000000000006</v>
      </c>
      <c r="R1805" s="24">
        <f t="shared" si="114"/>
        <v>0.32283721309375479</v>
      </c>
      <c r="S1805" t="s">
        <v>96</v>
      </c>
      <c r="T1805" t="s">
        <v>60</v>
      </c>
    </row>
    <row r="1806" spans="1:20" hidden="1">
      <c r="A1806" t="s">
        <v>1874</v>
      </c>
      <c r="B1806" s="5">
        <v>45812</v>
      </c>
      <c r="C1806" s="8">
        <f>YEAR(Tabla2[[#This Row],[fecha]])</f>
        <v>2025</v>
      </c>
      <c r="D1806" s="8">
        <f>MONTH(Tabla2[[#This Row],[fecha]])</f>
        <v>6</v>
      </c>
      <c r="E1806" s="8" t="str">
        <f>TEXT(Tabla2[[#This Row],[fecha]], "mmmm")</f>
        <v>junio</v>
      </c>
      <c r="F1806" s="8" t="str">
        <f>"T"&amp;ROUNDUP(Tabla2[[#This Row],[mes]]/3,0)</f>
        <v>T2</v>
      </c>
      <c r="G1806" t="s">
        <v>31</v>
      </c>
      <c r="H1806" t="s">
        <v>32</v>
      </c>
      <c r="I1806" s="8" t="str">
        <f>IF(Tabla2[[#This Row],[precio_unitario]]&lt;=30,"Económico",IF(Tabla2[[#This Row],[precio_unitario]]&lt;=58.49,"Accesible","Caro"))</f>
        <v>Económico</v>
      </c>
      <c r="J1806" t="s">
        <v>26</v>
      </c>
      <c r="K1806">
        <v>2</v>
      </c>
      <c r="L1806" s="19">
        <v>8.2799999999999994</v>
      </c>
      <c r="M1806" s="19">
        <v>5.68</v>
      </c>
      <c r="N1806" s="11">
        <v>0.26</v>
      </c>
      <c r="O1806" s="17">
        <f t="shared" si="115"/>
        <v>12.254399999999999</v>
      </c>
      <c r="P1806" s="17">
        <f t="shared" si="112"/>
        <v>11.36</v>
      </c>
      <c r="Q1806" s="17">
        <f t="shared" si="113"/>
        <v>0.8943999999999992</v>
      </c>
      <c r="R1806" s="24">
        <f t="shared" si="114"/>
        <v>7.2986029507768585E-2</v>
      </c>
      <c r="S1806" t="s">
        <v>63</v>
      </c>
      <c r="T1806" t="s">
        <v>64</v>
      </c>
    </row>
    <row r="1807" spans="1:20" hidden="1">
      <c r="A1807" t="s">
        <v>1875</v>
      </c>
      <c r="B1807" s="5">
        <v>45949</v>
      </c>
      <c r="C1807" s="8">
        <f>YEAR(Tabla2[[#This Row],[fecha]])</f>
        <v>2025</v>
      </c>
      <c r="D1807" s="8">
        <f>MONTH(Tabla2[[#This Row],[fecha]])</f>
        <v>10</v>
      </c>
      <c r="E1807" s="8" t="str">
        <f>TEXT(Tabla2[[#This Row],[fecha]], "mmmm")</f>
        <v>octubre</v>
      </c>
      <c r="F1807" s="8" t="str">
        <f>"T"&amp;ROUNDUP(Tabla2[[#This Row],[mes]]/3,0)</f>
        <v>T4</v>
      </c>
      <c r="G1807" t="s">
        <v>6</v>
      </c>
      <c r="H1807" t="s">
        <v>7</v>
      </c>
      <c r="I1807" s="8" t="str">
        <f>IF(Tabla2[[#This Row],[precio_unitario]]&lt;=30,"Económico",IF(Tabla2[[#This Row],[precio_unitario]]&lt;=58.49,"Accesible","Caro"))</f>
        <v>Caro</v>
      </c>
      <c r="J1807" t="s">
        <v>8</v>
      </c>
      <c r="K1807">
        <v>2</v>
      </c>
      <c r="L1807" s="19">
        <v>126.58</v>
      </c>
      <c r="M1807" s="19">
        <v>84.48</v>
      </c>
      <c r="N1807" s="13">
        <v>0</v>
      </c>
      <c r="O1807" s="17">
        <f t="shared" si="115"/>
        <v>253.16</v>
      </c>
      <c r="P1807" s="17">
        <f t="shared" si="112"/>
        <v>168.96</v>
      </c>
      <c r="Q1807" s="17">
        <f t="shared" si="113"/>
        <v>84.199999999999989</v>
      </c>
      <c r="R1807" s="24">
        <f t="shared" si="114"/>
        <v>0.33259598672776108</v>
      </c>
      <c r="S1807" t="s">
        <v>540</v>
      </c>
      <c r="T1807" t="s">
        <v>64</v>
      </c>
    </row>
    <row r="1808" spans="1:20" hidden="1">
      <c r="A1808" t="s">
        <v>1876</v>
      </c>
      <c r="B1808" s="5">
        <v>45318</v>
      </c>
      <c r="C1808" s="8">
        <f>YEAR(Tabla2[[#This Row],[fecha]])</f>
        <v>2024</v>
      </c>
      <c r="D1808" s="8">
        <f>MONTH(Tabla2[[#This Row],[fecha]])</f>
        <v>1</v>
      </c>
      <c r="E1808" s="8" t="str">
        <f>TEXT(Tabla2[[#This Row],[fecha]], "mmmm")</f>
        <v>enero</v>
      </c>
      <c r="F1808" s="8" t="str">
        <f>"T"&amp;ROUNDUP(Tabla2[[#This Row],[mes]]/3,0)</f>
        <v>T1</v>
      </c>
      <c r="G1808" t="s">
        <v>33</v>
      </c>
      <c r="H1808" t="s">
        <v>34</v>
      </c>
      <c r="I1808" s="8" t="str">
        <f>IF(Tabla2[[#This Row],[precio_unitario]]&lt;=30,"Económico",IF(Tabla2[[#This Row],[precio_unitario]]&lt;=58.49,"Accesible","Caro"))</f>
        <v>Caro</v>
      </c>
      <c r="J1808" t="s">
        <v>35</v>
      </c>
      <c r="K1808">
        <v>1</v>
      </c>
      <c r="L1808" s="19">
        <v>79.069999999999993</v>
      </c>
      <c r="M1808" s="19">
        <v>47.18</v>
      </c>
      <c r="N1808" s="11">
        <v>0</v>
      </c>
      <c r="O1808" s="17">
        <f t="shared" si="115"/>
        <v>79.069999999999993</v>
      </c>
      <c r="P1808" s="17">
        <f t="shared" si="112"/>
        <v>47.18</v>
      </c>
      <c r="Q1808" s="17">
        <f t="shared" si="113"/>
        <v>31.889999999999993</v>
      </c>
      <c r="R1808" s="24">
        <f t="shared" si="114"/>
        <v>0.40331351966611856</v>
      </c>
      <c r="S1808" t="s">
        <v>101</v>
      </c>
      <c r="T1808" t="s">
        <v>60</v>
      </c>
    </row>
    <row r="1809" spans="1:20" hidden="1">
      <c r="A1809" t="s">
        <v>1877</v>
      </c>
      <c r="B1809" s="5">
        <v>45494</v>
      </c>
      <c r="C1809" s="8">
        <f>YEAR(Tabla2[[#This Row],[fecha]])</f>
        <v>2024</v>
      </c>
      <c r="D1809" s="8">
        <f>MONTH(Tabla2[[#This Row],[fecha]])</f>
        <v>7</v>
      </c>
      <c r="E1809" s="8" t="str">
        <f>TEXT(Tabla2[[#This Row],[fecha]], "mmmm")</f>
        <v>julio</v>
      </c>
      <c r="F1809" s="8" t="str">
        <f>"T"&amp;ROUNDUP(Tabla2[[#This Row],[mes]]/3,0)</f>
        <v>T3</v>
      </c>
      <c r="G1809" t="s">
        <v>20</v>
      </c>
      <c r="H1809" t="s">
        <v>21</v>
      </c>
      <c r="I1809" s="8" t="str">
        <f>IF(Tabla2[[#This Row],[precio_unitario]]&lt;=30,"Económico",IF(Tabla2[[#This Row],[precio_unitario]]&lt;=58.49,"Accesible","Caro"))</f>
        <v>Económico</v>
      </c>
      <c r="J1809" t="s">
        <v>17</v>
      </c>
      <c r="K1809">
        <v>6</v>
      </c>
      <c r="L1809" s="19">
        <v>18.760000000000002</v>
      </c>
      <c r="M1809" s="19">
        <v>13.35</v>
      </c>
      <c r="N1809" s="11">
        <v>0</v>
      </c>
      <c r="O1809" s="17">
        <f t="shared" si="115"/>
        <v>112.56</v>
      </c>
      <c r="P1809" s="17">
        <f t="shared" si="112"/>
        <v>80.099999999999994</v>
      </c>
      <c r="Q1809" s="17">
        <f t="shared" si="113"/>
        <v>32.460000000000008</v>
      </c>
      <c r="R1809" s="24">
        <f t="shared" si="114"/>
        <v>0.28837953091684443</v>
      </c>
      <c r="S1809" t="s">
        <v>67</v>
      </c>
      <c r="T1809" t="s">
        <v>64</v>
      </c>
    </row>
    <row r="1810" spans="1:20" hidden="1">
      <c r="A1810" t="s">
        <v>1878</v>
      </c>
      <c r="B1810" s="5">
        <v>45304</v>
      </c>
      <c r="C1810" s="8">
        <f>YEAR(Tabla2[[#This Row],[fecha]])</f>
        <v>2024</v>
      </c>
      <c r="D1810" s="8">
        <f>MONTH(Tabla2[[#This Row],[fecha]])</f>
        <v>1</v>
      </c>
      <c r="E1810" s="8" t="str">
        <f>TEXT(Tabla2[[#This Row],[fecha]], "mmmm")</f>
        <v>enero</v>
      </c>
      <c r="F1810" s="8" t="str">
        <f>"T"&amp;ROUNDUP(Tabla2[[#This Row],[mes]]/3,0)</f>
        <v>T1</v>
      </c>
      <c r="G1810" t="s">
        <v>18</v>
      </c>
      <c r="H1810" t="s">
        <v>19</v>
      </c>
      <c r="I1810" s="8" t="str">
        <f>IF(Tabla2[[#This Row],[precio_unitario]]&lt;=30,"Económico",IF(Tabla2[[#This Row],[precio_unitario]]&lt;=58.49,"Accesible","Caro"))</f>
        <v>Accesible</v>
      </c>
      <c r="J1810" t="s">
        <v>17</v>
      </c>
      <c r="K1810">
        <v>5</v>
      </c>
      <c r="L1810" s="19">
        <v>48.26</v>
      </c>
      <c r="M1810" s="19">
        <v>27.89</v>
      </c>
      <c r="N1810" s="11">
        <v>0.28000000000000003</v>
      </c>
      <c r="O1810" s="17">
        <f t="shared" si="115"/>
        <v>173.73599999999999</v>
      </c>
      <c r="P1810" s="17">
        <f t="shared" si="112"/>
        <v>139.44999999999999</v>
      </c>
      <c r="Q1810" s="17">
        <f t="shared" si="113"/>
        <v>34.286000000000001</v>
      </c>
      <c r="R1810" s="24">
        <f t="shared" si="114"/>
        <v>0.19734539761477185</v>
      </c>
      <c r="S1810" t="s">
        <v>67</v>
      </c>
      <c r="T1810" t="s">
        <v>60</v>
      </c>
    </row>
    <row r="1811" spans="1:20" hidden="1">
      <c r="A1811" t="s">
        <v>1879</v>
      </c>
      <c r="B1811" s="5">
        <v>45521</v>
      </c>
      <c r="C1811" s="8">
        <f>YEAR(Tabla2[[#This Row],[fecha]])</f>
        <v>2024</v>
      </c>
      <c r="D1811" s="8">
        <f>MONTH(Tabla2[[#This Row],[fecha]])</f>
        <v>8</v>
      </c>
      <c r="E1811" s="8" t="str">
        <f>TEXT(Tabla2[[#This Row],[fecha]], "mmmm")</f>
        <v>agosto</v>
      </c>
      <c r="F1811" s="8" t="str">
        <f>"T"&amp;ROUNDUP(Tabla2[[#This Row],[mes]]/3,0)</f>
        <v>T3</v>
      </c>
      <c r="G1811" t="s">
        <v>6</v>
      </c>
      <c r="H1811" t="s">
        <v>7</v>
      </c>
      <c r="I1811" s="8" t="str">
        <f>IF(Tabla2[[#This Row],[precio_unitario]]&lt;=30,"Económico",IF(Tabla2[[#This Row],[precio_unitario]]&lt;=58.49,"Accesible","Caro"))</f>
        <v>Caro</v>
      </c>
      <c r="J1811" t="s">
        <v>8</v>
      </c>
      <c r="K1811">
        <v>2</v>
      </c>
      <c r="L1811" s="19">
        <v>115.5</v>
      </c>
      <c r="M1811" s="19">
        <v>82.52</v>
      </c>
      <c r="N1811" s="11">
        <v>0</v>
      </c>
      <c r="O1811" s="17">
        <f t="shared" si="115"/>
        <v>231</v>
      </c>
      <c r="P1811" s="17">
        <f t="shared" si="112"/>
        <v>165.04</v>
      </c>
      <c r="Q1811" s="17">
        <f t="shared" si="113"/>
        <v>65.960000000000008</v>
      </c>
      <c r="R1811" s="24">
        <f t="shared" si="114"/>
        <v>0.2855411255411256</v>
      </c>
      <c r="S1811" t="s">
        <v>63</v>
      </c>
      <c r="T1811" t="s">
        <v>60</v>
      </c>
    </row>
    <row r="1812" spans="1:20" hidden="1">
      <c r="A1812" t="s">
        <v>1880</v>
      </c>
      <c r="B1812" s="5">
        <v>45358</v>
      </c>
      <c r="C1812" s="8">
        <f>YEAR(Tabla2[[#This Row],[fecha]])</f>
        <v>2024</v>
      </c>
      <c r="D1812" s="8">
        <f>MONTH(Tabla2[[#This Row],[fecha]])</f>
        <v>3</v>
      </c>
      <c r="E1812" s="8" t="str">
        <f>TEXT(Tabla2[[#This Row],[fecha]], "mmmm")</f>
        <v>marzo</v>
      </c>
      <c r="F1812" s="8" t="str">
        <f>"T"&amp;ROUNDUP(Tabla2[[#This Row],[mes]]/3,0)</f>
        <v>T1</v>
      </c>
      <c r="G1812" t="s">
        <v>6</v>
      </c>
      <c r="H1812" t="s">
        <v>7</v>
      </c>
      <c r="I1812" s="8" t="str">
        <f>IF(Tabla2[[#This Row],[precio_unitario]]&lt;=30,"Económico",IF(Tabla2[[#This Row],[precio_unitario]]&lt;=58.49,"Accesible","Caro"))</f>
        <v>Caro</v>
      </c>
      <c r="J1812" t="s">
        <v>8</v>
      </c>
      <c r="K1812">
        <v>2</v>
      </c>
      <c r="L1812" s="19">
        <v>127.43</v>
      </c>
      <c r="M1812" s="19">
        <v>85.19</v>
      </c>
      <c r="N1812" s="11">
        <v>0.08</v>
      </c>
      <c r="O1812" s="17">
        <f t="shared" si="115"/>
        <v>234.47120000000001</v>
      </c>
      <c r="P1812" s="17">
        <f t="shared" si="112"/>
        <v>170.38</v>
      </c>
      <c r="Q1812" s="17">
        <f t="shared" si="113"/>
        <v>64.091200000000015</v>
      </c>
      <c r="R1812" s="24">
        <f t="shared" si="114"/>
        <v>0.27334359187823498</v>
      </c>
      <c r="S1812" t="s">
        <v>540</v>
      </c>
      <c r="T1812" t="s">
        <v>60</v>
      </c>
    </row>
    <row r="1813" spans="1:20" hidden="1">
      <c r="A1813" t="s">
        <v>1881</v>
      </c>
      <c r="B1813" s="5">
        <v>45505</v>
      </c>
      <c r="C1813" s="8">
        <f>YEAR(Tabla2[[#This Row],[fecha]])</f>
        <v>2024</v>
      </c>
      <c r="D1813" s="8">
        <f>MONTH(Tabla2[[#This Row],[fecha]])</f>
        <v>8</v>
      </c>
      <c r="E1813" s="8" t="str">
        <f>TEXT(Tabla2[[#This Row],[fecha]], "mmmm")</f>
        <v>agosto</v>
      </c>
      <c r="F1813" s="8" t="str">
        <f>"T"&amp;ROUNDUP(Tabla2[[#This Row],[mes]]/3,0)</f>
        <v>T3</v>
      </c>
      <c r="G1813" t="s">
        <v>20</v>
      </c>
      <c r="H1813" t="s">
        <v>21</v>
      </c>
      <c r="I1813" s="8" t="str">
        <f>IF(Tabla2[[#This Row],[precio_unitario]]&lt;=30,"Económico",IF(Tabla2[[#This Row],[precio_unitario]]&lt;=58.49,"Accesible","Caro"))</f>
        <v>Económico</v>
      </c>
      <c r="J1813" t="s">
        <v>17</v>
      </c>
      <c r="K1813">
        <v>1</v>
      </c>
      <c r="L1813" s="19">
        <v>19.46</v>
      </c>
      <c r="M1813" s="19">
        <v>12.54</v>
      </c>
      <c r="N1813" s="13">
        <v>0</v>
      </c>
      <c r="O1813" s="17">
        <f t="shared" si="115"/>
        <v>19.46</v>
      </c>
      <c r="P1813" s="17">
        <f t="shared" si="112"/>
        <v>12.54</v>
      </c>
      <c r="Q1813" s="17">
        <f t="shared" si="113"/>
        <v>6.9200000000000017</v>
      </c>
      <c r="R1813" s="24">
        <f t="shared" si="114"/>
        <v>0.35560123329907511</v>
      </c>
      <c r="S1813" t="s">
        <v>67</v>
      </c>
      <c r="T1813" t="s">
        <v>64</v>
      </c>
    </row>
    <row r="1814" spans="1:20" hidden="1">
      <c r="A1814" t="s">
        <v>285</v>
      </c>
      <c r="B1814" s="5">
        <v>45648</v>
      </c>
      <c r="C1814" s="8">
        <f>YEAR(Tabla2[[#This Row],[fecha]])</f>
        <v>2024</v>
      </c>
      <c r="D1814" s="8">
        <f>MONTH(Tabla2[[#This Row],[fecha]])</f>
        <v>12</v>
      </c>
      <c r="E1814" s="8" t="str">
        <f>TEXT(Tabla2[[#This Row],[fecha]], "mmmm")</f>
        <v>diciembre</v>
      </c>
      <c r="F1814" s="8" t="str">
        <f>"T"&amp;ROUNDUP(Tabla2[[#This Row],[mes]]/3,0)</f>
        <v>T4</v>
      </c>
      <c r="G1814" t="s">
        <v>27</v>
      </c>
      <c r="H1814" t="s">
        <v>28</v>
      </c>
      <c r="I1814" s="8" t="str">
        <f>IF(Tabla2[[#This Row],[precio_unitario]]&lt;=30,"Económico",IF(Tabla2[[#This Row],[precio_unitario]]&lt;=58.49,"Accesible","Caro"))</f>
        <v>Económico</v>
      </c>
      <c r="J1814" t="s">
        <v>26</v>
      </c>
      <c r="K1814">
        <v>1</v>
      </c>
      <c r="L1814" s="19">
        <v>17.59</v>
      </c>
      <c r="M1814" s="19">
        <v>11.58</v>
      </c>
      <c r="N1814" s="11">
        <v>0</v>
      </c>
      <c r="O1814" s="17">
        <f t="shared" si="115"/>
        <v>17.59</v>
      </c>
      <c r="P1814" s="17">
        <f t="shared" si="112"/>
        <v>11.58</v>
      </c>
      <c r="Q1814" s="17">
        <f t="shared" si="113"/>
        <v>6.01</v>
      </c>
      <c r="R1814" s="24">
        <f t="shared" si="114"/>
        <v>0.34167140420693576</v>
      </c>
      <c r="S1814" t="s">
        <v>540</v>
      </c>
      <c r="T1814" t="s">
        <v>64</v>
      </c>
    </row>
    <row r="1815" spans="1:20" hidden="1">
      <c r="A1815" t="s">
        <v>1882</v>
      </c>
      <c r="B1815" s="5">
        <v>45605</v>
      </c>
      <c r="C1815" s="8">
        <f>YEAR(Tabla2[[#This Row],[fecha]])</f>
        <v>2024</v>
      </c>
      <c r="D1815" s="8">
        <f>MONTH(Tabla2[[#This Row],[fecha]])</f>
        <v>11</v>
      </c>
      <c r="E1815" s="8" t="str">
        <f>TEXT(Tabla2[[#This Row],[fecha]], "mmmm")</f>
        <v>noviembre</v>
      </c>
      <c r="F1815" s="8" t="str">
        <f>"T"&amp;ROUNDUP(Tabla2[[#This Row],[mes]]/3,0)</f>
        <v>T4</v>
      </c>
      <c r="G1815" t="s">
        <v>9</v>
      </c>
      <c r="H1815" t="s">
        <v>10</v>
      </c>
      <c r="I1815" s="8" t="str">
        <f>IF(Tabla2[[#This Row],[precio_unitario]]&lt;=30,"Económico",IF(Tabla2[[#This Row],[precio_unitario]]&lt;=58.49,"Accesible","Caro"))</f>
        <v>Caro</v>
      </c>
      <c r="J1815" t="s">
        <v>8</v>
      </c>
      <c r="K1815">
        <v>3</v>
      </c>
      <c r="L1815" s="19">
        <v>73.56</v>
      </c>
      <c r="M1815" s="19">
        <v>46.16</v>
      </c>
      <c r="N1815" s="11">
        <v>0</v>
      </c>
      <c r="O1815" s="17">
        <f t="shared" si="115"/>
        <v>220.68</v>
      </c>
      <c r="P1815" s="17">
        <f t="shared" si="112"/>
        <v>138.47999999999999</v>
      </c>
      <c r="Q1815" s="17">
        <f t="shared" si="113"/>
        <v>82.200000000000017</v>
      </c>
      <c r="R1815" s="24">
        <f t="shared" si="114"/>
        <v>0.37248504622077222</v>
      </c>
      <c r="S1815" t="s">
        <v>101</v>
      </c>
      <c r="T1815" t="s">
        <v>60</v>
      </c>
    </row>
    <row r="1816" spans="1:20" hidden="1">
      <c r="A1816" t="s">
        <v>1883</v>
      </c>
      <c r="B1816" s="5">
        <v>45986</v>
      </c>
      <c r="C1816" s="8">
        <f>YEAR(Tabla2[[#This Row],[fecha]])</f>
        <v>2025</v>
      </c>
      <c r="D1816" s="8">
        <f>MONTH(Tabla2[[#This Row],[fecha]])</f>
        <v>11</v>
      </c>
      <c r="E1816" s="8" t="str">
        <f>TEXT(Tabla2[[#This Row],[fecha]], "mmmm")</f>
        <v>noviembre</v>
      </c>
      <c r="F1816" s="8" t="str">
        <f>"T"&amp;ROUNDUP(Tabla2[[#This Row],[mes]]/3,0)</f>
        <v>T4</v>
      </c>
      <c r="G1816" t="s">
        <v>29</v>
      </c>
      <c r="H1816" t="s">
        <v>30</v>
      </c>
      <c r="I1816" s="8" t="str">
        <f>IF(Tabla2[[#This Row],[precio_unitario]]&lt;=30,"Económico",IF(Tabla2[[#This Row],[precio_unitario]]&lt;=58.49,"Accesible","Caro"))</f>
        <v>Económico</v>
      </c>
      <c r="J1816" t="s">
        <v>26</v>
      </c>
      <c r="K1816">
        <v>2</v>
      </c>
      <c r="L1816" s="19">
        <v>20.07</v>
      </c>
      <c r="M1816" s="19">
        <v>11.32</v>
      </c>
      <c r="N1816" s="13">
        <v>0</v>
      </c>
      <c r="O1816" s="17">
        <f t="shared" si="115"/>
        <v>40.14</v>
      </c>
      <c r="P1816" s="17">
        <f t="shared" si="112"/>
        <v>22.64</v>
      </c>
      <c r="Q1816" s="17">
        <f t="shared" si="113"/>
        <v>17.5</v>
      </c>
      <c r="R1816" s="24">
        <f t="shared" si="114"/>
        <v>0.43597409068261084</v>
      </c>
      <c r="S1816" t="s">
        <v>540</v>
      </c>
      <c r="T1816" t="s">
        <v>64</v>
      </c>
    </row>
    <row r="1817" spans="1:20">
      <c r="A1817" t="s">
        <v>1884</v>
      </c>
      <c r="B1817" s="5">
        <v>45870</v>
      </c>
      <c r="C1817" s="8">
        <f>YEAR(Tabla2[[#This Row],[fecha]])</f>
        <v>2025</v>
      </c>
      <c r="D1817" s="8">
        <f>MONTH(Tabla2[[#This Row],[fecha]])</f>
        <v>8</v>
      </c>
      <c r="E1817" s="8" t="str">
        <f>TEXT(Tabla2[[#This Row],[fecha]], "mmmm")</f>
        <v>agosto</v>
      </c>
      <c r="F1817" s="8" t="str">
        <f>"T"&amp;ROUNDUP(Tabla2[[#This Row],[mes]]/3,0)</f>
        <v>T3</v>
      </c>
      <c r="G1817" t="s">
        <v>31</v>
      </c>
      <c r="H1817" t="s">
        <v>32</v>
      </c>
      <c r="I1817" s="8" t="str">
        <f>IF(Tabla2[[#This Row],[precio_unitario]]&lt;=30,"Económico",IF(Tabla2[[#This Row],[precio_unitario]]&lt;=58.49,"Accesible","Caro"))</f>
        <v>Económico</v>
      </c>
      <c r="J1817" t="s">
        <v>26</v>
      </c>
      <c r="K1817">
        <v>1</v>
      </c>
      <c r="L1817" s="19">
        <v>8.2799999999999994</v>
      </c>
      <c r="M1817" s="21">
        <f>INDEX(Tabla3[coste_objetivo], MATCH(Tabla2[[#This Row],[id_producto]], Tabla3[id_producto],0))</f>
        <v>5.77</v>
      </c>
      <c r="N1817" s="11">
        <v>0</v>
      </c>
      <c r="O1817" s="17">
        <f t="shared" si="115"/>
        <v>8.2799999999999994</v>
      </c>
      <c r="P1817" s="17">
        <f t="shared" si="112"/>
        <v>5.77</v>
      </c>
      <c r="Q1817" s="17">
        <f t="shared" si="113"/>
        <v>2.5099999999999998</v>
      </c>
      <c r="R1817" s="24">
        <f t="shared" si="114"/>
        <v>0.3031400966183575</v>
      </c>
      <c r="S1817" t="s">
        <v>67</v>
      </c>
      <c r="T1817" t="s">
        <v>64</v>
      </c>
    </row>
    <row r="1818" spans="1:20">
      <c r="A1818" t="s">
        <v>1885</v>
      </c>
      <c r="B1818" s="5">
        <v>45956</v>
      </c>
      <c r="C1818" s="8">
        <f>YEAR(Tabla2[[#This Row],[fecha]])</f>
        <v>2025</v>
      </c>
      <c r="D1818" s="8">
        <f>MONTH(Tabla2[[#This Row],[fecha]])</f>
        <v>10</v>
      </c>
      <c r="E1818" s="8" t="str">
        <f>TEXT(Tabla2[[#This Row],[fecha]], "mmmm")</f>
        <v>octubre</v>
      </c>
      <c r="F1818" s="8" t="str">
        <f>"T"&amp;ROUNDUP(Tabla2[[#This Row],[mes]]/3,0)</f>
        <v>T4</v>
      </c>
      <c r="G1818" t="s">
        <v>31</v>
      </c>
      <c r="H1818" t="s">
        <v>32</v>
      </c>
      <c r="I1818" s="8" t="str">
        <f>IF(Tabla2[[#This Row],[precio_unitario]]&lt;=30,"Económico",IF(Tabla2[[#This Row],[precio_unitario]]&lt;=58.49,"Accesible","Caro"))</f>
        <v>Económico</v>
      </c>
      <c r="J1818" t="s">
        <v>26</v>
      </c>
      <c r="K1818">
        <v>1</v>
      </c>
      <c r="L1818" s="19">
        <v>8.69</v>
      </c>
      <c r="M1818" s="19">
        <v>5.56</v>
      </c>
      <c r="N1818" s="13">
        <v>0</v>
      </c>
      <c r="O1818" s="17">
        <f t="shared" si="115"/>
        <v>8.69</v>
      </c>
      <c r="P1818" s="17">
        <f t="shared" si="112"/>
        <v>5.56</v>
      </c>
      <c r="Q1818" s="17">
        <f t="shared" si="113"/>
        <v>3.13</v>
      </c>
      <c r="R1818" s="24">
        <f t="shared" si="114"/>
        <v>0.36018411967779057</v>
      </c>
      <c r="S1818" t="s">
        <v>67</v>
      </c>
      <c r="T1818" t="s">
        <v>64</v>
      </c>
    </row>
    <row r="1819" spans="1:20" hidden="1">
      <c r="A1819" t="s">
        <v>1886</v>
      </c>
      <c r="B1819" s="5">
        <v>45378</v>
      </c>
      <c r="C1819" s="8">
        <f>YEAR(Tabla2[[#This Row],[fecha]])</f>
        <v>2024</v>
      </c>
      <c r="D1819" s="8">
        <f>MONTH(Tabla2[[#This Row],[fecha]])</f>
        <v>3</v>
      </c>
      <c r="E1819" s="8" t="str">
        <f>TEXT(Tabla2[[#This Row],[fecha]], "mmmm")</f>
        <v>marzo</v>
      </c>
      <c r="F1819" s="8" t="str">
        <f>"T"&amp;ROUNDUP(Tabla2[[#This Row],[mes]]/3,0)</f>
        <v>T1</v>
      </c>
      <c r="G1819" t="s">
        <v>9</v>
      </c>
      <c r="H1819" t="s">
        <v>10</v>
      </c>
      <c r="I1819" s="8" t="str">
        <f>IF(Tabla2[[#This Row],[precio_unitario]]&lt;=30,"Económico",IF(Tabla2[[#This Row],[precio_unitario]]&lt;=58.49,"Accesible","Caro"))</f>
        <v>Caro</v>
      </c>
      <c r="J1819" t="s">
        <v>8</v>
      </c>
      <c r="K1819">
        <v>2</v>
      </c>
      <c r="L1819" s="19">
        <v>72.89</v>
      </c>
      <c r="M1819" s="19">
        <v>49.33</v>
      </c>
      <c r="N1819" s="11">
        <v>0.13</v>
      </c>
      <c r="O1819" s="17">
        <f t="shared" si="115"/>
        <v>126.82859999999999</v>
      </c>
      <c r="P1819" s="17">
        <f t="shared" si="112"/>
        <v>98.66</v>
      </c>
      <c r="Q1819" s="17">
        <f t="shared" si="113"/>
        <v>28.168599999999998</v>
      </c>
      <c r="R1819" s="24">
        <f t="shared" si="114"/>
        <v>0.2220997472178988</v>
      </c>
      <c r="S1819" t="s">
        <v>101</v>
      </c>
      <c r="T1819" t="s">
        <v>64</v>
      </c>
    </row>
    <row r="1820" spans="1:20" hidden="1">
      <c r="A1820" t="s">
        <v>1887</v>
      </c>
      <c r="B1820" s="5">
        <v>45794</v>
      </c>
      <c r="C1820" s="8">
        <f>YEAR(Tabla2[[#This Row],[fecha]])</f>
        <v>2025</v>
      </c>
      <c r="D1820" s="8">
        <f>MONTH(Tabla2[[#This Row],[fecha]])</f>
        <v>5</v>
      </c>
      <c r="E1820" s="8" t="str">
        <f>TEXT(Tabla2[[#This Row],[fecha]], "mmmm")</f>
        <v>mayo</v>
      </c>
      <c r="F1820" s="8" t="str">
        <f>"T"&amp;ROUNDUP(Tabla2[[#This Row],[mes]]/3,0)</f>
        <v>T2</v>
      </c>
      <c r="G1820" t="s">
        <v>15</v>
      </c>
      <c r="H1820" t="s">
        <v>16</v>
      </c>
      <c r="I1820" s="8" t="str">
        <f>IF(Tabla2[[#This Row],[precio_unitario]]&lt;=30,"Económico",IF(Tabla2[[#This Row],[precio_unitario]]&lt;=58.49,"Accesible","Caro"))</f>
        <v>Accesible</v>
      </c>
      <c r="J1820" t="s">
        <v>17</v>
      </c>
      <c r="K1820">
        <v>6</v>
      </c>
      <c r="L1820" s="19">
        <v>56.06</v>
      </c>
      <c r="M1820" s="19">
        <v>41.06</v>
      </c>
      <c r="N1820" s="11">
        <v>0</v>
      </c>
      <c r="O1820" s="17">
        <f t="shared" si="115"/>
        <v>336.36</v>
      </c>
      <c r="P1820" s="17">
        <f t="shared" si="112"/>
        <v>246.36</v>
      </c>
      <c r="Q1820" s="17">
        <f t="shared" si="113"/>
        <v>90</v>
      </c>
      <c r="R1820" s="24">
        <f t="shared" si="114"/>
        <v>0.26757046022119158</v>
      </c>
      <c r="S1820" t="s">
        <v>540</v>
      </c>
      <c r="T1820" t="s">
        <v>64</v>
      </c>
    </row>
    <row r="1821" spans="1:20" hidden="1">
      <c r="A1821" t="s">
        <v>1888</v>
      </c>
      <c r="B1821" s="5">
        <v>45727</v>
      </c>
      <c r="C1821" s="8">
        <f>YEAR(Tabla2[[#This Row],[fecha]])</f>
        <v>2025</v>
      </c>
      <c r="D1821" s="8">
        <f>MONTH(Tabla2[[#This Row],[fecha]])</f>
        <v>3</v>
      </c>
      <c r="E1821" s="8" t="str">
        <f>TEXT(Tabla2[[#This Row],[fecha]], "mmmm")</f>
        <v>marzo</v>
      </c>
      <c r="F1821" s="8" t="str">
        <f>"T"&amp;ROUNDUP(Tabla2[[#This Row],[mes]]/3,0)</f>
        <v>T1</v>
      </c>
      <c r="G1821" t="s">
        <v>27</v>
      </c>
      <c r="H1821" t="s">
        <v>28</v>
      </c>
      <c r="I1821" s="8" t="str">
        <f>IF(Tabla2[[#This Row],[precio_unitario]]&lt;=30,"Económico",IF(Tabla2[[#This Row],[precio_unitario]]&lt;=58.49,"Accesible","Caro"))</f>
        <v>Económico</v>
      </c>
      <c r="J1821" t="s">
        <v>26</v>
      </c>
      <c r="K1821">
        <v>1</v>
      </c>
      <c r="L1821" s="19">
        <v>15.39</v>
      </c>
      <c r="M1821" s="19">
        <v>11.79</v>
      </c>
      <c r="N1821" s="11">
        <v>0</v>
      </c>
      <c r="O1821" s="17">
        <f t="shared" si="115"/>
        <v>15.39</v>
      </c>
      <c r="P1821" s="17">
        <f t="shared" si="112"/>
        <v>11.79</v>
      </c>
      <c r="Q1821" s="17">
        <f t="shared" si="113"/>
        <v>3.6000000000000014</v>
      </c>
      <c r="R1821" s="24">
        <f t="shared" si="114"/>
        <v>0.23391812865497083</v>
      </c>
      <c r="S1821" t="s">
        <v>96</v>
      </c>
      <c r="T1821" t="s">
        <v>64</v>
      </c>
    </row>
    <row r="1822" spans="1:20" hidden="1">
      <c r="A1822" t="s">
        <v>1889</v>
      </c>
      <c r="B1822" s="5">
        <v>45557</v>
      </c>
      <c r="C1822" s="8">
        <f>YEAR(Tabla2[[#This Row],[fecha]])</f>
        <v>2024</v>
      </c>
      <c r="D1822" s="8">
        <f>MONTH(Tabla2[[#This Row],[fecha]])</f>
        <v>9</v>
      </c>
      <c r="E1822" s="8" t="str">
        <f>TEXT(Tabla2[[#This Row],[fecha]], "mmmm")</f>
        <v>septiembre</v>
      </c>
      <c r="F1822" s="8" t="str">
        <f>"T"&amp;ROUNDUP(Tabla2[[#This Row],[mes]]/3,0)</f>
        <v>T3</v>
      </c>
      <c r="G1822" t="s">
        <v>29</v>
      </c>
      <c r="H1822" t="s">
        <v>30</v>
      </c>
      <c r="I1822" s="8" t="str">
        <f>IF(Tabla2[[#This Row],[precio_unitario]]&lt;=30,"Económico",IF(Tabla2[[#This Row],[precio_unitario]]&lt;=58.49,"Accesible","Caro"))</f>
        <v>Económico</v>
      </c>
      <c r="J1822" t="s">
        <v>26</v>
      </c>
      <c r="K1822">
        <v>2</v>
      </c>
      <c r="L1822" s="19">
        <v>21.73</v>
      </c>
      <c r="M1822" s="19">
        <v>11.42</v>
      </c>
      <c r="N1822" s="11">
        <v>0</v>
      </c>
      <c r="O1822" s="17">
        <f t="shared" si="115"/>
        <v>43.46</v>
      </c>
      <c r="P1822" s="17">
        <f t="shared" si="112"/>
        <v>22.84</v>
      </c>
      <c r="Q1822" s="17">
        <f t="shared" si="113"/>
        <v>20.62</v>
      </c>
      <c r="R1822" s="24">
        <f t="shared" si="114"/>
        <v>0.47445927289461576</v>
      </c>
      <c r="S1822" t="s">
        <v>540</v>
      </c>
      <c r="T1822" t="s">
        <v>64</v>
      </c>
    </row>
    <row r="1823" spans="1:20" hidden="1">
      <c r="A1823" t="s">
        <v>1890</v>
      </c>
      <c r="B1823" s="5">
        <v>45681</v>
      </c>
      <c r="C1823" s="8">
        <f>YEAR(Tabla2[[#This Row],[fecha]])</f>
        <v>2025</v>
      </c>
      <c r="D1823" s="8">
        <f>MONTH(Tabla2[[#This Row],[fecha]])</f>
        <v>1</v>
      </c>
      <c r="E1823" s="8" t="str">
        <f>TEXT(Tabla2[[#This Row],[fecha]], "mmmm")</f>
        <v>enero</v>
      </c>
      <c r="F1823" s="8" t="str">
        <f>"T"&amp;ROUNDUP(Tabla2[[#This Row],[mes]]/3,0)</f>
        <v>T1</v>
      </c>
      <c r="G1823" t="s">
        <v>40</v>
      </c>
      <c r="H1823" t="s">
        <v>41</v>
      </c>
      <c r="I1823" s="8" t="str">
        <f>IF(Tabla2[[#This Row],[precio_unitario]]&lt;=30,"Económico",IF(Tabla2[[#This Row],[precio_unitario]]&lt;=58.49,"Accesible","Caro"))</f>
        <v>Caro</v>
      </c>
      <c r="J1823" t="s">
        <v>35</v>
      </c>
      <c r="K1823">
        <v>1</v>
      </c>
      <c r="L1823" s="19">
        <v>77.19</v>
      </c>
      <c r="M1823" s="19">
        <v>41.06</v>
      </c>
      <c r="N1823" s="11">
        <v>0</v>
      </c>
      <c r="O1823" s="17">
        <f t="shared" si="115"/>
        <v>77.19</v>
      </c>
      <c r="P1823" s="17">
        <f t="shared" si="112"/>
        <v>41.06</v>
      </c>
      <c r="Q1823" s="17">
        <f t="shared" si="113"/>
        <v>36.129999999999995</v>
      </c>
      <c r="R1823" s="24">
        <f t="shared" si="114"/>
        <v>0.46806581163363126</v>
      </c>
      <c r="S1823" t="s">
        <v>540</v>
      </c>
      <c r="T1823" t="s">
        <v>64</v>
      </c>
    </row>
    <row r="1824" spans="1:20" hidden="1">
      <c r="A1824" t="s">
        <v>1891</v>
      </c>
      <c r="B1824" s="5">
        <v>45384</v>
      </c>
      <c r="C1824" s="8">
        <f>YEAR(Tabla2[[#This Row],[fecha]])</f>
        <v>2024</v>
      </c>
      <c r="D1824" s="8">
        <f>MONTH(Tabla2[[#This Row],[fecha]])</f>
        <v>4</v>
      </c>
      <c r="E1824" s="8" t="str">
        <f>TEXT(Tabla2[[#This Row],[fecha]], "mmmm")</f>
        <v>abril</v>
      </c>
      <c r="F1824" s="8" t="str">
        <f>"T"&amp;ROUNDUP(Tabla2[[#This Row],[mes]]/3,0)</f>
        <v>T2</v>
      </c>
      <c r="G1824" t="s">
        <v>36</v>
      </c>
      <c r="H1824" t="s">
        <v>37</v>
      </c>
      <c r="I1824" s="8" t="str">
        <f>IF(Tabla2[[#This Row],[precio_unitario]]&lt;=30,"Económico",IF(Tabla2[[#This Row],[precio_unitario]]&lt;=58.49,"Accesible","Caro"))</f>
        <v>Económico</v>
      </c>
      <c r="J1824" t="s">
        <v>35</v>
      </c>
      <c r="K1824">
        <v>2</v>
      </c>
      <c r="L1824" s="19">
        <v>14.43</v>
      </c>
      <c r="M1824" s="19">
        <v>9.93</v>
      </c>
      <c r="N1824" s="11">
        <v>0</v>
      </c>
      <c r="O1824" s="17">
        <f t="shared" si="115"/>
        <v>28.86</v>
      </c>
      <c r="P1824" s="17">
        <f t="shared" si="112"/>
        <v>19.86</v>
      </c>
      <c r="Q1824" s="17">
        <f t="shared" si="113"/>
        <v>9</v>
      </c>
      <c r="R1824" s="24">
        <f t="shared" si="114"/>
        <v>0.31185031185031187</v>
      </c>
      <c r="S1824" t="s">
        <v>67</v>
      </c>
      <c r="T1824" t="s">
        <v>64</v>
      </c>
    </row>
    <row r="1825" spans="1:20" hidden="1">
      <c r="A1825" t="s">
        <v>1892</v>
      </c>
      <c r="B1825" s="5">
        <v>45766</v>
      </c>
      <c r="C1825" s="8">
        <f>YEAR(Tabla2[[#This Row],[fecha]])</f>
        <v>2025</v>
      </c>
      <c r="D1825" s="8">
        <f>MONTH(Tabla2[[#This Row],[fecha]])</f>
        <v>4</v>
      </c>
      <c r="E1825" s="8" t="str">
        <f>TEXT(Tabla2[[#This Row],[fecha]], "mmmm")</f>
        <v>abril</v>
      </c>
      <c r="F1825" s="8" t="str">
        <f>"T"&amp;ROUNDUP(Tabla2[[#This Row],[mes]]/3,0)</f>
        <v>T2</v>
      </c>
      <c r="G1825" t="s">
        <v>38</v>
      </c>
      <c r="H1825" t="s">
        <v>39</v>
      </c>
      <c r="I1825" s="8" t="str">
        <f>IF(Tabla2[[#This Row],[precio_unitario]]&lt;=30,"Económico",IF(Tabla2[[#This Row],[precio_unitario]]&lt;=58.49,"Accesible","Caro"))</f>
        <v>Caro</v>
      </c>
      <c r="J1825" t="s">
        <v>35</v>
      </c>
      <c r="K1825">
        <v>2</v>
      </c>
      <c r="L1825" s="19">
        <v>76.19</v>
      </c>
      <c r="M1825" s="19">
        <v>42.64</v>
      </c>
      <c r="N1825" s="11">
        <v>0</v>
      </c>
      <c r="O1825" s="17">
        <f t="shared" si="115"/>
        <v>152.38</v>
      </c>
      <c r="P1825" s="17">
        <f t="shared" si="112"/>
        <v>85.28</v>
      </c>
      <c r="Q1825" s="17">
        <f t="shared" si="113"/>
        <v>67.099999999999994</v>
      </c>
      <c r="R1825" s="24">
        <f t="shared" si="114"/>
        <v>0.44034650216563853</v>
      </c>
      <c r="S1825" t="s">
        <v>63</v>
      </c>
      <c r="T1825" t="s">
        <v>64</v>
      </c>
    </row>
    <row r="1826" spans="1:20">
      <c r="A1826" t="s">
        <v>1893</v>
      </c>
      <c r="B1826" s="5">
        <v>45823</v>
      </c>
      <c r="C1826" s="8">
        <f>YEAR(Tabla2[[#This Row],[fecha]])</f>
        <v>2025</v>
      </c>
      <c r="D1826" s="8">
        <f>MONTH(Tabla2[[#This Row],[fecha]])</f>
        <v>6</v>
      </c>
      <c r="E1826" s="8" t="str">
        <f>TEXT(Tabla2[[#This Row],[fecha]], "mmmm")</f>
        <v>junio</v>
      </c>
      <c r="F1826" s="8" t="str">
        <f>"T"&amp;ROUNDUP(Tabla2[[#This Row],[mes]]/3,0)</f>
        <v>T2</v>
      </c>
      <c r="G1826" t="s">
        <v>31</v>
      </c>
      <c r="H1826" t="s">
        <v>32</v>
      </c>
      <c r="I1826" s="8" t="str">
        <f>IF(Tabla2[[#This Row],[precio_unitario]]&lt;=30,"Económico",IF(Tabla2[[#This Row],[precio_unitario]]&lt;=58.49,"Accesible","Caro"))</f>
        <v>Económico</v>
      </c>
      <c r="J1826" t="s">
        <v>26</v>
      </c>
      <c r="K1826">
        <v>2</v>
      </c>
      <c r="L1826" s="19">
        <v>9.43</v>
      </c>
      <c r="M1826" s="19">
        <v>5.59</v>
      </c>
      <c r="N1826" s="13">
        <v>0.1</v>
      </c>
      <c r="O1826" s="17">
        <f t="shared" si="115"/>
        <v>16.974</v>
      </c>
      <c r="P1826" s="17">
        <f t="shared" si="112"/>
        <v>11.18</v>
      </c>
      <c r="Q1826" s="17">
        <f t="shared" si="113"/>
        <v>5.7940000000000005</v>
      </c>
      <c r="R1826" s="24">
        <f t="shared" si="114"/>
        <v>0.34134558736891718</v>
      </c>
      <c r="S1826" t="s">
        <v>67</v>
      </c>
      <c r="T1826" t="s">
        <v>60</v>
      </c>
    </row>
    <row r="1827" spans="1:20" hidden="1">
      <c r="A1827" t="s">
        <v>1894</v>
      </c>
      <c r="B1827" s="5">
        <v>45343</v>
      </c>
      <c r="C1827" s="8">
        <f>YEAR(Tabla2[[#This Row],[fecha]])</f>
        <v>2024</v>
      </c>
      <c r="D1827" s="8">
        <f>MONTH(Tabla2[[#This Row],[fecha]])</f>
        <v>2</v>
      </c>
      <c r="E1827" s="8" t="str">
        <f>TEXT(Tabla2[[#This Row],[fecha]], "mmmm")</f>
        <v>febrero</v>
      </c>
      <c r="F1827" s="8" t="str">
        <f>"T"&amp;ROUNDUP(Tabla2[[#This Row],[mes]]/3,0)</f>
        <v>T1</v>
      </c>
      <c r="G1827" t="s">
        <v>31</v>
      </c>
      <c r="H1827" t="s">
        <v>32</v>
      </c>
      <c r="I1827" s="8" t="str">
        <f>IF(Tabla2[[#This Row],[precio_unitario]]&lt;=30,"Económico",IF(Tabla2[[#This Row],[precio_unitario]]&lt;=58.49,"Accesible","Caro"))</f>
        <v>Económico</v>
      </c>
      <c r="J1827" t="s">
        <v>26</v>
      </c>
      <c r="K1827">
        <v>1</v>
      </c>
      <c r="L1827" s="19">
        <v>8.4499999999999993</v>
      </c>
      <c r="M1827" s="19">
        <v>5.95</v>
      </c>
      <c r="N1827" s="11">
        <v>0</v>
      </c>
      <c r="O1827" s="17">
        <f t="shared" si="115"/>
        <v>8.4499999999999993</v>
      </c>
      <c r="P1827" s="17">
        <f t="shared" si="112"/>
        <v>5.95</v>
      </c>
      <c r="Q1827" s="17">
        <f t="shared" si="113"/>
        <v>2.4999999999999991</v>
      </c>
      <c r="R1827" s="24">
        <f t="shared" si="114"/>
        <v>0.29585798816568037</v>
      </c>
      <c r="S1827" t="s">
        <v>96</v>
      </c>
      <c r="T1827" t="s">
        <v>64</v>
      </c>
    </row>
    <row r="1828" spans="1:20" hidden="1">
      <c r="A1828" t="s">
        <v>1895</v>
      </c>
      <c r="B1828" s="5">
        <v>45533</v>
      </c>
      <c r="C1828" s="8">
        <f>YEAR(Tabla2[[#This Row],[fecha]])</f>
        <v>2024</v>
      </c>
      <c r="D1828" s="8">
        <f>MONTH(Tabla2[[#This Row],[fecha]])</f>
        <v>8</v>
      </c>
      <c r="E1828" s="8" t="str">
        <f>TEXT(Tabla2[[#This Row],[fecha]], "mmmm")</f>
        <v>agosto</v>
      </c>
      <c r="F1828" s="8" t="str">
        <f>"T"&amp;ROUNDUP(Tabla2[[#This Row],[mes]]/3,0)</f>
        <v>T3</v>
      </c>
      <c r="G1828" t="s">
        <v>13</v>
      </c>
      <c r="H1828" t="s">
        <v>14</v>
      </c>
      <c r="I1828" s="8" t="str">
        <f>IF(Tabla2[[#This Row],[precio_unitario]]&lt;=30,"Económico",IF(Tabla2[[#This Row],[precio_unitario]]&lt;=58.49,"Accesible","Caro"))</f>
        <v>Caro</v>
      </c>
      <c r="J1828" t="s">
        <v>8</v>
      </c>
      <c r="K1828">
        <v>1</v>
      </c>
      <c r="L1828" s="19">
        <v>156.76</v>
      </c>
      <c r="M1828" s="19">
        <v>105.87</v>
      </c>
      <c r="N1828" s="11">
        <v>0</v>
      </c>
      <c r="O1828" s="17">
        <f t="shared" si="115"/>
        <v>156.76</v>
      </c>
      <c r="P1828" s="17">
        <f t="shared" si="112"/>
        <v>105.87</v>
      </c>
      <c r="Q1828" s="17">
        <f t="shared" si="113"/>
        <v>50.889999999999986</v>
      </c>
      <c r="R1828" s="24">
        <f t="shared" si="114"/>
        <v>0.32463638683337581</v>
      </c>
      <c r="S1828" t="s">
        <v>67</v>
      </c>
      <c r="T1828" t="s">
        <v>64</v>
      </c>
    </row>
    <row r="1829" spans="1:20" hidden="1">
      <c r="A1829" t="s">
        <v>1896</v>
      </c>
      <c r="B1829" s="5">
        <v>45418</v>
      </c>
      <c r="C1829" s="8">
        <f>YEAR(Tabla2[[#This Row],[fecha]])</f>
        <v>2024</v>
      </c>
      <c r="D1829" s="8">
        <f>MONTH(Tabla2[[#This Row],[fecha]])</f>
        <v>5</v>
      </c>
      <c r="E1829" s="8" t="str">
        <f>TEXT(Tabla2[[#This Row],[fecha]], "mmmm")</f>
        <v>mayo</v>
      </c>
      <c r="F1829" s="8" t="str">
        <f>"T"&amp;ROUNDUP(Tabla2[[#This Row],[mes]]/3,0)</f>
        <v>T2</v>
      </c>
      <c r="G1829" t="s">
        <v>11</v>
      </c>
      <c r="H1829" t="s">
        <v>12</v>
      </c>
      <c r="I1829" s="8" t="str">
        <f>IF(Tabla2[[#This Row],[precio_unitario]]&lt;=30,"Económico",IF(Tabla2[[#This Row],[precio_unitario]]&lt;=58.49,"Accesible","Caro"))</f>
        <v>Caro</v>
      </c>
      <c r="J1829" t="s">
        <v>8</v>
      </c>
      <c r="K1829">
        <v>3</v>
      </c>
      <c r="L1829" s="19">
        <v>179.15</v>
      </c>
      <c r="M1829" s="19">
        <v>94.48</v>
      </c>
      <c r="N1829" s="11">
        <v>0</v>
      </c>
      <c r="O1829" s="17">
        <f t="shared" si="115"/>
        <v>537.45000000000005</v>
      </c>
      <c r="P1829" s="17">
        <f t="shared" si="112"/>
        <v>283.44</v>
      </c>
      <c r="Q1829" s="17">
        <f t="shared" si="113"/>
        <v>254.01000000000005</v>
      </c>
      <c r="R1829" s="24">
        <f t="shared" si="114"/>
        <v>0.47262070890315383</v>
      </c>
      <c r="S1829" t="s">
        <v>67</v>
      </c>
      <c r="T1829" t="s">
        <v>64</v>
      </c>
    </row>
    <row r="1830" spans="1:20" hidden="1">
      <c r="A1830" t="s">
        <v>1897</v>
      </c>
      <c r="B1830" s="5">
        <v>45564</v>
      </c>
      <c r="C1830" s="8">
        <f>YEAR(Tabla2[[#This Row],[fecha]])</f>
        <v>2024</v>
      </c>
      <c r="D1830" s="8">
        <f>MONTH(Tabla2[[#This Row],[fecha]])</f>
        <v>9</v>
      </c>
      <c r="E1830" s="8" t="str">
        <f>TEXT(Tabla2[[#This Row],[fecha]], "mmmm")</f>
        <v>septiembre</v>
      </c>
      <c r="F1830" s="8" t="str">
        <f>"T"&amp;ROUNDUP(Tabla2[[#This Row],[mes]]/3,0)</f>
        <v>T3</v>
      </c>
      <c r="G1830" t="s">
        <v>36</v>
      </c>
      <c r="H1830" t="s">
        <v>37</v>
      </c>
      <c r="I1830" s="8" t="str">
        <f>IF(Tabla2[[#This Row],[precio_unitario]]&lt;=30,"Económico",IF(Tabla2[[#This Row],[precio_unitario]]&lt;=58.49,"Accesible","Caro"))</f>
        <v>Económico</v>
      </c>
      <c r="J1830" t="s">
        <v>35</v>
      </c>
      <c r="K1830">
        <v>1</v>
      </c>
      <c r="L1830" s="19">
        <v>14.78</v>
      </c>
      <c r="M1830" s="19">
        <v>9.33</v>
      </c>
      <c r="N1830" s="11">
        <v>0.14000000000000001</v>
      </c>
      <c r="O1830" s="17">
        <f t="shared" si="115"/>
        <v>12.710799999999999</v>
      </c>
      <c r="P1830" s="17">
        <f t="shared" si="112"/>
        <v>9.33</v>
      </c>
      <c r="Q1830" s="17">
        <f t="shared" si="113"/>
        <v>3.3807999999999989</v>
      </c>
      <c r="R1830" s="24">
        <f t="shared" si="114"/>
        <v>0.26597853793624315</v>
      </c>
      <c r="S1830" t="s">
        <v>96</v>
      </c>
      <c r="T1830" t="s">
        <v>64</v>
      </c>
    </row>
    <row r="1831" spans="1:20" hidden="1">
      <c r="A1831" t="s">
        <v>1898</v>
      </c>
      <c r="B1831" s="5">
        <v>45778</v>
      </c>
      <c r="C1831" s="8">
        <f>YEAR(Tabla2[[#This Row],[fecha]])</f>
        <v>2025</v>
      </c>
      <c r="D1831" s="8">
        <f>MONTH(Tabla2[[#This Row],[fecha]])</f>
        <v>5</v>
      </c>
      <c r="E1831" s="8" t="str">
        <f>TEXT(Tabla2[[#This Row],[fecha]], "mmmm")</f>
        <v>mayo</v>
      </c>
      <c r="F1831" s="8" t="str">
        <f>"T"&amp;ROUNDUP(Tabla2[[#This Row],[mes]]/3,0)</f>
        <v>T2</v>
      </c>
      <c r="G1831" t="s">
        <v>42</v>
      </c>
      <c r="H1831" t="s">
        <v>43</v>
      </c>
      <c r="I1831" s="8" t="str">
        <f>IF(Tabla2[[#This Row],[precio_unitario]]&lt;=30,"Económico",IF(Tabla2[[#This Row],[precio_unitario]]&lt;=58.49,"Accesible","Caro"))</f>
        <v>Accesible</v>
      </c>
      <c r="J1831" t="s">
        <v>44</v>
      </c>
      <c r="K1831">
        <v>1</v>
      </c>
      <c r="L1831" s="19">
        <v>49.51</v>
      </c>
      <c r="M1831" s="19">
        <v>22.45</v>
      </c>
      <c r="N1831" s="11">
        <v>0</v>
      </c>
      <c r="O1831" s="17">
        <f t="shared" si="115"/>
        <v>49.51</v>
      </c>
      <c r="P1831" s="17">
        <f t="shared" si="112"/>
        <v>22.45</v>
      </c>
      <c r="Q1831" s="17">
        <f t="shared" si="113"/>
        <v>27.06</v>
      </c>
      <c r="R1831" s="24">
        <f t="shared" si="114"/>
        <v>0.54655625126237128</v>
      </c>
      <c r="S1831" t="s">
        <v>83</v>
      </c>
      <c r="T1831" t="s">
        <v>60</v>
      </c>
    </row>
    <row r="1832" spans="1:20" hidden="1">
      <c r="A1832" t="s">
        <v>1899</v>
      </c>
      <c r="B1832" s="5">
        <v>45346</v>
      </c>
      <c r="C1832" s="8">
        <f>YEAR(Tabla2[[#This Row],[fecha]])</f>
        <v>2024</v>
      </c>
      <c r="D1832" s="8">
        <f>MONTH(Tabla2[[#This Row],[fecha]])</f>
        <v>2</v>
      </c>
      <c r="E1832" s="8" t="str">
        <f>TEXT(Tabla2[[#This Row],[fecha]], "mmmm")</f>
        <v>febrero</v>
      </c>
      <c r="F1832" s="8" t="str">
        <f>"T"&amp;ROUNDUP(Tabla2[[#This Row],[mes]]/3,0)</f>
        <v>T1</v>
      </c>
      <c r="G1832" t="s">
        <v>18</v>
      </c>
      <c r="H1832" t="s">
        <v>19</v>
      </c>
      <c r="I1832" s="8" t="str">
        <f>IF(Tabla2[[#This Row],[precio_unitario]]&lt;=30,"Económico",IF(Tabla2[[#This Row],[precio_unitario]]&lt;=58.49,"Accesible","Caro"))</f>
        <v>Accesible</v>
      </c>
      <c r="J1832" t="s">
        <v>17</v>
      </c>
      <c r="K1832">
        <v>1</v>
      </c>
      <c r="L1832" s="19">
        <v>48.38</v>
      </c>
      <c r="M1832" s="19">
        <v>27.24</v>
      </c>
      <c r="N1832" s="11">
        <v>0</v>
      </c>
      <c r="O1832" s="17">
        <f t="shared" si="115"/>
        <v>48.38</v>
      </c>
      <c r="P1832" s="17">
        <f t="shared" si="112"/>
        <v>27.24</v>
      </c>
      <c r="Q1832" s="17">
        <f t="shared" si="113"/>
        <v>21.140000000000004</v>
      </c>
      <c r="R1832" s="24">
        <f t="shared" si="114"/>
        <v>0.43695742042166191</v>
      </c>
      <c r="S1832" t="s">
        <v>67</v>
      </c>
      <c r="T1832" t="s">
        <v>60</v>
      </c>
    </row>
    <row r="1833" spans="1:20" hidden="1">
      <c r="A1833" t="s">
        <v>1900</v>
      </c>
      <c r="B1833" s="5">
        <v>45475</v>
      </c>
      <c r="C1833" s="8">
        <f>YEAR(Tabla2[[#This Row],[fecha]])</f>
        <v>2024</v>
      </c>
      <c r="D1833" s="8">
        <f>MONTH(Tabla2[[#This Row],[fecha]])</f>
        <v>7</v>
      </c>
      <c r="E1833" s="8" t="str">
        <f>TEXT(Tabla2[[#This Row],[fecha]], "mmmm")</f>
        <v>julio</v>
      </c>
      <c r="F1833" s="8" t="str">
        <f>"T"&amp;ROUNDUP(Tabla2[[#This Row],[mes]]/3,0)</f>
        <v>T3</v>
      </c>
      <c r="G1833" t="s">
        <v>29</v>
      </c>
      <c r="H1833" t="s">
        <v>30</v>
      </c>
      <c r="I1833" s="8" t="str">
        <f>IF(Tabla2[[#This Row],[precio_unitario]]&lt;=30,"Económico",IF(Tabla2[[#This Row],[precio_unitario]]&lt;=58.49,"Accesible","Caro"))</f>
        <v>Económico</v>
      </c>
      <c r="J1833" t="s">
        <v>26</v>
      </c>
      <c r="K1833">
        <v>1</v>
      </c>
      <c r="L1833" s="19">
        <v>22.16</v>
      </c>
      <c r="M1833" s="19">
        <v>11.88</v>
      </c>
      <c r="N1833" s="11">
        <v>0</v>
      </c>
      <c r="O1833" s="17">
        <f t="shared" si="115"/>
        <v>22.16</v>
      </c>
      <c r="P1833" s="17">
        <f t="shared" si="112"/>
        <v>11.88</v>
      </c>
      <c r="Q1833" s="17">
        <f t="shared" si="113"/>
        <v>10.28</v>
      </c>
      <c r="R1833" s="24">
        <f t="shared" si="114"/>
        <v>0.46389891696750901</v>
      </c>
      <c r="S1833" t="s">
        <v>67</v>
      </c>
      <c r="T1833" t="s">
        <v>64</v>
      </c>
    </row>
    <row r="1834" spans="1:20">
      <c r="A1834" t="s">
        <v>1901</v>
      </c>
      <c r="B1834" s="5">
        <v>46015</v>
      </c>
      <c r="C1834" s="8">
        <f>YEAR(Tabla2[[#This Row],[fecha]])</f>
        <v>2025</v>
      </c>
      <c r="D1834" s="8">
        <f>MONTH(Tabla2[[#This Row],[fecha]])</f>
        <v>12</v>
      </c>
      <c r="E1834" s="8" t="str">
        <f>TEXT(Tabla2[[#This Row],[fecha]], "mmmm")</f>
        <v>diciembre</v>
      </c>
      <c r="F1834" s="8" t="str">
        <f>"T"&amp;ROUNDUP(Tabla2[[#This Row],[mes]]/3,0)</f>
        <v>T4</v>
      </c>
      <c r="G1834" t="s">
        <v>18</v>
      </c>
      <c r="H1834" t="s">
        <v>19</v>
      </c>
      <c r="I1834" s="8" t="str">
        <f>IF(Tabla2[[#This Row],[precio_unitario]]&lt;=30,"Económico",IF(Tabla2[[#This Row],[precio_unitario]]&lt;=58.49,"Accesible","Caro"))</f>
        <v>Accesible</v>
      </c>
      <c r="J1834" t="s">
        <v>17</v>
      </c>
      <c r="K1834">
        <v>3</v>
      </c>
      <c r="L1834" s="19">
        <v>45.94</v>
      </c>
      <c r="M1834" s="19">
        <v>27.62</v>
      </c>
      <c r="N1834" s="11">
        <v>0.21</v>
      </c>
      <c r="O1834" s="17">
        <f t="shared" si="115"/>
        <v>108.87779999999999</v>
      </c>
      <c r="P1834" s="17">
        <f t="shared" si="112"/>
        <v>82.86</v>
      </c>
      <c r="Q1834" s="17">
        <f t="shared" si="113"/>
        <v>26.017799999999994</v>
      </c>
      <c r="R1834" s="24">
        <f t="shared" si="114"/>
        <v>0.23896331483553118</v>
      </c>
      <c r="S1834" t="s">
        <v>67</v>
      </c>
      <c r="T1834" t="s">
        <v>60</v>
      </c>
    </row>
    <row r="1835" spans="1:20" hidden="1">
      <c r="A1835" t="s">
        <v>1902</v>
      </c>
      <c r="B1835" s="5">
        <v>45439</v>
      </c>
      <c r="C1835" s="8">
        <f>YEAR(Tabla2[[#This Row],[fecha]])</f>
        <v>2024</v>
      </c>
      <c r="D1835" s="8">
        <f>MONTH(Tabla2[[#This Row],[fecha]])</f>
        <v>5</v>
      </c>
      <c r="E1835" s="8" t="str">
        <f>TEXT(Tabla2[[#This Row],[fecha]], "mmmm")</f>
        <v>mayo</v>
      </c>
      <c r="F1835" s="8" t="str">
        <f>"T"&amp;ROUNDUP(Tabla2[[#This Row],[mes]]/3,0)</f>
        <v>T2</v>
      </c>
      <c r="G1835" t="s">
        <v>15</v>
      </c>
      <c r="H1835" t="s">
        <v>16</v>
      </c>
      <c r="I1835" s="8" t="str">
        <f>IF(Tabla2[[#This Row],[precio_unitario]]&lt;=30,"Económico",IF(Tabla2[[#This Row],[precio_unitario]]&lt;=58.49,"Accesible","Caro"))</f>
        <v>Caro</v>
      </c>
      <c r="J1835" t="s">
        <v>17</v>
      </c>
      <c r="K1835">
        <v>1</v>
      </c>
      <c r="L1835" s="19">
        <v>60.54</v>
      </c>
      <c r="M1835" s="19">
        <v>40.130000000000003</v>
      </c>
      <c r="N1835" s="11">
        <v>0</v>
      </c>
      <c r="O1835" s="17">
        <f t="shared" si="115"/>
        <v>60.54</v>
      </c>
      <c r="P1835" s="17">
        <f t="shared" si="112"/>
        <v>40.130000000000003</v>
      </c>
      <c r="Q1835" s="17">
        <f t="shared" si="113"/>
        <v>20.409999999999997</v>
      </c>
      <c r="R1835" s="24">
        <f t="shared" si="114"/>
        <v>0.33713247439709276</v>
      </c>
      <c r="S1835" t="s">
        <v>540</v>
      </c>
      <c r="T1835" t="s">
        <v>60</v>
      </c>
    </row>
    <row r="1836" spans="1:20" hidden="1">
      <c r="A1836" t="s">
        <v>1903</v>
      </c>
      <c r="B1836" s="5">
        <v>45481</v>
      </c>
      <c r="C1836" s="8">
        <f>YEAR(Tabla2[[#This Row],[fecha]])</f>
        <v>2024</v>
      </c>
      <c r="D1836" s="8">
        <f>MONTH(Tabla2[[#This Row],[fecha]])</f>
        <v>7</v>
      </c>
      <c r="E1836" s="8" t="str">
        <f>TEXT(Tabla2[[#This Row],[fecha]], "mmmm")</f>
        <v>julio</v>
      </c>
      <c r="F1836" s="8" t="str">
        <f>"T"&amp;ROUNDUP(Tabla2[[#This Row],[mes]]/3,0)</f>
        <v>T3</v>
      </c>
      <c r="G1836" t="s">
        <v>6</v>
      </c>
      <c r="H1836" t="s">
        <v>7</v>
      </c>
      <c r="I1836" s="8" t="str">
        <f>IF(Tabla2[[#This Row],[precio_unitario]]&lt;=30,"Económico",IF(Tabla2[[#This Row],[precio_unitario]]&lt;=58.49,"Accesible","Caro"))</f>
        <v>Caro</v>
      </c>
      <c r="J1836" t="s">
        <v>8</v>
      </c>
      <c r="K1836">
        <v>1</v>
      </c>
      <c r="L1836" s="19">
        <v>119.96</v>
      </c>
      <c r="M1836" s="19">
        <v>83.75</v>
      </c>
      <c r="N1836" s="11">
        <v>0.28000000000000003</v>
      </c>
      <c r="O1836" s="17">
        <f t="shared" si="115"/>
        <v>86.371199999999988</v>
      </c>
      <c r="P1836" s="17">
        <f t="shared" si="112"/>
        <v>83.75</v>
      </c>
      <c r="Q1836" s="17">
        <f t="shared" si="113"/>
        <v>2.6211999999999875</v>
      </c>
      <c r="R1836" s="24">
        <f t="shared" si="114"/>
        <v>3.0348078989292586E-2</v>
      </c>
      <c r="S1836" t="s">
        <v>67</v>
      </c>
      <c r="T1836" t="s">
        <v>64</v>
      </c>
    </row>
    <row r="1837" spans="1:20" hidden="1">
      <c r="A1837" t="s">
        <v>1904</v>
      </c>
      <c r="B1837" s="5">
        <v>45877</v>
      </c>
      <c r="C1837" s="8">
        <f>YEAR(Tabla2[[#This Row],[fecha]])</f>
        <v>2025</v>
      </c>
      <c r="D1837" s="8">
        <f>MONTH(Tabla2[[#This Row],[fecha]])</f>
        <v>8</v>
      </c>
      <c r="E1837" s="8" t="str">
        <f>TEXT(Tabla2[[#This Row],[fecha]], "mmmm")</f>
        <v>agosto</v>
      </c>
      <c r="F1837" s="8" t="str">
        <f>"T"&amp;ROUNDUP(Tabla2[[#This Row],[mes]]/3,0)</f>
        <v>T3</v>
      </c>
      <c r="G1837" t="s">
        <v>22</v>
      </c>
      <c r="H1837" t="s">
        <v>23</v>
      </c>
      <c r="I1837" s="8" t="str">
        <f>IF(Tabla2[[#This Row],[precio_unitario]]&lt;=30,"Económico",IF(Tabla2[[#This Row],[precio_unitario]]&lt;=58.49,"Accesible","Caro"))</f>
        <v>Caro</v>
      </c>
      <c r="J1837" t="s">
        <v>17</v>
      </c>
      <c r="K1837">
        <v>2</v>
      </c>
      <c r="L1837" s="19">
        <v>102.18</v>
      </c>
      <c r="M1837" s="19">
        <v>59.85</v>
      </c>
      <c r="N1837" s="11">
        <v>0</v>
      </c>
      <c r="O1837" s="17">
        <f t="shared" si="115"/>
        <v>204.36</v>
      </c>
      <c r="P1837" s="17">
        <f t="shared" si="112"/>
        <v>119.7</v>
      </c>
      <c r="Q1837" s="17">
        <f t="shared" si="113"/>
        <v>84.660000000000011</v>
      </c>
      <c r="R1837" s="24">
        <f t="shared" si="114"/>
        <v>0.41426893716970054</v>
      </c>
      <c r="S1837" t="s">
        <v>540</v>
      </c>
      <c r="T1837" t="s">
        <v>64</v>
      </c>
    </row>
    <row r="1838" spans="1:20" hidden="1">
      <c r="A1838" t="s">
        <v>1905</v>
      </c>
      <c r="B1838" s="5">
        <v>45433</v>
      </c>
      <c r="C1838" s="8">
        <f>YEAR(Tabla2[[#This Row],[fecha]])</f>
        <v>2024</v>
      </c>
      <c r="D1838" s="8">
        <f>MONTH(Tabla2[[#This Row],[fecha]])</f>
        <v>5</v>
      </c>
      <c r="E1838" s="8" t="str">
        <f>TEXT(Tabla2[[#This Row],[fecha]], "mmmm")</f>
        <v>mayo</v>
      </c>
      <c r="F1838" s="8" t="str">
        <f>"T"&amp;ROUNDUP(Tabla2[[#This Row],[mes]]/3,0)</f>
        <v>T2</v>
      </c>
      <c r="G1838" t="s">
        <v>20</v>
      </c>
      <c r="H1838" t="s">
        <v>21</v>
      </c>
      <c r="I1838" s="8" t="str">
        <f>IF(Tabla2[[#This Row],[precio_unitario]]&lt;=30,"Económico",IF(Tabla2[[#This Row],[precio_unitario]]&lt;=58.49,"Accesible","Caro"))</f>
        <v>Económico</v>
      </c>
      <c r="J1838" t="s">
        <v>17</v>
      </c>
      <c r="K1838">
        <v>3</v>
      </c>
      <c r="L1838" s="19">
        <v>21.42</v>
      </c>
      <c r="M1838" s="19">
        <v>27.85</v>
      </c>
      <c r="N1838" s="11">
        <v>0.28000000000000003</v>
      </c>
      <c r="O1838" s="17">
        <f t="shared" si="115"/>
        <v>46.267200000000003</v>
      </c>
      <c r="P1838" s="17">
        <f t="shared" si="112"/>
        <v>83.550000000000011</v>
      </c>
      <c r="Q1838" s="17">
        <f t="shared" si="113"/>
        <v>-37.282800000000009</v>
      </c>
      <c r="R1838" s="24">
        <f t="shared" si="114"/>
        <v>-0.80581491856001675</v>
      </c>
      <c r="S1838" t="s">
        <v>67</v>
      </c>
      <c r="T1838" t="s">
        <v>64</v>
      </c>
    </row>
    <row r="1839" spans="1:20">
      <c r="A1839" t="s">
        <v>1906</v>
      </c>
      <c r="B1839" s="5">
        <v>45695</v>
      </c>
      <c r="C1839" s="8">
        <f>YEAR(Tabla2[[#This Row],[fecha]])</f>
        <v>2025</v>
      </c>
      <c r="D1839" s="8">
        <f>MONTH(Tabla2[[#This Row],[fecha]])</f>
        <v>2</v>
      </c>
      <c r="E1839" s="8" t="str">
        <f>TEXT(Tabla2[[#This Row],[fecha]], "mmmm")</f>
        <v>febrero</v>
      </c>
      <c r="F1839" s="8" t="str">
        <f>"T"&amp;ROUNDUP(Tabla2[[#This Row],[mes]]/3,0)</f>
        <v>T1</v>
      </c>
      <c r="G1839" t="s">
        <v>24</v>
      </c>
      <c r="H1839" t="s">
        <v>25</v>
      </c>
      <c r="I1839" s="8" t="str">
        <f>IF(Tabla2[[#This Row],[precio_unitario]]&lt;=30,"Económico",IF(Tabla2[[#This Row],[precio_unitario]]&lt;=58.49,"Accesible","Caro"))</f>
        <v>Económico</v>
      </c>
      <c r="J1839" t="s">
        <v>26</v>
      </c>
      <c r="K1839">
        <v>2</v>
      </c>
      <c r="L1839" s="19">
        <v>8.23</v>
      </c>
      <c r="M1839" s="21">
        <f>INDEX(Tabla3[coste_objetivo], MATCH(Tabla2[[#This Row],[id_producto]], Tabla3[id_producto],0))</f>
        <v>4.32</v>
      </c>
      <c r="N1839" s="11">
        <v>0</v>
      </c>
      <c r="O1839" s="17">
        <f t="shared" si="115"/>
        <v>16.46</v>
      </c>
      <c r="P1839" s="17">
        <f t="shared" si="112"/>
        <v>8.64</v>
      </c>
      <c r="Q1839" s="17">
        <f t="shared" si="113"/>
        <v>7.82</v>
      </c>
      <c r="R1839" s="24">
        <f t="shared" si="114"/>
        <v>0.47509113001215064</v>
      </c>
      <c r="S1839" t="s">
        <v>67</v>
      </c>
      <c r="T1839" t="s">
        <v>60</v>
      </c>
    </row>
    <row r="1840" spans="1:20" hidden="1">
      <c r="A1840" t="s">
        <v>1907</v>
      </c>
      <c r="B1840" s="5">
        <v>45639</v>
      </c>
      <c r="C1840" s="8">
        <f>YEAR(Tabla2[[#This Row],[fecha]])</f>
        <v>2024</v>
      </c>
      <c r="D1840" s="8">
        <f>MONTH(Tabla2[[#This Row],[fecha]])</f>
        <v>12</v>
      </c>
      <c r="E1840" s="8" t="str">
        <f>TEXT(Tabla2[[#This Row],[fecha]], "mmmm")</f>
        <v>diciembre</v>
      </c>
      <c r="F1840" s="8" t="str">
        <f>"T"&amp;ROUNDUP(Tabla2[[#This Row],[mes]]/3,0)</f>
        <v>T4</v>
      </c>
      <c r="G1840" t="s">
        <v>15</v>
      </c>
      <c r="H1840" t="s">
        <v>16</v>
      </c>
      <c r="I1840" s="8" t="str">
        <f>IF(Tabla2[[#This Row],[precio_unitario]]&lt;=30,"Económico",IF(Tabla2[[#This Row],[precio_unitario]]&lt;=58.49,"Accesible","Caro"))</f>
        <v>Accesible</v>
      </c>
      <c r="J1840" t="s">
        <v>17</v>
      </c>
      <c r="K1840">
        <v>1</v>
      </c>
      <c r="L1840" s="19">
        <v>55.28</v>
      </c>
      <c r="M1840" s="19">
        <v>43.05</v>
      </c>
      <c r="N1840" s="11">
        <v>0</v>
      </c>
      <c r="O1840" s="17">
        <f t="shared" si="115"/>
        <v>55.28</v>
      </c>
      <c r="P1840" s="17">
        <f t="shared" si="112"/>
        <v>43.05</v>
      </c>
      <c r="Q1840" s="17">
        <f t="shared" si="113"/>
        <v>12.230000000000004</v>
      </c>
      <c r="R1840" s="24">
        <f t="shared" si="114"/>
        <v>0.22123733719247474</v>
      </c>
      <c r="S1840" t="s">
        <v>540</v>
      </c>
      <c r="T1840" t="s">
        <v>64</v>
      </c>
    </row>
    <row r="1841" spans="1:20" hidden="1">
      <c r="A1841" t="s">
        <v>1908</v>
      </c>
      <c r="B1841" s="5">
        <v>45654</v>
      </c>
      <c r="C1841" s="8">
        <f>YEAR(Tabla2[[#This Row],[fecha]])</f>
        <v>2024</v>
      </c>
      <c r="D1841" s="8">
        <f>MONTH(Tabla2[[#This Row],[fecha]])</f>
        <v>12</v>
      </c>
      <c r="E1841" s="8" t="str">
        <f>TEXT(Tabla2[[#This Row],[fecha]], "mmmm")</f>
        <v>diciembre</v>
      </c>
      <c r="F1841" s="8" t="str">
        <f>"T"&amp;ROUNDUP(Tabla2[[#This Row],[mes]]/3,0)</f>
        <v>T4</v>
      </c>
      <c r="G1841" t="s">
        <v>22</v>
      </c>
      <c r="H1841" t="s">
        <v>23</v>
      </c>
      <c r="I1841" s="8" t="str">
        <f>IF(Tabla2[[#This Row],[precio_unitario]]&lt;=30,"Económico",IF(Tabla2[[#This Row],[precio_unitario]]&lt;=58.49,"Accesible","Caro"))</f>
        <v>Caro</v>
      </c>
      <c r="J1841" t="s">
        <v>17</v>
      </c>
      <c r="K1841">
        <v>2</v>
      </c>
      <c r="L1841" s="19">
        <v>110.37</v>
      </c>
      <c r="M1841" s="19">
        <v>57.29</v>
      </c>
      <c r="N1841" s="11">
        <v>0.06</v>
      </c>
      <c r="O1841" s="17">
        <f t="shared" si="115"/>
        <v>207.4956</v>
      </c>
      <c r="P1841" s="17">
        <f t="shared" si="112"/>
        <v>114.58</v>
      </c>
      <c r="Q1841" s="17">
        <f t="shared" si="113"/>
        <v>92.915599999999998</v>
      </c>
      <c r="R1841" s="24">
        <f t="shared" si="114"/>
        <v>0.44779551951945007</v>
      </c>
      <c r="S1841" t="s">
        <v>67</v>
      </c>
      <c r="T1841" t="s">
        <v>60</v>
      </c>
    </row>
    <row r="1842" spans="1:20" hidden="1">
      <c r="A1842" t="s">
        <v>1909</v>
      </c>
      <c r="B1842" s="5">
        <v>45637</v>
      </c>
      <c r="C1842" s="8">
        <f>YEAR(Tabla2[[#This Row],[fecha]])</f>
        <v>2024</v>
      </c>
      <c r="D1842" s="8">
        <f>MONTH(Tabla2[[#This Row],[fecha]])</f>
        <v>12</v>
      </c>
      <c r="E1842" s="8" t="str">
        <f>TEXT(Tabla2[[#This Row],[fecha]], "mmmm")</f>
        <v>diciembre</v>
      </c>
      <c r="F1842" s="8" t="str">
        <f>"T"&amp;ROUNDUP(Tabla2[[#This Row],[mes]]/3,0)</f>
        <v>T4</v>
      </c>
      <c r="G1842" t="s">
        <v>24</v>
      </c>
      <c r="H1842" t="s">
        <v>25</v>
      </c>
      <c r="I1842" s="8" t="str">
        <f>IF(Tabla2[[#This Row],[precio_unitario]]&lt;=30,"Económico",IF(Tabla2[[#This Row],[precio_unitario]]&lt;=58.49,"Accesible","Caro"))</f>
        <v>Económico</v>
      </c>
      <c r="J1842" t="s">
        <v>26</v>
      </c>
      <c r="K1842">
        <v>6</v>
      </c>
      <c r="L1842" s="19">
        <v>8.09</v>
      </c>
      <c r="M1842" s="19">
        <v>4.4800000000000004</v>
      </c>
      <c r="N1842" s="11">
        <v>0</v>
      </c>
      <c r="O1842" s="17">
        <f t="shared" si="115"/>
        <v>48.54</v>
      </c>
      <c r="P1842" s="17">
        <f t="shared" si="112"/>
        <v>26.880000000000003</v>
      </c>
      <c r="Q1842" s="17">
        <f t="shared" si="113"/>
        <v>21.659999999999997</v>
      </c>
      <c r="R1842" s="24">
        <f t="shared" si="114"/>
        <v>0.44622991347342394</v>
      </c>
      <c r="S1842" t="s">
        <v>67</v>
      </c>
      <c r="T1842" t="s">
        <v>64</v>
      </c>
    </row>
    <row r="1843" spans="1:20" hidden="1">
      <c r="A1843" t="s">
        <v>1910</v>
      </c>
      <c r="B1843" s="5">
        <v>45647</v>
      </c>
      <c r="C1843" s="8">
        <f>YEAR(Tabla2[[#This Row],[fecha]])</f>
        <v>2024</v>
      </c>
      <c r="D1843" s="8">
        <f>MONTH(Tabla2[[#This Row],[fecha]])</f>
        <v>12</v>
      </c>
      <c r="E1843" s="8" t="str">
        <f>TEXT(Tabla2[[#This Row],[fecha]], "mmmm")</f>
        <v>diciembre</v>
      </c>
      <c r="F1843" s="8" t="str">
        <f>"T"&amp;ROUNDUP(Tabla2[[#This Row],[mes]]/3,0)</f>
        <v>T4</v>
      </c>
      <c r="G1843" t="s">
        <v>45</v>
      </c>
      <c r="H1843" t="s">
        <v>46</v>
      </c>
      <c r="I1843" s="8" t="str">
        <f>IF(Tabla2[[#This Row],[precio_unitario]]&lt;=30,"Económico",IF(Tabla2[[#This Row],[precio_unitario]]&lt;=58.49,"Accesible","Caro"))</f>
        <v>Económico</v>
      </c>
      <c r="J1843" t="s">
        <v>44</v>
      </c>
      <c r="K1843">
        <v>5</v>
      </c>
      <c r="L1843" s="19">
        <v>28.77</v>
      </c>
      <c r="M1843" s="19">
        <v>17.170000000000002</v>
      </c>
      <c r="N1843" s="11">
        <v>0</v>
      </c>
      <c r="O1843" s="17">
        <f t="shared" si="115"/>
        <v>143.85</v>
      </c>
      <c r="P1843" s="17">
        <f t="shared" si="112"/>
        <v>85.850000000000009</v>
      </c>
      <c r="Q1843" s="17">
        <f t="shared" si="113"/>
        <v>57.999999999999986</v>
      </c>
      <c r="R1843" s="24">
        <f t="shared" si="114"/>
        <v>0.40319777546054908</v>
      </c>
      <c r="S1843" s="10" t="s">
        <v>2377</v>
      </c>
      <c r="T1843" t="s">
        <v>64</v>
      </c>
    </row>
    <row r="1844" spans="1:20" hidden="1">
      <c r="A1844" t="s">
        <v>1911</v>
      </c>
      <c r="B1844" s="5">
        <v>45599</v>
      </c>
      <c r="C1844" s="8">
        <f>YEAR(Tabla2[[#This Row],[fecha]])</f>
        <v>2024</v>
      </c>
      <c r="D1844" s="8">
        <f>MONTH(Tabla2[[#This Row],[fecha]])</f>
        <v>11</v>
      </c>
      <c r="E1844" s="8" t="str">
        <f>TEXT(Tabla2[[#This Row],[fecha]], "mmmm")</f>
        <v>noviembre</v>
      </c>
      <c r="F1844" s="8" t="str">
        <f>"T"&amp;ROUNDUP(Tabla2[[#This Row],[mes]]/3,0)</f>
        <v>T4</v>
      </c>
      <c r="G1844" t="s">
        <v>42</v>
      </c>
      <c r="H1844" t="s">
        <v>43</v>
      </c>
      <c r="I1844" s="8" t="str">
        <f>IF(Tabla2[[#This Row],[precio_unitario]]&lt;=30,"Económico",IF(Tabla2[[#This Row],[precio_unitario]]&lt;=58.49,"Accesible","Caro"))</f>
        <v>Accesible</v>
      </c>
      <c r="J1844" t="s">
        <v>44</v>
      </c>
      <c r="K1844">
        <v>1</v>
      </c>
      <c r="L1844" s="19">
        <v>50.32</v>
      </c>
      <c r="M1844" s="19">
        <v>22.58</v>
      </c>
      <c r="N1844" s="11">
        <v>0</v>
      </c>
      <c r="O1844" s="17">
        <f t="shared" si="115"/>
        <v>50.32</v>
      </c>
      <c r="P1844" s="17">
        <f t="shared" si="112"/>
        <v>22.58</v>
      </c>
      <c r="Q1844" s="17">
        <f t="shared" si="113"/>
        <v>27.740000000000002</v>
      </c>
      <c r="R1844" s="24">
        <f t="shared" si="114"/>
        <v>0.55127186009538953</v>
      </c>
      <c r="S1844" t="s">
        <v>540</v>
      </c>
      <c r="T1844" t="s">
        <v>64</v>
      </c>
    </row>
    <row r="1845" spans="1:20" hidden="1">
      <c r="A1845" t="s">
        <v>1912</v>
      </c>
      <c r="B1845" s="5">
        <v>45971</v>
      </c>
      <c r="C1845" s="8">
        <f>YEAR(Tabla2[[#This Row],[fecha]])</f>
        <v>2025</v>
      </c>
      <c r="D1845" s="8">
        <f>MONTH(Tabla2[[#This Row],[fecha]])</f>
        <v>11</v>
      </c>
      <c r="E1845" s="8" t="str">
        <f>TEXT(Tabla2[[#This Row],[fecha]], "mmmm")</f>
        <v>noviembre</v>
      </c>
      <c r="F1845" s="8" t="str">
        <f>"T"&amp;ROUNDUP(Tabla2[[#This Row],[mes]]/3,0)</f>
        <v>T4</v>
      </c>
      <c r="G1845" t="s">
        <v>13</v>
      </c>
      <c r="H1845" t="s">
        <v>14</v>
      </c>
      <c r="I1845" s="8" t="str">
        <f>IF(Tabla2[[#This Row],[precio_unitario]]&lt;=30,"Económico",IF(Tabla2[[#This Row],[precio_unitario]]&lt;=58.49,"Accesible","Caro"))</f>
        <v>Caro</v>
      </c>
      <c r="J1845" t="s">
        <v>8</v>
      </c>
      <c r="K1845">
        <v>3</v>
      </c>
      <c r="L1845" s="19">
        <v>164.04</v>
      </c>
      <c r="M1845" s="19">
        <v>115.4</v>
      </c>
      <c r="N1845" s="13">
        <v>0</v>
      </c>
      <c r="O1845" s="17">
        <f t="shared" si="115"/>
        <v>492.12</v>
      </c>
      <c r="P1845" s="17">
        <f t="shared" si="112"/>
        <v>346.20000000000005</v>
      </c>
      <c r="Q1845" s="17">
        <f t="shared" si="113"/>
        <v>145.91999999999996</v>
      </c>
      <c r="R1845" s="24">
        <f t="shared" si="114"/>
        <v>0.29651304559863439</v>
      </c>
      <c r="S1845" t="s">
        <v>101</v>
      </c>
      <c r="T1845" t="s">
        <v>64</v>
      </c>
    </row>
    <row r="1846" spans="1:20" hidden="1">
      <c r="A1846" t="s">
        <v>1913</v>
      </c>
      <c r="B1846" s="5">
        <v>45461</v>
      </c>
      <c r="C1846" s="8">
        <f>YEAR(Tabla2[[#This Row],[fecha]])</f>
        <v>2024</v>
      </c>
      <c r="D1846" s="8">
        <f>MONTH(Tabla2[[#This Row],[fecha]])</f>
        <v>6</v>
      </c>
      <c r="E1846" s="8" t="str">
        <f>TEXT(Tabla2[[#This Row],[fecha]], "mmmm")</f>
        <v>junio</v>
      </c>
      <c r="F1846" s="8" t="str">
        <f>"T"&amp;ROUNDUP(Tabla2[[#This Row],[mes]]/3,0)</f>
        <v>T2</v>
      </c>
      <c r="G1846" t="s">
        <v>45</v>
      </c>
      <c r="H1846" t="s">
        <v>46</v>
      </c>
      <c r="I1846" s="8" t="str">
        <f>IF(Tabla2[[#This Row],[precio_unitario]]&lt;=30,"Económico",IF(Tabla2[[#This Row],[precio_unitario]]&lt;=58.49,"Accesible","Caro"))</f>
        <v>Accesible</v>
      </c>
      <c r="J1846" t="s">
        <v>44</v>
      </c>
      <c r="K1846">
        <v>2</v>
      </c>
      <c r="L1846" s="19">
        <v>31.1</v>
      </c>
      <c r="M1846" s="21">
        <f>INDEX(Tabla3[coste_objetivo], MATCH(Tabla2[[#This Row],[id_producto]], Tabla3[id_producto],0))</f>
        <v>17.309999999999999</v>
      </c>
      <c r="N1846" s="11">
        <v>0.13</v>
      </c>
      <c r="O1846" s="17">
        <f t="shared" si="115"/>
        <v>54.114000000000004</v>
      </c>
      <c r="P1846" s="17">
        <f t="shared" si="112"/>
        <v>34.619999999999997</v>
      </c>
      <c r="Q1846" s="17">
        <f t="shared" si="113"/>
        <v>19.494000000000007</v>
      </c>
      <c r="R1846" s="24">
        <f t="shared" si="114"/>
        <v>0.36023949440070974</v>
      </c>
      <c r="S1846" t="s">
        <v>67</v>
      </c>
      <c r="T1846" t="s">
        <v>64</v>
      </c>
    </row>
    <row r="1847" spans="1:20" hidden="1">
      <c r="A1847" t="s">
        <v>1914</v>
      </c>
      <c r="B1847" s="5">
        <v>45494</v>
      </c>
      <c r="C1847" s="8">
        <f>YEAR(Tabla2[[#This Row],[fecha]])</f>
        <v>2024</v>
      </c>
      <c r="D1847" s="8">
        <f>MONTH(Tabla2[[#This Row],[fecha]])</f>
        <v>7</v>
      </c>
      <c r="E1847" s="8" t="str">
        <f>TEXT(Tabla2[[#This Row],[fecha]], "mmmm")</f>
        <v>julio</v>
      </c>
      <c r="F1847" s="8" t="str">
        <f>"T"&amp;ROUNDUP(Tabla2[[#This Row],[mes]]/3,0)</f>
        <v>T3</v>
      </c>
      <c r="G1847" t="s">
        <v>20</v>
      </c>
      <c r="H1847" t="s">
        <v>21</v>
      </c>
      <c r="I1847" s="8" t="str">
        <f>IF(Tabla2[[#This Row],[precio_unitario]]&lt;=30,"Económico",IF(Tabla2[[#This Row],[precio_unitario]]&lt;=58.49,"Accesible","Caro"))</f>
        <v>Económico</v>
      </c>
      <c r="J1847" t="s">
        <v>17</v>
      </c>
      <c r="K1847">
        <v>4</v>
      </c>
      <c r="L1847" s="19">
        <v>19.079999999999998</v>
      </c>
      <c r="M1847" s="19">
        <v>13.17</v>
      </c>
      <c r="N1847" s="11">
        <v>0</v>
      </c>
      <c r="O1847" s="17">
        <f t="shared" si="115"/>
        <v>76.319999999999993</v>
      </c>
      <c r="P1847" s="17">
        <f t="shared" si="112"/>
        <v>52.68</v>
      </c>
      <c r="Q1847" s="17">
        <f t="shared" si="113"/>
        <v>23.639999999999993</v>
      </c>
      <c r="R1847" s="24">
        <f t="shared" si="114"/>
        <v>0.30974842767295591</v>
      </c>
      <c r="S1847" t="s">
        <v>63</v>
      </c>
      <c r="T1847" t="s">
        <v>60</v>
      </c>
    </row>
    <row r="1848" spans="1:20" hidden="1">
      <c r="A1848" t="s">
        <v>1915</v>
      </c>
      <c r="B1848" s="5">
        <v>45392</v>
      </c>
      <c r="C1848" s="8">
        <f>YEAR(Tabla2[[#This Row],[fecha]])</f>
        <v>2024</v>
      </c>
      <c r="D1848" s="8">
        <f>MONTH(Tabla2[[#This Row],[fecha]])</f>
        <v>4</v>
      </c>
      <c r="E1848" s="8" t="str">
        <f>TEXT(Tabla2[[#This Row],[fecha]], "mmmm")</f>
        <v>abril</v>
      </c>
      <c r="F1848" s="8" t="str">
        <f>"T"&amp;ROUNDUP(Tabla2[[#This Row],[mes]]/3,0)</f>
        <v>T2</v>
      </c>
      <c r="G1848" t="s">
        <v>15</v>
      </c>
      <c r="H1848" t="s">
        <v>16</v>
      </c>
      <c r="I1848" s="8" t="str">
        <f>IF(Tabla2[[#This Row],[precio_unitario]]&lt;=30,"Económico",IF(Tabla2[[#This Row],[precio_unitario]]&lt;=58.49,"Accesible","Caro"))</f>
        <v>Caro</v>
      </c>
      <c r="J1848" t="s">
        <v>17</v>
      </c>
      <c r="K1848">
        <v>2</v>
      </c>
      <c r="L1848" s="19">
        <v>60.31</v>
      </c>
      <c r="M1848" s="19">
        <v>40.340000000000003</v>
      </c>
      <c r="N1848" s="11">
        <v>0</v>
      </c>
      <c r="O1848" s="17">
        <f t="shared" si="115"/>
        <v>120.62</v>
      </c>
      <c r="P1848" s="17">
        <f t="shared" si="112"/>
        <v>80.680000000000007</v>
      </c>
      <c r="Q1848" s="17">
        <f t="shared" si="113"/>
        <v>39.94</v>
      </c>
      <c r="R1848" s="24">
        <f t="shared" si="114"/>
        <v>0.33112253357652127</v>
      </c>
      <c r="S1848" t="s">
        <v>83</v>
      </c>
      <c r="T1848" t="s">
        <v>64</v>
      </c>
    </row>
    <row r="1849" spans="1:20" hidden="1">
      <c r="A1849" t="s">
        <v>1916</v>
      </c>
      <c r="B1849" s="5">
        <v>45513</v>
      </c>
      <c r="C1849" s="8">
        <f>YEAR(Tabla2[[#This Row],[fecha]])</f>
        <v>2024</v>
      </c>
      <c r="D1849" s="8">
        <f>MONTH(Tabla2[[#This Row],[fecha]])</f>
        <v>8</v>
      </c>
      <c r="E1849" s="8" t="str">
        <f>TEXT(Tabla2[[#This Row],[fecha]], "mmmm")</f>
        <v>agosto</v>
      </c>
      <c r="F1849" s="8" t="str">
        <f>"T"&amp;ROUNDUP(Tabla2[[#This Row],[mes]]/3,0)</f>
        <v>T3</v>
      </c>
      <c r="G1849" t="s">
        <v>45</v>
      </c>
      <c r="H1849" t="s">
        <v>46</v>
      </c>
      <c r="I1849" s="8" t="str">
        <f>IF(Tabla2[[#This Row],[precio_unitario]]&lt;=30,"Económico",IF(Tabla2[[#This Row],[precio_unitario]]&lt;=58.49,"Accesible","Caro"))</f>
        <v>Accesible</v>
      </c>
      <c r="J1849" t="s">
        <v>44</v>
      </c>
      <c r="K1849">
        <v>4</v>
      </c>
      <c r="L1849" s="19">
        <v>31.71</v>
      </c>
      <c r="M1849" s="19">
        <v>17.59</v>
      </c>
      <c r="N1849" s="11">
        <v>0.22</v>
      </c>
      <c r="O1849" s="17">
        <f t="shared" si="115"/>
        <v>98.935200000000009</v>
      </c>
      <c r="P1849" s="17">
        <f t="shared" si="112"/>
        <v>70.36</v>
      </c>
      <c r="Q1849" s="17">
        <f t="shared" si="113"/>
        <v>28.575200000000009</v>
      </c>
      <c r="R1849" s="24">
        <f t="shared" si="114"/>
        <v>0.28882743452279885</v>
      </c>
      <c r="S1849" t="s">
        <v>540</v>
      </c>
      <c r="T1849" t="s">
        <v>60</v>
      </c>
    </row>
    <row r="1850" spans="1:20" hidden="1">
      <c r="A1850" t="s">
        <v>1917</v>
      </c>
      <c r="B1850" s="5">
        <v>45474</v>
      </c>
      <c r="C1850" s="8">
        <f>YEAR(Tabla2[[#This Row],[fecha]])</f>
        <v>2024</v>
      </c>
      <c r="D1850" s="8">
        <f>MONTH(Tabla2[[#This Row],[fecha]])</f>
        <v>7</v>
      </c>
      <c r="E1850" s="8" t="str">
        <f>TEXT(Tabla2[[#This Row],[fecha]], "mmmm")</f>
        <v>julio</v>
      </c>
      <c r="F1850" s="8" t="str">
        <f>"T"&amp;ROUNDUP(Tabla2[[#This Row],[mes]]/3,0)</f>
        <v>T3</v>
      </c>
      <c r="G1850" t="s">
        <v>24</v>
      </c>
      <c r="H1850" t="s">
        <v>25</v>
      </c>
      <c r="I1850" s="8" t="str">
        <f>IF(Tabla2[[#This Row],[precio_unitario]]&lt;=30,"Económico",IF(Tabla2[[#This Row],[precio_unitario]]&lt;=58.49,"Accesible","Caro"))</f>
        <v>Económico</v>
      </c>
      <c r="J1850" t="s">
        <v>26</v>
      </c>
      <c r="K1850">
        <v>1</v>
      </c>
      <c r="L1850" s="19">
        <v>7.66</v>
      </c>
      <c r="M1850" s="19">
        <v>4.4400000000000004</v>
      </c>
      <c r="N1850" s="11">
        <v>0</v>
      </c>
      <c r="O1850" s="17">
        <f t="shared" si="115"/>
        <v>7.66</v>
      </c>
      <c r="P1850" s="17">
        <f t="shared" si="112"/>
        <v>4.4400000000000004</v>
      </c>
      <c r="Q1850" s="17">
        <f t="shared" si="113"/>
        <v>3.2199999999999998</v>
      </c>
      <c r="R1850" s="24">
        <f t="shared" si="114"/>
        <v>0.42036553524804171</v>
      </c>
      <c r="S1850" t="s">
        <v>83</v>
      </c>
      <c r="T1850" t="s">
        <v>64</v>
      </c>
    </row>
    <row r="1851" spans="1:20" hidden="1">
      <c r="A1851" t="s">
        <v>1918</v>
      </c>
      <c r="B1851" s="5">
        <v>45601</v>
      </c>
      <c r="C1851" s="8">
        <f>YEAR(Tabla2[[#This Row],[fecha]])</f>
        <v>2024</v>
      </c>
      <c r="D1851" s="8">
        <f>MONTH(Tabla2[[#This Row],[fecha]])</f>
        <v>11</v>
      </c>
      <c r="E1851" s="8" t="str">
        <f>TEXT(Tabla2[[#This Row],[fecha]], "mmmm")</f>
        <v>noviembre</v>
      </c>
      <c r="F1851" s="8" t="str">
        <f>"T"&amp;ROUNDUP(Tabla2[[#This Row],[mes]]/3,0)</f>
        <v>T4</v>
      </c>
      <c r="G1851" t="s">
        <v>9</v>
      </c>
      <c r="H1851" t="s">
        <v>10</v>
      </c>
      <c r="I1851" s="8" t="str">
        <f>IF(Tabla2[[#This Row],[precio_unitario]]&lt;=30,"Económico",IF(Tabla2[[#This Row],[precio_unitario]]&lt;=58.49,"Accesible","Caro"))</f>
        <v>Caro</v>
      </c>
      <c r="J1851" t="s">
        <v>8</v>
      </c>
      <c r="K1851">
        <v>1</v>
      </c>
      <c r="L1851" s="19">
        <v>69.650000000000006</v>
      </c>
      <c r="M1851" s="19">
        <v>47.75</v>
      </c>
      <c r="N1851" s="13">
        <v>0</v>
      </c>
      <c r="O1851" s="17">
        <f t="shared" si="115"/>
        <v>69.650000000000006</v>
      </c>
      <c r="P1851" s="17">
        <f t="shared" si="112"/>
        <v>47.75</v>
      </c>
      <c r="Q1851" s="17">
        <f t="shared" si="113"/>
        <v>21.900000000000006</v>
      </c>
      <c r="R1851" s="24">
        <f t="shared" si="114"/>
        <v>0.31442928930366121</v>
      </c>
      <c r="S1851" t="s">
        <v>67</v>
      </c>
      <c r="T1851" t="s">
        <v>64</v>
      </c>
    </row>
    <row r="1852" spans="1:20" hidden="1">
      <c r="A1852" t="s">
        <v>1919</v>
      </c>
      <c r="B1852" s="5">
        <v>45429</v>
      </c>
      <c r="C1852" s="8">
        <f>YEAR(Tabla2[[#This Row],[fecha]])</f>
        <v>2024</v>
      </c>
      <c r="D1852" s="8">
        <f>MONTH(Tabla2[[#This Row],[fecha]])</f>
        <v>5</v>
      </c>
      <c r="E1852" s="8" t="str">
        <f>TEXT(Tabla2[[#This Row],[fecha]], "mmmm")</f>
        <v>mayo</v>
      </c>
      <c r="F1852" s="8" t="str">
        <f>"T"&amp;ROUNDUP(Tabla2[[#This Row],[mes]]/3,0)</f>
        <v>T2</v>
      </c>
      <c r="G1852" t="s">
        <v>27</v>
      </c>
      <c r="H1852" t="s">
        <v>28</v>
      </c>
      <c r="I1852" s="8" t="str">
        <f>IF(Tabla2[[#This Row],[precio_unitario]]&lt;=30,"Económico",IF(Tabla2[[#This Row],[precio_unitario]]&lt;=58.49,"Accesible","Caro"))</f>
        <v>Económico</v>
      </c>
      <c r="J1852" t="s">
        <v>26</v>
      </c>
      <c r="K1852">
        <v>2</v>
      </c>
      <c r="L1852" s="19">
        <v>16.77</v>
      </c>
      <c r="M1852" s="19">
        <v>11.84</v>
      </c>
      <c r="N1852" s="11">
        <v>0</v>
      </c>
      <c r="O1852" s="17">
        <f t="shared" si="115"/>
        <v>33.54</v>
      </c>
      <c r="P1852" s="17">
        <f t="shared" si="112"/>
        <v>23.68</v>
      </c>
      <c r="Q1852" s="17">
        <f t="shared" si="113"/>
        <v>9.86</v>
      </c>
      <c r="R1852" s="24">
        <f t="shared" si="114"/>
        <v>0.2939773404889684</v>
      </c>
      <c r="S1852" t="s">
        <v>540</v>
      </c>
      <c r="T1852" t="s">
        <v>64</v>
      </c>
    </row>
    <row r="1853" spans="1:20" hidden="1">
      <c r="A1853" t="s">
        <v>1920</v>
      </c>
      <c r="B1853" s="5">
        <v>45980</v>
      </c>
      <c r="C1853" s="8">
        <f>YEAR(Tabla2[[#This Row],[fecha]])</f>
        <v>2025</v>
      </c>
      <c r="D1853" s="8">
        <f>MONTH(Tabla2[[#This Row],[fecha]])</f>
        <v>11</v>
      </c>
      <c r="E1853" s="8" t="str">
        <f>TEXT(Tabla2[[#This Row],[fecha]], "mmmm")</f>
        <v>noviembre</v>
      </c>
      <c r="F1853" s="8" t="str">
        <f>"T"&amp;ROUNDUP(Tabla2[[#This Row],[mes]]/3,0)</f>
        <v>T4</v>
      </c>
      <c r="G1853" t="s">
        <v>22</v>
      </c>
      <c r="H1853" t="s">
        <v>23</v>
      </c>
      <c r="I1853" s="8" t="str">
        <f>IF(Tabla2[[#This Row],[precio_unitario]]&lt;=30,"Económico",IF(Tabla2[[#This Row],[precio_unitario]]&lt;=58.49,"Accesible","Caro"))</f>
        <v>Caro</v>
      </c>
      <c r="J1853" t="s">
        <v>17</v>
      </c>
      <c r="K1853">
        <v>2</v>
      </c>
      <c r="L1853" s="19">
        <v>97.36</v>
      </c>
      <c r="M1853" s="19">
        <v>57.74</v>
      </c>
      <c r="N1853" s="11">
        <v>0</v>
      </c>
      <c r="O1853" s="17">
        <f t="shared" si="115"/>
        <v>194.72</v>
      </c>
      <c r="P1853" s="17">
        <f t="shared" si="112"/>
        <v>115.48</v>
      </c>
      <c r="Q1853" s="17">
        <f t="shared" si="113"/>
        <v>79.239999999999995</v>
      </c>
      <c r="R1853" s="24">
        <f t="shared" si="114"/>
        <v>0.40694330320460148</v>
      </c>
      <c r="S1853" t="s">
        <v>83</v>
      </c>
      <c r="T1853" t="s">
        <v>60</v>
      </c>
    </row>
    <row r="1854" spans="1:20" hidden="1">
      <c r="A1854" t="s">
        <v>1921</v>
      </c>
      <c r="B1854" s="5">
        <v>45998</v>
      </c>
      <c r="C1854" s="8">
        <f>YEAR(Tabla2[[#This Row],[fecha]])</f>
        <v>2025</v>
      </c>
      <c r="D1854" s="8">
        <f>MONTH(Tabla2[[#This Row],[fecha]])</f>
        <v>12</v>
      </c>
      <c r="E1854" s="8" t="str">
        <f>TEXT(Tabla2[[#This Row],[fecha]], "mmmm")</f>
        <v>diciembre</v>
      </c>
      <c r="F1854" s="8" t="str">
        <f>"T"&amp;ROUNDUP(Tabla2[[#This Row],[mes]]/3,0)</f>
        <v>T4</v>
      </c>
      <c r="G1854" t="s">
        <v>27</v>
      </c>
      <c r="H1854" t="s">
        <v>28</v>
      </c>
      <c r="I1854" s="8" t="str">
        <f>IF(Tabla2[[#This Row],[precio_unitario]]&lt;=30,"Económico",IF(Tabla2[[#This Row],[precio_unitario]]&lt;=58.49,"Accesible","Caro"))</f>
        <v>Económico</v>
      </c>
      <c r="J1854" t="s">
        <v>26</v>
      </c>
      <c r="K1854">
        <v>1</v>
      </c>
      <c r="L1854" s="19">
        <v>16.510000000000002</v>
      </c>
      <c r="M1854" s="19">
        <v>11.88</v>
      </c>
      <c r="N1854" s="11">
        <v>0</v>
      </c>
      <c r="O1854" s="17">
        <f t="shared" si="115"/>
        <v>16.510000000000002</v>
      </c>
      <c r="P1854" s="17">
        <f t="shared" si="112"/>
        <v>11.88</v>
      </c>
      <c r="Q1854" s="17">
        <f t="shared" si="113"/>
        <v>4.6300000000000008</v>
      </c>
      <c r="R1854" s="24">
        <f t="shared" si="114"/>
        <v>0.28043609933373714</v>
      </c>
      <c r="S1854" s="10" t="s">
        <v>2377</v>
      </c>
      <c r="T1854" t="s">
        <v>64</v>
      </c>
    </row>
    <row r="1855" spans="1:20" hidden="1">
      <c r="A1855" t="s">
        <v>1922</v>
      </c>
      <c r="B1855" s="5">
        <v>45294</v>
      </c>
      <c r="C1855" s="8">
        <f>YEAR(Tabla2[[#This Row],[fecha]])</f>
        <v>2024</v>
      </c>
      <c r="D1855" s="8">
        <f>MONTH(Tabla2[[#This Row],[fecha]])</f>
        <v>1</v>
      </c>
      <c r="E1855" s="8" t="str">
        <f>TEXT(Tabla2[[#This Row],[fecha]], "mmmm")</f>
        <v>enero</v>
      </c>
      <c r="F1855" s="8" t="str">
        <f>"T"&amp;ROUNDUP(Tabla2[[#This Row],[mes]]/3,0)</f>
        <v>T1</v>
      </c>
      <c r="G1855" t="s">
        <v>15</v>
      </c>
      <c r="H1855" t="s">
        <v>16</v>
      </c>
      <c r="I1855" s="8" t="str">
        <f>IF(Tabla2[[#This Row],[precio_unitario]]&lt;=30,"Económico",IF(Tabla2[[#This Row],[precio_unitario]]&lt;=58.49,"Accesible","Caro"))</f>
        <v>Accesible</v>
      </c>
      <c r="J1855" t="s">
        <v>17</v>
      </c>
      <c r="K1855">
        <v>8</v>
      </c>
      <c r="L1855" s="19">
        <v>55.07</v>
      </c>
      <c r="M1855" s="19">
        <v>42.13</v>
      </c>
      <c r="N1855" s="11">
        <v>0.15</v>
      </c>
      <c r="O1855" s="17">
        <f t="shared" si="115"/>
        <v>374.476</v>
      </c>
      <c r="P1855" s="17">
        <f t="shared" si="112"/>
        <v>337.04</v>
      </c>
      <c r="Q1855" s="17">
        <f t="shared" si="113"/>
        <v>37.435999999999979</v>
      </c>
      <c r="R1855" s="24">
        <f t="shared" si="114"/>
        <v>9.9969023382005737E-2</v>
      </c>
      <c r="S1855" t="s">
        <v>96</v>
      </c>
      <c r="T1855" t="s">
        <v>60</v>
      </c>
    </row>
    <row r="1856" spans="1:20" hidden="1">
      <c r="A1856" t="s">
        <v>1923</v>
      </c>
      <c r="B1856" s="5">
        <v>45511</v>
      </c>
      <c r="C1856" s="8">
        <f>YEAR(Tabla2[[#This Row],[fecha]])</f>
        <v>2024</v>
      </c>
      <c r="D1856" s="8">
        <f>MONTH(Tabla2[[#This Row],[fecha]])</f>
        <v>8</v>
      </c>
      <c r="E1856" s="8" t="str">
        <f>TEXT(Tabla2[[#This Row],[fecha]], "mmmm")</f>
        <v>agosto</v>
      </c>
      <c r="F1856" s="8" t="str">
        <f>"T"&amp;ROUNDUP(Tabla2[[#This Row],[mes]]/3,0)</f>
        <v>T3</v>
      </c>
      <c r="G1856" t="s">
        <v>20</v>
      </c>
      <c r="H1856" t="s">
        <v>21</v>
      </c>
      <c r="I1856" s="8" t="str">
        <f>IF(Tabla2[[#This Row],[precio_unitario]]&lt;=30,"Económico",IF(Tabla2[[#This Row],[precio_unitario]]&lt;=58.49,"Accesible","Caro"))</f>
        <v>Económico</v>
      </c>
      <c r="J1856" t="s">
        <v>17</v>
      </c>
      <c r="K1856">
        <v>5</v>
      </c>
      <c r="L1856" s="19">
        <v>20.28</v>
      </c>
      <c r="M1856" s="19">
        <v>13.39</v>
      </c>
      <c r="N1856" s="11">
        <v>0</v>
      </c>
      <c r="O1856" s="17">
        <f t="shared" si="115"/>
        <v>101.4</v>
      </c>
      <c r="P1856" s="17">
        <f t="shared" si="112"/>
        <v>66.95</v>
      </c>
      <c r="Q1856" s="17">
        <f t="shared" si="113"/>
        <v>34.450000000000003</v>
      </c>
      <c r="R1856" s="24">
        <f t="shared" si="114"/>
        <v>0.33974358974358976</v>
      </c>
      <c r="S1856" t="s">
        <v>63</v>
      </c>
      <c r="T1856" t="s">
        <v>60</v>
      </c>
    </row>
    <row r="1857" spans="1:20" hidden="1">
      <c r="A1857" t="s">
        <v>1924</v>
      </c>
      <c r="B1857" s="5">
        <v>45350</v>
      </c>
      <c r="C1857" s="8">
        <f>YEAR(Tabla2[[#This Row],[fecha]])</f>
        <v>2024</v>
      </c>
      <c r="D1857" s="8">
        <f>MONTH(Tabla2[[#This Row],[fecha]])</f>
        <v>2</v>
      </c>
      <c r="E1857" s="8" t="str">
        <f>TEXT(Tabla2[[#This Row],[fecha]], "mmmm")</f>
        <v>febrero</v>
      </c>
      <c r="F1857" s="8" t="str">
        <f>"T"&amp;ROUNDUP(Tabla2[[#This Row],[mes]]/3,0)</f>
        <v>T1</v>
      </c>
      <c r="G1857" t="s">
        <v>33</v>
      </c>
      <c r="H1857" t="s">
        <v>34</v>
      </c>
      <c r="I1857" s="8" t="str">
        <f>IF(Tabla2[[#This Row],[precio_unitario]]&lt;=30,"Económico",IF(Tabla2[[#This Row],[precio_unitario]]&lt;=58.49,"Accesible","Caro"))</f>
        <v>Caro</v>
      </c>
      <c r="J1857" t="s">
        <v>35</v>
      </c>
      <c r="K1857">
        <v>4</v>
      </c>
      <c r="L1857" s="19">
        <v>73.260000000000005</v>
      </c>
      <c r="M1857" s="19">
        <v>48.36</v>
      </c>
      <c r="N1857" s="11">
        <v>0</v>
      </c>
      <c r="O1857" s="17">
        <f t="shared" si="115"/>
        <v>293.04000000000002</v>
      </c>
      <c r="P1857" s="17">
        <f t="shared" si="112"/>
        <v>193.44</v>
      </c>
      <c r="Q1857" s="17">
        <f t="shared" si="113"/>
        <v>99.600000000000023</v>
      </c>
      <c r="R1857" s="24">
        <f t="shared" si="114"/>
        <v>0.33988533988533992</v>
      </c>
      <c r="S1857" t="s">
        <v>67</v>
      </c>
      <c r="T1857" t="s">
        <v>64</v>
      </c>
    </row>
    <row r="1858" spans="1:20" hidden="1">
      <c r="A1858" t="s">
        <v>1925</v>
      </c>
      <c r="B1858" s="5">
        <v>45408</v>
      </c>
      <c r="C1858" s="8">
        <f>YEAR(Tabla2[[#This Row],[fecha]])</f>
        <v>2024</v>
      </c>
      <c r="D1858" s="8">
        <f>MONTH(Tabla2[[#This Row],[fecha]])</f>
        <v>4</v>
      </c>
      <c r="E1858" s="8" t="str">
        <f>TEXT(Tabla2[[#This Row],[fecha]], "mmmm")</f>
        <v>abril</v>
      </c>
      <c r="F1858" s="8" t="str">
        <f>"T"&amp;ROUNDUP(Tabla2[[#This Row],[mes]]/3,0)</f>
        <v>T2</v>
      </c>
      <c r="G1858" t="s">
        <v>42</v>
      </c>
      <c r="H1858" t="s">
        <v>43</v>
      </c>
      <c r="I1858" s="8" t="str">
        <f>IF(Tabla2[[#This Row],[precio_unitario]]&lt;=30,"Económico",IF(Tabla2[[#This Row],[precio_unitario]]&lt;=58.49,"Accesible","Caro"))</f>
        <v>Accesible</v>
      </c>
      <c r="J1858" t="s">
        <v>44</v>
      </c>
      <c r="K1858">
        <v>6</v>
      </c>
      <c r="L1858" s="19">
        <v>46.24</v>
      </c>
      <c r="M1858" s="19">
        <v>22.7</v>
      </c>
      <c r="N1858" s="11">
        <v>0</v>
      </c>
      <c r="O1858" s="17">
        <f t="shared" si="115"/>
        <v>277.44</v>
      </c>
      <c r="P1858" s="17">
        <f t="shared" ref="P1858:P1921" si="116">M1858*K1858</f>
        <v>136.19999999999999</v>
      </c>
      <c r="Q1858" s="17">
        <f t="shared" ref="Q1858:Q1921" si="117">O1858-P1858</f>
        <v>141.24</v>
      </c>
      <c r="R1858" s="24">
        <f t="shared" ref="R1858:R1921" si="118">IFERROR(Q1858/O1858,0)</f>
        <v>0.50908304498269896</v>
      </c>
      <c r="S1858" t="s">
        <v>63</v>
      </c>
      <c r="T1858" t="s">
        <v>64</v>
      </c>
    </row>
    <row r="1859" spans="1:20" hidden="1">
      <c r="A1859" t="s">
        <v>1926</v>
      </c>
      <c r="B1859" s="5">
        <v>45955</v>
      </c>
      <c r="C1859" s="8">
        <f>YEAR(Tabla2[[#This Row],[fecha]])</f>
        <v>2025</v>
      </c>
      <c r="D1859" s="8">
        <f>MONTH(Tabla2[[#This Row],[fecha]])</f>
        <v>10</v>
      </c>
      <c r="E1859" s="8" t="str">
        <f>TEXT(Tabla2[[#This Row],[fecha]], "mmmm")</f>
        <v>octubre</v>
      </c>
      <c r="F1859" s="8" t="str">
        <f>"T"&amp;ROUNDUP(Tabla2[[#This Row],[mes]]/3,0)</f>
        <v>T4</v>
      </c>
      <c r="G1859" t="s">
        <v>22</v>
      </c>
      <c r="H1859" t="s">
        <v>23</v>
      </c>
      <c r="I1859" s="8" t="str">
        <f>IF(Tabla2[[#This Row],[precio_unitario]]&lt;=30,"Económico",IF(Tabla2[[#This Row],[precio_unitario]]&lt;=58.49,"Accesible","Caro"))</f>
        <v>Caro</v>
      </c>
      <c r="J1859" t="s">
        <v>17</v>
      </c>
      <c r="K1859">
        <v>4</v>
      </c>
      <c r="L1859" s="19">
        <v>101.95</v>
      </c>
      <c r="M1859" s="19">
        <v>57.87</v>
      </c>
      <c r="N1859" s="11">
        <v>0</v>
      </c>
      <c r="O1859" s="17">
        <f t="shared" ref="O1859:O1922" si="119">K1859*L1859*(1-N1859)</f>
        <v>407.8</v>
      </c>
      <c r="P1859" s="17">
        <f t="shared" si="116"/>
        <v>231.48</v>
      </c>
      <c r="Q1859" s="17">
        <f t="shared" si="117"/>
        <v>176.32000000000002</v>
      </c>
      <c r="R1859" s="24">
        <f t="shared" si="118"/>
        <v>0.43236880823933305</v>
      </c>
      <c r="S1859" t="s">
        <v>101</v>
      </c>
      <c r="T1859" t="s">
        <v>60</v>
      </c>
    </row>
    <row r="1860" spans="1:20">
      <c r="A1860" t="s">
        <v>1927</v>
      </c>
      <c r="B1860" s="5">
        <v>45884</v>
      </c>
      <c r="C1860" s="8">
        <f>YEAR(Tabla2[[#This Row],[fecha]])</f>
        <v>2025</v>
      </c>
      <c r="D1860" s="8">
        <f>MONTH(Tabla2[[#This Row],[fecha]])</f>
        <v>8</v>
      </c>
      <c r="E1860" s="8" t="str">
        <f>TEXT(Tabla2[[#This Row],[fecha]], "mmmm")</f>
        <v>agosto</v>
      </c>
      <c r="F1860" s="8" t="str">
        <f>"T"&amp;ROUNDUP(Tabla2[[#This Row],[mes]]/3,0)</f>
        <v>T3</v>
      </c>
      <c r="G1860" t="s">
        <v>29</v>
      </c>
      <c r="H1860" t="s">
        <v>30</v>
      </c>
      <c r="I1860" s="8" t="str">
        <f>IF(Tabla2[[#This Row],[precio_unitario]]&lt;=30,"Económico",IF(Tabla2[[#This Row],[precio_unitario]]&lt;=58.49,"Accesible","Caro"))</f>
        <v>Económico</v>
      </c>
      <c r="J1860" t="s">
        <v>26</v>
      </c>
      <c r="K1860">
        <v>1</v>
      </c>
      <c r="L1860" s="19">
        <v>20.48</v>
      </c>
      <c r="M1860" s="19">
        <v>11.18</v>
      </c>
      <c r="N1860" s="11">
        <v>0</v>
      </c>
      <c r="O1860" s="17">
        <f t="shared" si="119"/>
        <v>20.48</v>
      </c>
      <c r="P1860" s="17">
        <f t="shared" si="116"/>
        <v>11.18</v>
      </c>
      <c r="Q1860" s="17">
        <f t="shared" si="117"/>
        <v>9.3000000000000007</v>
      </c>
      <c r="R1860" s="24">
        <f t="shared" si="118"/>
        <v>0.4541015625</v>
      </c>
      <c r="S1860" t="s">
        <v>67</v>
      </c>
      <c r="T1860" t="s">
        <v>64</v>
      </c>
    </row>
    <row r="1861" spans="1:20" hidden="1">
      <c r="A1861" t="s">
        <v>1928</v>
      </c>
      <c r="B1861" s="5">
        <v>45888</v>
      </c>
      <c r="C1861" s="8">
        <f>YEAR(Tabla2[[#This Row],[fecha]])</f>
        <v>2025</v>
      </c>
      <c r="D1861" s="8">
        <f>MONTH(Tabla2[[#This Row],[fecha]])</f>
        <v>8</v>
      </c>
      <c r="E1861" s="8" t="str">
        <f>TEXT(Tabla2[[#This Row],[fecha]], "mmmm")</f>
        <v>agosto</v>
      </c>
      <c r="F1861" s="8" t="str">
        <f>"T"&amp;ROUNDUP(Tabla2[[#This Row],[mes]]/3,0)</f>
        <v>T3</v>
      </c>
      <c r="G1861" t="s">
        <v>22</v>
      </c>
      <c r="H1861" t="s">
        <v>23</v>
      </c>
      <c r="I1861" s="8" t="str">
        <f>IF(Tabla2[[#This Row],[precio_unitario]]&lt;=30,"Económico",IF(Tabla2[[#This Row],[precio_unitario]]&lt;=58.49,"Accesible","Caro"))</f>
        <v>Caro</v>
      </c>
      <c r="J1861" t="s">
        <v>17</v>
      </c>
      <c r="K1861">
        <v>1</v>
      </c>
      <c r="L1861" s="19">
        <v>102.77</v>
      </c>
      <c r="M1861" s="19">
        <v>59.36</v>
      </c>
      <c r="N1861" s="11">
        <v>0</v>
      </c>
      <c r="O1861" s="17">
        <f t="shared" si="119"/>
        <v>102.77</v>
      </c>
      <c r="P1861" s="17">
        <f t="shared" si="116"/>
        <v>59.36</v>
      </c>
      <c r="Q1861" s="17">
        <f t="shared" si="117"/>
        <v>43.41</v>
      </c>
      <c r="R1861" s="24">
        <f t="shared" si="118"/>
        <v>0.42239953293762772</v>
      </c>
      <c r="S1861" t="s">
        <v>540</v>
      </c>
      <c r="T1861" t="s">
        <v>60</v>
      </c>
    </row>
    <row r="1862" spans="1:20" hidden="1">
      <c r="A1862" t="s">
        <v>1929</v>
      </c>
      <c r="B1862" s="5">
        <v>45637</v>
      </c>
      <c r="C1862" s="8">
        <f>YEAR(Tabla2[[#This Row],[fecha]])</f>
        <v>2024</v>
      </c>
      <c r="D1862" s="8">
        <f>MONTH(Tabla2[[#This Row],[fecha]])</f>
        <v>12</v>
      </c>
      <c r="E1862" s="8" t="str">
        <f>TEXT(Tabla2[[#This Row],[fecha]], "mmmm")</f>
        <v>diciembre</v>
      </c>
      <c r="F1862" s="8" t="str">
        <f>"T"&amp;ROUNDUP(Tabla2[[#This Row],[mes]]/3,0)</f>
        <v>T4</v>
      </c>
      <c r="G1862" t="s">
        <v>9</v>
      </c>
      <c r="H1862" t="s">
        <v>10</v>
      </c>
      <c r="I1862" s="8" t="str">
        <f>IF(Tabla2[[#This Row],[precio_unitario]]&lt;=30,"Económico",IF(Tabla2[[#This Row],[precio_unitario]]&lt;=58.49,"Accesible","Caro"))</f>
        <v>Caro</v>
      </c>
      <c r="J1862" t="s">
        <v>8</v>
      </c>
      <c r="K1862">
        <v>1</v>
      </c>
      <c r="L1862" s="19">
        <v>76.44</v>
      </c>
      <c r="M1862" s="19">
        <v>46.17</v>
      </c>
      <c r="N1862" s="11">
        <v>0</v>
      </c>
      <c r="O1862" s="17">
        <f t="shared" si="119"/>
        <v>76.44</v>
      </c>
      <c r="P1862" s="17">
        <f t="shared" si="116"/>
        <v>46.17</v>
      </c>
      <c r="Q1862" s="17">
        <f t="shared" si="117"/>
        <v>30.269999999999996</v>
      </c>
      <c r="R1862" s="24">
        <f t="shared" si="118"/>
        <v>0.39599686028257453</v>
      </c>
      <c r="S1862" t="s">
        <v>83</v>
      </c>
      <c r="T1862" t="s">
        <v>60</v>
      </c>
    </row>
    <row r="1863" spans="1:20">
      <c r="A1863" t="s">
        <v>1930</v>
      </c>
      <c r="B1863" s="5">
        <v>45762</v>
      </c>
      <c r="C1863" s="8">
        <f>YEAR(Tabla2[[#This Row],[fecha]])</f>
        <v>2025</v>
      </c>
      <c r="D1863" s="8">
        <f>MONTH(Tabla2[[#This Row],[fecha]])</f>
        <v>4</v>
      </c>
      <c r="E1863" s="8" t="str">
        <f>TEXT(Tabla2[[#This Row],[fecha]], "mmmm")</f>
        <v>abril</v>
      </c>
      <c r="F1863" s="8" t="str">
        <f>"T"&amp;ROUNDUP(Tabla2[[#This Row],[mes]]/3,0)</f>
        <v>T2</v>
      </c>
      <c r="G1863" t="s">
        <v>24</v>
      </c>
      <c r="H1863" t="s">
        <v>25</v>
      </c>
      <c r="I1863" s="8" t="str">
        <f>IF(Tabla2[[#This Row],[precio_unitario]]&lt;=30,"Económico",IF(Tabla2[[#This Row],[precio_unitario]]&lt;=58.49,"Accesible","Caro"))</f>
        <v>Económico</v>
      </c>
      <c r="J1863" t="s">
        <v>26</v>
      </c>
      <c r="K1863">
        <v>7</v>
      </c>
      <c r="L1863" s="19">
        <v>8.07</v>
      </c>
      <c r="M1863" s="19">
        <v>4.17</v>
      </c>
      <c r="N1863" s="11">
        <v>0</v>
      </c>
      <c r="O1863" s="17">
        <f t="shared" si="119"/>
        <v>56.49</v>
      </c>
      <c r="P1863" s="17">
        <f t="shared" si="116"/>
        <v>29.189999999999998</v>
      </c>
      <c r="Q1863" s="17">
        <f t="shared" si="117"/>
        <v>27.300000000000004</v>
      </c>
      <c r="R1863" s="24">
        <f t="shared" si="118"/>
        <v>0.48327137546468407</v>
      </c>
      <c r="S1863" t="s">
        <v>67</v>
      </c>
      <c r="T1863" t="s">
        <v>60</v>
      </c>
    </row>
    <row r="1864" spans="1:20" hidden="1">
      <c r="A1864" t="s">
        <v>1931</v>
      </c>
      <c r="B1864" s="5">
        <v>45613</v>
      </c>
      <c r="C1864" s="8">
        <f>YEAR(Tabla2[[#This Row],[fecha]])</f>
        <v>2024</v>
      </c>
      <c r="D1864" s="8">
        <f>MONTH(Tabla2[[#This Row],[fecha]])</f>
        <v>11</v>
      </c>
      <c r="E1864" s="8" t="str">
        <f>TEXT(Tabla2[[#This Row],[fecha]], "mmmm")</f>
        <v>noviembre</v>
      </c>
      <c r="F1864" s="8" t="str">
        <f>"T"&amp;ROUNDUP(Tabla2[[#This Row],[mes]]/3,0)</f>
        <v>T4</v>
      </c>
      <c r="G1864" t="s">
        <v>15</v>
      </c>
      <c r="H1864" t="s">
        <v>16</v>
      </c>
      <c r="I1864" s="8" t="str">
        <f>IF(Tabla2[[#This Row],[precio_unitario]]&lt;=30,"Económico",IF(Tabla2[[#This Row],[precio_unitario]]&lt;=58.49,"Accesible","Caro"))</f>
        <v>Caro</v>
      </c>
      <c r="J1864" t="s">
        <v>17</v>
      </c>
      <c r="K1864">
        <v>1</v>
      </c>
      <c r="L1864" s="19">
        <v>59.34</v>
      </c>
      <c r="M1864" s="19">
        <v>42.39</v>
      </c>
      <c r="N1864" s="11">
        <v>0</v>
      </c>
      <c r="O1864" s="17">
        <f t="shared" si="119"/>
        <v>59.34</v>
      </c>
      <c r="P1864" s="17">
        <f t="shared" si="116"/>
        <v>42.39</v>
      </c>
      <c r="Q1864" s="17">
        <f t="shared" si="117"/>
        <v>16.950000000000003</v>
      </c>
      <c r="R1864" s="24">
        <f t="shared" si="118"/>
        <v>0.28564206268958547</v>
      </c>
      <c r="S1864" t="s">
        <v>67</v>
      </c>
      <c r="T1864" t="s">
        <v>60</v>
      </c>
    </row>
    <row r="1865" spans="1:20" hidden="1">
      <c r="A1865" t="s">
        <v>1932</v>
      </c>
      <c r="B1865" s="5">
        <v>45448</v>
      </c>
      <c r="C1865" s="8">
        <f>YEAR(Tabla2[[#This Row],[fecha]])</f>
        <v>2024</v>
      </c>
      <c r="D1865" s="8">
        <f>MONTH(Tabla2[[#This Row],[fecha]])</f>
        <v>6</v>
      </c>
      <c r="E1865" s="8" t="str">
        <f>TEXT(Tabla2[[#This Row],[fecha]], "mmmm")</f>
        <v>junio</v>
      </c>
      <c r="F1865" s="8" t="str">
        <f>"T"&amp;ROUNDUP(Tabla2[[#This Row],[mes]]/3,0)</f>
        <v>T2</v>
      </c>
      <c r="G1865" t="s">
        <v>42</v>
      </c>
      <c r="H1865" t="s">
        <v>43</v>
      </c>
      <c r="I1865" s="8" t="str">
        <f>IF(Tabla2[[#This Row],[precio_unitario]]&lt;=30,"Económico",IF(Tabla2[[#This Row],[precio_unitario]]&lt;=58.49,"Accesible","Caro"))</f>
        <v>Accesible</v>
      </c>
      <c r="J1865" t="s">
        <v>44</v>
      </c>
      <c r="K1865">
        <v>1</v>
      </c>
      <c r="L1865" s="19">
        <v>48.55</v>
      </c>
      <c r="M1865" s="19">
        <v>23.81</v>
      </c>
      <c r="N1865" s="11">
        <v>0.27</v>
      </c>
      <c r="O1865" s="17">
        <f t="shared" si="119"/>
        <v>35.441499999999998</v>
      </c>
      <c r="P1865" s="17">
        <f t="shared" si="116"/>
        <v>23.81</v>
      </c>
      <c r="Q1865" s="17">
        <f t="shared" si="117"/>
        <v>11.631499999999999</v>
      </c>
      <c r="R1865" s="24">
        <f t="shared" si="118"/>
        <v>0.32818870533132061</v>
      </c>
      <c r="S1865" t="s">
        <v>83</v>
      </c>
      <c r="T1865" t="s">
        <v>60</v>
      </c>
    </row>
    <row r="1866" spans="1:20" hidden="1">
      <c r="A1866" t="s">
        <v>1933</v>
      </c>
      <c r="B1866" s="5">
        <v>45536</v>
      </c>
      <c r="C1866" s="8">
        <f>YEAR(Tabla2[[#This Row],[fecha]])</f>
        <v>2024</v>
      </c>
      <c r="D1866" s="8">
        <f>MONTH(Tabla2[[#This Row],[fecha]])</f>
        <v>9</v>
      </c>
      <c r="E1866" s="8" t="str">
        <f>TEXT(Tabla2[[#This Row],[fecha]], "mmmm")</f>
        <v>septiembre</v>
      </c>
      <c r="F1866" s="8" t="str">
        <f>"T"&amp;ROUNDUP(Tabla2[[#This Row],[mes]]/3,0)</f>
        <v>T3</v>
      </c>
      <c r="G1866" t="s">
        <v>36</v>
      </c>
      <c r="H1866" t="s">
        <v>37</v>
      </c>
      <c r="I1866" s="8" t="str">
        <f>IF(Tabla2[[#This Row],[precio_unitario]]&lt;=30,"Económico",IF(Tabla2[[#This Row],[precio_unitario]]&lt;=58.49,"Accesible","Caro"))</f>
        <v>Económico</v>
      </c>
      <c r="J1866" t="s">
        <v>35</v>
      </c>
      <c r="K1866">
        <v>1</v>
      </c>
      <c r="L1866" s="19">
        <v>14.09</v>
      </c>
      <c r="M1866" s="19">
        <v>10.01</v>
      </c>
      <c r="N1866" s="11">
        <v>0</v>
      </c>
      <c r="O1866" s="17">
        <f t="shared" si="119"/>
        <v>14.09</v>
      </c>
      <c r="P1866" s="17">
        <f t="shared" si="116"/>
        <v>10.01</v>
      </c>
      <c r="Q1866" s="17">
        <f t="shared" si="117"/>
        <v>4.08</v>
      </c>
      <c r="R1866" s="24">
        <f t="shared" si="118"/>
        <v>0.2895670688431512</v>
      </c>
      <c r="S1866" t="s">
        <v>101</v>
      </c>
      <c r="T1866" t="s">
        <v>64</v>
      </c>
    </row>
    <row r="1867" spans="1:20" hidden="1">
      <c r="A1867" t="s">
        <v>1934</v>
      </c>
      <c r="B1867" s="5">
        <v>45397</v>
      </c>
      <c r="C1867" s="8">
        <f>YEAR(Tabla2[[#This Row],[fecha]])</f>
        <v>2024</v>
      </c>
      <c r="D1867" s="8">
        <f>MONTH(Tabla2[[#This Row],[fecha]])</f>
        <v>4</v>
      </c>
      <c r="E1867" s="8" t="str">
        <f>TEXT(Tabla2[[#This Row],[fecha]], "mmmm")</f>
        <v>abril</v>
      </c>
      <c r="F1867" s="8" t="str">
        <f>"T"&amp;ROUNDUP(Tabla2[[#This Row],[mes]]/3,0)</f>
        <v>T2</v>
      </c>
      <c r="G1867" t="s">
        <v>40</v>
      </c>
      <c r="H1867" t="s">
        <v>41</v>
      </c>
      <c r="I1867" s="8" t="str">
        <f>IF(Tabla2[[#This Row],[precio_unitario]]&lt;=30,"Económico",IF(Tabla2[[#This Row],[precio_unitario]]&lt;=58.49,"Accesible","Caro"))</f>
        <v>Caro</v>
      </c>
      <c r="J1867" t="s">
        <v>35</v>
      </c>
      <c r="K1867">
        <v>1</v>
      </c>
      <c r="L1867" s="19">
        <v>76.650000000000006</v>
      </c>
      <c r="M1867" s="19">
        <v>39.75</v>
      </c>
      <c r="N1867" s="13">
        <v>0</v>
      </c>
      <c r="O1867" s="17">
        <f t="shared" si="119"/>
        <v>76.650000000000006</v>
      </c>
      <c r="P1867" s="17">
        <f t="shared" si="116"/>
        <v>39.75</v>
      </c>
      <c r="Q1867" s="17">
        <f t="shared" si="117"/>
        <v>36.900000000000006</v>
      </c>
      <c r="R1867" s="24">
        <f t="shared" si="118"/>
        <v>0.48140900195694719</v>
      </c>
      <c r="S1867" t="s">
        <v>83</v>
      </c>
      <c r="T1867" t="s">
        <v>64</v>
      </c>
    </row>
    <row r="1868" spans="1:20" hidden="1">
      <c r="A1868" t="s">
        <v>1935</v>
      </c>
      <c r="B1868" s="5">
        <v>45523</v>
      </c>
      <c r="C1868" s="8">
        <f>YEAR(Tabla2[[#This Row],[fecha]])</f>
        <v>2024</v>
      </c>
      <c r="D1868" s="8">
        <f>MONTH(Tabla2[[#This Row],[fecha]])</f>
        <v>8</v>
      </c>
      <c r="E1868" s="8" t="str">
        <f>TEXT(Tabla2[[#This Row],[fecha]], "mmmm")</f>
        <v>agosto</v>
      </c>
      <c r="F1868" s="8" t="str">
        <f>"T"&amp;ROUNDUP(Tabla2[[#This Row],[mes]]/3,0)</f>
        <v>T3</v>
      </c>
      <c r="G1868" t="s">
        <v>18</v>
      </c>
      <c r="H1868" t="s">
        <v>19</v>
      </c>
      <c r="I1868" s="8" t="str">
        <f>IF(Tabla2[[#This Row],[precio_unitario]]&lt;=30,"Económico",IF(Tabla2[[#This Row],[precio_unitario]]&lt;=58.49,"Accesible","Caro"))</f>
        <v>Accesible</v>
      </c>
      <c r="J1868" t="s">
        <v>17</v>
      </c>
      <c r="K1868">
        <v>1</v>
      </c>
      <c r="L1868" s="19">
        <v>50.14</v>
      </c>
      <c r="M1868" s="19">
        <v>25.56</v>
      </c>
      <c r="N1868" s="11">
        <v>0</v>
      </c>
      <c r="O1868" s="17">
        <f t="shared" si="119"/>
        <v>50.14</v>
      </c>
      <c r="P1868" s="17">
        <f t="shared" si="116"/>
        <v>25.56</v>
      </c>
      <c r="Q1868" s="17">
        <f t="shared" si="117"/>
        <v>24.580000000000002</v>
      </c>
      <c r="R1868" s="24">
        <f t="shared" si="118"/>
        <v>0.49022736338252892</v>
      </c>
      <c r="S1868" t="s">
        <v>63</v>
      </c>
      <c r="T1868" t="s">
        <v>64</v>
      </c>
    </row>
    <row r="1869" spans="1:20" hidden="1">
      <c r="A1869" t="s">
        <v>1936</v>
      </c>
      <c r="B1869" s="5">
        <v>45430</v>
      </c>
      <c r="C1869" s="8">
        <f>YEAR(Tabla2[[#This Row],[fecha]])</f>
        <v>2024</v>
      </c>
      <c r="D1869" s="8">
        <f>MONTH(Tabla2[[#This Row],[fecha]])</f>
        <v>5</v>
      </c>
      <c r="E1869" s="8" t="str">
        <f>TEXT(Tabla2[[#This Row],[fecha]], "mmmm")</f>
        <v>mayo</v>
      </c>
      <c r="F1869" s="8" t="str">
        <f>"T"&amp;ROUNDUP(Tabla2[[#This Row],[mes]]/3,0)</f>
        <v>T2</v>
      </c>
      <c r="G1869" t="s">
        <v>40</v>
      </c>
      <c r="H1869" t="s">
        <v>41</v>
      </c>
      <c r="I1869" s="8" t="str">
        <f>IF(Tabla2[[#This Row],[precio_unitario]]&lt;=30,"Económico",IF(Tabla2[[#This Row],[precio_unitario]]&lt;=58.49,"Accesible","Caro"))</f>
        <v>Caro</v>
      </c>
      <c r="J1869" t="s">
        <v>35</v>
      </c>
      <c r="K1869">
        <v>5</v>
      </c>
      <c r="L1869" s="19">
        <v>78.650000000000006</v>
      </c>
      <c r="M1869" s="19">
        <v>41.66</v>
      </c>
      <c r="N1869" s="11">
        <v>0</v>
      </c>
      <c r="O1869" s="17">
        <f t="shared" si="119"/>
        <v>393.25</v>
      </c>
      <c r="P1869" s="17">
        <f t="shared" si="116"/>
        <v>208.29999999999998</v>
      </c>
      <c r="Q1869" s="17">
        <f t="shared" si="117"/>
        <v>184.95000000000002</v>
      </c>
      <c r="R1869" s="24">
        <f t="shared" si="118"/>
        <v>0.4703115066751431</v>
      </c>
      <c r="S1869" t="s">
        <v>540</v>
      </c>
      <c r="T1869" t="s">
        <v>60</v>
      </c>
    </row>
    <row r="1870" spans="1:20" hidden="1">
      <c r="A1870" t="s">
        <v>1937</v>
      </c>
      <c r="B1870" s="5">
        <v>45987</v>
      </c>
      <c r="C1870" s="8">
        <f>YEAR(Tabla2[[#This Row],[fecha]])</f>
        <v>2025</v>
      </c>
      <c r="D1870" s="8">
        <f>MONTH(Tabla2[[#This Row],[fecha]])</f>
        <v>11</v>
      </c>
      <c r="E1870" s="8" t="str">
        <f>TEXT(Tabla2[[#This Row],[fecha]], "mmmm")</f>
        <v>noviembre</v>
      </c>
      <c r="F1870" s="8" t="str">
        <f>"T"&amp;ROUNDUP(Tabla2[[#This Row],[mes]]/3,0)</f>
        <v>T4</v>
      </c>
      <c r="G1870" t="s">
        <v>29</v>
      </c>
      <c r="H1870" t="s">
        <v>30</v>
      </c>
      <c r="I1870" s="8" t="str">
        <f>IF(Tabla2[[#This Row],[precio_unitario]]&lt;=30,"Económico",IF(Tabla2[[#This Row],[precio_unitario]]&lt;=58.49,"Accesible","Caro"))</f>
        <v>Económico</v>
      </c>
      <c r="J1870" t="s">
        <v>26</v>
      </c>
      <c r="K1870">
        <v>4</v>
      </c>
      <c r="L1870" s="19">
        <v>20.11</v>
      </c>
      <c r="M1870" s="19">
        <v>11.6</v>
      </c>
      <c r="N1870" s="11">
        <v>0</v>
      </c>
      <c r="O1870" s="17">
        <f t="shared" si="119"/>
        <v>80.44</v>
      </c>
      <c r="P1870" s="17">
        <f t="shared" si="116"/>
        <v>46.4</v>
      </c>
      <c r="Q1870" s="17">
        <f t="shared" si="117"/>
        <v>34.04</v>
      </c>
      <c r="R1870" s="24">
        <f t="shared" si="118"/>
        <v>0.42317255096966683</v>
      </c>
      <c r="S1870" t="s">
        <v>83</v>
      </c>
      <c r="T1870" t="s">
        <v>64</v>
      </c>
    </row>
    <row r="1871" spans="1:20" hidden="1">
      <c r="A1871" t="s">
        <v>1938</v>
      </c>
      <c r="B1871" s="5">
        <v>45489</v>
      </c>
      <c r="C1871" s="8">
        <f>YEAR(Tabla2[[#This Row],[fecha]])</f>
        <v>2024</v>
      </c>
      <c r="D1871" s="8">
        <f>MONTH(Tabla2[[#This Row],[fecha]])</f>
        <v>7</v>
      </c>
      <c r="E1871" s="8" t="str">
        <f>TEXT(Tabla2[[#This Row],[fecha]], "mmmm")</f>
        <v>julio</v>
      </c>
      <c r="F1871" s="8" t="str">
        <f>"T"&amp;ROUNDUP(Tabla2[[#This Row],[mes]]/3,0)</f>
        <v>T3</v>
      </c>
      <c r="G1871" t="s">
        <v>42</v>
      </c>
      <c r="H1871" t="s">
        <v>43</v>
      </c>
      <c r="I1871" s="8" t="str">
        <f>IF(Tabla2[[#This Row],[precio_unitario]]&lt;=30,"Económico",IF(Tabla2[[#This Row],[precio_unitario]]&lt;=58.49,"Accesible","Caro"))</f>
        <v>Accesible</v>
      </c>
      <c r="J1871" t="s">
        <v>44</v>
      </c>
      <c r="K1871">
        <v>1</v>
      </c>
      <c r="L1871" s="19">
        <v>50.72</v>
      </c>
      <c r="M1871" s="19">
        <v>23.52</v>
      </c>
      <c r="N1871" s="11">
        <v>0.1</v>
      </c>
      <c r="O1871" s="17">
        <f t="shared" si="119"/>
        <v>45.648000000000003</v>
      </c>
      <c r="P1871" s="17">
        <f t="shared" si="116"/>
        <v>23.52</v>
      </c>
      <c r="Q1871" s="17">
        <f t="shared" si="117"/>
        <v>22.128000000000004</v>
      </c>
      <c r="R1871" s="24">
        <f t="shared" si="118"/>
        <v>0.48475289169295482</v>
      </c>
      <c r="S1871" t="s">
        <v>540</v>
      </c>
      <c r="T1871" t="s">
        <v>60</v>
      </c>
    </row>
    <row r="1872" spans="1:20" hidden="1">
      <c r="A1872" t="s">
        <v>1939</v>
      </c>
      <c r="B1872" s="5">
        <v>45625</v>
      </c>
      <c r="C1872" s="8">
        <f>YEAR(Tabla2[[#This Row],[fecha]])</f>
        <v>2024</v>
      </c>
      <c r="D1872" s="8">
        <f>MONTH(Tabla2[[#This Row],[fecha]])</f>
        <v>11</v>
      </c>
      <c r="E1872" s="8" t="str">
        <f>TEXT(Tabla2[[#This Row],[fecha]], "mmmm")</f>
        <v>noviembre</v>
      </c>
      <c r="F1872" s="8" t="str">
        <f>"T"&amp;ROUNDUP(Tabla2[[#This Row],[mes]]/3,0)</f>
        <v>T4</v>
      </c>
      <c r="G1872" t="s">
        <v>13</v>
      </c>
      <c r="H1872" t="s">
        <v>14</v>
      </c>
      <c r="I1872" s="8" t="str">
        <f>IF(Tabla2[[#This Row],[precio_unitario]]&lt;=30,"Económico",IF(Tabla2[[#This Row],[precio_unitario]]&lt;=58.49,"Accesible","Caro"))</f>
        <v>Caro</v>
      </c>
      <c r="J1872" t="s">
        <v>8</v>
      </c>
      <c r="K1872">
        <v>1</v>
      </c>
      <c r="L1872" s="19">
        <v>164.15</v>
      </c>
      <c r="M1872" s="19">
        <v>107.15</v>
      </c>
      <c r="N1872" s="11">
        <v>0</v>
      </c>
      <c r="O1872" s="17">
        <f t="shared" si="119"/>
        <v>164.15</v>
      </c>
      <c r="P1872" s="17">
        <f t="shared" si="116"/>
        <v>107.15</v>
      </c>
      <c r="Q1872" s="17">
        <f t="shared" si="117"/>
        <v>57</v>
      </c>
      <c r="R1872" s="24">
        <f t="shared" si="118"/>
        <v>0.34724337496192503</v>
      </c>
      <c r="S1872" t="s">
        <v>83</v>
      </c>
      <c r="T1872" t="s">
        <v>60</v>
      </c>
    </row>
    <row r="1873" spans="1:20" hidden="1">
      <c r="A1873" t="s">
        <v>1940</v>
      </c>
      <c r="B1873" s="5">
        <v>45780</v>
      </c>
      <c r="C1873" s="8">
        <f>YEAR(Tabla2[[#This Row],[fecha]])</f>
        <v>2025</v>
      </c>
      <c r="D1873" s="8">
        <f>MONTH(Tabla2[[#This Row],[fecha]])</f>
        <v>5</v>
      </c>
      <c r="E1873" s="8" t="str">
        <f>TEXT(Tabla2[[#This Row],[fecha]], "mmmm")</f>
        <v>mayo</v>
      </c>
      <c r="F1873" s="8" t="str">
        <f>"T"&amp;ROUNDUP(Tabla2[[#This Row],[mes]]/3,0)</f>
        <v>T2</v>
      </c>
      <c r="G1873" t="s">
        <v>49</v>
      </c>
      <c r="H1873" t="s">
        <v>50</v>
      </c>
      <c r="I1873" s="8" t="str">
        <f>IF(Tabla2[[#This Row],[precio_unitario]]&lt;=30,"Económico",IF(Tabla2[[#This Row],[precio_unitario]]&lt;=58.49,"Accesible","Caro"))</f>
        <v>Caro</v>
      </c>
      <c r="J1873" t="s">
        <v>44</v>
      </c>
      <c r="K1873">
        <v>5</v>
      </c>
      <c r="L1873" s="19">
        <v>62.07</v>
      </c>
      <c r="M1873" s="19">
        <v>32.65</v>
      </c>
      <c r="N1873" s="13">
        <v>0</v>
      </c>
      <c r="O1873" s="17">
        <f t="shared" si="119"/>
        <v>310.35000000000002</v>
      </c>
      <c r="P1873" s="17">
        <f t="shared" si="116"/>
        <v>163.25</v>
      </c>
      <c r="Q1873" s="17">
        <f t="shared" si="117"/>
        <v>147.10000000000002</v>
      </c>
      <c r="R1873" s="24">
        <f t="shared" si="118"/>
        <v>0.4739809892057355</v>
      </c>
      <c r="S1873" t="s">
        <v>63</v>
      </c>
      <c r="T1873" t="s">
        <v>64</v>
      </c>
    </row>
    <row r="1874" spans="1:20">
      <c r="A1874" t="s">
        <v>1941</v>
      </c>
      <c r="B1874" s="5">
        <v>45873</v>
      </c>
      <c r="C1874" s="8">
        <f>YEAR(Tabla2[[#This Row],[fecha]])</f>
        <v>2025</v>
      </c>
      <c r="D1874" s="8">
        <f>MONTH(Tabla2[[#This Row],[fecha]])</f>
        <v>8</v>
      </c>
      <c r="E1874" s="8" t="str">
        <f>TEXT(Tabla2[[#This Row],[fecha]], "mmmm")</f>
        <v>agosto</v>
      </c>
      <c r="F1874" s="8" t="str">
        <f>"T"&amp;ROUNDUP(Tabla2[[#This Row],[mes]]/3,0)</f>
        <v>T3</v>
      </c>
      <c r="G1874" t="s">
        <v>33</v>
      </c>
      <c r="H1874" t="s">
        <v>34</v>
      </c>
      <c r="I1874" s="8" t="str">
        <f>IF(Tabla2[[#This Row],[precio_unitario]]&lt;=30,"Económico",IF(Tabla2[[#This Row],[precio_unitario]]&lt;=58.49,"Accesible","Caro"))</f>
        <v>Caro</v>
      </c>
      <c r="J1874" t="s">
        <v>35</v>
      </c>
      <c r="K1874">
        <v>1</v>
      </c>
      <c r="L1874" s="19">
        <v>74.62</v>
      </c>
      <c r="M1874" s="19">
        <v>49.4</v>
      </c>
      <c r="N1874" s="11">
        <v>0</v>
      </c>
      <c r="O1874" s="17">
        <f t="shared" si="119"/>
        <v>74.62</v>
      </c>
      <c r="P1874" s="17">
        <f t="shared" si="116"/>
        <v>49.4</v>
      </c>
      <c r="Q1874" s="17">
        <f t="shared" si="117"/>
        <v>25.220000000000006</v>
      </c>
      <c r="R1874" s="24">
        <f t="shared" si="118"/>
        <v>0.33797909407665511</v>
      </c>
      <c r="S1874" t="s">
        <v>67</v>
      </c>
      <c r="T1874" t="s">
        <v>60</v>
      </c>
    </row>
    <row r="1875" spans="1:20" hidden="1">
      <c r="A1875" t="s">
        <v>1942</v>
      </c>
      <c r="B1875" s="5">
        <v>45458</v>
      </c>
      <c r="C1875" s="8">
        <f>YEAR(Tabla2[[#This Row],[fecha]])</f>
        <v>2024</v>
      </c>
      <c r="D1875" s="8">
        <f>MONTH(Tabla2[[#This Row],[fecha]])</f>
        <v>6</v>
      </c>
      <c r="E1875" s="8" t="str">
        <f>TEXT(Tabla2[[#This Row],[fecha]], "mmmm")</f>
        <v>junio</v>
      </c>
      <c r="F1875" s="8" t="str">
        <f>"T"&amp;ROUNDUP(Tabla2[[#This Row],[mes]]/3,0)</f>
        <v>T2</v>
      </c>
      <c r="G1875" t="s">
        <v>22</v>
      </c>
      <c r="H1875" t="s">
        <v>23</v>
      </c>
      <c r="I1875" s="8" t="str">
        <f>IF(Tabla2[[#This Row],[precio_unitario]]&lt;=30,"Económico",IF(Tabla2[[#This Row],[precio_unitario]]&lt;=58.49,"Accesible","Caro"))</f>
        <v>Caro</v>
      </c>
      <c r="J1875" t="s">
        <v>17</v>
      </c>
      <c r="K1875">
        <v>1</v>
      </c>
      <c r="L1875" s="19">
        <v>100.02</v>
      </c>
      <c r="M1875" s="19">
        <v>59.7</v>
      </c>
      <c r="N1875" s="11">
        <v>7.0000000000000007E-2</v>
      </c>
      <c r="O1875" s="17">
        <f t="shared" si="119"/>
        <v>93.018599999999992</v>
      </c>
      <c r="P1875" s="17">
        <f t="shared" si="116"/>
        <v>59.7</v>
      </c>
      <c r="Q1875" s="17">
        <f t="shared" si="117"/>
        <v>33.318599999999989</v>
      </c>
      <c r="R1875" s="24">
        <f t="shared" si="118"/>
        <v>0.35819287755352147</v>
      </c>
      <c r="S1875" t="s">
        <v>540</v>
      </c>
      <c r="T1875" t="s">
        <v>64</v>
      </c>
    </row>
    <row r="1876" spans="1:20">
      <c r="A1876" t="s">
        <v>1943</v>
      </c>
      <c r="B1876" s="5">
        <v>45946</v>
      </c>
      <c r="C1876" s="8">
        <f>YEAR(Tabla2[[#This Row],[fecha]])</f>
        <v>2025</v>
      </c>
      <c r="D1876" s="8">
        <f>MONTH(Tabla2[[#This Row],[fecha]])</f>
        <v>10</v>
      </c>
      <c r="E1876" s="8" t="str">
        <f>TEXT(Tabla2[[#This Row],[fecha]], "mmmm")</f>
        <v>octubre</v>
      </c>
      <c r="F1876" s="8" t="str">
        <f>"T"&amp;ROUNDUP(Tabla2[[#This Row],[mes]]/3,0)</f>
        <v>T4</v>
      </c>
      <c r="G1876" t="s">
        <v>42</v>
      </c>
      <c r="H1876" t="s">
        <v>43</v>
      </c>
      <c r="I1876" s="8" t="str">
        <f>IF(Tabla2[[#This Row],[precio_unitario]]&lt;=30,"Económico",IF(Tabla2[[#This Row],[precio_unitario]]&lt;=58.49,"Accesible","Caro"))</f>
        <v>Accesible</v>
      </c>
      <c r="J1876" t="s">
        <v>44</v>
      </c>
      <c r="K1876">
        <v>2</v>
      </c>
      <c r="L1876" s="19">
        <v>48.16</v>
      </c>
      <c r="M1876" s="19">
        <v>22.59</v>
      </c>
      <c r="N1876" s="11">
        <v>0.22</v>
      </c>
      <c r="O1876" s="17">
        <f t="shared" si="119"/>
        <v>75.129599999999996</v>
      </c>
      <c r="P1876" s="17">
        <f t="shared" si="116"/>
        <v>45.18</v>
      </c>
      <c r="Q1876" s="17">
        <f t="shared" si="117"/>
        <v>29.949599999999997</v>
      </c>
      <c r="R1876" s="24">
        <f t="shared" si="118"/>
        <v>0.39863915154612828</v>
      </c>
      <c r="S1876" t="s">
        <v>67</v>
      </c>
      <c r="T1876" t="s">
        <v>60</v>
      </c>
    </row>
    <row r="1877" spans="1:20">
      <c r="A1877" t="s">
        <v>1944</v>
      </c>
      <c r="B1877" s="5">
        <v>45943</v>
      </c>
      <c r="C1877" s="8">
        <f>YEAR(Tabla2[[#This Row],[fecha]])</f>
        <v>2025</v>
      </c>
      <c r="D1877" s="8">
        <f>MONTH(Tabla2[[#This Row],[fecha]])</f>
        <v>10</v>
      </c>
      <c r="E1877" s="8" t="str">
        <f>TEXT(Tabla2[[#This Row],[fecha]], "mmmm")</f>
        <v>octubre</v>
      </c>
      <c r="F1877" s="8" t="str">
        <f>"T"&amp;ROUNDUP(Tabla2[[#This Row],[mes]]/3,0)</f>
        <v>T4</v>
      </c>
      <c r="G1877" t="s">
        <v>20</v>
      </c>
      <c r="H1877" t="s">
        <v>21</v>
      </c>
      <c r="I1877" s="8" t="str">
        <f>IF(Tabla2[[#This Row],[precio_unitario]]&lt;=30,"Económico",IF(Tabla2[[#This Row],[precio_unitario]]&lt;=58.49,"Accesible","Caro"))</f>
        <v>Económico</v>
      </c>
      <c r="J1877" t="s">
        <v>17</v>
      </c>
      <c r="K1877">
        <v>4</v>
      </c>
      <c r="L1877" s="19">
        <v>18.52</v>
      </c>
      <c r="M1877" s="19">
        <v>12.99</v>
      </c>
      <c r="N1877" s="11">
        <v>0</v>
      </c>
      <c r="O1877" s="17">
        <f t="shared" si="119"/>
        <v>74.08</v>
      </c>
      <c r="P1877" s="17">
        <f t="shared" si="116"/>
        <v>51.96</v>
      </c>
      <c r="Q1877" s="17">
        <f t="shared" si="117"/>
        <v>22.119999999999997</v>
      </c>
      <c r="R1877" s="24">
        <f t="shared" si="118"/>
        <v>0.29859611231101507</v>
      </c>
      <c r="S1877" t="s">
        <v>67</v>
      </c>
      <c r="T1877" t="s">
        <v>60</v>
      </c>
    </row>
    <row r="1878" spans="1:20" hidden="1">
      <c r="A1878" t="s">
        <v>1945</v>
      </c>
      <c r="B1878" s="5">
        <v>45383</v>
      </c>
      <c r="C1878" s="8">
        <f>YEAR(Tabla2[[#This Row],[fecha]])</f>
        <v>2024</v>
      </c>
      <c r="D1878" s="8">
        <f>MONTH(Tabla2[[#This Row],[fecha]])</f>
        <v>4</v>
      </c>
      <c r="E1878" s="8" t="str">
        <f>TEXT(Tabla2[[#This Row],[fecha]], "mmmm")</f>
        <v>abril</v>
      </c>
      <c r="F1878" s="8" t="str">
        <f>"T"&amp;ROUNDUP(Tabla2[[#This Row],[mes]]/3,0)</f>
        <v>T2</v>
      </c>
      <c r="G1878" t="s">
        <v>15</v>
      </c>
      <c r="H1878" t="s">
        <v>16</v>
      </c>
      <c r="I1878" s="8" t="str">
        <f>IF(Tabla2[[#This Row],[precio_unitario]]&lt;=30,"Económico",IF(Tabla2[[#This Row],[precio_unitario]]&lt;=58.49,"Accesible","Caro"))</f>
        <v>Caro</v>
      </c>
      <c r="J1878" t="s">
        <v>17</v>
      </c>
      <c r="K1878">
        <v>8</v>
      </c>
      <c r="L1878" s="19">
        <v>62.76</v>
      </c>
      <c r="M1878" s="19">
        <v>40.71</v>
      </c>
      <c r="N1878" s="13">
        <v>0</v>
      </c>
      <c r="O1878" s="17">
        <f t="shared" si="119"/>
        <v>502.08</v>
      </c>
      <c r="P1878" s="17">
        <f t="shared" si="116"/>
        <v>325.68</v>
      </c>
      <c r="Q1878" s="17">
        <f t="shared" si="117"/>
        <v>176.39999999999998</v>
      </c>
      <c r="R1878" s="24">
        <f t="shared" si="118"/>
        <v>0.35133843212237093</v>
      </c>
      <c r="S1878" t="s">
        <v>67</v>
      </c>
      <c r="T1878" t="s">
        <v>64</v>
      </c>
    </row>
    <row r="1879" spans="1:20">
      <c r="A1879" t="s">
        <v>1946</v>
      </c>
      <c r="B1879" s="5">
        <v>45673</v>
      </c>
      <c r="C1879" s="8">
        <f>YEAR(Tabla2[[#This Row],[fecha]])</f>
        <v>2025</v>
      </c>
      <c r="D1879" s="8">
        <f>MONTH(Tabla2[[#This Row],[fecha]])</f>
        <v>1</v>
      </c>
      <c r="E1879" s="8" t="str">
        <f>TEXT(Tabla2[[#This Row],[fecha]], "mmmm")</f>
        <v>enero</v>
      </c>
      <c r="F1879" s="8" t="str">
        <f>"T"&amp;ROUNDUP(Tabla2[[#This Row],[mes]]/3,0)</f>
        <v>T1</v>
      </c>
      <c r="G1879" t="s">
        <v>33</v>
      </c>
      <c r="H1879" t="s">
        <v>34</v>
      </c>
      <c r="I1879" s="8" t="str">
        <f>IF(Tabla2[[#This Row],[precio_unitario]]&lt;=30,"Económico",IF(Tabla2[[#This Row],[precio_unitario]]&lt;=58.49,"Accesible","Caro"))</f>
        <v>Caro</v>
      </c>
      <c r="J1879" t="s">
        <v>35</v>
      </c>
      <c r="K1879">
        <v>2</v>
      </c>
      <c r="L1879" s="19">
        <v>77.56</v>
      </c>
      <c r="M1879" s="19">
        <v>46.27</v>
      </c>
      <c r="N1879" s="11">
        <v>0</v>
      </c>
      <c r="O1879" s="17">
        <f t="shared" si="119"/>
        <v>155.12</v>
      </c>
      <c r="P1879" s="17">
        <f t="shared" si="116"/>
        <v>92.54</v>
      </c>
      <c r="Q1879" s="17">
        <f t="shared" si="117"/>
        <v>62.58</v>
      </c>
      <c r="R1879" s="24">
        <f t="shared" si="118"/>
        <v>0.4034296028880866</v>
      </c>
      <c r="S1879" t="s">
        <v>67</v>
      </c>
      <c r="T1879" t="s">
        <v>60</v>
      </c>
    </row>
    <row r="1880" spans="1:20">
      <c r="A1880" t="s">
        <v>1947</v>
      </c>
      <c r="B1880" s="5">
        <v>45873</v>
      </c>
      <c r="C1880" s="8">
        <f>YEAR(Tabla2[[#This Row],[fecha]])</f>
        <v>2025</v>
      </c>
      <c r="D1880" s="8">
        <f>MONTH(Tabla2[[#This Row],[fecha]])</f>
        <v>8</v>
      </c>
      <c r="E1880" s="8" t="str">
        <f>TEXT(Tabla2[[#This Row],[fecha]], "mmmm")</f>
        <v>agosto</v>
      </c>
      <c r="F1880" s="8" t="str">
        <f>"T"&amp;ROUNDUP(Tabla2[[#This Row],[mes]]/3,0)</f>
        <v>T3</v>
      </c>
      <c r="G1880" t="s">
        <v>38</v>
      </c>
      <c r="H1880" t="s">
        <v>39</v>
      </c>
      <c r="I1880" s="8" t="str">
        <f>IF(Tabla2[[#This Row],[precio_unitario]]&lt;=30,"Económico",IF(Tabla2[[#This Row],[precio_unitario]]&lt;=58.49,"Accesible","Caro"))</f>
        <v>Caro</v>
      </c>
      <c r="J1880" t="s">
        <v>35</v>
      </c>
      <c r="K1880">
        <v>2</v>
      </c>
      <c r="L1880" s="19">
        <v>80.42</v>
      </c>
      <c r="M1880" s="19">
        <v>42.64</v>
      </c>
      <c r="N1880" s="11">
        <v>0</v>
      </c>
      <c r="O1880" s="17">
        <f t="shared" si="119"/>
        <v>160.84</v>
      </c>
      <c r="P1880" s="17">
        <f t="shared" si="116"/>
        <v>85.28</v>
      </c>
      <c r="Q1880" s="17">
        <f t="shared" si="117"/>
        <v>75.56</v>
      </c>
      <c r="R1880" s="24">
        <f t="shared" si="118"/>
        <v>0.46978363591146483</v>
      </c>
      <c r="S1880" t="s">
        <v>67</v>
      </c>
      <c r="T1880" t="s">
        <v>64</v>
      </c>
    </row>
    <row r="1881" spans="1:20">
      <c r="A1881" t="s">
        <v>1948</v>
      </c>
      <c r="B1881" s="5">
        <v>45839</v>
      </c>
      <c r="C1881" s="8">
        <f>YEAR(Tabla2[[#This Row],[fecha]])</f>
        <v>2025</v>
      </c>
      <c r="D1881" s="8">
        <f>MONTH(Tabla2[[#This Row],[fecha]])</f>
        <v>7</v>
      </c>
      <c r="E1881" s="8" t="str">
        <f>TEXT(Tabla2[[#This Row],[fecha]], "mmmm")</f>
        <v>julio</v>
      </c>
      <c r="F1881" s="8" t="str">
        <f>"T"&amp;ROUNDUP(Tabla2[[#This Row],[mes]]/3,0)</f>
        <v>T3</v>
      </c>
      <c r="G1881" t="s">
        <v>9</v>
      </c>
      <c r="H1881" t="s">
        <v>10</v>
      </c>
      <c r="I1881" s="8" t="str">
        <f>IF(Tabla2[[#This Row],[precio_unitario]]&lt;=30,"Económico",IF(Tabla2[[#This Row],[precio_unitario]]&lt;=58.49,"Accesible","Caro"))</f>
        <v>Caro</v>
      </c>
      <c r="J1881" t="s">
        <v>8</v>
      </c>
      <c r="K1881">
        <v>2</v>
      </c>
      <c r="L1881" s="19">
        <v>74.25</v>
      </c>
      <c r="M1881" s="19">
        <v>48.76</v>
      </c>
      <c r="N1881" s="11">
        <v>0</v>
      </c>
      <c r="O1881" s="17">
        <f t="shared" si="119"/>
        <v>148.5</v>
      </c>
      <c r="P1881" s="17">
        <f t="shared" si="116"/>
        <v>97.52</v>
      </c>
      <c r="Q1881" s="17">
        <f t="shared" si="117"/>
        <v>50.980000000000004</v>
      </c>
      <c r="R1881" s="24">
        <f t="shared" si="118"/>
        <v>0.34329966329966333</v>
      </c>
      <c r="S1881" t="s">
        <v>67</v>
      </c>
      <c r="T1881" t="s">
        <v>64</v>
      </c>
    </row>
    <row r="1882" spans="1:20" hidden="1">
      <c r="A1882" t="s">
        <v>1949</v>
      </c>
      <c r="B1882" s="5">
        <v>45441</v>
      </c>
      <c r="C1882" s="8">
        <f>YEAR(Tabla2[[#This Row],[fecha]])</f>
        <v>2024</v>
      </c>
      <c r="D1882" s="8">
        <f>MONTH(Tabla2[[#This Row],[fecha]])</f>
        <v>5</v>
      </c>
      <c r="E1882" s="8" t="str">
        <f>TEXT(Tabla2[[#This Row],[fecha]], "mmmm")</f>
        <v>mayo</v>
      </c>
      <c r="F1882" s="8" t="str">
        <f>"T"&amp;ROUNDUP(Tabla2[[#This Row],[mes]]/3,0)</f>
        <v>T2</v>
      </c>
      <c r="G1882" t="s">
        <v>36</v>
      </c>
      <c r="H1882" t="s">
        <v>37</v>
      </c>
      <c r="I1882" s="8" t="str">
        <f>IF(Tabla2[[#This Row],[precio_unitario]]&lt;=30,"Económico",IF(Tabla2[[#This Row],[precio_unitario]]&lt;=58.49,"Accesible","Caro"))</f>
        <v>Económico</v>
      </c>
      <c r="J1882" t="s">
        <v>35</v>
      </c>
      <c r="K1882">
        <v>7</v>
      </c>
      <c r="L1882" s="19">
        <v>13.35</v>
      </c>
      <c r="M1882" s="19">
        <v>9.81</v>
      </c>
      <c r="N1882" s="13">
        <v>0</v>
      </c>
      <c r="O1882" s="17">
        <f t="shared" si="119"/>
        <v>93.45</v>
      </c>
      <c r="P1882" s="17">
        <f t="shared" si="116"/>
        <v>68.67</v>
      </c>
      <c r="Q1882" s="17">
        <f t="shared" si="117"/>
        <v>24.78</v>
      </c>
      <c r="R1882" s="24">
        <f t="shared" si="118"/>
        <v>0.26516853932584272</v>
      </c>
      <c r="S1882" t="s">
        <v>83</v>
      </c>
      <c r="T1882" t="s">
        <v>60</v>
      </c>
    </row>
    <row r="1883" spans="1:20">
      <c r="A1883" t="s">
        <v>1950</v>
      </c>
      <c r="B1883" s="5">
        <v>45712</v>
      </c>
      <c r="C1883" s="8">
        <f>YEAR(Tabla2[[#This Row],[fecha]])</f>
        <v>2025</v>
      </c>
      <c r="D1883" s="8">
        <f>MONTH(Tabla2[[#This Row],[fecha]])</f>
        <v>2</v>
      </c>
      <c r="E1883" s="8" t="str">
        <f>TEXT(Tabla2[[#This Row],[fecha]], "mmmm")</f>
        <v>febrero</v>
      </c>
      <c r="F1883" s="8" t="str">
        <f>"T"&amp;ROUNDUP(Tabla2[[#This Row],[mes]]/3,0)</f>
        <v>T1</v>
      </c>
      <c r="G1883" t="s">
        <v>33</v>
      </c>
      <c r="H1883" t="s">
        <v>34</v>
      </c>
      <c r="I1883" s="8" t="str">
        <f>IF(Tabla2[[#This Row],[precio_unitario]]&lt;=30,"Económico",IF(Tabla2[[#This Row],[precio_unitario]]&lt;=58.49,"Accesible","Caro"))</f>
        <v>Caro</v>
      </c>
      <c r="J1883" t="s">
        <v>35</v>
      </c>
      <c r="K1883">
        <v>1</v>
      </c>
      <c r="L1883" s="19">
        <v>75.349999999999994</v>
      </c>
      <c r="M1883" s="19">
        <v>49.08</v>
      </c>
      <c r="N1883" s="11">
        <v>0</v>
      </c>
      <c r="O1883" s="17">
        <f t="shared" si="119"/>
        <v>75.349999999999994</v>
      </c>
      <c r="P1883" s="17">
        <f t="shared" si="116"/>
        <v>49.08</v>
      </c>
      <c r="Q1883" s="17">
        <f t="shared" si="117"/>
        <v>26.269999999999996</v>
      </c>
      <c r="R1883" s="24">
        <f t="shared" si="118"/>
        <v>0.34863968148639679</v>
      </c>
      <c r="S1883" t="s">
        <v>67</v>
      </c>
      <c r="T1883" t="s">
        <v>60</v>
      </c>
    </row>
    <row r="1884" spans="1:20" hidden="1">
      <c r="A1884" t="s">
        <v>1951</v>
      </c>
      <c r="B1884" s="5">
        <v>45758</v>
      </c>
      <c r="C1884" s="8">
        <f>YEAR(Tabla2[[#This Row],[fecha]])</f>
        <v>2025</v>
      </c>
      <c r="D1884" s="8">
        <f>MONTH(Tabla2[[#This Row],[fecha]])</f>
        <v>4</v>
      </c>
      <c r="E1884" s="8" t="str">
        <f>TEXT(Tabla2[[#This Row],[fecha]], "mmmm")</f>
        <v>abril</v>
      </c>
      <c r="F1884" s="8" t="str">
        <f>"T"&amp;ROUNDUP(Tabla2[[#This Row],[mes]]/3,0)</f>
        <v>T2</v>
      </c>
      <c r="G1884" t="s">
        <v>18</v>
      </c>
      <c r="H1884" t="s">
        <v>19</v>
      </c>
      <c r="I1884" s="8" t="str">
        <f>IF(Tabla2[[#This Row],[precio_unitario]]&lt;=30,"Económico",IF(Tabla2[[#This Row],[precio_unitario]]&lt;=58.49,"Accesible","Caro"))</f>
        <v>Accesible</v>
      </c>
      <c r="J1884" t="s">
        <v>17</v>
      </c>
      <c r="K1884">
        <v>1</v>
      </c>
      <c r="L1884" s="19">
        <v>44.1</v>
      </c>
      <c r="M1884" s="19">
        <v>27.39</v>
      </c>
      <c r="N1884" s="11">
        <v>7.0000000000000007E-2</v>
      </c>
      <c r="O1884" s="17">
        <f t="shared" si="119"/>
        <v>41.012999999999998</v>
      </c>
      <c r="P1884" s="17">
        <f t="shared" si="116"/>
        <v>27.39</v>
      </c>
      <c r="Q1884" s="17">
        <f t="shared" si="117"/>
        <v>13.622999999999998</v>
      </c>
      <c r="R1884" s="24">
        <f t="shared" si="118"/>
        <v>0.33216297271596806</v>
      </c>
      <c r="S1884" t="s">
        <v>83</v>
      </c>
      <c r="T1884" t="s">
        <v>64</v>
      </c>
    </row>
    <row r="1885" spans="1:20" hidden="1">
      <c r="A1885" t="s">
        <v>1952</v>
      </c>
      <c r="B1885" s="5">
        <v>45884</v>
      </c>
      <c r="C1885" s="8">
        <f>YEAR(Tabla2[[#This Row],[fecha]])</f>
        <v>2025</v>
      </c>
      <c r="D1885" s="8">
        <f>MONTH(Tabla2[[#This Row],[fecha]])</f>
        <v>8</v>
      </c>
      <c r="E1885" s="8" t="str">
        <f>TEXT(Tabla2[[#This Row],[fecha]], "mmmm")</f>
        <v>agosto</v>
      </c>
      <c r="F1885" s="8" t="str">
        <f>"T"&amp;ROUNDUP(Tabla2[[#This Row],[mes]]/3,0)</f>
        <v>T3</v>
      </c>
      <c r="G1885" t="s">
        <v>29</v>
      </c>
      <c r="H1885" t="s">
        <v>30</v>
      </c>
      <c r="I1885" s="8" t="str">
        <f>IF(Tabla2[[#This Row],[precio_unitario]]&lt;=30,"Económico",IF(Tabla2[[#This Row],[precio_unitario]]&lt;=58.49,"Accesible","Caro"))</f>
        <v>Económico</v>
      </c>
      <c r="J1885" t="s">
        <v>26</v>
      </c>
      <c r="K1885">
        <v>1</v>
      </c>
      <c r="L1885" s="19">
        <v>20.149999999999999</v>
      </c>
      <c r="M1885" s="19">
        <v>11.83</v>
      </c>
      <c r="N1885" s="11">
        <v>0</v>
      </c>
      <c r="O1885" s="17">
        <f t="shared" si="119"/>
        <v>20.149999999999999</v>
      </c>
      <c r="P1885" s="17">
        <f t="shared" si="116"/>
        <v>11.83</v>
      </c>
      <c r="Q1885" s="17">
        <f t="shared" si="117"/>
        <v>8.3199999999999985</v>
      </c>
      <c r="R1885" s="24">
        <f t="shared" si="118"/>
        <v>0.41290322580645156</v>
      </c>
      <c r="S1885" t="s">
        <v>83</v>
      </c>
      <c r="T1885" t="s">
        <v>60</v>
      </c>
    </row>
    <row r="1886" spans="1:20" hidden="1">
      <c r="A1886" t="s">
        <v>1953</v>
      </c>
      <c r="B1886" s="5">
        <v>45498</v>
      </c>
      <c r="C1886" s="8">
        <f>YEAR(Tabla2[[#This Row],[fecha]])</f>
        <v>2024</v>
      </c>
      <c r="D1886" s="8">
        <f>MONTH(Tabla2[[#This Row],[fecha]])</f>
        <v>7</v>
      </c>
      <c r="E1886" s="8" t="str">
        <f>TEXT(Tabla2[[#This Row],[fecha]], "mmmm")</f>
        <v>julio</v>
      </c>
      <c r="F1886" s="8" t="str">
        <f>"T"&amp;ROUNDUP(Tabla2[[#This Row],[mes]]/3,0)</f>
        <v>T3</v>
      </c>
      <c r="G1886" t="s">
        <v>42</v>
      </c>
      <c r="H1886" t="s">
        <v>43</v>
      </c>
      <c r="I1886" s="8" t="str">
        <f>IF(Tabla2[[#This Row],[precio_unitario]]&lt;=30,"Económico",IF(Tabla2[[#This Row],[precio_unitario]]&lt;=58.49,"Accesible","Caro"))</f>
        <v>Accesible</v>
      </c>
      <c r="J1886" t="s">
        <v>44</v>
      </c>
      <c r="K1886">
        <v>4</v>
      </c>
      <c r="L1886" s="19">
        <v>51.58</v>
      </c>
      <c r="M1886" s="19">
        <v>23.78</v>
      </c>
      <c r="N1886" s="11">
        <v>0</v>
      </c>
      <c r="O1886" s="17">
        <f t="shared" si="119"/>
        <v>206.32</v>
      </c>
      <c r="P1886" s="17">
        <f t="shared" si="116"/>
        <v>95.12</v>
      </c>
      <c r="Q1886" s="17">
        <f t="shared" si="117"/>
        <v>111.19999999999999</v>
      </c>
      <c r="R1886" s="24">
        <f t="shared" si="118"/>
        <v>0.53896859247770446</v>
      </c>
      <c r="S1886" t="s">
        <v>540</v>
      </c>
      <c r="T1886" t="s">
        <v>64</v>
      </c>
    </row>
    <row r="1887" spans="1:20">
      <c r="A1887" t="s">
        <v>1954</v>
      </c>
      <c r="B1887" s="5">
        <v>45866</v>
      </c>
      <c r="C1887" s="8">
        <f>YEAR(Tabla2[[#This Row],[fecha]])</f>
        <v>2025</v>
      </c>
      <c r="D1887" s="8">
        <f>MONTH(Tabla2[[#This Row],[fecha]])</f>
        <v>7</v>
      </c>
      <c r="E1887" s="8" t="str">
        <f>TEXT(Tabla2[[#This Row],[fecha]], "mmmm")</f>
        <v>julio</v>
      </c>
      <c r="F1887" s="8" t="str">
        <f>"T"&amp;ROUNDUP(Tabla2[[#This Row],[mes]]/3,0)</f>
        <v>T3</v>
      </c>
      <c r="G1887" t="s">
        <v>15</v>
      </c>
      <c r="H1887" t="s">
        <v>16</v>
      </c>
      <c r="I1887" s="8" t="str">
        <f>IF(Tabla2[[#This Row],[precio_unitario]]&lt;=30,"Económico",IF(Tabla2[[#This Row],[precio_unitario]]&lt;=58.49,"Accesible","Caro"))</f>
        <v>Caro</v>
      </c>
      <c r="J1887" t="s">
        <v>17</v>
      </c>
      <c r="K1887">
        <v>1</v>
      </c>
      <c r="L1887" s="19">
        <v>60.43</v>
      </c>
      <c r="M1887" s="19">
        <v>40.11</v>
      </c>
      <c r="N1887" s="11">
        <v>0</v>
      </c>
      <c r="O1887" s="17">
        <f t="shared" si="119"/>
        <v>60.43</v>
      </c>
      <c r="P1887" s="17">
        <f t="shared" si="116"/>
        <v>40.11</v>
      </c>
      <c r="Q1887" s="17">
        <f t="shared" si="117"/>
        <v>20.32</v>
      </c>
      <c r="R1887" s="24">
        <f t="shared" si="118"/>
        <v>0.33625682607976171</v>
      </c>
      <c r="S1887" t="s">
        <v>67</v>
      </c>
      <c r="T1887" t="s">
        <v>60</v>
      </c>
    </row>
    <row r="1888" spans="1:20">
      <c r="A1888" t="s">
        <v>1955</v>
      </c>
      <c r="B1888" s="5">
        <v>45721</v>
      </c>
      <c r="C1888" s="8">
        <f>YEAR(Tabla2[[#This Row],[fecha]])</f>
        <v>2025</v>
      </c>
      <c r="D1888" s="8">
        <f>MONTH(Tabla2[[#This Row],[fecha]])</f>
        <v>3</v>
      </c>
      <c r="E1888" s="8" t="str">
        <f>TEXT(Tabla2[[#This Row],[fecha]], "mmmm")</f>
        <v>marzo</v>
      </c>
      <c r="F1888" s="8" t="str">
        <f>"T"&amp;ROUNDUP(Tabla2[[#This Row],[mes]]/3,0)</f>
        <v>T1</v>
      </c>
      <c r="G1888" t="s">
        <v>18</v>
      </c>
      <c r="H1888" t="s">
        <v>19</v>
      </c>
      <c r="I1888" s="8" t="str">
        <f>IF(Tabla2[[#This Row],[precio_unitario]]&lt;=30,"Económico",IF(Tabla2[[#This Row],[precio_unitario]]&lt;=58.49,"Accesible","Caro"))</f>
        <v>Accesible</v>
      </c>
      <c r="J1888" t="s">
        <v>17</v>
      </c>
      <c r="K1888">
        <v>1</v>
      </c>
      <c r="L1888" s="19">
        <v>45.27</v>
      </c>
      <c r="M1888" s="19">
        <v>26.96</v>
      </c>
      <c r="N1888" s="11">
        <v>0</v>
      </c>
      <c r="O1888" s="17">
        <f t="shared" si="119"/>
        <v>45.27</v>
      </c>
      <c r="P1888" s="17">
        <f t="shared" si="116"/>
        <v>26.96</v>
      </c>
      <c r="Q1888" s="17">
        <f t="shared" si="117"/>
        <v>18.310000000000002</v>
      </c>
      <c r="R1888" s="24">
        <f t="shared" si="118"/>
        <v>0.4044621161917385</v>
      </c>
      <c r="S1888" t="s">
        <v>67</v>
      </c>
      <c r="T1888" t="s">
        <v>64</v>
      </c>
    </row>
    <row r="1889" spans="1:20" hidden="1">
      <c r="A1889" t="s">
        <v>1956</v>
      </c>
      <c r="B1889" s="5">
        <v>45459</v>
      </c>
      <c r="C1889" s="8">
        <f>YEAR(Tabla2[[#This Row],[fecha]])</f>
        <v>2024</v>
      </c>
      <c r="D1889" s="8">
        <f>MONTH(Tabla2[[#This Row],[fecha]])</f>
        <v>6</v>
      </c>
      <c r="E1889" s="8" t="str">
        <f>TEXT(Tabla2[[#This Row],[fecha]], "mmmm")</f>
        <v>junio</v>
      </c>
      <c r="F1889" s="8" t="str">
        <f>"T"&amp;ROUNDUP(Tabla2[[#This Row],[mes]]/3,0)</f>
        <v>T2</v>
      </c>
      <c r="G1889" t="s">
        <v>31</v>
      </c>
      <c r="H1889" t="s">
        <v>32</v>
      </c>
      <c r="I1889" s="8" t="str">
        <f>IF(Tabla2[[#This Row],[precio_unitario]]&lt;=30,"Económico",IF(Tabla2[[#This Row],[precio_unitario]]&lt;=58.49,"Accesible","Caro"))</f>
        <v>Económico</v>
      </c>
      <c r="J1889" t="s">
        <v>26</v>
      </c>
      <c r="K1889">
        <v>1</v>
      </c>
      <c r="L1889" s="19">
        <v>8.9600000000000009</v>
      </c>
      <c r="M1889" s="19">
        <v>11.65</v>
      </c>
      <c r="N1889" s="11">
        <v>0</v>
      </c>
      <c r="O1889" s="17">
        <f t="shared" si="119"/>
        <v>8.9600000000000009</v>
      </c>
      <c r="P1889" s="17">
        <f t="shared" si="116"/>
        <v>11.65</v>
      </c>
      <c r="Q1889" s="17">
        <f t="shared" si="117"/>
        <v>-2.6899999999999995</v>
      </c>
      <c r="R1889" s="24">
        <f t="shared" si="118"/>
        <v>-0.30022321428571419</v>
      </c>
      <c r="S1889" t="s">
        <v>67</v>
      </c>
      <c r="T1889" t="s">
        <v>64</v>
      </c>
    </row>
    <row r="1890" spans="1:20" hidden="1">
      <c r="A1890" t="s">
        <v>1957</v>
      </c>
      <c r="B1890" s="5">
        <v>45612</v>
      </c>
      <c r="C1890" s="8">
        <f>YEAR(Tabla2[[#This Row],[fecha]])</f>
        <v>2024</v>
      </c>
      <c r="D1890" s="8">
        <f>MONTH(Tabla2[[#This Row],[fecha]])</f>
        <v>11</v>
      </c>
      <c r="E1890" s="8" t="str">
        <f>TEXT(Tabla2[[#This Row],[fecha]], "mmmm")</f>
        <v>noviembre</v>
      </c>
      <c r="F1890" s="8" t="str">
        <f>"T"&amp;ROUNDUP(Tabla2[[#This Row],[mes]]/3,0)</f>
        <v>T4</v>
      </c>
      <c r="G1890" t="s">
        <v>47</v>
      </c>
      <c r="H1890" t="s">
        <v>48</v>
      </c>
      <c r="I1890" s="8" t="str">
        <f>IF(Tabla2[[#This Row],[precio_unitario]]&lt;=30,"Económico",IF(Tabla2[[#This Row],[precio_unitario]]&lt;=58.49,"Accesible","Caro"))</f>
        <v>Caro</v>
      </c>
      <c r="J1890" t="s">
        <v>44</v>
      </c>
      <c r="K1890">
        <v>1</v>
      </c>
      <c r="L1890" s="19">
        <v>59.01</v>
      </c>
      <c r="M1890" s="19">
        <v>31.83</v>
      </c>
      <c r="N1890" s="11">
        <v>0</v>
      </c>
      <c r="O1890" s="17">
        <f t="shared" si="119"/>
        <v>59.01</v>
      </c>
      <c r="P1890" s="17">
        <f t="shared" si="116"/>
        <v>31.83</v>
      </c>
      <c r="Q1890" s="17">
        <f t="shared" si="117"/>
        <v>27.18</v>
      </c>
      <c r="R1890" s="24">
        <f t="shared" si="118"/>
        <v>0.46059989832231824</v>
      </c>
      <c r="S1890" t="s">
        <v>67</v>
      </c>
      <c r="T1890" t="s">
        <v>60</v>
      </c>
    </row>
    <row r="1891" spans="1:20" hidden="1">
      <c r="A1891" t="s">
        <v>1958</v>
      </c>
      <c r="B1891" s="5">
        <v>45319</v>
      </c>
      <c r="C1891" s="8">
        <f>YEAR(Tabla2[[#This Row],[fecha]])</f>
        <v>2024</v>
      </c>
      <c r="D1891" s="8">
        <f>MONTH(Tabla2[[#This Row],[fecha]])</f>
        <v>1</v>
      </c>
      <c r="E1891" s="8" t="str">
        <f>TEXT(Tabla2[[#This Row],[fecha]], "mmmm")</f>
        <v>enero</v>
      </c>
      <c r="F1891" s="8" t="str">
        <f>"T"&amp;ROUNDUP(Tabla2[[#This Row],[mes]]/3,0)</f>
        <v>T1</v>
      </c>
      <c r="G1891" t="s">
        <v>18</v>
      </c>
      <c r="H1891" t="s">
        <v>19</v>
      </c>
      <c r="I1891" s="8" t="str">
        <f>IF(Tabla2[[#This Row],[precio_unitario]]&lt;=30,"Económico",IF(Tabla2[[#This Row],[precio_unitario]]&lt;=58.49,"Accesible","Caro"))</f>
        <v>Accesible</v>
      </c>
      <c r="J1891" t="s">
        <v>17</v>
      </c>
      <c r="K1891">
        <v>1</v>
      </c>
      <c r="L1891" s="19">
        <v>49.66</v>
      </c>
      <c r="M1891" s="19">
        <v>25.99</v>
      </c>
      <c r="N1891" s="11">
        <v>0</v>
      </c>
      <c r="O1891" s="17">
        <f t="shared" si="119"/>
        <v>49.66</v>
      </c>
      <c r="P1891" s="17">
        <f t="shared" si="116"/>
        <v>25.99</v>
      </c>
      <c r="Q1891" s="17">
        <f t="shared" si="117"/>
        <v>23.669999999999998</v>
      </c>
      <c r="R1891" s="24">
        <f t="shared" si="118"/>
        <v>0.47664115988723316</v>
      </c>
      <c r="S1891" t="s">
        <v>63</v>
      </c>
      <c r="T1891" t="s">
        <v>60</v>
      </c>
    </row>
    <row r="1892" spans="1:20" hidden="1">
      <c r="A1892" t="s">
        <v>1959</v>
      </c>
      <c r="B1892" s="5">
        <v>45397</v>
      </c>
      <c r="C1892" s="8">
        <f>YEAR(Tabla2[[#This Row],[fecha]])</f>
        <v>2024</v>
      </c>
      <c r="D1892" s="8">
        <f>MONTH(Tabla2[[#This Row],[fecha]])</f>
        <v>4</v>
      </c>
      <c r="E1892" s="8" t="str">
        <f>TEXT(Tabla2[[#This Row],[fecha]], "mmmm")</f>
        <v>abril</v>
      </c>
      <c r="F1892" s="8" t="str">
        <f>"T"&amp;ROUNDUP(Tabla2[[#This Row],[mes]]/3,0)</f>
        <v>T2</v>
      </c>
      <c r="G1892" t="s">
        <v>47</v>
      </c>
      <c r="H1892" t="s">
        <v>48</v>
      </c>
      <c r="I1892" s="8" t="str">
        <f>IF(Tabla2[[#This Row],[precio_unitario]]&lt;=30,"Económico",IF(Tabla2[[#This Row],[precio_unitario]]&lt;=58.49,"Accesible","Caro"))</f>
        <v>Accesible</v>
      </c>
      <c r="J1892" t="s">
        <v>44</v>
      </c>
      <c r="K1892">
        <v>4</v>
      </c>
      <c r="L1892" s="19">
        <v>54.95</v>
      </c>
      <c r="M1892" s="19">
        <v>34.049999999999997</v>
      </c>
      <c r="N1892" s="11">
        <v>0.27</v>
      </c>
      <c r="O1892" s="17">
        <f t="shared" si="119"/>
        <v>160.45400000000001</v>
      </c>
      <c r="P1892" s="17">
        <f t="shared" si="116"/>
        <v>136.19999999999999</v>
      </c>
      <c r="Q1892" s="17">
        <f t="shared" si="117"/>
        <v>24.254000000000019</v>
      </c>
      <c r="R1892" s="24">
        <f t="shared" si="118"/>
        <v>0.15115858750794631</v>
      </c>
      <c r="S1892" t="s">
        <v>67</v>
      </c>
      <c r="T1892" t="s">
        <v>60</v>
      </c>
    </row>
    <row r="1893" spans="1:20">
      <c r="A1893" t="s">
        <v>1960</v>
      </c>
      <c r="B1893" s="5">
        <v>45966</v>
      </c>
      <c r="C1893" s="8">
        <f>YEAR(Tabla2[[#This Row],[fecha]])</f>
        <v>2025</v>
      </c>
      <c r="D1893" s="8">
        <f>MONTH(Tabla2[[#This Row],[fecha]])</f>
        <v>11</v>
      </c>
      <c r="E1893" s="8" t="str">
        <f>TEXT(Tabla2[[#This Row],[fecha]], "mmmm")</f>
        <v>noviembre</v>
      </c>
      <c r="F1893" s="8" t="str">
        <f>"T"&amp;ROUNDUP(Tabla2[[#This Row],[mes]]/3,0)</f>
        <v>T4</v>
      </c>
      <c r="G1893" t="s">
        <v>24</v>
      </c>
      <c r="H1893" t="s">
        <v>25</v>
      </c>
      <c r="I1893" s="8" t="str">
        <f>IF(Tabla2[[#This Row],[precio_unitario]]&lt;=30,"Económico",IF(Tabla2[[#This Row],[precio_unitario]]&lt;=58.49,"Accesible","Caro"))</f>
        <v>Económico</v>
      </c>
      <c r="J1893" t="s">
        <v>26</v>
      </c>
      <c r="K1893">
        <v>2</v>
      </c>
      <c r="L1893" s="19">
        <v>7.97</v>
      </c>
      <c r="M1893" s="19">
        <v>4.3600000000000003</v>
      </c>
      <c r="N1893" s="11">
        <v>0</v>
      </c>
      <c r="O1893" s="17">
        <f t="shared" si="119"/>
        <v>15.94</v>
      </c>
      <c r="P1893" s="17">
        <f t="shared" si="116"/>
        <v>8.7200000000000006</v>
      </c>
      <c r="Q1893" s="17">
        <f t="shared" si="117"/>
        <v>7.2199999999999989</v>
      </c>
      <c r="R1893" s="24">
        <f t="shared" si="118"/>
        <v>0.45294855708908399</v>
      </c>
      <c r="S1893" t="s">
        <v>67</v>
      </c>
      <c r="T1893" t="s">
        <v>64</v>
      </c>
    </row>
    <row r="1894" spans="1:20">
      <c r="A1894" t="s">
        <v>1961</v>
      </c>
      <c r="B1894" s="5">
        <v>45873</v>
      </c>
      <c r="C1894" s="8">
        <f>YEAR(Tabla2[[#This Row],[fecha]])</f>
        <v>2025</v>
      </c>
      <c r="D1894" s="8">
        <f>MONTH(Tabla2[[#This Row],[fecha]])</f>
        <v>8</v>
      </c>
      <c r="E1894" s="8" t="str">
        <f>TEXT(Tabla2[[#This Row],[fecha]], "mmmm")</f>
        <v>agosto</v>
      </c>
      <c r="F1894" s="8" t="str">
        <f>"T"&amp;ROUNDUP(Tabla2[[#This Row],[mes]]/3,0)</f>
        <v>T3</v>
      </c>
      <c r="G1894" t="s">
        <v>45</v>
      </c>
      <c r="H1894" t="s">
        <v>46</v>
      </c>
      <c r="I1894" s="8" t="str">
        <f>IF(Tabla2[[#This Row],[precio_unitario]]&lt;=30,"Económico",IF(Tabla2[[#This Row],[precio_unitario]]&lt;=58.49,"Accesible","Caro"))</f>
        <v>Económico</v>
      </c>
      <c r="J1894" t="s">
        <v>44</v>
      </c>
      <c r="K1894">
        <v>2</v>
      </c>
      <c r="L1894" s="19">
        <v>29.99</v>
      </c>
      <c r="M1894" s="19">
        <v>17.489999999999998</v>
      </c>
      <c r="N1894" s="13">
        <v>0</v>
      </c>
      <c r="O1894" s="17">
        <f t="shared" si="119"/>
        <v>59.98</v>
      </c>
      <c r="P1894" s="17">
        <f t="shared" si="116"/>
        <v>34.979999999999997</v>
      </c>
      <c r="Q1894" s="17">
        <f t="shared" si="117"/>
        <v>25</v>
      </c>
      <c r="R1894" s="24">
        <f t="shared" si="118"/>
        <v>0.4168056018672891</v>
      </c>
      <c r="S1894" t="s">
        <v>67</v>
      </c>
      <c r="T1894" t="s">
        <v>64</v>
      </c>
    </row>
    <row r="1895" spans="1:20" hidden="1">
      <c r="A1895" t="s">
        <v>1962</v>
      </c>
      <c r="B1895" s="5">
        <v>45318</v>
      </c>
      <c r="C1895" s="8">
        <f>YEAR(Tabla2[[#This Row],[fecha]])</f>
        <v>2024</v>
      </c>
      <c r="D1895" s="8">
        <f>MONTH(Tabla2[[#This Row],[fecha]])</f>
        <v>1</v>
      </c>
      <c r="E1895" s="8" t="str">
        <f>TEXT(Tabla2[[#This Row],[fecha]], "mmmm")</f>
        <v>enero</v>
      </c>
      <c r="F1895" s="8" t="str">
        <f>"T"&amp;ROUNDUP(Tabla2[[#This Row],[mes]]/3,0)</f>
        <v>T1</v>
      </c>
      <c r="G1895" t="s">
        <v>18</v>
      </c>
      <c r="H1895" t="s">
        <v>19</v>
      </c>
      <c r="I1895" s="8" t="str">
        <f>IF(Tabla2[[#This Row],[precio_unitario]]&lt;=30,"Económico",IF(Tabla2[[#This Row],[precio_unitario]]&lt;=58.49,"Accesible","Caro"))</f>
        <v>Accesible</v>
      </c>
      <c r="J1895" t="s">
        <v>17</v>
      </c>
      <c r="K1895">
        <v>2</v>
      </c>
      <c r="L1895" s="19">
        <v>47.57</v>
      </c>
      <c r="M1895" s="19">
        <v>27.21</v>
      </c>
      <c r="N1895" s="11">
        <v>0</v>
      </c>
      <c r="O1895" s="17">
        <f t="shared" si="119"/>
        <v>95.14</v>
      </c>
      <c r="P1895" s="17">
        <f t="shared" si="116"/>
        <v>54.42</v>
      </c>
      <c r="Q1895" s="17">
        <f t="shared" si="117"/>
        <v>40.72</v>
      </c>
      <c r="R1895" s="24">
        <f t="shared" si="118"/>
        <v>0.42800084086609208</v>
      </c>
      <c r="S1895" t="s">
        <v>101</v>
      </c>
      <c r="T1895" t="s">
        <v>64</v>
      </c>
    </row>
    <row r="1896" spans="1:20">
      <c r="A1896" t="s">
        <v>1963</v>
      </c>
      <c r="B1896" s="5">
        <v>46003</v>
      </c>
      <c r="C1896" s="8">
        <f>YEAR(Tabla2[[#This Row],[fecha]])</f>
        <v>2025</v>
      </c>
      <c r="D1896" s="8">
        <f>MONTH(Tabla2[[#This Row],[fecha]])</f>
        <v>12</v>
      </c>
      <c r="E1896" s="8" t="str">
        <f>TEXT(Tabla2[[#This Row],[fecha]], "mmmm")</f>
        <v>diciembre</v>
      </c>
      <c r="F1896" s="8" t="str">
        <f>"T"&amp;ROUNDUP(Tabla2[[#This Row],[mes]]/3,0)</f>
        <v>T4</v>
      </c>
      <c r="G1896" t="s">
        <v>15</v>
      </c>
      <c r="H1896" t="s">
        <v>16</v>
      </c>
      <c r="I1896" s="8" t="str">
        <f>IF(Tabla2[[#This Row],[precio_unitario]]&lt;=30,"Económico",IF(Tabla2[[#This Row],[precio_unitario]]&lt;=58.49,"Accesible","Caro"))</f>
        <v>Accesible</v>
      </c>
      <c r="J1896" t="s">
        <v>17</v>
      </c>
      <c r="K1896">
        <v>8</v>
      </c>
      <c r="L1896" s="19">
        <v>55.57</v>
      </c>
      <c r="M1896" s="19">
        <v>39.93</v>
      </c>
      <c r="N1896" s="11">
        <v>0</v>
      </c>
      <c r="O1896" s="17">
        <f t="shared" si="119"/>
        <v>444.56</v>
      </c>
      <c r="P1896" s="17">
        <f t="shared" si="116"/>
        <v>319.44</v>
      </c>
      <c r="Q1896" s="17">
        <f t="shared" si="117"/>
        <v>125.12</v>
      </c>
      <c r="R1896" s="24">
        <f t="shared" si="118"/>
        <v>0.28144682382580533</v>
      </c>
      <c r="S1896" t="s">
        <v>67</v>
      </c>
      <c r="T1896" t="s">
        <v>64</v>
      </c>
    </row>
    <row r="1897" spans="1:20" hidden="1">
      <c r="A1897" t="s">
        <v>1964</v>
      </c>
      <c r="B1897" s="5">
        <v>45375</v>
      </c>
      <c r="C1897" s="8">
        <f>YEAR(Tabla2[[#This Row],[fecha]])</f>
        <v>2024</v>
      </c>
      <c r="D1897" s="8">
        <f>MONTH(Tabla2[[#This Row],[fecha]])</f>
        <v>3</v>
      </c>
      <c r="E1897" s="8" t="str">
        <f>TEXT(Tabla2[[#This Row],[fecha]], "mmmm")</f>
        <v>marzo</v>
      </c>
      <c r="F1897" s="8" t="str">
        <f>"T"&amp;ROUNDUP(Tabla2[[#This Row],[mes]]/3,0)</f>
        <v>T1</v>
      </c>
      <c r="G1897" t="s">
        <v>33</v>
      </c>
      <c r="H1897" t="s">
        <v>34</v>
      </c>
      <c r="I1897" s="8" t="str">
        <f>IF(Tabla2[[#This Row],[precio_unitario]]&lt;=30,"Económico",IF(Tabla2[[#This Row],[precio_unitario]]&lt;=58.49,"Accesible","Caro"))</f>
        <v>Caro</v>
      </c>
      <c r="J1897" t="s">
        <v>35</v>
      </c>
      <c r="K1897">
        <v>4</v>
      </c>
      <c r="L1897" s="19">
        <v>72.36</v>
      </c>
      <c r="M1897" s="19">
        <v>46.61</v>
      </c>
      <c r="N1897" s="11">
        <v>0</v>
      </c>
      <c r="O1897" s="17">
        <f t="shared" si="119"/>
        <v>289.44</v>
      </c>
      <c r="P1897" s="17">
        <f t="shared" si="116"/>
        <v>186.44</v>
      </c>
      <c r="Q1897" s="17">
        <f t="shared" si="117"/>
        <v>103</v>
      </c>
      <c r="R1897" s="24">
        <f t="shared" si="118"/>
        <v>0.35585959093421782</v>
      </c>
      <c r="S1897" t="s">
        <v>67</v>
      </c>
      <c r="T1897" t="s">
        <v>60</v>
      </c>
    </row>
    <row r="1898" spans="1:20" hidden="1">
      <c r="A1898" t="s">
        <v>1965</v>
      </c>
      <c r="B1898" s="5">
        <v>46014</v>
      </c>
      <c r="C1898" s="8">
        <f>YEAR(Tabla2[[#This Row],[fecha]])</f>
        <v>2025</v>
      </c>
      <c r="D1898" s="8">
        <f>MONTH(Tabla2[[#This Row],[fecha]])</f>
        <v>12</v>
      </c>
      <c r="E1898" s="8" t="str">
        <f>TEXT(Tabla2[[#This Row],[fecha]], "mmmm")</f>
        <v>diciembre</v>
      </c>
      <c r="F1898" s="8" t="str">
        <f>"T"&amp;ROUNDUP(Tabla2[[#This Row],[mes]]/3,0)</f>
        <v>T4</v>
      </c>
      <c r="G1898" t="s">
        <v>15</v>
      </c>
      <c r="H1898" t="s">
        <v>16</v>
      </c>
      <c r="I1898" s="8" t="str">
        <f>IF(Tabla2[[#This Row],[precio_unitario]]&lt;=30,"Económico",IF(Tabla2[[#This Row],[precio_unitario]]&lt;=58.49,"Accesible","Caro"))</f>
        <v>Caro</v>
      </c>
      <c r="J1898" t="s">
        <v>17</v>
      </c>
      <c r="K1898">
        <v>1</v>
      </c>
      <c r="L1898" s="19">
        <v>63.87</v>
      </c>
      <c r="M1898" s="19">
        <v>41.62</v>
      </c>
      <c r="N1898" s="13">
        <v>0</v>
      </c>
      <c r="O1898" s="17">
        <f t="shared" si="119"/>
        <v>63.87</v>
      </c>
      <c r="P1898" s="17">
        <f t="shared" si="116"/>
        <v>41.62</v>
      </c>
      <c r="Q1898" s="17">
        <f t="shared" si="117"/>
        <v>22.25</v>
      </c>
      <c r="R1898" s="24">
        <f t="shared" si="118"/>
        <v>0.34836386409895098</v>
      </c>
      <c r="S1898" t="s">
        <v>540</v>
      </c>
      <c r="T1898" t="s">
        <v>64</v>
      </c>
    </row>
    <row r="1899" spans="1:20">
      <c r="A1899" t="s">
        <v>1966</v>
      </c>
      <c r="B1899" s="5">
        <v>45893</v>
      </c>
      <c r="C1899" s="8">
        <f>YEAR(Tabla2[[#This Row],[fecha]])</f>
        <v>2025</v>
      </c>
      <c r="D1899" s="8">
        <f>MONTH(Tabla2[[#This Row],[fecha]])</f>
        <v>8</v>
      </c>
      <c r="E1899" s="8" t="str">
        <f>TEXT(Tabla2[[#This Row],[fecha]], "mmmm")</f>
        <v>agosto</v>
      </c>
      <c r="F1899" s="8" t="str">
        <f>"T"&amp;ROUNDUP(Tabla2[[#This Row],[mes]]/3,0)</f>
        <v>T3</v>
      </c>
      <c r="G1899" t="s">
        <v>31</v>
      </c>
      <c r="H1899" t="s">
        <v>32</v>
      </c>
      <c r="I1899" s="8" t="str">
        <f>IF(Tabla2[[#This Row],[precio_unitario]]&lt;=30,"Económico",IF(Tabla2[[#This Row],[precio_unitario]]&lt;=58.49,"Accesible","Caro"))</f>
        <v>Económico</v>
      </c>
      <c r="J1899" t="s">
        <v>26</v>
      </c>
      <c r="K1899">
        <v>5</v>
      </c>
      <c r="L1899" s="19">
        <v>8.4600000000000009</v>
      </c>
      <c r="M1899" s="19">
        <v>6.06</v>
      </c>
      <c r="N1899" s="11">
        <v>0</v>
      </c>
      <c r="O1899" s="17">
        <f t="shared" si="119"/>
        <v>42.300000000000004</v>
      </c>
      <c r="P1899" s="17">
        <f t="shared" si="116"/>
        <v>30.299999999999997</v>
      </c>
      <c r="Q1899" s="17">
        <f t="shared" si="117"/>
        <v>12.000000000000007</v>
      </c>
      <c r="R1899" s="24">
        <f t="shared" si="118"/>
        <v>0.28368794326241148</v>
      </c>
      <c r="S1899" t="s">
        <v>67</v>
      </c>
      <c r="T1899" t="s">
        <v>64</v>
      </c>
    </row>
    <row r="1900" spans="1:20">
      <c r="A1900" t="s">
        <v>1967</v>
      </c>
      <c r="B1900" s="5">
        <v>45971</v>
      </c>
      <c r="C1900" s="8">
        <f>YEAR(Tabla2[[#This Row],[fecha]])</f>
        <v>2025</v>
      </c>
      <c r="D1900" s="8">
        <f>MONTH(Tabla2[[#This Row],[fecha]])</f>
        <v>11</v>
      </c>
      <c r="E1900" s="8" t="str">
        <f>TEXT(Tabla2[[#This Row],[fecha]], "mmmm")</f>
        <v>noviembre</v>
      </c>
      <c r="F1900" s="8" t="str">
        <f>"T"&amp;ROUNDUP(Tabla2[[#This Row],[mes]]/3,0)</f>
        <v>T4</v>
      </c>
      <c r="G1900" t="s">
        <v>31</v>
      </c>
      <c r="H1900" t="s">
        <v>32</v>
      </c>
      <c r="I1900" s="8" t="str">
        <f>IF(Tabla2[[#This Row],[precio_unitario]]&lt;=30,"Económico",IF(Tabla2[[#This Row],[precio_unitario]]&lt;=58.49,"Accesible","Caro"))</f>
        <v>Económico</v>
      </c>
      <c r="J1900" t="s">
        <v>26</v>
      </c>
      <c r="K1900">
        <v>3</v>
      </c>
      <c r="L1900" s="19">
        <v>9.07</v>
      </c>
      <c r="M1900" s="19">
        <v>5.59</v>
      </c>
      <c r="N1900" s="11">
        <v>0</v>
      </c>
      <c r="O1900" s="17">
        <f t="shared" si="119"/>
        <v>27.21</v>
      </c>
      <c r="P1900" s="17">
        <f t="shared" si="116"/>
        <v>16.77</v>
      </c>
      <c r="Q1900" s="17">
        <f t="shared" si="117"/>
        <v>10.440000000000001</v>
      </c>
      <c r="R1900" s="24">
        <f t="shared" si="118"/>
        <v>0.38368246968026465</v>
      </c>
      <c r="S1900" t="s">
        <v>67</v>
      </c>
      <c r="T1900" t="s">
        <v>60</v>
      </c>
    </row>
    <row r="1901" spans="1:20" hidden="1">
      <c r="A1901" t="s">
        <v>1968</v>
      </c>
      <c r="B1901" s="5">
        <v>45585</v>
      </c>
      <c r="C1901" s="8">
        <f>YEAR(Tabla2[[#This Row],[fecha]])</f>
        <v>2024</v>
      </c>
      <c r="D1901" s="8">
        <f>MONTH(Tabla2[[#This Row],[fecha]])</f>
        <v>10</v>
      </c>
      <c r="E1901" s="8" t="str">
        <f>TEXT(Tabla2[[#This Row],[fecha]], "mmmm")</f>
        <v>octubre</v>
      </c>
      <c r="F1901" s="8" t="str">
        <f>"T"&amp;ROUNDUP(Tabla2[[#This Row],[mes]]/3,0)</f>
        <v>T4</v>
      </c>
      <c r="G1901" t="s">
        <v>9</v>
      </c>
      <c r="H1901" t="s">
        <v>10</v>
      </c>
      <c r="I1901" s="8" t="str">
        <f>IF(Tabla2[[#This Row],[precio_unitario]]&lt;=30,"Económico",IF(Tabla2[[#This Row],[precio_unitario]]&lt;=58.49,"Accesible","Caro"))</f>
        <v>Caro</v>
      </c>
      <c r="J1901" t="s">
        <v>8</v>
      </c>
      <c r="K1901">
        <v>2</v>
      </c>
      <c r="L1901" s="19">
        <v>69.83</v>
      </c>
      <c r="M1901" s="19">
        <v>47.98</v>
      </c>
      <c r="N1901" s="11">
        <v>0</v>
      </c>
      <c r="O1901" s="17">
        <f t="shared" si="119"/>
        <v>139.66</v>
      </c>
      <c r="P1901" s="17">
        <f t="shared" si="116"/>
        <v>95.96</v>
      </c>
      <c r="Q1901" s="17">
        <f t="shared" si="117"/>
        <v>43.7</v>
      </c>
      <c r="R1901" s="24">
        <f t="shared" si="118"/>
        <v>0.31290276385507665</v>
      </c>
      <c r="S1901" t="s">
        <v>67</v>
      </c>
      <c r="T1901" t="s">
        <v>64</v>
      </c>
    </row>
    <row r="1902" spans="1:20">
      <c r="A1902" t="s">
        <v>1969</v>
      </c>
      <c r="B1902" s="5">
        <v>45960</v>
      </c>
      <c r="C1902" s="8">
        <f>YEAR(Tabla2[[#This Row],[fecha]])</f>
        <v>2025</v>
      </c>
      <c r="D1902" s="8">
        <f>MONTH(Tabla2[[#This Row],[fecha]])</f>
        <v>10</v>
      </c>
      <c r="E1902" s="8" t="str">
        <f>TEXT(Tabla2[[#This Row],[fecha]], "mmmm")</f>
        <v>octubre</v>
      </c>
      <c r="F1902" s="8" t="str">
        <f>"T"&amp;ROUNDUP(Tabla2[[#This Row],[mes]]/3,0)</f>
        <v>T4</v>
      </c>
      <c r="G1902" t="s">
        <v>11</v>
      </c>
      <c r="H1902" t="s">
        <v>12</v>
      </c>
      <c r="I1902" s="8" t="str">
        <f>IF(Tabla2[[#This Row],[precio_unitario]]&lt;=30,"Económico",IF(Tabla2[[#This Row],[precio_unitario]]&lt;=58.49,"Accesible","Caro"))</f>
        <v>Caro</v>
      </c>
      <c r="J1902" t="s">
        <v>8</v>
      </c>
      <c r="K1902">
        <v>4</v>
      </c>
      <c r="L1902" s="20">
        <f>INDEX(Tabla3[precio_venta_recomendado], MATCH(Tabla2[[#This Row],[id_producto]], Tabla3[id_producto], 0))</f>
        <v>177.72</v>
      </c>
      <c r="M1902" s="19">
        <v>95.38</v>
      </c>
      <c r="N1902" s="13">
        <v>0</v>
      </c>
      <c r="O1902" s="17">
        <f t="shared" si="119"/>
        <v>710.88</v>
      </c>
      <c r="P1902" s="17">
        <f t="shared" si="116"/>
        <v>381.52</v>
      </c>
      <c r="Q1902" s="17">
        <f t="shared" si="117"/>
        <v>329.36</v>
      </c>
      <c r="R1902" s="24">
        <f t="shared" si="118"/>
        <v>0.46331307674994376</v>
      </c>
      <c r="S1902" t="s">
        <v>67</v>
      </c>
      <c r="T1902" t="s">
        <v>64</v>
      </c>
    </row>
    <row r="1903" spans="1:20" hidden="1">
      <c r="A1903" t="s">
        <v>1970</v>
      </c>
      <c r="B1903" s="5">
        <v>45312</v>
      </c>
      <c r="C1903" s="8">
        <f>YEAR(Tabla2[[#This Row],[fecha]])</f>
        <v>2024</v>
      </c>
      <c r="D1903" s="8">
        <f>MONTH(Tabla2[[#This Row],[fecha]])</f>
        <v>1</v>
      </c>
      <c r="E1903" s="8" t="str">
        <f>TEXT(Tabla2[[#This Row],[fecha]], "mmmm")</f>
        <v>enero</v>
      </c>
      <c r="F1903" s="8" t="str">
        <f>"T"&amp;ROUNDUP(Tabla2[[#This Row],[mes]]/3,0)</f>
        <v>T1</v>
      </c>
      <c r="G1903" t="s">
        <v>40</v>
      </c>
      <c r="H1903" t="s">
        <v>41</v>
      </c>
      <c r="I1903" s="8" t="str">
        <f>IF(Tabla2[[#This Row],[precio_unitario]]&lt;=30,"Económico",IF(Tabla2[[#This Row],[precio_unitario]]&lt;=58.49,"Accesible","Caro"))</f>
        <v>Caro</v>
      </c>
      <c r="J1903" t="s">
        <v>35</v>
      </c>
      <c r="K1903">
        <v>2</v>
      </c>
      <c r="L1903" s="19">
        <v>73.36</v>
      </c>
      <c r="M1903" s="19">
        <v>42.88</v>
      </c>
      <c r="N1903" s="11">
        <v>0</v>
      </c>
      <c r="O1903" s="17">
        <f t="shared" si="119"/>
        <v>146.72</v>
      </c>
      <c r="P1903" s="17">
        <f t="shared" si="116"/>
        <v>85.76</v>
      </c>
      <c r="Q1903" s="17">
        <f t="shared" si="117"/>
        <v>60.959999999999994</v>
      </c>
      <c r="R1903" s="24">
        <f t="shared" si="118"/>
        <v>0.41548527808069791</v>
      </c>
      <c r="S1903" t="s">
        <v>67</v>
      </c>
      <c r="T1903" t="s">
        <v>64</v>
      </c>
    </row>
    <row r="1904" spans="1:20">
      <c r="A1904" t="s">
        <v>1971</v>
      </c>
      <c r="B1904" s="5">
        <v>45897</v>
      </c>
      <c r="C1904" s="8">
        <f>YEAR(Tabla2[[#This Row],[fecha]])</f>
        <v>2025</v>
      </c>
      <c r="D1904" s="8">
        <f>MONTH(Tabla2[[#This Row],[fecha]])</f>
        <v>8</v>
      </c>
      <c r="E1904" s="8" t="str">
        <f>TEXT(Tabla2[[#This Row],[fecha]], "mmmm")</f>
        <v>agosto</v>
      </c>
      <c r="F1904" s="8" t="str">
        <f>"T"&amp;ROUNDUP(Tabla2[[#This Row],[mes]]/3,0)</f>
        <v>T3</v>
      </c>
      <c r="G1904" t="s">
        <v>31</v>
      </c>
      <c r="H1904" t="s">
        <v>32</v>
      </c>
      <c r="I1904" s="8" t="str">
        <f>IF(Tabla2[[#This Row],[precio_unitario]]&lt;=30,"Económico",IF(Tabla2[[#This Row],[precio_unitario]]&lt;=58.49,"Accesible","Caro"))</f>
        <v>Económico</v>
      </c>
      <c r="J1904" t="s">
        <v>26</v>
      </c>
      <c r="K1904">
        <v>3</v>
      </c>
      <c r="L1904" s="19">
        <v>9.42</v>
      </c>
      <c r="M1904" s="19">
        <v>5.99</v>
      </c>
      <c r="N1904" s="13">
        <v>0.13500000000000001</v>
      </c>
      <c r="O1904" s="17">
        <f t="shared" si="119"/>
        <v>24.444899999999997</v>
      </c>
      <c r="P1904" s="17">
        <f t="shared" si="116"/>
        <v>17.97</v>
      </c>
      <c r="Q1904" s="17">
        <f t="shared" si="117"/>
        <v>6.4748999999999981</v>
      </c>
      <c r="R1904" s="24">
        <f t="shared" si="118"/>
        <v>0.26487733637691291</v>
      </c>
      <c r="S1904" t="s">
        <v>67</v>
      </c>
      <c r="T1904" t="s">
        <v>64</v>
      </c>
    </row>
    <row r="1905" spans="1:20" hidden="1">
      <c r="A1905" t="s">
        <v>1972</v>
      </c>
      <c r="B1905" s="5">
        <v>45953</v>
      </c>
      <c r="C1905" s="8">
        <f>YEAR(Tabla2[[#This Row],[fecha]])</f>
        <v>2025</v>
      </c>
      <c r="D1905" s="8">
        <f>MONTH(Tabla2[[#This Row],[fecha]])</f>
        <v>10</v>
      </c>
      <c r="E1905" s="8" t="str">
        <f>TEXT(Tabla2[[#This Row],[fecha]], "mmmm")</f>
        <v>octubre</v>
      </c>
      <c r="F1905" s="8" t="str">
        <f>"T"&amp;ROUNDUP(Tabla2[[#This Row],[mes]]/3,0)</f>
        <v>T4</v>
      </c>
      <c r="G1905" t="s">
        <v>9</v>
      </c>
      <c r="H1905" t="s">
        <v>10</v>
      </c>
      <c r="I1905" s="8" t="str">
        <f>IF(Tabla2[[#This Row],[precio_unitario]]&lt;=30,"Económico",IF(Tabla2[[#This Row],[precio_unitario]]&lt;=58.49,"Accesible","Caro"))</f>
        <v>Caro</v>
      </c>
      <c r="J1905" t="s">
        <v>8</v>
      </c>
      <c r="K1905">
        <v>4</v>
      </c>
      <c r="L1905" s="19">
        <v>69.7</v>
      </c>
      <c r="M1905" s="19">
        <v>46.94</v>
      </c>
      <c r="N1905" s="11">
        <v>0</v>
      </c>
      <c r="O1905" s="17">
        <f t="shared" si="119"/>
        <v>278.8</v>
      </c>
      <c r="P1905" s="17">
        <f t="shared" si="116"/>
        <v>187.76</v>
      </c>
      <c r="Q1905" s="17">
        <f t="shared" si="117"/>
        <v>91.04000000000002</v>
      </c>
      <c r="R1905" s="24">
        <f t="shared" si="118"/>
        <v>0.32654232424677193</v>
      </c>
      <c r="S1905" t="s">
        <v>63</v>
      </c>
      <c r="T1905" t="s">
        <v>64</v>
      </c>
    </row>
    <row r="1906" spans="1:20" hidden="1">
      <c r="A1906" t="s">
        <v>1973</v>
      </c>
      <c r="B1906" s="5">
        <v>45718</v>
      </c>
      <c r="C1906" s="8">
        <f>YEAR(Tabla2[[#This Row],[fecha]])</f>
        <v>2025</v>
      </c>
      <c r="D1906" s="8">
        <f>MONTH(Tabla2[[#This Row],[fecha]])</f>
        <v>3</v>
      </c>
      <c r="E1906" s="8" t="str">
        <f>TEXT(Tabla2[[#This Row],[fecha]], "mmmm")</f>
        <v>marzo</v>
      </c>
      <c r="F1906" s="8" t="str">
        <f>"T"&amp;ROUNDUP(Tabla2[[#This Row],[mes]]/3,0)</f>
        <v>T1</v>
      </c>
      <c r="G1906" t="s">
        <v>20</v>
      </c>
      <c r="H1906" t="s">
        <v>21</v>
      </c>
      <c r="I1906" s="8" t="str">
        <f>IF(Tabla2[[#This Row],[precio_unitario]]&lt;=30,"Económico",IF(Tabla2[[#This Row],[precio_unitario]]&lt;=58.49,"Accesible","Caro"))</f>
        <v>Económico</v>
      </c>
      <c r="J1906" t="s">
        <v>17</v>
      </c>
      <c r="K1906">
        <v>4</v>
      </c>
      <c r="L1906" s="19">
        <v>19.25</v>
      </c>
      <c r="M1906" s="19">
        <v>13.05</v>
      </c>
      <c r="N1906" s="13">
        <v>0</v>
      </c>
      <c r="O1906" s="17">
        <f t="shared" si="119"/>
        <v>77</v>
      </c>
      <c r="P1906" s="17">
        <f t="shared" si="116"/>
        <v>52.2</v>
      </c>
      <c r="Q1906" s="17">
        <f t="shared" si="117"/>
        <v>24.799999999999997</v>
      </c>
      <c r="R1906" s="24">
        <f t="shared" si="118"/>
        <v>0.32207792207792202</v>
      </c>
      <c r="S1906" t="s">
        <v>540</v>
      </c>
      <c r="T1906" t="s">
        <v>64</v>
      </c>
    </row>
    <row r="1907" spans="1:20" hidden="1">
      <c r="A1907" t="s">
        <v>1974</v>
      </c>
      <c r="B1907" s="5">
        <v>45516</v>
      </c>
      <c r="C1907" s="8">
        <f>YEAR(Tabla2[[#This Row],[fecha]])</f>
        <v>2024</v>
      </c>
      <c r="D1907" s="8">
        <f>MONTH(Tabla2[[#This Row],[fecha]])</f>
        <v>8</v>
      </c>
      <c r="E1907" s="8" t="str">
        <f>TEXT(Tabla2[[#This Row],[fecha]], "mmmm")</f>
        <v>agosto</v>
      </c>
      <c r="F1907" s="8" t="str">
        <f>"T"&amp;ROUNDUP(Tabla2[[#This Row],[mes]]/3,0)</f>
        <v>T3</v>
      </c>
      <c r="G1907" t="s">
        <v>31</v>
      </c>
      <c r="H1907" t="s">
        <v>32</v>
      </c>
      <c r="I1907" s="8" t="str">
        <f>IF(Tabla2[[#This Row],[precio_unitario]]&lt;=30,"Económico",IF(Tabla2[[#This Row],[precio_unitario]]&lt;=58.49,"Accesible","Caro"))</f>
        <v>Económico</v>
      </c>
      <c r="J1907" t="s">
        <v>26</v>
      </c>
      <c r="K1907">
        <v>4</v>
      </c>
      <c r="L1907" s="19">
        <v>8.9600000000000009</v>
      </c>
      <c r="M1907" s="19">
        <v>5.97</v>
      </c>
      <c r="N1907" s="11">
        <v>0</v>
      </c>
      <c r="O1907" s="17">
        <f t="shared" si="119"/>
        <v>35.840000000000003</v>
      </c>
      <c r="P1907" s="17">
        <f t="shared" si="116"/>
        <v>23.88</v>
      </c>
      <c r="Q1907" s="17">
        <f t="shared" si="117"/>
        <v>11.960000000000004</v>
      </c>
      <c r="R1907" s="24">
        <f t="shared" si="118"/>
        <v>0.33370535714285721</v>
      </c>
      <c r="S1907" t="s">
        <v>83</v>
      </c>
      <c r="T1907" t="s">
        <v>64</v>
      </c>
    </row>
    <row r="1908" spans="1:20" hidden="1">
      <c r="A1908" t="s">
        <v>1975</v>
      </c>
      <c r="B1908" s="5">
        <v>45694</v>
      </c>
      <c r="C1908" s="8">
        <f>YEAR(Tabla2[[#This Row],[fecha]])</f>
        <v>2025</v>
      </c>
      <c r="D1908" s="8">
        <f>MONTH(Tabla2[[#This Row],[fecha]])</f>
        <v>2</v>
      </c>
      <c r="E1908" s="8" t="str">
        <f>TEXT(Tabla2[[#This Row],[fecha]], "mmmm")</f>
        <v>febrero</v>
      </c>
      <c r="F1908" s="8" t="str">
        <f>"T"&amp;ROUNDUP(Tabla2[[#This Row],[mes]]/3,0)</f>
        <v>T1</v>
      </c>
      <c r="G1908" t="s">
        <v>9</v>
      </c>
      <c r="H1908" t="s">
        <v>10</v>
      </c>
      <c r="I1908" s="8" t="str">
        <f>IF(Tabla2[[#This Row],[precio_unitario]]&lt;=30,"Económico",IF(Tabla2[[#This Row],[precio_unitario]]&lt;=58.49,"Accesible","Caro"))</f>
        <v>Caro</v>
      </c>
      <c r="J1908" t="s">
        <v>8</v>
      </c>
      <c r="K1908">
        <v>2</v>
      </c>
      <c r="L1908" s="19">
        <v>68.349999999999994</v>
      </c>
      <c r="M1908" s="19">
        <v>45.54</v>
      </c>
      <c r="N1908" s="11">
        <v>0</v>
      </c>
      <c r="O1908" s="17">
        <f t="shared" si="119"/>
        <v>136.69999999999999</v>
      </c>
      <c r="P1908" s="17">
        <f t="shared" si="116"/>
        <v>91.08</v>
      </c>
      <c r="Q1908" s="17">
        <f t="shared" si="117"/>
        <v>45.61999999999999</v>
      </c>
      <c r="R1908" s="24">
        <f t="shared" si="118"/>
        <v>0.33372348207754204</v>
      </c>
      <c r="S1908" t="s">
        <v>540</v>
      </c>
      <c r="T1908" t="s">
        <v>64</v>
      </c>
    </row>
    <row r="1909" spans="1:20">
      <c r="A1909" t="s">
        <v>1976</v>
      </c>
      <c r="B1909" s="5">
        <v>45733</v>
      </c>
      <c r="C1909" s="8">
        <f>YEAR(Tabla2[[#This Row],[fecha]])</f>
        <v>2025</v>
      </c>
      <c r="D1909" s="8">
        <f>MONTH(Tabla2[[#This Row],[fecha]])</f>
        <v>3</v>
      </c>
      <c r="E1909" s="8" t="str">
        <f>TEXT(Tabla2[[#This Row],[fecha]], "mmmm")</f>
        <v>marzo</v>
      </c>
      <c r="F1909" s="8" t="str">
        <f>"T"&amp;ROUNDUP(Tabla2[[#This Row],[mes]]/3,0)</f>
        <v>T1</v>
      </c>
      <c r="G1909" t="s">
        <v>13</v>
      </c>
      <c r="H1909" t="s">
        <v>14</v>
      </c>
      <c r="I1909" s="8" t="str">
        <f>IF(Tabla2[[#This Row],[precio_unitario]]&lt;=30,"Económico",IF(Tabla2[[#This Row],[precio_unitario]]&lt;=58.49,"Accesible","Caro"))</f>
        <v>Caro</v>
      </c>
      <c r="J1909" t="s">
        <v>8</v>
      </c>
      <c r="K1909">
        <v>2</v>
      </c>
      <c r="L1909" s="19">
        <v>151.37</v>
      </c>
      <c r="M1909" s="19">
        <v>104.68</v>
      </c>
      <c r="N1909" s="11">
        <v>0</v>
      </c>
      <c r="O1909" s="17">
        <f t="shared" si="119"/>
        <v>302.74</v>
      </c>
      <c r="P1909" s="17">
        <f t="shared" si="116"/>
        <v>209.36</v>
      </c>
      <c r="Q1909" s="17">
        <f t="shared" si="117"/>
        <v>93.38</v>
      </c>
      <c r="R1909" s="24">
        <f t="shared" si="118"/>
        <v>0.30844949461584198</v>
      </c>
      <c r="S1909" t="s">
        <v>67</v>
      </c>
      <c r="T1909" t="s">
        <v>64</v>
      </c>
    </row>
    <row r="1910" spans="1:20" hidden="1">
      <c r="A1910" t="s">
        <v>1977</v>
      </c>
      <c r="B1910" s="5">
        <v>45347</v>
      </c>
      <c r="C1910" s="8">
        <f>YEAR(Tabla2[[#This Row],[fecha]])</f>
        <v>2024</v>
      </c>
      <c r="D1910" s="8">
        <f>MONTH(Tabla2[[#This Row],[fecha]])</f>
        <v>2</v>
      </c>
      <c r="E1910" s="8" t="str">
        <f>TEXT(Tabla2[[#This Row],[fecha]], "mmmm")</f>
        <v>febrero</v>
      </c>
      <c r="F1910" s="8" t="str">
        <f>"T"&amp;ROUNDUP(Tabla2[[#This Row],[mes]]/3,0)</f>
        <v>T1</v>
      </c>
      <c r="G1910" t="s">
        <v>47</v>
      </c>
      <c r="H1910" t="s">
        <v>48</v>
      </c>
      <c r="I1910" s="8" t="str">
        <f>IF(Tabla2[[#This Row],[precio_unitario]]&lt;=30,"Económico",IF(Tabla2[[#This Row],[precio_unitario]]&lt;=58.49,"Accesible","Caro"))</f>
        <v>Accesible</v>
      </c>
      <c r="J1910" t="s">
        <v>44</v>
      </c>
      <c r="K1910">
        <v>3</v>
      </c>
      <c r="L1910" s="19">
        <v>55.31</v>
      </c>
      <c r="M1910" s="19">
        <v>31.37</v>
      </c>
      <c r="N1910" s="11">
        <v>0</v>
      </c>
      <c r="O1910" s="17">
        <f t="shared" si="119"/>
        <v>165.93</v>
      </c>
      <c r="P1910" s="17">
        <f t="shared" si="116"/>
        <v>94.11</v>
      </c>
      <c r="Q1910" s="17">
        <f t="shared" si="117"/>
        <v>71.820000000000007</v>
      </c>
      <c r="R1910" s="24">
        <f t="shared" si="118"/>
        <v>0.43283312240101252</v>
      </c>
      <c r="S1910" t="s">
        <v>96</v>
      </c>
      <c r="T1910" t="s">
        <v>64</v>
      </c>
    </row>
    <row r="1911" spans="1:20" hidden="1">
      <c r="A1911" t="s">
        <v>1978</v>
      </c>
      <c r="B1911" s="5">
        <v>45506</v>
      </c>
      <c r="C1911" s="8">
        <f>YEAR(Tabla2[[#This Row],[fecha]])</f>
        <v>2024</v>
      </c>
      <c r="D1911" s="8">
        <f>MONTH(Tabla2[[#This Row],[fecha]])</f>
        <v>8</v>
      </c>
      <c r="E1911" s="8" t="str">
        <f>TEXT(Tabla2[[#This Row],[fecha]], "mmmm")</f>
        <v>agosto</v>
      </c>
      <c r="F1911" s="8" t="str">
        <f>"T"&amp;ROUNDUP(Tabla2[[#This Row],[mes]]/3,0)</f>
        <v>T3</v>
      </c>
      <c r="G1911" t="s">
        <v>15</v>
      </c>
      <c r="H1911" t="s">
        <v>16</v>
      </c>
      <c r="I1911" s="8" t="str">
        <f>IF(Tabla2[[#This Row],[precio_unitario]]&lt;=30,"Económico",IF(Tabla2[[#This Row],[precio_unitario]]&lt;=58.49,"Accesible","Caro"))</f>
        <v>Caro</v>
      </c>
      <c r="J1911" t="s">
        <v>17</v>
      </c>
      <c r="K1911">
        <v>1</v>
      </c>
      <c r="L1911" s="19">
        <v>61.69</v>
      </c>
      <c r="M1911" s="19">
        <v>39.18</v>
      </c>
      <c r="N1911" s="11">
        <v>0.2</v>
      </c>
      <c r="O1911" s="17">
        <f t="shared" si="119"/>
        <v>49.352000000000004</v>
      </c>
      <c r="P1911" s="17">
        <f t="shared" si="116"/>
        <v>39.18</v>
      </c>
      <c r="Q1911" s="17">
        <f t="shared" si="117"/>
        <v>10.172000000000004</v>
      </c>
      <c r="R1911" s="24">
        <f t="shared" si="118"/>
        <v>0.20611120116712603</v>
      </c>
      <c r="S1911" t="s">
        <v>101</v>
      </c>
      <c r="T1911" t="s">
        <v>64</v>
      </c>
    </row>
    <row r="1912" spans="1:20">
      <c r="A1912" t="s">
        <v>1979</v>
      </c>
      <c r="B1912" s="5">
        <v>45850</v>
      </c>
      <c r="C1912" s="8">
        <f>YEAR(Tabla2[[#This Row],[fecha]])</f>
        <v>2025</v>
      </c>
      <c r="D1912" s="8">
        <f>MONTH(Tabla2[[#This Row],[fecha]])</f>
        <v>7</v>
      </c>
      <c r="E1912" s="8" t="str">
        <f>TEXT(Tabla2[[#This Row],[fecha]], "mmmm")</f>
        <v>julio</v>
      </c>
      <c r="F1912" s="8" t="str">
        <f>"T"&amp;ROUNDUP(Tabla2[[#This Row],[mes]]/3,0)</f>
        <v>T3</v>
      </c>
      <c r="G1912" t="s">
        <v>31</v>
      </c>
      <c r="H1912" t="s">
        <v>32</v>
      </c>
      <c r="I1912" s="8" t="str">
        <f>IF(Tabla2[[#This Row],[precio_unitario]]&lt;=30,"Económico",IF(Tabla2[[#This Row],[precio_unitario]]&lt;=58.49,"Accesible","Caro"))</f>
        <v>Económico</v>
      </c>
      <c r="J1912" t="s">
        <v>26</v>
      </c>
      <c r="K1912">
        <v>2</v>
      </c>
      <c r="L1912" s="19">
        <v>9.2899999999999991</v>
      </c>
      <c r="M1912" s="19">
        <v>5.93</v>
      </c>
      <c r="N1912" s="11">
        <v>0</v>
      </c>
      <c r="O1912" s="17">
        <f t="shared" si="119"/>
        <v>18.579999999999998</v>
      </c>
      <c r="P1912" s="17">
        <f t="shared" si="116"/>
        <v>11.86</v>
      </c>
      <c r="Q1912" s="17">
        <f t="shared" si="117"/>
        <v>6.7199999999999989</v>
      </c>
      <c r="R1912" s="24">
        <f t="shared" si="118"/>
        <v>0.3616792249730893</v>
      </c>
      <c r="S1912" t="s">
        <v>67</v>
      </c>
      <c r="T1912" t="s">
        <v>64</v>
      </c>
    </row>
    <row r="1913" spans="1:20">
      <c r="A1913" t="s">
        <v>1980</v>
      </c>
      <c r="B1913" s="5">
        <v>45782</v>
      </c>
      <c r="C1913" s="8">
        <f>YEAR(Tabla2[[#This Row],[fecha]])</f>
        <v>2025</v>
      </c>
      <c r="D1913" s="8">
        <f>MONTH(Tabla2[[#This Row],[fecha]])</f>
        <v>5</v>
      </c>
      <c r="E1913" s="8" t="str">
        <f>TEXT(Tabla2[[#This Row],[fecha]], "mmmm")</f>
        <v>mayo</v>
      </c>
      <c r="F1913" s="8" t="str">
        <f>"T"&amp;ROUNDUP(Tabla2[[#This Row],[mes]]/3,0)</f>
        <v>T2</v>
      </c>
      <c r="G1913" t="s">
        <v>22</v>
      </c>
      <c r="H1913" t="s">
        <v>23</v>
      </c>
      <c r="I1913" s="8" t="str">
        <f>IF(Tabla2[[#This Row],[precio_unitario]]&lt;=30,"Económico",IF(Tabla2[[#This Row],[precio_unitario]]&lt;=58.49,"Accesible","Caro"))</f>
        <v>Caro</v>
      </c>
      <c r="J1913" t="s">
        <v>17</v>
      </c>
      <c r="K1913">
        <v>1</v>
      </c>
      <c r="L1913" s="19">
        <v>108.7</v>
      </c>
      <c r="M1913" s="19">
        <v>57.47</v>
      </c>
      <c r="N1913" s="11">
        <v>0</v>
      </c>
      <c r="O1913" s="17">
        <f t="shared" si="119"/>
        <v>108.7</v>
      </c>
      <c r="P1913" s="17">
        <f t="shared" si="116"/>
        <v>57.47</v>
      </c>
      <c r="Q1913" s="17">
        <f t="shared" si="117"/>
        <v>51.230000000000004</v>
      </c>
      <c r="R1913" s="24">
        <f t="shared" si="118"/>
        <v>0.47129714811407547</v>
      </c>
      <c r="S1913" t="s">
        <v>67</v>
      </c>
      <c r="T1913" t="s">
        <v>60</v>
      </c>
    </row>
    <row r="1914" spans="1:20">
      <c r="A1914" t="s">
        <v>1981</v>
      </c>
      <c r="B1914" s="5">
        <v>45665</v>
      </c>
      <c r="C1914" s="8">
        <f>YEAR(Tabla2[[#This Row],[fecha]])</f>
        <v>2025</v>
      </c>
      <c r="D1914" s="8">
        <f>MONTH(Tabla2[[#This Row],[fecha]])</f>
        <v>1</v>
      </c>
      <c r="E1914" s="8" t="str">
        <f>TEXT(Tabla2[[#This Row],[fecha]], "mmmm")</f>
        <v>enero</v>
      </c>
      <c r="F1914" s="8" t="str">
        <f>"T"&amp;ROUNDUP(Tabla2[[#This Row],[mes]]/3,0)</f>
        <v>T1</v>
      </c>
      <c r="G1914" t="s">
        <v>33</v>
      </c>
      <c r="H1914" t="s">
        <v>34</v>
      </c>
      <c r="I1914" s="8" t="str">
        <f>IF(Tabla2[[#This Row],[precio_unitario]]&lt;=30,"Económico",IF(Tabla2[[#This Row],[precio_unitario]]&lt;=58.49,"Accesible","Caro"))</f>
        <v>Caro</v>
      </c>
      <c r="J1914" t="s">
        <v>35</v>
      </c>
      <c r="K1914">
        <v>3</v>
      </c>
      <c r="L1914" s="19">
        <v>79.040000000000006</v>
      </c>
      <c r="M1914" s="19">
        <v>47.86</v>
      </c>
      <c r="N1914" s="11">
        <v>0</v>
      </c>
      <c r="O1914" s="17">
        <f t="shared" si="119"/>
        <v>237.12</v>
      </c>
      <c r="P1914" s="17">
        <f t="shared" si="116"/>
        <v>143.57999999999998</v>
      </c>
      <c r="Q1914" s="17">
        <f t="shared" si="117"/>
        <v>93.54000000000002</v>
      </c>
      <c r="R1914" s="24">
        <f t="shared" si="118"/>
        <v>0.39448380566801627</v>
      </c>
      <c r="S1914" t="s">
        <v>67</v>
      </c>
      <c r="T1914" t="s">
        <v>64</v>
      </c>
    </row>
    <row r="1915" spans="1:20" hidden="1">
      <c r="A1915" t="s">
        <v>1982</v>
      </c>
      <c r="B1915" s="5">
        <v>45974</v>
      </c>
      <c r="C1915" s="8">
        <f>YEAR(Tabla2[[#This Row],[fecha]])</f>
        <v>2025</v>
      </c>
      <c r="D1915" s="8">
        <f>MONTH(Tabla2[[#This Row],[fecha]])</f>
        <v>11</v>
      </c>
      <c r="E1915" s="8" t="str">
        <f>TEXT(Tabla2[[#This Row],[fecha]], "mmmm")</f>
        <v>noviembre</v>
      </c>
      <c r="F1915" s="8" t="str">
        <f>"T"&amp;ROUNDUP(Tabla2[[#This Row],[mes]]/3,0)</f>
        <v>T4</v>
      </c>
      <c r="G1915" t="s">
        <v>31</v>
      </c>
      <c r="H1915" t="s">
        <v>32</v>
      </c>
      <c r="I1915" s="8" t="str">
        <f>IF(Tabla2[[#This Row],[precio_unitario]]&lt;=30,"Económico",IF(Tabla2[[#This Row],[precio_unitario]]&lt;=58.49,"Accesible","Caro"))</f>
        <v>Económico</v>
      </c>
      <c r="J1915" t="s">
        <v>26</v>
      </c>
      <c r="K1915">
        <v>1</v>
      </c>
      <c r="L1915" s="19">
        <v>9.42</v>
      </c>
      <c r="M1915" s="19">
        <v>5.84</v>
      </c>
      <c r="N1915" s="11">
        <v>0</v>
      </c>
      <c r="O1915" s="17">
        <f t="shared" si="119"/>
        <v>9.42</v>
      </c>
      <c r="P1915" s="17">
        <f t="shared" si="116"/>
        <v>5.84</v>
      </c>
      <c r="Q1915" s="17">
        <f t="shared" si="117"/>
        <v>3.58</v>
      </c>
      <c r="R1915" s="24">
        <f t="shared" si="118"/>
        <v>0.38004246284501064</v>
      </c>
      <c r="S1915" t="s">
        <v>83</v>
      </c>
      <c r="T1915" t="s">
        <v>60</v>
      </c>
    </row>
    <row r="1916" spans="1:20">
      <c r="A1916" t="s">
        <v>1983</v>
      </c>
      <c r="B1916" s="5">
        <v>45738</v>
      </c>
      <c r="C1916" s="8">
        <f>YEAR(Tabla2[[#This Row],[fecha]])</f>
        <v>2025</v>
      </c>
      <c r="D1916" s="8">
        <f>MONTH(Tabla2[[#This Row],[fecha]])</f>
        <v>3</v>
      </c>
      <c r="E1916" s="8" t="str">
        <f>TEXT(Tabla2[[#This Row],[fecha]], "mmmm")</f>
        <v>marzo</v>
      </c>
      <c r="F1916" s="8" t="str">
        <f>"T"&amp;ROUNDUP(Tabla2[[#This Row],[mes]]/3,0)</f>
        <v>T1</v>
      </c>
      <c r="G1916" t="s">
        <v>38</v>
      </c>
      <c r="H1916" t="s">
        <v>39</v>
      </c>
      <c r="I1916" s="8" t="str">
        <f>IF(Tabla2[[#This Row],[precio_unitario]]&lt;=30,"Económico",IF(Tabla2[[#This Row],[precio_unitario]]&lt;=58.49,"Accesible","Caro"))</f>
        <v>Caro</v>
      </c>
      <c r="J1916" t="s">
        <v>35</v>
      </c>
      <c r="K1916">
        <v>1</v>
      </c>
      <c r="L1916" s="19">
        <v>81.11</v>
      </c>
      <c r="M1916" s="21">
        <f>INDEX(Tabla3[coste_objetivo], MATCH(Tabla2[[#This Row],[id_producto]], Tabla3[id_producto],0))</f>
        <v>42.79</v>
      </c>
      <c r="N1916" s="11">
        <v>0</v>
      </c>
      <c r="O1916" s="17">
        <f t="shared" si="119"/>
        <v>81.11</v>
      </c>
      <c r="P1916" s="17">
        <f t="shared" si="116"/>
        <v>42.79</v>
      </c>
      <c r="Q1916" s="17">
        <f t="shared" si="117"/>
        <v>38.32</v>
      </c>
      <c r="R1916" s="24">
        <f t="shared" si="118"/>
        <v>0.47244482801134263</v>
      </c>
      <c r="S1916" t="s">
        <v>67</v>
      </c>
      <c r="T1916" t="s">
        <v>64</v>
      </c>
    </row>
    <row r="1917" spans="1:20">
      <c r="A1917" t="s">
        <v>1984</v>
      </c>
      <c r="B1917" s="5">
        <v>45710</v>
      </c>
      <c r="C1917" s="8">
        <f>YEAR(Tabla2[[#This Row],[fecha]])</f>
        <v>2025</v>
      </c>
      <c r="D1917" s="8">
        <f>MONTH(Tabla2[[#This Row],[fecha]])</f>
        <v>2</v>
      </c>
      <c r="E1917" s="8" t="str">
        <f>TEXT(Tabla2[[#This Row],[fecha]], "mmmm")</f>
        <v>febrero</v>
      </c>
      <c r="F1917" s="8" t="str">
        <f>"T"&amp;ROUNDUP(Tabla2[[#This Row],[mes]]/3,0)</f>
        <v>T1</v>
      </c>
      <c r="G1917" t="s">
        <v>36</v>
      </c>
      <c r="H1917" t="s">
        <v>37</v>
      </c>
      <c r="I1917" s="8" t="str">
        <f>IF(Tabla2[[#This Row],[precio_unitario]]&lt;=30,"Económico",IF(Tabla2[[#This Row],[precio_unitario]]&lt;=58.49,"Accesible","Caro"))</f>
        <v>Económico</v>
      </c>
      <c r="J1917" t="s">
        <v>35</v>
      </c>
      <c r="K1917">
        <v>6</v>
      </c>
      <c r="L1917" s="19">
        <v>14.88</v>
      </c>
      <c r="M1917" s="19">
        <v>9.39</v>
      </c>
      <c r="N1917" s="13">
        <v>0</v>
      </c>
      <c r="O1917" s="17">
        <f t="shared" si="119"/>
        <v>89.28</v>
      </c>
      <c r="P1917" s="17">
        <f t="shared" si="116"/>
        <v>56.34</v>
      </c>
      <c r="Q1917" s="17">
        <f t="shared" si="117"/>
        <v>32.94</v>
      </c>
      <c r="R1917" s="24">
        <f t="shared" si="118"/>
        <v>0.36895161290322576</v>
      </c>
      <c r="S1917" t="s">
        <v>67</v>
      </c>
      <c r="T1917" t="s">
        <v>60</v>
      </c>
    </row>
    <row r="1918" spans="1:20" hidden="1">
      <c r="A1918" t="s">
        <v>1985</v>
      </c>
      <c r="B1918" s="5">
        <v>45690</v>
      </c>
      <c r="C1918" s="8">
        <f>YEAR(Tabla2[[#This Row],[fecha]])</f>
        <v>2025</v>
      </c>
      <c r="D1918" s="8">
        <f>MONTH(Tabla2[[#This Row],[fecha]])</f>
        <v>2</v>
      </c>
      <c r="E1918" s="8" t="str">
        <f>TEXT(Tabla2[[#This Row],[fecha]], "mmmm")</f>
        <v>febrero</v>
      </c>
      <c r="F1918" s="8" t="str">
        <f>"T"&amp;ROUNDUP(Tabla2[[#This Row],[mes]]/3,0)</f>
        <v>T1</v>
      </c>
      <c r="G1918" t="s">
        <v>6</v>
      </c>
      <c r="H1918" t="s">
        <v>7</v>
      </c>
      <c r="I1918" s="8" t="str">
        <f>IF(Tabla2[[#This Row],[precio_unitario]]&lt;=30,"Económico",IF(Tabla2[[#This Row],[precio_unitario]]&lt;=58.49,"Accesible","Caro"))</f>
        <v>Caro</v>
      </c>
      <c r="J1918" t="s">
        <v>8</v>
      </c>
      <c r="K1918">
        <v>1</v>
      </c>
      <c r="L1918" s="19">
        <v>121.12</v>
      </c>
      <c r="M1918" s="19">
        <v>83.67</v>
      </c>
      <c r="N1918" s="11">
        <v>0</v>
      </c>
      <c r="O1918" s="17">
        <f t="shared" si="119"/>
        <v>121.12</v>
      </c>
      <c r="P1918" s="17">
        <f t="shared" si="116"/>
        <v>83.67</v>
      </c>
      <c r="Q1918" s="17">
        <f t="shared" si="117"/>
        <v>37.450000000000003</v>
      </c>
      <c r="R1918" s="24">
        <f t="shared" si="118"/>
        <v>0.30919749009247027</v>
      </c>
      <c r="S1918" t="s">
        <v>83</v>
      </c>
      <c r="T1918" t="s">
        <v>60</v>
      </c>
    </row>
    <row r="1919" spans="1:20" hidden="1">
      <c r="A1919" t="s">
        <v>1986</v>
      </c>
      <c r="B1919" s="5">
        <v>45995</v>
      </c>
      <c r="C1919" s="8">
        <f>YEAR(Tabla2[[#This Row],[fecha]])</f>
        <v>2025</v>
      </c>
      <c r="D1919" s="8">
        <f>MONTH(Tabla2[[#This Row],[fecha]])</f>
        <v>12</v>
      </c>
      <c r="E1919" s="8" t="str">
        <f>TEXT(Tabla2[[#This Row],[fecha]], "mmmm")</f>
        <v>diciembre</v>
      </c>
      <c r="F1919" s="8" t="str">
        <f>"T"&amp;ROUNDUP(Tabla2[[#This Row],[mes]]/3,0)</f>
        <v>T4</v>
      </c>
      <c r="G1919" t="s">
        <v>49</v>
      </c>
      <c r="H1919" t="s">
        <v>50</v>
      </c>
      <c r="I1919" s="8" t="str">
        <f>IF(Tabla2[[#This Row],[precio_unitario]]&lt;=30,"Económico",IF(Tabla2[[#This Row],[precio_unitario]]&lt;=58.49,"Accesible","Caro"))</f>
        <v>Caro</v>
      </c>
      <c r="J1919" t="s">
        <v>44</v>
      </c>
      <c r="K1919">
        <v>1</v>
      </c>
      <c r="L1919" s="19">
        <v>63.41</v>
      </c>
      <c r="M1919" s="19">
        <v>32.380000000000003</v>
      </c>
      <c r="N1919" s="11">
        <v>0</v>
      </c>
      <c r="O1919" s="17">
        <f t="shared" si="119"/>
        <v>63.41</v>
      </c>
      <c r="P1919" s="17">
        <f t="shared" si="116"/>
        <v>32.380000000000003</v>
      </c>
      <c r="Q1919" s="17">
        <f t="shared" si="117"/>
        <v>31.029999999999994</v>
      </c>
      <c r="R1919" s="24">
        <f t="shared" si="118"/>
        <v>0.48935499132628918</v>
      </c>
      <c r="S1919" t="s">
        <v>83</v>
      </c>
      <c r="T1919" t="s">
        <v>64</v>
      </c>
    </row>
    <row r="1920" spans="1:20" hidden="1">
      <c r="A1920" t="s">
        <v>1987</v>
      </c>
      <c r="B1920" s="5">
        <v>45683</v>
      </c>
      <c r="C1920" s="8">
        <f>YEAR(Tabla2[[#This Row],[fecha]])</f>
        <v>2025</v>
      </c>
      <c r="D1920" s="8">
        <f>MONTH(Tabla2[[#This Row],[fecha]])</f>
        <v>1</v>
      </c>
      <c r="E1920" s="8" t="str">
        <f>TEXT(Tabla2[[#This Row],[fecha]], "mmmm")</f>
        <v>enero</v>
      </c>
      <c r="F1920" s="8" t="str">
        <f>"T"&amp;ROUNDUP(Tabla2[[#This Row],[mes]]/3,0)</f>
        <v>T1</v>
      </c>
      <c r="G1920" t="s">
        <v>13</v>
      </c>
      <c r="H1920" t="s">
        <v>14</v>
      </c>
      <c r="I1920" s="8" t="str">
        <f>IF(Tabla2[[#This Row],[precio_unitario]]&lt;=30,"Económico",IF(Tabla2[[#This Row],[precio_unitario]]&lt;=58.49,"Accesible","Caro"))</f>
        <v>Caro</v>
      </c>
      <c r="J1920" t="s">
        <v>8</v>
      </c>
      <c r="K1920">
        <v>2</v>
      </c>
      <c r="L1920" s="19">
        <v>156.68</v>
      </c>
      <c r="M1920" s="19">
        <v>108.94</v>
      </c>
      <c r="N1920" s="11">
        <v>0.24</v>
      </c>
      <c r="O1920" s="17">
        <f t="shared" si="119"/>
        <v>238.15360000000001</v>
      </c>
      <c r="P1920" s="17">
        <f t="shared" si="116"/>
        <v>217.88</v>
      </c>
      <c r="Q1920" s="17">
        <f t="shared" si="117"/>
        <v>20.273600000000016</v>
      </c>
      <c r="R1920" s="24">
        <f t="shared" si="118"/>
        <v>8.5128253362535836E-2</v>
      </c>
      <c r="S1920" t="s">
        <v>540</v>
      </c>
      <c r="T1920" t="s">
        <v>64</v>
      </c>
    </row>
    <row r="1921" spans="1:20">
      <c r="A1921" t="s">
        <v>1988</v>
      </c>
      <c r="B1921" s="5">
        <v>45967</v>
      </c>
      <c r="C1921" s="8">
        <f>YEAR(Tabla2[[#This Row],[fecha]])</f>
        <v>2025</v>
      </c>
      <c r="D1921" s="8">
        <f>MONTH(Tabla2[[#This Row],[fecha]])</f>
        <v>11</v>
      </c>
      <c r="E1921" s="8" t="str">
        <f>TEXT(Tabla2[[#This Row],[fecha]], "mmmm")</f>
        <v>noviembre</v>
      </c>
      <c r="F1921" s="8" t="str">
        <f>"T"&amp;ROUNDUP(Tabla2[[#This Row],[mes]]/3,0)</f>
        <v>T4</v>
      </c>
      <c r="G1921" t="s">
        <v>24</v>
      </c>
      <c r="H1921" t="s">
        <v>25</v>
      </c>
      <c r="I1921" s="8" t="str">
        <f>IF(Tabla2[[#This Row],[precio_unitario]]&lt;=30,"Económico",IF(Tabla2[[#This Row],[precio_unitario]]&lt;=58.49,"Accesible","Caro"))</f>
        <v>Económico</v>
      </c>
      <c r="J1921" t="s">
        <v>26</v>
      </c>
      <c r="K1921">
        <v>1</v>
      </c>
      <c r="L1921" s="19">
        <v>7.38</v>
      </c>
      <c r="M1921" s="19">
        <v>4.17</v>
      </c>
      <c r="N1921" s="11">
        <v>0</v>
      </c>
      <c r="O1921" s="17">
        <f t="shared" si="119"/>
        <v>7.38</v>
      </c>
      <c r="P1921" s="17">
        <f t="shared" si="116"/>
        <v>4.17</v>
      </c>
      <c r="Q1921" s="17">
        <f t="shared" si="117"/>
        <v>3.21</v>
      </c>
      <c r="R1921" s="24">
        <f t="shared" si="118"/>
        <v>0.43495934959349591</v>
      </c>
      <c r="S1921" t="s">
        <v>67</v>
      </c>
      <c r="T1921" t="s">
        <v>60</v>
      </c>
    </row>
    <row r="1922" spans="1:20" hidden="1">
      <c r="A1922" t="s">
        <v>1989</v>
      </c>
      <c r="B1922" s="5">
        <v>46006</v>
      </c>
      <c r="C1922" s="8">
        <f>YEAR(Tabla2[[#This Row],[fecha]])</f>
        <v>2025</v>
      </c>
      <c r="D1922" s="8">
        <f>MONTH(Tabla2[[#This Row],[fecha]])</f>
        <v>12</v>
      </c>
      <c r="E1922" s="8" t="str">
        <f>TEXT(Tabla2[[#This Row],[fecha]], "mmmm")</f>
        <v>diciembre</v>
      </c>
      <c r="F1922" s="8" t="str">
        <f>"T"&amp;ROUNDUP(Tabla2[[#This Row],[mes]]/3,0)</f>
        <v>T4</v>
      </c>
      <c r="G1922" t="s">
        <v>6</v>
      </c>
      <c r="H1922" t="s">
        <v>7</v>
      </c>
      <c r="I1922" s="8" t="str">
        <f>IF(Tabla2[[#This Row],[precio_unitario]]&lt;=30,"Económico",IF(Tabla2[[#This Row],[precio_unitario]]&lt;=58.49,"Accesible","Caro"))</f>
        <v>Caro</v>
      </c>
      <c r="J1922" t="s">
        <v>8</v>
      </c>
      <c r="K1922">
        <v>4</v>
      </c>
      <c r="L1922" s="19">
        <v>115.3</v>
      </c>
      <c r="M1922" s="19">
        <v>82.18</v>
      </c>
      <c r="N1922" s="13">
        <v>0</v>
      </c>
      <c r="O1922" s="17">
        <f t="shared" si="119"/>
        <v>461.2</v>
      </c>
      <c r="P1922" s="17">
        <f t="shared" ref="P1922:P1985" si="120">M1922*K1922</f>
        <v>328.72</v>
      </c>
      <c r="Q1922" s="17">
        <f t="shared" ref="Q1922:Q1985" si="121">O1922-P1922</f>
        <v>132.47999999999996</v>
      </c>
      <c r="R1922" s="24">
        <f t="shared" ref="R1922:R1985" si="122">IFERROR(Q1922/O1922,0)</f>
        <v>0.28725065047701642</v>
      </c>
      <c r="S1922" t="s">
        <v>83</v>
      </c>
      <c r="T1922" t="s">
        <v>60</v>
      </c>
    </row>
    <row r="1923" spans="1:20" hidden="1">
      <c r="A1923" t="s">
        <v>1990</v>
      </c>
      <c r="B1923" s="5">
        <v>45843</v>
      </c>
      <c r="C1923" s="8">
        <f>YEAR(Tabla2[[#This Row],[fecha]])</f>
        <v>2025</v>
      </c>
      <c r="D1923" s="8">
        <f>MONTH(Tabla2[[#This Row],[fecha]])</f>
        <v>7</v>
      </c>
      <c r="E1923" s="8" t="str">
        <f>TEXT(Tabla2[[#This Row],[fecha]], "mmmm")</f>
        <v>julio</v>
      </c>
      <c r="F1923" s="8" t="str">
        <f>"T"&amp;ROUNDUP(Tabla2[[#This Row],[mes]]/3,0)</f>
        <v>T3</v>
      </c>
      <c r="G1923" t="s">
        <v>27</v>
      </c>
      <c r="H1923" t="s">
        <v>28</v>
      </c>
      <c r="I1923" s="8" t="str">
        <f>IF(Tabla2[[#This Row],[precio_unitario]]&lt;=30,"Económico",IF(Tabla2[[#This Row],[precio_unitario]]&lt;=58.49,"Accesible","Caro"))</f>
        <v>Económico</v>
      </c>
      <c r="J1923" t="s">
        <v>26</v>
      </c>
      <c r="K1923">
        <v>1</v>
      </c>
      <c r="L1923" s="19">
        <v>15.95</v>
      </c>
      <c r="M1923" s="19">
        <v>11.51</v>
      </c>
      <c r="N1923" s="11">
        <v>0</v>
      </c>
      <c r="O1923" s="17">
        <f t="shared" ref="O1923:O1986" si="123">K1923*L1923*(1-N1923)</f>
        <v>15.95</v>
      </c>
      <c r="P1923" s="17">
        <f t="shared" si="120"/>
        <v>11.51</v>
      </c>
      <c r="Q1923" s="17">
        <f t="shared" si="121"/>
        <v>4.4399999999999995</v>
      </c>
      <c r="R1923" s="24">
        <f t="shared" si="122"/>
        <v>0.27836990595611283</v>
      </c>
      <c r="S1923" s="10" t="s">
        <v>2377</v>
      </c>
      <c r="T1923" t="s">
        <v>64</v>
      </c>
    </row>
    <row r="1924" spans="1:20" hidden="1">
      <c r="A1924" t="s">
        <v>1991</v>
      </c>
      <c r="B1924" s="5">
        <v>45992</v>
      </c>
      <c r="C1924" s="8">
        <f>YEAR(Tabla2[[#This Row],[fecha]])</f>
        <v>2025</v>
      </c>
      <c r="D1924" s="8">
        <f>MONTH(Tabla2[[#This Row],[fecha]])</f>
        <v>12</v>
      </c>
      <c r="E1924" s="8" t="str">
        <f>TEXT(Tabla2[[#This Row],[fecha]], "mmmm")</f>
        <v>diciembre</v>
      </c>
      <c r="F1924" s="8" t="str">
        <f>"T"&amp;ROUNDUP(Tabla2[[#This Row],[mes]]/3,0)</f>
        <v>T4</v>
      </c>
      <c r="G1924" t="s">
        <v>42</v>
      </c>
      <c r="H1924" t="s">
        <v>43</v>
      </c>
      <c r="I1924" s="8" t="str">
        <f>IF(Tabla2[[#This Row],[precio_unitario]]&lt;=30,"Económico",IF(Tabla2[[#This Row],[precio_unitario]]&lt;=58.49,"Accesible","Caro"))</f>
        <v>Accesible</v>
      </c>
      <c r="J1924" t="s">
        <v>44</v>
      </c>
      <c r="K1924">
        <v>1</v>
      </c>
      <c r="L1924" s="19">
        <v>50.24</v>
      </c>
      <c r="M1924" s="19">
        <v>21.64</v>
      </c>
      <c r="N1924" s="13">
        <v>0</v>
      </c>
      <c r="O1924" s="17">
        <f t="shared" si="123"/>
        <v>50.24</v>
      </c>
      <c r="P1924" s="17">
        <f t="shared" si="120"/>
        <v>21.64</v>
      </c>
      <c r="Q1924" s="17">
        <f t="shared" si="121"/>
        <v>28.6</v>
      </c>
      <c r="R1924" s="24">
        <f t="shared" si="122"/>
        <v>0.56926751592356684</v>
      </c>
      <c r="S1924" t="s">
        <v>540</v>
      </c>
      <c r="T1924" t="s">
        <v>60</v>
      </c>
    </row>
    <row r="1925" spans="1:20" hidden="1">
      <c r="A1925" t="s">
        <v>1992</v>
      </c>
      <c r="B1925" s="5">
        <v>45371</v>
      </c>
      <c r="C1925" s="8">
        <f>YEAR(Tabla2[[#This Row],[fecha]])</f>
        <v>2024</v>
      </c>
      <c r="D1925" s="8">
        <f>MONTH(Tabla2[[#This Row],[fecha]])</f>
        <v>3</v>
      </c>
      <c r="E1925" s="8" t="str">
        <f>TEXT(Tabla2[[#This Row],[fecha]], "mmmm")</f>
        <v>marzo</v>
      </c>
      <c r="F1925" s="8" t="str">
        <f>"T"&amp;ROUNDUP(Tabla2[[#This Row],[mes]]/3,0)</f>
        <v>T1</v>
      </c>
      <c r="G1925" t="s">
        <v>24</v>
      </c>
      <c r="H1925" t="s">
        <v>25</v>
      </c>
      <c r="I1925" s="8" t="str">
        <f>IF(Tabla2[[#This Row],[precio_unitario]]&lt;=30,"Económico",IF(Tabla2[[#This Row],[precio_unitario]]&lt;=58.49,"Accesible","Caro"))</f>
        <v>Económico</v>
      </c>
      <c r="J1925" t="s">
        <v>26</v>
      </c>
      <c r="K1925">
        <v>1</v>
      </c>
      <c r="L1925" s="19">
        <v>7.64</v>
      </c>
      <c r="M1925" s="19">
        <v>4.1900000000000004</v>
      </c>
      <c r="N1925" s="11">
        <v>0</v>
      </c>
      <c r="O1925" s="17">
        <f t="shared" si="123"/>
        <v>7.64</v>
      </c>
      <c r="P1925" s="17">
        <f t="shared" si="120"/>
        <v>4.1900000000000004</v>
      </c>
      <c r="Q1925" s="17">
        <f t="shared" si="121"/>
        <v>3.4499999999999993</v>
      </c>
      <c r="R1925" s="24">
        <f t="shared" si="122"/>
        <v>0.45157068062827216</v>
      </c>
      <c r="S1925" t="s">
        <v>63</v>
      </c>
      <c r="T1925" t="s">
        <v>60</v>
      </c>
    </row>
    <row r="1926" spans="1:20" hidden="1">
      <c r="A1926" t="s">
        <v>1993</v>
      </c>
      <c r="B1926" s="5">
        <v>45704</v>
      </c>
      <c r="C1926" s="8">
        <f>YEAR(Tabla2[[#This Row],[fecha]])</f>
        <v>2025</v>
      </c>
      <c r="D1926" s="8">
        <f>MONTH(Tabla2[[#This Row],[fecha]])</f>
        <v>2</v>
      </c>
      <c r="E1926" s="8" t="str">
        <f>TEXT(Tabla2[[#This Row],[fecha]], "mmmm")</f>
        <v>febrero</v>
      </c>
      <c r="F1926" s="8" t="str">
        <f>"T"&amp;ROUNDUP(Tabla2[[#This Row],[mes]]/3,0)</f>
        <v>T1</v>
      </c>
      <c r="G1926" t="s">
        <v>15</v>
      </c>
      <c r="H1926" t="s">
        <v>16</v>
      </c>
      <c r="I1926" s="8" t="str">
        <f>IF(Tabla2[[#This Row],[precio_unitario]]&lt;=30,"Económico",IF(Tabla2[[#This Row],[precio_unitario]]&lt;=58.49,"Accesible","Caro"))</f>
        <v>Accesible</v>
      </c>
      <c r="J1926" t="s">
        <v>17</v>
      </c>
      <c r="K1926">
        <v>5</v>
      </c>
      <c r="L1926" s="19">
        <v>57.12</v>
      </c>
      <c r="M1926" s="19">
        <v>42.27</v>
      </c>
      <c r="N1926" s="13">
        <v>0</v>
      </c>
      <c r="O1926" s="17">
        <f t="shared" si="123"/>
        <v>285.59999999999997</v>
      </c>
      <c r="P1926" s="17">
        <f t="shared" si="120"/>
        <v>211.35000000000002</v>
      </c>
      <c r="Q1926" s="17">
        <f t="shared" si="121"/>
        <v>74.249999999999943</v>
      </c>
      <c r="R1926" s="24">
        <f t="shared" si="122"/>
        <v>0.25997899159663851</v>
      </c>
      <c r="S1926" t="s">
        <v>83</v>
      </c>
      <c r="T1926" t="s">
        <v>64</v>
      </c>
    </row>
    <row r="1927" spans="1:20" hidden="1">
      <c r="A1927" t="s">
        <v>1994</v>
      </c>
      <c r="B1927" s="5">
        <v>45637</v>
      </c>
      <c r="C1927" s="8">
        <f>YEAR(Tabla2[[#This Row],[fecha]])</f>
        <v>2024</v>
      </c>
      <c r="D1927" s="8">
        <f>MONTH(Tabla2[[#This Row],[fecha]])</f>
        <v>12</v>
      </c>
      <c r="E1927" s="8" t="str">
        <f>TEXT(Tabla2[[#This Row],[fecha]], "mmmm")</f>
        <v>diciembre</v>
      </c>
      <c r="F1927" s="8" t="str">
        <f>"T"&amp;ROUNDUP(Tabla2[[#This Row],[mes]]/3,0)</f>
        <v>T4</v>
      </c>
      <c r="G1927" t="s">
        <v>27</v>
      </c>
      <c r="H1927" t="s">
        <v>28</v>
      </c>
      <c r="I1927" s="8" t="str">
        <f>IF(Tabla2[[#This Row],[precio_unitario]]&lt;=30,"Económico",IF(Tabla2[[#This Row],[precio_unitario]]&lt;=58.49,"Accesible","Caro"))</f>
        <v>Económico</v>
      </c>
      <c r="J1927" t="s">
        <v>26</v>
      </c>
      <c r="K1927">
        <v>5</v>
      </c>
      <c r="L1927" s="19">
        <v>17.309999999999999</v>
      </c>
      <c r="M1927" s="19">
        <v>11.17</v>
      </c>
      <c r="N1927" s="11">
        <v>0.19</v>
      </c>
      <c r="O1927" s="17">
        <f t="shared" si="123"/>
        <v>70.105500000000006</v>
      </c>
      <c r="P1927" s="17">
        <f t="shared" si="120"/>
        <v>55.85</v>
      </c>
      <c r="Q1927" s="17">
        <f t="shared" si="121"/>
        <v>14.255500000000005</v>
      </c>
      <c r="R1927" s="24">
        <f t="shared" si="122"/>
        <v>0.20334353224782653</v>
      </c>
      <c r="S1927" t="s">
        <v>96</v>
      </c>
      <c r="T1927" t="s">
        <v>60</v>
      </c>
    </row>
    <row r="1928" spans="1:20" hidden="1">
      <c r="A1928" t="s">
        <v>1995</v>
      </c>
      <c r="B1928" s="5">
        <v>45944</v>
      </c>
      <c r="C1928" s="8">
        <f>YEAR(Tabla2[[#This Row],[fecha]])</f>
        <v>2025</v>
      </c>
      <c r="D1928" s="8">
        <f>MONTH(Tabla2[[#This Row],[fecha]])</f>
        <v>10</v>
      </c>
      <c r="E1928" s="8" t="str">
        <f>TEXT(Tabla2[[#This Row],[fecha]], "mmmm")</f>
        <v>octubre</v>
      </c>
      <c r="F1928" s="8" t="str">
        <f>"T"&amp;ROUNDUP(Tabla2[[#This Row],[mes]]/3,0)</f>
        <v>T4</v>
      </c>
      <c r="G1928" t="s">
        <v>22</v>
      </c>
      <c r="H1928" t="s">
        <v>23</v>
      </c>
      <c r="I1928" s="8" t="str">
        <f>IF(Tabla2[[#This Row],[precio_unitario]]&lt;=30,"Económico",IF(Tabla2[[#This Row],[precio_unitario]]&lt;=58.49,"Accesible","Caro"))</f>
        <v>Caro</v>
      </c>
      <c r="J1928" t="s">
        <v>17</v>
      </c>
      <c r="K1928">
        <v>7</v>
      </c>
      <c r="L1928" s="19">
        <v>107.39</v>
      </c>
      <c r="M1928" s="19">
        <v>59.27</v>
      </c>
      <c r="N1928" s="11">
        <v>0.05</v>
      </c>
      <c r="O1928" s="17">
        <f t="shared" si="123"/>
        <v>714.14350000000002</v>
      </c>
      <c r="P1928" s="17">
        <f t="shared" si="120"/>
        <v>414.89000000000004</v>
      </c>
      <c r="Q1928" s="17">
        <f t="shared" si="121"/>
        <v>299.25349999999997</v>
      </c>
      <c r="R1928" s="24">
        <f t="shared" si="122"/>
        <v>0.41903833053160877</v>
      </c>
      <c r="S1928" t="s">
        <v>540</v>
      </c>
      <c r="T1928" t="s">
        <v>64</v>
      </c>
    </row>
    <row r="1929" spans="1:20" hidden="1">
      <c r="A1929" t="s">
        <v>1996</v>
      </c>
      <c r="B1929" s="5">
        <v>45840</v>
      </c>
      <c r="C1929" s="8">
        <f>YEAR(Tabla2[[#This Row],[fecha]])</f>
        <v>2025</v>
      </c>
      <c r="D1929" s="8">
        <f>MONTH(Tabla2[[#This Row],[fecha]])</f>
        <v>7</v>
      </c>
      <c r="E1929" s="8" t="str">
        <f>TEXT(Tabla2[[#This Row],[fecha]], "mmmm")</f>
        <v>julio</v>
      </c>
      <c r="F1929" s="8" t="str">
        <f>"T"&amp;ROUNDUP(Tabla2[[#This Row],[mes]]/3,0)</f>
        <v>T3</v>
      </c>
      <c r="G1929" t="s">
        <v>24</v>
      </c>
      <c r="H1929" t="s">
        <v>25</v>
      </c>
      <c r="I1929" s="8" t="str">
        <f>IF(Tabla2[[#This Row],[precio_unitario]]&lt;=30,"Económico",IF(Tabla2[[#This Row],[precio_unitario]]&lt;=58.49,"Accesible","Caro"))</f>
        <v>Económico</v>
      </c>
      <c r="J1929" t="s">
        <v>26</v>
      </c>
      <c r="K1929">
        <v>7</v>
      </c>
      <c r="L1929" s="19">
        <v>8.23</v>
      </c>
      <c r="M1929" s="19">
        <v>4.5</v>
      </c>
      <c r="N1929" s="11">
        <v>7.0000000000000007E-2</v>
      </c>
      <c r="O1929" s="17">
        <f t="shared" si="123"/>
        <v>53.577299999999994</v>
      </c>
      <c r="P1929" s="17">
        <f t="shared" si="120"/>
        <v>31.5</v>
      </c>
      <c r="Q1929" s="17">
        <f t="shared" si="121"/>
        <v>22.077299999999994</v>
      </c>
      <c r="R1929" s="24">
        <f t="shared" si="122"/>
        <v>0.41206443773762391</v>
      </c>
      <c r="S1929" t="s">
        <v>101</v>
      </c>
      <c r="T1929" t="s">
        <v>60</v>
      </c>
    </row>
    <row r="1930" spans="1:20" hidden="1">
      <c r="A1930" t="s">
        <v>1997</v>
      </c>
      <c r="B1930" s="5">
        <v>45519</v>
      </c>
      <c r="C1930" s="8">
        <f>YEAR(Tabla2[[#This Row],[fecha]])</f>
        <v>2024</v>
      </c>
      <c r="D1930" s="8">
        <f>MONTH(Tabla2[[#This Row],[fecha]])</f>
        <v>8</v>
      </c>
      <c r="E1930" s="8" t="str">
        <f>TEXT(Tabla2[[#This Row],[fecha]], "mmmm")</f>
        <v>agosto</v>
      </c>
      <c r="F1930" s="8" t="str">
        <f>"T"&amp;ROUNDUP(Tabla2[[#This Row],[mes]]/3,0)</f>
        <v>T3</v>
      </c>
      <c r="G1930" t="s">
        <v>42</v>
      </c>
      <c r="H1930" t="s">
        <v>43</v>
      </c>
      <c r="I1930" s="8" t="str">
        <f>IF(Tabla2[[#This Row],[precio_unitario]]&lt;=30,"Económico",IF(Tabla2[[#This Row],[precio_unitario]]&lt;=58.49,"Accesible","Caro"))</f>
        <v>Accesible</v>
      </c>
      <c r="J1930" t="s">
        <v>44</v>
      </c>
      <c r="K1930">
        <v>1</v>
      </c>
      <c r="L1930" s="19">
        <v>45.49</v>
      </c>
      <c r="M1930" s="19">
        <v>22.13</v>
      </c>
      <c r="N1930" s="11">
        <v>0</v>
      </c>
      <c r="O1930" s="17">
        <f t="shared" si="123"/>
        <v>45.49</v>
      </c>
      <c r="P1930" s="17">
        <f t="shared" si="120"/>
        <v>22.13</v>
      </c>
      <c r="Q1930" s="17">
        <f t="shared" si="121"/>
        <v>23.360000000000003</v>
      </c>
      <c r="R1930" s="24">
        <f t="shared" si="122"/>
        <v>0.51351945482523631</v>
      </c>
      <c r="S1930" t="s">
        <v>63</v>
      </c>
      <c r="T1930" t="s">
        <v>60</v>
      </c>
    </row>
    <row r="1931" spans="1:20" hidden="1">
      <c r="A1931" t="s">
        <v>1998</v>
      </c>
      <c r="B1931" s="5">
        <v>45338</v>
      </c>
      <c r="C1931" s="8">
        <f>YEAR(Tabla2[[#This Row],[fecha]])</f>
        <v>2024</v>
      </c>
      <c r="D1931" s="8">
        <f>MONTH(Tabla2[[#This Row],[fecha]])</f>
        <v>2</v>
      </c>
      <c r="E1931" s="8" t="str">
        <f>TEXT(Tabla2[[#This Row],[fecha]], "mmmm")</f>
        <v>febrero</v>
      </c>
      <c r="F1931" s="8" t="str">
        <f>"T"&amp;ROUNDUP(Tabla2[[#This Row],[mes]]/3,0)</f>
        <v>T1</v>
      </c>
      <c r="G1931" t="s">
        <v>11</v>
      </c>
      <c r="H1931" t="s">
        <v>12</v>
      </c>
      <c r="I1931" s="8" t="str">
        <f>IF(Tabla2[[#This Row],[precio_unitario]]&lt;=30,"Económico",IF(Tabla2[[#This Row],[precio_unitario]]&lt;=58.49,"Accesible","Caro"))</f>
        <v>Caro</v>
      </c>
      <c r="J1931" t="s">
        <v>8</v>
      </c>
      <c r="K1931">
        <v>2</v>
      </c>
      <c r="L1931" s="19">
        <v>168.13</v>
      </c>
      <c r="M1931" s="19">
        <v>92.83</v>
      </c>
      <c r="N1931" s="13">
        <v>0</v>
      </c>
      <c r="O1931" s="17">
        <f t="shared" si="123"/>
        <v>336.26</v>
      </c>
      <c r="P1931" s="17">
        <f t="shared" si="120"/>
        <v>185.66</v>
      </c>
      <c r="Q1931" s="17">
        <f t="shared" si="121"/>
        <v>150.6</v>
      </c>
      <c r="R1931" s="24">
        <f t="shared" si="122"/>
        <v>0.44786772140605485</v>
      </c>
      <c r="S1931" t="s">
        <v>83</v>
      </c>
      <c r="T1931" t="s">
        <v>64</v>
      </c>
    </row>
    <row r="1932" spans="1:20" hidden="1">
      <c r="A1932" t="s">
        <v>1999</v>
      </c>
      <c r="B1932" s="5">
        <v>45443</v>
      </c>
      <c r="C1932" s="8">
        <f>YEAR(Tabla2[[#This Row],[fecha]])</f>
        <v>2024</v>
      </c>
      <c r="D1932" s="8">
        <f>MONTH(Tabla2[[#This Row],[fecha]])</f>
        <v>5</v>
      </c>
      <c r="E1932" s="8" t="str">
        <f>TEXT(Tabla2[[#This Row],[fecha]], "mmmm")</f>
        <v>mayo</v>
      </c>
      <c r="F1932" s="8" t="str">
        <f>"T"&amp;ROUNDUP(Tabla2[[#This Row],[mes]]/3,0)</f>
        <v>T2</v>
      </c>
      <c r="G1932" t="s">
        <v>27</v>
      </c>
      <c r="H1932" t="s">
        <v>28</v>
      </c>
      <c r="I1932" s="8" t="str">
        <f>IF(Tabla2[[#This Row],[precio_unitario]]&lt;=30,"Económico",IF(Tabla2[[#This Row],[precio_unitario]]&lt;=58.49,"Accesible","Caro"))</f>
        <v>Económico</v>
      </c>
      <c r="J1932" t="s">
        <v>26</v>
      </c>
      <c r="K1932">
        <v>3</v>
      </c>
      <c r="L1932" s="19">
        <v>15.97</v>
      </c>
      <c r="M1932" s="19">
        <v>11.36</v>
      </c>
      <c r="N1932" s="11">
        <v>0</v>
      </c>
      <c r="O1932" s="17">
        <f t="shared" si="123"/>
        <v>47.910000000000004</v>
      </c>
      <c r="P1932" s="17">
        <f t="shared" si="120"/>
        <v>34.08</v>
      </c>
      <c r="Q1932" s="17">
        <f t="shared" si="121"/>
        <v>13.830000000000005</v>
      </c>
      <c r="R1932" s="24">
        <f t="shared" si="122"/>
        <v>0.28866624921728251</v>
      </c>
      <c r="S1932" t="s">
        <v>63</v>
      </c>
      <c r="T1932" t="s">
        <v>64</v>
      </c>
    </row>
    <row r="1933" spans="1:20" hidden="1">
      <c r="A1933" t="s">
        <v>2000</v>
      </c>
      <c r="B1933" s="5">
        <v>45356</v>
      </c>
      <c r="C1933" s="8">
        <f>YEAR(Tabla2[[#This Row],[fecha]])</f>
        <v>2024</v>
      </c>
      <c r="D1933" s="8">
        <f>MONTH(Tabla2[[#This Row],[fecha]])</f>
        <v>3</v>
      </c>
      <c r="E1933" s="8" t="str">
        <f>TEXT(Tabla2[[#This Row],[fecha]], "mmmm")</f>
        <v>marzo</v>
      </c>
      <c r="F1933" s="8" t="str">
        <f>"T"&amp;ROUNDUP(Tabla2[[#This Row],[mes]]/3,0)</f>
        <v>T1</v>
      </c>
      <c r="G1933" t="s">
        <v>49</v>
      </c>
      <c r="H1933" t="s">
        <v>50</v>
      </c>
      <c r="I1933" s="8" t="str">
        <f>IF(Tabla2[[#This Row],[precio_unitario]]&lt;=30,"Económico",IF(Tabla2[[#This Row],[precio_unitario]]&lt;=58.49,"Accesible","Caro"))</f>
        <v>Accesible</v>
      </c>
      <c r="J1933" t="s">
        <v>44</v>
      </c>
      <c r="K1933">
        <v>6</v>
      </c>
      <c r="L1933" s="19">
        <v>56.33</v>
      </c>
      <c r="M1933" s="21">
        <f>INDEX(Tabla3[coste_objetivo], MATCH(Tabla2[[#This Row],[id_producto]], Tabla3[id_producto],0))</f>
        <v>33.78</v>
      </c>
      <c r="N1933" s="11">
        <v>0</v>
      </c>
      <c r="O1933" s="17">
        <f t="shared" si="123"/>
        <v>337.98</v>
      </c>
      <c r="P1933" s="17">
        <f t="shared" si="120"/>
        <v>202.68</v>
      </c>
      <c r="Q1933" s="17">
        <f t="shared" si="121"/>
        <v>135.30000000000001</v>
      </c>
      <c r="R1933" s="24">
        <f t="shared" si="122"/>
        <v>0.4003195455352388</v>
      </c>
      <c r="S1933" t="s">
        <v>63</v>
      </c>
      <c r="T1933" t="s">
        <v>64</v>
      </c>
    </row>
    <row r="1934" spans="1:20">
      <c r="A1934" t="s">
        <v>2001</v>
      </c>
      <c r="B1934" s="5">
        <v>45803</v>
      </c>
      <c r="C1934" s="8">
        <f>YEAR(Tabla2[[#This Row],[fecha]])</f>
        <v>2025</v>
      </c>
      <c r="D1934" s="8">
        <f>MONTH(Tabla2[[#This Row],[fecha]])</f>
        <v>5</v>
      </c>
      <c r="E1934" s="8" t="str">
        <f>TEXT(Tabla2[[#This Row],[fecha]], "mmmm")</f>
        <v>mayo</v>
      </c>
      <c r="F1934" s="8" t="str">
        <f>"T"&amp;ROUNDUP(Tabla2[[#This Row],[mes]]/3,0)</f>
        <v>T2</v>
      </c>
      <c r="G1934" t="s">
        <v>9</v>
      </c>
      <c r="H1934" t="s">
        <v>10</v>
      </c>
      <c r="I1934" s="8" t="str">
        <f>IF(Tabla2[[#This Row],[precio_unitario]]&lt;=30,"Económico",IF(Tabla2[[#This Row],[precio_unitario]]&lt;=58.49,"Accesible","Caro"))</f>
        <v>Caro</v>
      </c>
      <c r="J1934" t="s">
        <v>8</v>
      </c>
      <c r="K1934">
        <v>5</v>
      </c>
      <c r="L1934" s="19">
        <v>72.430000000000007</v>
      </c>
      <c r="M1934" s="19">
        <v>47.41</v>
      </c>
      <c r="N1934" s="13">
        <v>0</v>
      </c>
      <c r="O1934" s="17">
        <f t="shared" si="123"/>
        <v>362.15000000000003</v>
      </c>
      <c r="P1934" s="17">
        <f t="shared" si="120"/>
        <v>237.04999999999998</v>
      </c>
      <c r="Q1934" s="17">
        <f t="shared" si="121"/>
        <v>125.10000000000005</v>
      </c>
      <c r="R1934" s="24">
        <f t="shared" si="122"/>
        <v>0.34543697362971154</v>
      </c>
      <c r="S1934" t="s">
        <v>67</v>
      </c>
      <c r="T1934" t="s">
        <v>60</v>
      </c>
    </row>
    <row r="1935" spans="1:20" hidden="1">
      <c r="A1935" t="s">
        <v>2002</v>
      </c>
      <c r="B1935" s="5">
        <v>45913</v>
      </c>
      <c r="C1935" s="8">
        <f>YEAR(Tabla2[[#This Row],[fecha]])</f>
        <v>2025</v>
      </c>
      <c r="D1935" s="8">
        <f>MONTH(Tabla2[[#This Row],[fecha]])</f>
        <v>9</v>
      </c>
      <c r="E1935" s="8" t="str">
        <f>TEXT(Tabla2[[#This Row],[fecha]], "mmmm")</f>
        <v>septiembre</v>
      </c>
      <c r="F1935" s="8" t="str">
        <f>"T"&amp;ROUNDUP(Tabla2[[#This Row],[mes]]/3,0)</f>
        <v>T3</v>
      </c>
      <c r="G1935" t="s">
        <v>9</v>
      </c>
      <c r="H1935" t="s">
        <v>10</v>
      </c>
      <c r="I1935" s="8" t="str">
        <f>IF(Tabla2[[#This Row],[precio_unitario]]&lt;=30,"Económico",IF(Tabla2[[#This Row],[precio_unitario]]&lt;=58.49,"Accesible","Caro"))</f>
        <v>Caro</v>
      </c>
      <c r="J1935" t="s">
        <v>8</v>
      </c>
      <c r="K1935" s="10">
        <v>3</v>
      </c>
      <c r="L1935" s="19">
        <v>77.77</v>
      </c>
      <c r="M1935" s="19">
        <v>46.25</v>
      </c>
      <c r="N1935" s="11">
        <v>0</v>
      </c>
      <c r="O1935" s="17">
        <f t="shared" si="123"/>
        <v>233.31</v>
      </c>
      <c r="P1935" s="17">
        <f t="shared" si="120"/>
        <v>138.75</v>
      </c>
      <c r="Q1935" s="17">
        <f t="shared" si="121"/>
        <v>94.56</v>
      </c>
      <c r="R1935" s="24">
        <f t="shared" si="122"/>
        <v>0.4052976726244053</v>
      </c>
      <c r="S1935" t="s">
        <v>540</v>
      </c>
      <c r="T1935" t="s">
        <v>64</v>
      </c>
    </row>
    <row r="1936" spans="1:20" hidden="1">
      <c r="A1936" t="s">
        <v>2003</v>
      </c>
      <c r="B1936" s="5">
        <v>45368</v>
      </c>
      <c r="C1936" s="8">
        <f>YEAR(Tabla2[[#This Row],[fecha]])</f>
        <v>2024</v>
      </c>
      <c r="D1936" s="8">
        <f>MONTH(Tabla2[[#This Row],[fecha]])</f>
        <v>3</v>
      </c>
      <c r="E1936" s="8" t="str">
        <f>TEXT(Tabla2[[#This Row],[fecha]], "mmmm")</f>
        <v>marzo</v>
      </c>
      <c r="F1936" s="8" t="str">
        <f>"T"&amp;ROUNDUP(Tabla2[[#This Row],[mes]]/3,0)</f>
        <v>T1</v>
      </c>
      <c r="G1936" t="s">
        <v>15</v>
      </c>
      <c r="H1936" t="s">
        <v>16</v>
      </c>
      <c r="I1936" s="8" t="str">
        <f>IF(Tabla2[[#This Row],[precio_unitario]]&lt;=30,"Económico",IF(Tabla2[[#This Row],[precio_unitario]]&lt;=58.49,"Accesible","Caro"))</f>
        <v>Caro</v>
      </c>
      <c r="J1936" t="s">
        <v>17</v>
      </c>
      <c r="K1936">
        <v>2</v>
      </c>
      <c r="L1936" s="19">
        <v>61.1</v>
      </c>
      <c r="M1936" s="19">
        <v>42.62</v>
      </c>
      <c r="N1936" s="11">
        <v>0</v>
      </c>
      <c r="O1936" s="17">
        <f t="shared" si="123"/>
        <v>122.2</v>
      </c>
      <c r="P1936" s="17">
        <f t="shared" si="120"/>
        <v>85.24</v>
      </c>
      <c r="Q1936" s="17">
        <f t="shared" si="121"/>
        <v>36.960000000000008</v>
      </c>
      <c r="R1936" s="24">
        <f t="shared" si="122"/>
        <v>0.302454991816694</v>
      </c>
      <c r="S1936" t="s">
        <v>540</v>
      </c>
      <c r="T1936" t="s">
        <v>64</v>
      </c>
    </row>
    <row r="1937" spans="1:20" hidden="1">
      <c r="A1937" t="s">
        <v>2004</v>
      </c>
      <c r="B1937" s="5">
        <v>45662</v>
      </c>
      <c r="C1937" s="8">
        <f>YEAR(Tabla2[[#This Row],[fecha]])</f>
        <v>2025</v>
      </c>
      <c r="D1937" s="8">
        <f>MONTH(Tabla2[[#This Row],[fecha]])</f>
        <v>1</v>
      </c>
      <c r="E1937" s="8" t="str">
        <f>TEXT(Tabla2[[#This Row],[fecha]], "mmmm")</f>
        <v>enero</v>
      </c>
      <c r="F1937" s="8" t="str">
        <f>"T"&amp;ROUNDUP(Tabla2[[#This Row],[mes]]/3,0)</f>
        <v>T1</v>
      </c>
      <c r="G1937" t="s">
        <v>18</v>
      </c>
      <c r="H1937" t="s">
        <v>19</v>
      </c>
      <c r="I1937" s="8" t="str">
        <f>IF(Tabla2[[#This Row],[precio_unitario]]&lt;=30,"Económico",IF(Tabla2[[#This Row],[precio_unitario]]&lt;=58.49,"Accesible","Caro"))</f>
        <v>Accesible</v>
      </c>
      <c r="J1937" t="s">
        <v>17</v>
      </c>
      <c r="K1937">
        <v>1</v>
      </c>
      <c r="L1937" s="19">
        <v>48.89</v>
      </c>
      <c r="M1937" s="19">
        <v>25.37</v>
      </c>
      <c r="N1937" s="11">
        <v>0</v>
      </c>
      <c r="O1937" s="17">
        <f t="shared" si="123"/>
        <v>48.89</v>
      </c>
      <c r="P1937" s="17">
        <f t="shared" si="120"/>
        <v>25.37</v>
      </c>
      <c r="Q1937" s="17">
        <f t="shared" si="121"/>
        <v>23.52</v>
      </c>
      <c r="R1937" s="24">
        <f t="shared" si="122"/>
        <v>0.48107997545510328</v>
      </c>
      <c r="S1937" t="s">
        <v>540</v>
      </c>
      <c r="T1937" t="s">
        <v>60</v>
      </c>
    </row>
    <row r="1938" spans="1:20" hidden="1">
      <c r="A1938" t="s">
        <v>2005</v>
      </c>
      <c r="B1938" s="5">
        <v>45474</v>
      </c>
      <c r="C1938" s="8">
        <f>YEAR(Tabla2[[#This Row],[fecha]])</f>
        <v>2024</v>
      </c>
      <c r="D1938" s="8">
        <f>MONTH(Tabla2[[#This Row],[fecha]])</f>
        <v>7</v>
      </c>
      <c r="E1938" s="8" t="str">
        <f>TEXT(Tabla2[[#This Row],[fecha]], "mmmm")</f>
        <v>julio</v>
      </c>
      <c r="F1938" s="8" t="str">
        <f>"T"&amp;ROUNDUP(Tabla2[[#This Row],[mes]]/3,0)</f>
        <v>T3</v>
      </c>
      <c r="G1938" t="s">
        <v>38</v>
      </c>
      <c r="H1938" t="s">
        <v>39</v>
      </c>
      <c r="I1938" s="8" t="str">
        <f>IF(Tabla2[[#This Row],[precio_unitario]]&lt;=30,"Económico",IF(Tabla2[[#This Row],[precio_unitario]]&lt;=58.49,"Accesible","Caro"))</f>
        <v>Caro</v>
      </c>
      <c r="J1938" t="s">
        <v>35</v>
      </c>
      <c r="K1938">
        <v>2</v>
      </c>
      <c r="L1938" s="19">
        <v>83.41</v>
      </c>
      <c r="M1938" s="19">
        <v>44.48</v>
      </c>
      <c r="N1938" s="11">
        <v>0</v>
      </c>
      <c r="O1938" s="17">
        <f t="shared" si="123"/>
        <v>166.82</v>
      </c>
      <c r="P1938" s="17">
        <f t="shared" si="120"/>
        <v>88.96</v>
      </c>
      <c r="Q1938" s="17">
        <f t="shared" si="121"/>
        <v>77.86</v>
      </c>
      <c r="R1938" s="24">
        <f t="shared" si="122"/>
        <v>0.46673060784078652</v>
      </c>
      <c r="S1938" t="s">
        <v>540</v>
      </c>
      <c r="T1938" t="s">
        <v>64</v>
      </c>
    </row>
    <row r="1939" spans="1:20" hidden="1">
      <c r="A1939" t="s">
        <v>2006</v>
      </c>
      <c r="B1939" s="5">
        <v>45344</v>
      </c>
      <c r="C1939" s="8">
        <f>YEAR(Tabla2[[#This Row],[fecha]])</f>
        <v>2024</v>
      </c>
      <c r="D1939" s="8">
        <f>MONTH(Tabla2[[#This Row],[fecha]])</f>
        <v>2</v>
      </c>
      <c r="E1939" s="8" t="str">
        <f>TEXT(Tabla2[[#This Row],[fecha]], "mmmm")</f>
        <v>febrero</v>
      </c>
      <c r="F1939" s="8" t="str">
        <f>"T"&amp;ROUNDUP(Tabla2[[#This Row],[mes]]/3,0)</f>
        <v>T1</v>
      </c>
      <c r="G1939" t="s">
        <v>36</v>
      </c>
      <c r="H1939" t="s">
        <v>37</v>
      </c>
      <c r="I1939" s="8" t="str">
        <f>IF(Tabla2[[#This Row],[precio_unitario]]&lt;=30,"Económico",IF(Tabla2[[#This Row],[precio_unitario]]&lt;=58.49,"Accesible","Caro"))</f>
        <v>Económico</v>
      </c>
      <c r="J1939" t="s">
        <v>35</v>
      </c>
      <c r="K1939">
        <v>2</v>
      </c>
      <c r="L1939" s="19">
        <v>13.44</v>
      </c>
      <c r="M1939" s="19">
        <v>9.73</v>
      </c>
      <c r="N1939" s="11">
        <v>0</v>
      </c>
      <c r="O1939" s="17">
        <f t="shared" si="123"/>
        <v>26.88</v>
      </c>
      <c r="P1939" s="17">
        <f t="shared" si="120"/>
        <v>19.46</v>
      </c>
      <c r="Q1939" s="17">
        <f t="shared" si="121"/>
        <v>7.4199999999999982</v>
      </c>
      <c r="R1939" s="24">
        <f t="shared" si="122"/>
        <v>0.27604166666666663</v>
      </c>
      <c r="S1939" t="s">
        <v>101</v>
      </c>
      <c r="T1939" t="s">
        <v>64</v>
      </c>
    </row>
    <row r="1940" spans="1:20" hidden="1">
      <c r="A1940" t="s">
        <v>2007</v>
      </c>
      <c r="B1940" s="5">
        <v>45637</v>
      </c>
      <c r="C1940" s="8">
        <f>YEAR(Tabla2[[#This Row],[fecha]])</f>
        <v>2024</v>
      </c>
      <c r="D1940" s="8">
        <f>MONTH(Tabla2[[#This Row],[fecha]])</f>
        <v>12</v>
      </c>
      <c r="E1940" s="8" t="str">
        <f>TEXT(Tabla2[[#This Row],[fecha]], "mmmm")</f>
        <v>diciembre</v>
      </c>
      <c r="F1940" s="8" t="str">
        <f>"T"&amp;ROUNDUP(Tabla2[[#This Row],[mes]]/3,0)</f>
        <v>T4</v>
      </c>
      <c r="G1940" t="s">
        <v>13</v>
      </c>
      <c r="H1940" t="s">
        <v>14</v>
      </c>
      <c r="I1940" s="8" t="str">
        <f>IF(Tabla2[[#This Row],[precio_unitario]]&lt;=30,"Económico",IF(Tabla2[[#This Row],[precio_unitario]]&lt;=58.49,"Accesible","Caro"))</f>
        <v>Caro</v>
      </c>
      <c r="J1940" t="s">
        <v>8</v>
      </c>
      <c r="K1940">
        <v>1</v>
      </c>
      <c r="L1940" s="19">
        <v>159.80000000000001</v>
      </c>
      <c r="M1940" s="19">
        <v>110.19</v>
      </c>
      <c r="N1940" s="11">
        <v>0</v>
      </c>
      <c r="O1940" s="17">
        <f t="shared" si="123"/>
        <v>159.80000000000001</v>
      </c>
      <c r="P1940" s="17">
        <f t="shared" si="120"/>
        <v>110.19</v>
      </c>
      <c r="Q1940" s="17">
        <f t="shared" si="121"/>
        <v>49.610000000000014</v>
      </c>
      <c r="R1940" s="24">
        <f t="shared" si="122"/>
        <v>0.31045056320400505</v>
      </c>
      <c r="S1940" t="s">
        <v>67</v>
      </c>
      <c r="T1940" t="s">
        <v>64</v>
      </c>
    </row>
    <row r="1941" spans="1:20" hidden="1">
      <c r="A1941" t="s">
        <v>2008</v>
      </c>
      <c r="B1941" s="5">
        <v>45504</v>
      </c>
      <c r="C1941" s="8">
        <f>YEAR(Tabla2[[#This Row],[fecha]])</f>
        <v>2024</v>
      </c>
      <c r="D1941" s="8">
        <f>MONTH(Tabla2[[#This Row],[fecha]])</f>
        <v>7</v>
      </c>
      <c r="E1941" s="8" t="str">
        <f>TEXT(Tabla2[[#This Row],[fecha]], "mmmm")</f>
        <v>julio</v>
      </c>
      <c r="F1941" s="8" t="str">
        <f>"T"&amp;ROUNDUP(Tabla2[[#This Row],[mes]]/3,0)</f>
        <v>T3</v>
      </c>
      <c r="G1941" t="s">
        <v>27</v>
      </c>
      <c r="H1941" t="s">
        <v>28</v>
      </c>
      <c r="I1941" s="8" t="str">
        <f>IF(Tabla2[[#This Row],[precio_unitario]]&lt;=30,"Económico",IF(Tabla2[[#This Row],[precio_unitario]]&lt;=58.49,"Accesible","Caro"))</f>
        <v>Económico</v>
      </c>
      <c r="J1941" t="s">
        <v>26</v>
      </c>
      <c r="K1941">
        <v>3</v>
      </c>
      <c r="L1941" s="19">
        <v>15.74</v>
      </c>
      <c r="M1941" s="19">
        <v>11.46</v>
      </c>
      <c r="N1941" s="13">
        <v>0</v>
      </c>
      <c r="O1941" s="17">
        <f t="shared" si="123"/>
        <v>47.22</v>
      </c>
      <c r="P1941" s="17">
        <f t="shared" si="120"/>
        <v>34.380000000000003</v>
      </c>
      <c r="Q1941" s="17">
        <f t="shared" si="121"/>
        <v>12.839999999999996</v>
      </c>
      <c r="R1941" s="24">
        <f t="shared" si="122"/>
        <v>0.27191867852604823</v>
      </c>
      <c r="S1941" t="s">
        <v>67</v>
      </c>
      <c r="T1941" t="s">
        <v>64</v>
      </c>
    </row>
    <row r="1942" spans="1:20">
      <c r="A1942" t="s">
        <v>2009</v>
      </c>
      <c r="B1942" s="5">
        <v>45934</v>
      </c>
      <c r="C1942" s="8">
        <f>YEAR(Tabla2[[#This Row],[fecha]])</f>
        <v>2025</v>
      </c>
      <c r="D1942" s="8">
        <f>MONTH(Tabla2[[#This Row],[fecha]])</f>
        <v>10</v>
      </c>
      <c r="E1942" s="8" t="str">
        <f>TEXT(Tabla2[[#This Row],[fecha]], "mmmm")</f>
        <v>octubre</v>
      </c>
      <c r="F1942" s="8" t="str">
        <f>"T"&amp;ROUNDUP(Tabla2[[#This Row],[mes]]/3,0)</f>
        <v>T4</v>
      </c>
      <c r="G1942" t="s">
        <v>22</v>
      </c>
      <c r="H1942" t="s">
        <v>23</v>
      </c>
      <c r="I1942" s="8" t="str">
        <f>IF(Tabla2[[#This Row],[precio_unitario]]&lt;=30,"Económico",IF(Tabla2[[#This Row],[precio_unitario]]&lt;=58.49,"Accesible","Caro"))</f>
        <v>Caro</v>
      </c>
      <c r="J1942" t="s">
        <v>17</v>
      </c>
      <c r="K1942">
        <v>1</v>
      </c>
      <c r="L1942" s="19">
        <v>110.49</v>
      </c>
      <c r="M1942" s="19">
        <v>55.28</v>
      </c>
      <c r="N1942" s="13">
        <v>0</v>
      </c>
      <c r="O1942" s="17">
        <f t="shared" si="123"/>
        <v>110.49</v>
      </c>
      <c r="P1942" s="17">
        <f t="shared" si="120"/>
        <v>55.28</v>
      </c>
      <c r="Q1942" s="17">
        <f t="shared" si="121"/>
        <v>55.209999999999994</v>
      </c>
      <c r="R1942" s="24">
        <f t="shared" si="122"/>
        <v>0.49968322925151593</v>
      </c>
      <c r="S1942" t="s">
        <v>67</v>
      </c>
      <c r="T1942" t="s">
        <v>64</v>
      </c>
    </row>
    <row r="1943" spans="1:20" hidden="1">
      <c r="A1943" t="s">
        <v>2010</v>
      </c>
      <c r="B1943" s="5">
        <v>45557</v>
      </c>
      <c r="C1943" s="8">
        <f>YEAR(Tabla2[[#This Row],[fecha]])</f>
        <v>2024</v>
      </c>
      <c r="D1943" s="8">
        <f>MONTH(Tabla2[[#This Row],[fecha]])</f>
        <v>9</v>
      </c>
      <c r="E1943" s="8" t="str">
        <f>TEXT(Tabla2[[#This Row],[fecha]], "mmmm")</f>
        <v>septiembre</v>
      </c>
      <c r="F1943" s="8" t="str">
        <f>"T"&amp;ROUNDUP(Tabla2[[#This Row],[mes]]/3,0)</f>
        <v>T3</v>
      </c>
      <c r="G1943" t="s">
        <v>20</v>
      </c>
      <c r="H1943" t="s">
        <v>21</v>
      </c>
      <c r="I1943" s="8" t="str">
        <f>IF(Tabla2[[#This Row],[precio_unitario]]&lt;=30,"Económico",IF(Tabla2[[#This Row],[precio_unitario]]&lt;=58.49,"Accesible","Caro"))</f>
        <v>Económico</v>
      </c>
      <c r="J1943" t="s">
        <v>17</v>
      </c>
      <c r="K1943">
        <v>1</v>
      </c>
      <c r="L1943" s="19">
        <v>21.23</v>
      </c>
      <c r="M1943" s="19">
        <v>12.97</v>
      </c>
      <c r="N1943" s="11">
        <v>0.1</v>
      </c>
      <c r="O1943" s="17">
        <f t="shared" si="123"/>
        <v>19.106999999999999</v>
      </c>
      <c r="P1943" s="17">
        <f t="shared" si="120"/>
        <v>12.97</v>
      </c>
      <c r="Q1943" s="17">
        <f t="shared" si="121"/>
        <v>6.1369999999999987</v>
      </c>
      <c r="R1943" s="24">
        <f t="shared" si="122"/>
        <v>0.32119118647616052</v>
      </c>
      <c r="S1943" t="s">
        <v>83</v>
      </c>
      <c r="T1943" t="s">
        <v>60</v>
      </c>
    </row>
    <row r="1944" spans="1:20">
      <c r="A1944" t="s">
        <v>2011</v>
      </c>
      <c r="B1944" s="5">
        <v>45951</v>
      </c>
      <c r="C1944" s="8">
        <f>YEAR(Tabla2[[#This Row],[fecha]])</f>
        <v>2025</v>
      </c>
      <c r="D1944" s="8">
        <f>MONTH(Tabla2[[#This Row],[fecha]])</f>
        <v>10</v>
      </c>
      <c r="E1944" s="8" t="str">
        <f>TEXT(Tabla2[[#This Row],[fecha]], "mmmm")</f>
        <v>octubre</v>
      </c>
      <c r="F1944" s="8" t="str">
        <f>"T"&amp;ROUNDUP(Tabla2[[#This Row],[mes]]/3,0)</f>
        <v>T4</v>
      </c>
      <c r="G1944" t="s">
        <v>24</v>
      </c>
      <c r="H1944" t="s">
        <v>25</v>
      </c>
      <c r="I1944" s="8" t="str">
        <f>IF(Tabla2[[#This Row],[precio_unitario]]&lt;=30,"Económico",IF(Tabla2[[#This Row],[precio_unitario]]&lt;=58.49,"Accesible","Caro"))</f>
        <v>Económico</v>
      </c>
      <c r="J1944" t="s">
        <v>26</v>
      </c>
      <c r="K1944">
        <v>3</v>
      </c>
      <c r="L1944" s="19">
        <v>7.87</v>
      </c>
      <c r="M1944" s="19">
        <v>4.2699999999999996</v>
      </c>
      <c r="N1944" s="11">
        <v>0</v>
      </c>
      <c r="O1944" s="17">
        <f t="shared" si="123"/>
        <v>23.61</v>
      </c>
      <c r="P1944" s="17">
        <f t="shared" si="120"/>
        <v>12.809999999999999</v>
      </c>
      <c r="Q1944" s="17">
        <f t="shared" si="121"/>
        <v>10.8</v>
      </c>
      <c r="R1944" s="24">
        <f t="shared" si="122"/>
        <v>0.45743329097839902</v>
      </c>
      <c r="S1944" t="s">
        <v>67</v>
      </c>
      <c r="T1944" t="s">
        <v>64</v>
      </c>
    </row>
    <row r="1945" spans="1:20" hidden="1">
      <c r="A1945" t="s">
        <v>2012</v>
      </c>
      <c r="B1945" s="5">
        <v>45546</v>
      </c>
      <c r="C1945" s="8">
        <f>YEAR(Tabla2[[#This Row],[fecha]])</f>
        <v>2024</v>
      </c>
      <c r="D1945" s="8">
        <f>MONTH(Tabla2[[#This Row],[fecha]])</f>
        <v>9</v>
      </c>
      <c r="E1945" s="8" t="str">
        <f>TEXT(Tabla2[[#This Row],[fecha]], "mmmm")</f>
        <v>septiembre</v>
      </c>
      <c r="F1945" s="8" t="str">
        <f>"T"&amp;ROUNDUP(Tabla2[[#This Row],[mes]]/3,0)</f>
        <v>T3</v>
      </c>
      <c r="G1945" t="s">
        <v>27</v>
      </c>
      <c r="H1945" t="s">
        <v>28</v>
      </c>
      <c r="I1945" s="8" t="str">
        <f>IF(Tabla2[[#This Row],[precio_unitario]]&lt;=30,"Económico",IF(Tabla2[[#This Row],[precio_unitario]]&lt;=58.49,"Accesible","Caro"))</f>
        <v>Económico</v>
      </c>
      <c r="J1945" t="s">
        <v>26</v>
      </c>
      <c r="K1945">
        <v>1</v>
      </c>
      <c r="L1945" s="19">
        <v>15.1</v>
      </c>
      <c r="M1945" s="19">
        <v>11.61</v>
      </c>
      <c r="N1945" s="11">
        <v>0</v>
      </c>
      <c r="O1945" s="17">
        <f t="shared" si="123"/>
        <v>15.1</v>
      </c>
      <c r="P1945" s="17">
        <f t="shared" si="120"/>
        <v>11.61</v>
      </c>
      <c r="Q1945" s="17">
        <f t="shared" si="121"/>
        <v>3.49</v>
      </c>
      <c r="R1945" s="24">
        <f t="shared" si="122"/>
        <v>0.23112582781456956</v>
      </c>
      <c r="S1945" t="s">
        <v>63</v>
      </c>
      <c r="T1945" t="s">
        <v>64</v>
      </c>
    </row>
    <row r="1946" spans="1:20" hidden="1">
      <c r="A1946" t="s">
        <v>2013</v>
      </c>
      <c r="B1946" s="5">
        <v>45897</v>
      </c>
      <c r="C1946" s="8">
        <f>YEAR(Tabla2[[#This Row],[fecha]])</f>
        <v>2025</v>
      </c>
      <c r="D1946" s="8">
        <f>MONTH(Tabla2[[#This Row],[fecha]])</f>
        <v>8</v>
      </c>
      <c r="E1946" s="8" t="str">
        <f>TEXT(Tabla2[[#This Row],[fecha]], "mmmm")</f>
        <v>agosto</v>
      </c>
      <c r="F1946" s="8" t="str">
        <f>"T"&amp;ROUNDUP(Tabla2[[#This Row],[mes]]/3,0)</f>
        <v>T3</v>
      </c>
      <c r="G1946" t="s">
        <v>42</v>
      </c>
      <c r="H1946" t="s">
        <v>43</v>
      </c>
      <c r="I1946" s="8" t="str">
        <f>IF(Tabla2[[#This Row],[precio_unitario]]&lt;=30,"Económico",IF(Tabla2[[#This Row],[precio_unitario]]&lt;=58.49,"Accesible","Caro"))</f>
        <v>Accesible</v>
      </c>
      <c r="J1946" t="s">
        <v>44</v>
      </c>
      <c r="K1946">
        <v>1</v>
      </c>
      <c r="L1946" s="19">
        <v>49.59</v>
      </c>
      <c r="M1946" s="19">
        <v>22.84</v>
      </c>
      <c r="N1946" s="11">
        <v>0</v>
      </c>
      <c r="O1946" s="17">
        <f t="shared" si="123"/>
        <v>49.59</v>
      </c>
      <c r="P1946" s="17">
        <f t="shared" si="120"/>
        <v>22.84</v>
      </c>
      <c r="Q1946" s="17">
        <f t="shared" si="121"/>
        <v>26.750000000000004</v>
      </c>
      <c r="R1946" s="24">
        <f t="shared" si="122"/>
        <v>0.53942327082073005</v>
      </c>
      <c r="S1946" t="s">
        <v>96</v>
      </c>
      <c r="T1946" t="s">
        <v>64</v>
      </c>
    </row>
    <row r="1947" spans="1:20" hidden="1">
      <c r="A1947" t="s">
        <v>2014</v>
      </c>
      <c r="B1947" s="5">
        <v>46022</v>
      </c>
      <c r="C1947" s="8">
        <f>YEAR(Tabla2[[#This Row],[fecha]])</f>
        <v>2025</v>
      </c>
      <c r="D1947" s="8">
        <f>MONTH(Tabla2[[#This Row],[fecha]])</f>
        <v>12</v>
      </c>
      <c r="E1947" s="8" t="str">
        <f>TEXT(Tabla2[[#This Row],[fecha]], "mmmm")</f>
        <v>diciembre</v>
      </c>
      <c r="F1947" s="8" t="str">
        <f>"T"&amp;ROUNDUP(Tabla2[[#This Row],[mes]]/3,0)</f>
        <v>T4</v>
      </c>
      <c r="G1947" t="s">
        <v>45</v>
      </c>
      <c r="H1947" t="s">
        <v>46</v>
      </c>
      <c r="I1947" s="8" t="str">
        <f>IF(Tabla2[[#This Row],[precio_unitario]]&lt;=30,"Económico",IF(Tabla2[[#This Row],[precio_unitario]]&lt;=58.49,"Accesible","Caro"))</f>
        <v>Accesible</v>
      </c>
      <c r="J1947" t="s">
        <v>44</v>
      </c>
      <c r="K1947">
        <v>6</v>
      </c>
      <c r="L1947" s="19">
        <v>31.69</v>
      </c>
      <c r="M1947" s="19">
        <v>16.649999999999999</v>
      </c>
      <c r="N1947" s="13">
        <v>0</v>
      </c>
      <c r="O1947" s="17">
        <f t="shared" si="123"/>
        <v>190.14000000000001</v>
      </c>
      <c r="P1947" s="17">
        <f t="shared" si="120"/>
        <v>99.899999999999991</v>
      </c>
      <c r="Q1947" s="17">
        <f t="shared" si="121"/>
        <v>90.240000000000023</v>
      </c>
      <c r="R1947" s="24">
        <f t="shared" si="122"/>
        <v>0.47459766487851068</v>
      </c>
      <c r="S1947" t="s">
        <v>63</v>
      </c>
      <c r="T1947" t="s">
        <v>64</v>
      </c>
    </row>
    <row r="1948" spans="1:20" hidden="1">
      <c r="A1948" t="s">
        <v>2015</v>
      </c>
      <c r="B1948" s="5">
        <v>45466</v>
      </c>
      <c r="C1948" s="8">
        <f>YEAR(Tabla2[[#This Row],[fecha]])</f>
        <v>2024</v>
      </c>
      <c r="D1948" s="8">
        <f>MONTH(Tabla2[[#This Row],[fecha]])</f>
        <v>6</v>
      </c>
      <c r="E1948" s="8" t="str">
        <f>TEXT(Tabla2[[#This Row],[fecha]], "mmmm")</f>
        <v>junio</v>
      </c>
      <c r="F1948" s="8" t="str">
        <f>"T"&amp;ROUNDUP(Tabla2[[#This Row],[mes]]/3,0)</f>
        <v>T2</v>
      </c>
      <c r="G1948" t="s">
        <v>20</v>
      </c>
      <c r="H1948" t="s">
        <v>21</v>
      </c>
      <c r="I1948" s="8" t="str">
        <f>IF(Tabla2[[#This Row],[precio_unitario]]&lt;=30,"Económico",IF(Tabla2[[#This Row],[precio_unitario]]&lt;=58.49,"Accesible","Caro"))</f>
        <v>Económico</v>
      </c>
      <c r="J1948" t="s">
        <v>17</v>
      </c>
      <c r="K1948">
        <v>3</v>
      </c>
      <c r="L1948" s="19">
        <v>19.190000000000001</v>
      </c>
      <c r="M1948" s="19">
        <v>13.33</v>
      </c>
      <c r="N1948" s="11">
        <v>0.2</v>
      </c>
      <c r="O1948" s="17">
        <f t="shared" si="123"/>
        <v>46.056000000000012</v>
      </c>
      <c r="P1948" s="17">
        <f t="shared" si="120"/>
        <v>39.99</v>
      </c>
      <c r="Q1948" s="17">
        <f t="shared" si="121"/>
        <v>6.0660000000000096</v>
      </c>
      <c r="R1948" s="24">
        <f t="shared" si="122"/>
        <v>0.13170922355393452</v>
      </c>
      <c r="S1948" t="s">
        <v>96</v>
      </c>
      <c r="T1948" t="s">
        <v>64</v>
      </c>
    </row>
    <row r="1949" spans="1:20" hidden="1">
      <c r="A1949" t="s">
        <v>2016</v>
      </c>
      <c r="B1949" s="5">
        <v>45435</v>
      </c>
      <c r="C1949" s="8">
        <f>YEAR(Tabla2[[#This Row],[fecha]])</f>
        <v>2024</v>
      </c>
      <c r="D1949" s="8">
        <f>MONTH(Tabla2[[#This Row],[fecha]])</f>
        <v>5</v>
      </c>
      <c r="E1949" s="8" t="str">
        <f>TEXT(Tabla2[[#This Row],[fecha]], "mmmm")</f>
        <v>mayo</v>
      </c>
      <c r="F1949" s="8" t="str">
        <f>"T"&amp;ROUNDUP(Tabla2[[#This Row],[mes]]/3,0)</f>
        <v>T2</v>
      </c>
      <c r="G1949" t="s">
        <v>20</v>
      </c>
      <c r="H1949" t="s">
        <v>21</v>
      </c>
      <c r="I1949" s="8" t="str">
        <f>IF(Tabla2[[#This Row],[precio_unitario]]&lt;=30,"Económico",IF(Tabla2[[#This Row],[precio_unitario]]&lt;=58.49,"Accesible","Caro"))</f>
        <v>Económico</v>
      </c>
      <c r="J1949" t="s">
        <v>17</v>
      </c>
      <c r="K1949">
        <v>1</v>
      </c>
      <c r="L1949" s="19">
        <v>20.28</v>
      </c>
      <c r="M1949" s="19">
        <v>12.43</v>
      </c>
      <c r="N1949" s="11">
        <v>0</v>
      </c>
      <c r="O1949" s="17">
        <f t="shared" si="123"/>
        <v>20.28</v>
      </c>
      <c r="P1949" s="17">
        <f t="shared" si="120"/>
        <v>12.43</v>
      </c>
      <c r="Q1949" s="17">
        <f t="shared" si="121"/>
        <v>7.8500000000000014</v>
      </c>
      <c r="R1949" s="24">
        <f t="shared" si="122"/>
        <v>0.38708086785009865</v>
      </c>
      <c r="S1949" t="s">
        <v>67</v>
      </c>
      <c r="T1949" t="s">
        <v>64</v>
      </c>
    </row>
    <row r="1950" spans="1:20" hidden="1">
      <c r="A1950" t="s">
        <v>2017</v>
      </c>
      <c r="B1950" s="5">
        <v>45397</v>
      </c>
      <c r="C1950" s="8">
        <f>YEAR(Tabla2[[#This Row],[fecha]])</f>
        <v>2024</v>
      </c>
      <c r="D1950" s="8">
        <f>MONTH(Tabla2[[#This Row],[fecha]])</f>
        <v>4</v>
      </c>
      <c r="E1950" s="8" t="str">
        <f>TEXT(Tabla2[[#This Row],[fecha]], "mmmm")</f>
        <v>abril</v>
      </c>
      <c r="F1950" s="8" t="str">
        <f>"T"&amp;ROUNDUP(Tabla2[[#This Row],[mes]]/3,0)</f>
        <v>T2</v>
      </c>
      <c r="G1950" t="s">
        <v>11</v>
      </c>
      <c r="H1950" t="s">
        <v>12</v>
      </c>
      <c r="I1950" s="8" t="str">
        <f>IF(Tabla2[[#This Row],[precio_unitario]]&lt;=30,"Económico",IF(Tabla2[[#This Row],[precio_unitario]]&lt;=58.49,"Accesible","Caro"))</f>
        <v>Caro</v>
      </c>
      <c r="J1950" t="s">
        <v>8</v>
      </c>
      <c r="K1950">
        <v>2</v>
      </c>
      <c r="L1950" s="19">
        <v>176.78</v>
      </c>
      <c r="M1950" s="19">
        <v>94.52</v>
      </c>
      <c r="N1950" s="13">
        <v>0</v>
      </c>
      <c r="O1950" s="17">
        <f t="shared" si="123"/>
        <v>353.56</v>
      </c>
      <c r="P1950" s="17">
        <f t="shared" si="120"/>
        <v>189.04</v>
      </c>
      <c r="Q1950" s="17">
        <f t="shared" si="121"/>
        <v>164.52</v>
      </c>
      <c r="R1950" s="24">
        <f t="shared" si="122"/>
        <v>0.46532413168910514</v>
      </c>
      <c r="S1950" t="s">
        <v>83</v>
      </c>
      <c r="T1950" t="s">
        <v>60</v>
      </c>
    </row>
    <row r="1951" spans="1:20" hidden="1">
      <c r="A1951" t="s">
        <v>2018</v>
      </c>
      <c r="B1951" s="5">
        <v>45672</v>
      </c>
      <c r="C1951" s="8">
        <f>YEAR(Tabla2[[#This Row],[fecha]])</f>
        <v>2025</v>
      </c>
      <c r="D1951" s="8">
        <f>MONTH(Tabla2[[#This Row],[fecha]])</f>
        <v>1</v>
      </c>
      <c r="E1951" s="8" t="str">
        <f>TEXT(Tabla2[[#This Row],[fecha]], "mmmm")</f>
        <v>enero</v>
      </c>
      <c r="F1951" s="8" t="str">
        <f>"T"&amp;ROUNDUP(Tabla2[[#This Row],[mes]]/3,0)</f>
        <v>T1</v>
      </c>
      <c r="G1951" t="s">
        <v>40</v>
      </c>
      <c r="H1951" t="s">
        <v>41</v>
      </c>
      <c r="I1951" s="8" t="str">
        <f>IF(Tabla2[[#This Row],[precio_unitario]]&lt;=30,"Económico",IF(Tabla2[[#This Row],[precio_unitario]]&lt;=58.49,"Accesible","Caro"))</f>
        <v>Caro</v>
      </c>
      <c r="J1951" t="s">
        <v>35</v>
      </c>
      <c r="K1951">
        <v>1</v>
      </c>
      <c r="L1951" s="19">
        <v>78.31</v>
      </c>
      <c r="M1951" s="19">
        <v>39.64</v>
      </c>
      <c r="N1951" s="11">
        <v>0</v>
      </c>
      <c r="O1951" s="17">
        <f t="shared" si="123"/>
        <v>78.31</v>
      </c>
      <c r="P1951" s="17">
        <f t="shared" si="120"/>
        <v>39.64</v>
      </c>
      <c r="Q1951" s="17">
        <f t="shared" si="121"/>
        <v>38.67</v>
      </c>
      <c r="R1951" s="24">
        <f t="shared" si="122"/>
        <v>0.49380666581534927</v>
      </c>
      <c r="S1951" t="s">
        <v>101</v>
      </c>
      <c r="T1951" t="s">
        <v>64</v>
      </c>
    </row>
    <row r="1952" spans="1:20" hidden="1">
      <c r="A1952" t="s">
        <v>2019</v>
      </c>
      <c r="B1952" s="5">
        <v>45497</v>
      </c>
      <c r="C1952" s="8">
        <f>YEAR(Tabla2[[#This Row],[fecha]])</f>
        <v>2024</v>
      </c>
      <c r="D1952" s="8">
        <f>MONTH(Tabla2[[#This Row],[fecha]])</f>
        <v>7</v>
      </c>
      <c r="E1952" s="8" t="str">
        <f>TEXT(Tabla2[[#This Row],[fecha]], "mmmm")</f>
        <v>julio</v>
      </c>
      <c r="F1952" s="8" t="str">
        <f>"T"&amp;ROUNDUP(Tabla2[[#This Row],[mes]]/3,0)</f>
        <v>T3</v>
      </c>
      <c r="G1952" t="s">
        <v>18</v>
      </c>
      <c r="H1952" t="s">
        <v>19</v>
      </c>
      <c r="I1952" s="8" t="str">
        <f>IF(Tabla2[[#This Row],[precio_unitario]]&lt;=30,"Económico",IF(Tabla2[[#This Row],[precio_unitario]]&lt;=58.49,"Accesible","Caro"))</f>
        <v>Accesible</v>
      </c>
      <c r="J1952" t="s">
        <v>17</v>
      </c>
      <c r="K1952">
        <v>5</v>
      </c>
      <c r="L1952" s="19">
        <v>46.18</v>
      </c>
      <c r="M1952" s="19">
        <v>26.23</v>
      </c>
      <c r="N1952" s="13">
        <v>0</v>
      </c>
      <c r="O1952" s="17">
        <f t="shared" si="123"/>
        <v>230.9</v>
      </c>
      <c r="P1952" s="17">
        <f t="shared" si="120"/>
        <v>131.15</v>
      </c>
      <c r="Q1952" s="17">
        <f t="shared" si="121"/>
        <v>99.75</v>
      </c>
      <c r="R1952" s="24">
        <f t="shared" si="122"/>
        <v>0.43200519705500218</v>
      </c>
      <c r="S1952" t="s">
        <v>101</v>
      </c>
      <c r="T1952" t="s">
        <v>60</v>
      </c>
    </row>
    <row r="1953" spans="1:20" hidden="1">
      <c r="A1953" t="s">
        <v>2020</v>
      </c>
      <c r="B1953" s="5">
        <v>45999</v>
      </c>
      <c r="C1953" s="8">
        <f>YEAR(Tabla2[[#This Row],[fecha]])</f>
        <v>2025</v>
      </c>
      <c r="D1953" s="8">
        <f>MONTH(Tabla2[[#This Row],[fecha]])</f>
        <v>12</v>
      </c>
      <c r="E1953" s="8" t="str">
        <f>TEXT(Tabla2[[#This Row],[fecha]], "mmmm")</f>
        <v>diciembre</v>
      </c>
      <c r="F1953" s="8" t="str">
        <f>"T"&amp;ROUNDUP(Tabla2[[#This Row],[mes]]/3,0)</f>
        <v>T4</v>
      </c>
      <c r="G1953" t="s">
        <v>47</v>
      </c>
      <c r="H1953" t="s">
        <v>48</v>
      </c>
      <c r="I1953" s="8" t="str">
        <f>IF(Tabla2[[#This Row],[precio_unitario]]&lt;=30,"Económico",IF(Tabla2[[#This Row],[precio_unitario]]&lt;=58.49,"Accesible","Caro"))</f>
        <v>Caro</v>
      </c>
      <c r="J1953" t="s">
        <v>44</v>
      </c>
      <c r="K1953">
        <v>4</v>
      </c>
      <c r="L1953" s="19">
        <v>58.5</v>
      </c>
      <c r="M1953" s="19">
        <v>34.090000000000003</v>
      </c>
      <c r="N1953" s="11">
        <v>0</v>
      </c>
      <c r="O1953" s="17">
        <f t="shared" si="123"/>
        <v>234</v>
      </c>
      <c r="P1953" s="17">
        <f t="shared" si="120"/>
        <v>136.36000000000001</v>
      </c>
      <c r="Q1953" s="17">
        <f t="shared" si="121"/>
        <v>97.639999999999986</v>
      </c>
      <c r="R1953" s="24">
        <f t="shared" si="122"/>
        <v>0.41726495726495721</v>
      </c>
      <c r="S1953" t="s">
        <v>540</v>
      </c>
      <c r="T1953" t="s">
        <v>64</v>
      </c>
    </row>
    <row r="1954" spans="1:20" hidden="1">
      <c r="A1954" t="s">
        <v>2021</v>
      </c>
      <c r="B1954" s="5">
        <v>45398</v>
      </c>
      <c r="C1954" s="8">
        <f>YEAR(Tabla2[[#This Row],[fecha]])</f>
        <v>2024</v>
      </c>
      <c r="D1954" s="8">
        <f>MONTH(Tabla2[[#This Row],[fecha]])</f>
        <v>4</v>
      </c>
      <c r="E1954" s="8" t="str">
        <f>TEXT(Tabla2[[#This Row],[fecha]], "mmmm")</f>
        <v>abril</v>
      </c>
      <c r="F1954" s="8" t="str">
        <f>"T"&amp;ROUNDUP(Tabla2[[#This Row],[mes]]/3,0)</f>
        <v>T2</v>
      </c>
      <c r="G1954" t="s">
        <v>31</v>
      </c>
      <c r="H1954" t="s">
        <v>32</v>
      </c>
      <c r="I1954" s="8" t="str">
        <f>IF(Tabla2[[#This Row],[precio_unitario]]&lt;=30,"Económico",IF(Tabla2[[#This Row],[precio_unitario]]&lt;=58.49,"Accesible","Caro"))</f>
        <v>Económico</v>
      </c>
      <c r="J1954" t="s">
        <v>26</v>
      </c>
      <c r="K1954">
        <v>1</v>
      </c>
      <c r="L1954" s="19">
        <v>8.8800000000000008</v>
      </c>
      <c r="M1954" s="19">
        <v>5.91</v>
      </c>
      <c r="N1954" s="11">
        <v>0</v>
      </c>
      <c r="O1954" s="17">
        <f t="shared" si="123"/>
        <v>8.8800000000000008</v>
      </c>
      <c r="P1954" s="17">
        <f t="shared" si="120"/>
        <v>5.91</v>
      </c>
      <c r="Q1954" s="17">
        <f t="shared" si="121"/>
        <v>2.9700000000000006</v>
      </c>
      <c r="R1954" s="24">
        <f t="shared" si="122"/>
        <v>0.33445945945945948</v>
      </c>
      <c r="S1954" t="s">
        <v>83</v>
      </c>
      <c r="T1954" t="s">
        <v>64</v>
      </c>
    </row>
    <row r="1955" spans="1:20" hidden="1">
      <c r="A1955" t="s">
        <v>2022</v>
      </c>
      <c r="B1955" s="5">
        <v>45892</v>
      </c>
      <c r="C1955" s="8">
        <f>YEAR(Tabla2[[#This Row],[fecha]])</f>
        <v>2025</v>
      </c>
      <c r="D1955" s="8">
        <f>MONTH(Tabla2[[#This Row],[fecha]])</f>
        <v>8</v>
      </c>
      <c r="E1955" s="8" t="str">
        <f>TEXT(Tabla2[[#This Row],[fecha]], "mmmm")</f>
        <v>agosto</v>
      </c>
      <c r="F1955" s="8" t="str">
        <f>"T"&amp;ROUNDUP(Tabla2[[#This Row],[mes]]/3,0)</f>
        <v>T3</v>
      </c>
      <c r="G1955" t="s">
        <v>33</v>
      </c>
      <c r="H1955" t="s">
        <v>34</v>
      </c>
      <c r="I1955" s="8" t="str">
        <f>IF(Tabla2[[#This Row],[precio_unitario]]&lt;=30,"Económico",IF(Tabla2[[#This Row],[precio_unitario]]&lt;=58.49,"Accesible","Caro"))</f>
        <v>Caro</v>
      </c>
      <c r="J1955" t="s">
        <v>35</v>
      </c>
      <c r="K1955">
        <v>2</v>
      </c>
      <c r="L1955" s="19">
        <v>82.55</v>
      </c>
      <c r="M1955" s="19">
        <v>47.32</v>
      </c>
      <c r="N1955" s="13">
        <v>0</v>
      </c>
      <c r="O1955" s="17">
        <f t="shared" si="123"/>
        <v>165.1</v>
      </c>
      <c r="P1955" s="17">
        <f t="shared" si="120"/>
        <v>94.64</v>
      </c>
      <c r="Q1955" s="17">
        <f t="shared" si="121"/>
        <v>70.459999999999994</v>
      </c>
      <c r="R1955" s="24">
        <f t="shared" si="122"/>
        <v>0.42677165354330704</v>
      </c>
      <c r="S1955" t="s">
        <v>63</v>
      </c>
      <c r="T1955" t="s">
        <v>64</v>
      </c>
    </row>
    <row r="1956" spans="1:20" hidden="1">
      <c r="A1956" t="s">
        <v>2023</v>
      </c>
      <c r="B1956" s="5">
        <v>45557</v>
      </c>
      <c r="C1956" s="8">
        <f>YEAR(Tabla2[[#This Row],[fecha]])</f>
        <v>2024</v>
      </c>
      <c r="D1956" s="8">
        <f>MONTH(Tabla2[[#This Row],[fecha]])</f>
        <v>9</v>
      </c>
      <c r="E1956" s="8" t="str">
        <f>TEXT(Tabla2[[#This Row],[fecha]], "mmmm")</f>
        <v>septiembre</v>
      </c>
      <c r="F1956" s="8" t="str">
        <f>"T"&amp;ROUNDUP(Tabla2[[#This Row],[mes]]/3,0)</f>
        <v>T3</v>
      </c>
      <c r="G1956" t="s">
        <v>9</v>
      </c>
      <c r="H1956" t="s">
        <v>10</v>
      </c>
      <c r="I1956" s="8" t="str">
        <f>IF(Tabla2[[#This Row],[precio_unitario]]&lt;=30,"Económico",IF(Tabla2[[#This Row],[precio_unitario]]&lt;=58.49,"Accesible","Caro"))</f>
        <v>Caro</v>
      </c>
      <c r="J1956" t="s">
        <v>8</v>
      </c>
      <c r="K1956">
        <v>8</v>
      </c>
      <c r="L1956" s="19">
        <v>74.28</v>
      </c>
      <c r="M1956" s="19">
        <v>45.08</v>
      </c>
      <c r="N1956" s="11">
        <v>0</v>
      </c>
      <c r="O1956" s="17">
        <f t="shared" si="123"/>
        <v>594.24</v>
      </c>
      <c r="P1956" s="17">
        <f t="shared" si="120"/>
        <v>360.64</v>
      </c>
      <c r="Q1956" s="17">
        <f t="shared" si="121"/>
        <v>233.60000000000002</v>
      </c>
      <c r="R1956" s="24">
        <f t="shared" si="122"/>
        <v>0.3931071620893915</v>
      </c>
      <c r="S1956" t="s">
        <v>101</v>
      </c>
      <c r="T1956" t="s">
        <v>60</v>
      </c>
    </row>
    <row r="1957" spans="1:20" hidden="1">
      <c r="A1957" t="s">
        <v>2024</v>
      </c>
      <c r="B1957" s="5">
        <v>45883</v>
      </c>
      <c r="C1957" s="8">
        <f>YEAR(Tabla2[[#This Row],[fecha]])</f>
        <v>2025</v>
      </c>
      <c r="D1957" s="8">
        <f>MONTH(Tabla2[[#This Row],[fecha]])</f>
        <v>8</v>
      </c>
      <c r="E1957" s="8" t="str">
        <f>TEXT(Tabla2[[#This Row],[fecha]], "mmmm")</f>
        <v>agosto</v>
      </c>
      <c r="F1957" s="8" t="str">
        <f>"T"&amp;ROUNDUP(Tabla2[[#This Row],[mes]]/3,0)</f>
        <v>T3</v>
      </c>
      <c r="G1957" t="s">
        <v>31</v>
      </c>
      <c r="H1957" t="s">
        <v>32</v>
      </c>
      <c r="I1957" s="8" t="str">
        <f>IF(Tabla2[[#This Row],[precio_unitario]]&lt;=30,"Económico",IF(Tabla2[[#This Row],[precio_unitario]]&lt;=58.49,"Accesible","Caro"))</f>
        <v>Económico</v>
      </c>
      <c r="J1957" t="s">
        <v>26</v>
      </c>
      <c r="K1957">
        <v>1</v>
      </c>
      <c r="L1957" s="19">
        <v>8.11</v>
      </c>
      <c r="M1957" s="19">
        <v>6.02</v>
      </c>
      <c r="N1957" s="11">
        <v>0</v>
      </c>
      <c r="O1957" s="17">
        <f t="shared" si="123"/>
        <v>8.11</v>
      </c>
      <c r="P1957" s="17">
        <f t="shared" si="120"/>
        <v>6.02</v>
      </c>
      <c r="Q1957" s="17">
        <f t="shared" si="121"/>
        <v>2.09</v>
      </c>
      <c r="R1957" s="24">
        <f t="shared" si="122"/>
        <v>0.25770653514180025</v>
      </c>
      <c r="S1957" t="s">
        <v>83</v>
      </c>
      <c r="T1957" t="s">
        <v>60</v>
      </c>
    </row>
    <row r="1958" spans="1:20" hidden="1">
      <c r="A1958" t="s">
        <v>2025</v>
      </c>
      <c r="B1958" s="5">
        <v>45801</v>
      </c>
      <c r="C1958" s="8">
        <f>YEAR(Tabla2[[#This Row],[fecha]])</f>
        <v>2025</v>
      </c>
      <c r="D1958" s="8">
        <f>MONTH(Tabla2[[#This Row],[fecha]])</f>
        <v>5</v>
      </c>
      <c r="E1958" s="8" t="str">
        <f>TEXT(Tabla2[[#This Row],[fecha]], "mmmm")</f>
        <v>mayo</v>
      </c>
      <c r="F1958" s="8" t="str">
        <f>"T"&amp;ROUNDUP(Tabla2[[#This Row],[mes]]/3,0)</f>
        <v>T2</v>
      </c>
      <c r="G1958" t="s">
        <v>45</v>
      </c>
      <c r="H1958" t="s">
        <v>46</v>
      </c>
      <c r="I1958" s="8" t="str">
        <f>IF(Tabla2[[#This Row],[precio_unitario]]&lt;=30,"Económico",IF(Tabla2[[#This Row],[precio_unitario]]&lt;=58.49,"Accesible","Caro"))</f>
        <v>Económico</v>
      </c>
      <c r="J1958" t="s">
        <v>44</v>
      </c>
      <c r="K1958">
        <v>3</v>
      </c>
      <c r="L1958" s="19">
        <v>28.85</v>
      </c>
      <c r="M1958" s="19">
        <v>17.68</v>
      </c>
      <c r="N1958" s="11">
        <v>0</v>
      </c>
      <c r="O1958" s="17">
        <f t="shared" si="123"/>
        <v>86.550000000000011</v>
      </c>
      <c r="P1958" s="17">
        <f t="shared" si="120"/>
        <v>53.04</v>
      </c>
      <c r="Q1958" s="17">
        <f t="shared" si="121"/>
        <v>33.510000000000012</v>
      </c>
      <c r="R1958" s="24">
        <f t="shared" si="122"/>
        <v>0.38717504332755642</v>
      </c>
      <c r="S1958" t="s">
        <v>540</v>
      </c>
      <c r="T1958" t="s">
        <v>64</v>
      </c>
    </row>
    <row r="1959" spans="1:20" hidden="1">
      <c r="A1959" t="s">
        <v>2026</v>
      </c>
      <c r="B1959" s="5">
        <v>45515</v>
      </c>
      <c r="C1959" s="8">
        <f>YEAR(Tabla2[[#This Row],[fecha]])</f>
        <v>2024</v>
      </c>
      <c r="D1959" s="8">
        <f>MONTH(Tabla2[[#This Row],[fecha]])</f>
        <v>8</v>
      </c>
      <c r="E1959" s="8" t="str">
        <f>TEXT(Tabla2[[#This Row],[fecha]], "mmmm")</f>
        <v>agosto</v>
      </c>
      <c r="F1959" s="8" t="str">
        <f>"T"&amp;ROUNDUP(Tabla2[[#This Row],[mes]]/3,0)</f>
        <v>T3</v>
      </c>
      <c r="G1959" t="s">
        <v>33</v>
      </c>
      <c r="H1959" t="s">
        <v>34</v>
      </c>
      <c r="I1959" s="8" t="str">
        <f>IF(Tabla2[[#This Row],[precio_unitario]]&lt;=30,"Económico",IF(Tabla2[[#This Row],[precio_unitario]]&lt;=58.49,"Accesible","Caro"))</f>
        <v>Caro</v>
      </c>
      <c r="J1959" t="s">
        <v>35</v>
      </c>
      <c r="K1959">
        <v>3</v>
      </c>
      <c r="L1959" s="19">
        <v>75.260000000000005</v>
      </c>
      <c r="M1959" s="19">
        <v>47.86</v>
      </c>
      <c r="N1959" s="11">
        <v>7.0000000000000007E-2</v>
      </c>
      <c r="O1959" s="17">
        <f t="shared" si="123"/>
        <v>209.97540000000001</v>
      </c>
      <c r="P1959" s="17">
        <f t="shared" si="120"/>
        <v>143.57999999999998</v>
      </c>
      <c r="Q1959" s="17">
        <f t="shared" si="121"/>
        <v>66.395400000000024</v>
      </c>
      <c r="R1959" s="24">
        <f t="shared" si="122"/>
        <v>0.31620561265748282</v>
      </c>
      <c r="S1959" t="s">
        <v>67</v>
      </c>
      <c r="T1959" t="s">
        <v>64</v>
      </c>
    </row>
    <row r="1960" spans="1:20" hidden="1">
      <c r="A1960" t="s">
        <v>2027</v>
      </c>
      <c r="B1960" s="5">
        <v>45435</v>
      </c>
      <c r="C1960" s="8">
        <f>YEAR(Tabla2[[#This Row],[fecha]])</f>
        <v>2024</v>
      </c>
      <c r="D1960" s="8">
        <f>MONTH(Tabla2[[#This Row],[fecha]])</f>
        <v>5</v>
      </c>
      <c r="E1960" s="8" t="str">
        <f>TEXT(Tabla2[[#This Row],[fecha]], "mmmm")</f>
        <v>mayo</v>
      </c>
      <c r="F1960" s="8" t="str">
        <f>"T"&amp;ROUNDUP(Tabla2[[#This Row],[mes]]/3,0)</f>
        <v>T2</v>
      </c>
      <c r="G1960" t="s">
        <v>27</v>
      </c>
      <c r="H1960" t="s">
        <v>28</v>
      </c>
      <c r="I1960" s="8" t="str">
        <f>IF(Tabla2[[#This Row],[precio_unitario]]&lt;=30,"Económico",IF(Tabla2[[#This Row],[precio_unitario]]&lt;=58.49,"Accesible","Caro"))</f>
        <v>Económico</v>
      </c>
      <c r="J1960" t="s">
        <v>26</v>
      </c>
      <c r="K1960">
        <v>4</v>
      </c>
      <c r="L1960" s="19">
        <v>17.52</v>
      </c>
      <c r="M1960" s="19">
        <v>11.42</v>
      </c>
      <c r="N1960" s="11">
        <v>0.15</v>
      </c>
      <c r="O1960" s="17">
        <f t="shared" si="123"/>
        <v>59.567999999999998</v>
      </c>
      <c r="P1960" s="17">
        <f t="shared" si="120"/>
        <v>45.68</v>
      </c>
      <c r="Q1960" s="17">
        <f t="shared" si="121"/>
        <v>13.887999999999998</v>
      </c>
      <c r="R1960" s="24">
        <f t="shared" si="122"/>
        <v>0.2331453129196884</v>
      </c>
      <c r="S1960" s="10" t="s">
        <v>2377</v>
      </c>
      <c r="T1960" t="s">
        <v>64</v>
      </c>
    </row>
    <row r="1961" spans="1:20" hidden="1">
      <c r="A1961" t="s">
        <v>2028</v>
      </c>
      <c r="B1961" s="5">
        <v>45789</v>
      </c>
      <c r="C1961" s="8">
        <f>YEAR(Tabla2[[#This Row],[fecha]])</f>
        <v>2025</v>
      </c>
      <c r="D1961" s="8">
        <f>MONTH(Tabla2[[#This Row],[fecha]])</f>
        <v>5</v>
      </c>
      <c r="E1961" s="8" t="str">
        <f>TEXT(Tabla2[[#This Row],[fecha]], "mmmm")</f>
        <v>mayo</v>
      </c>
      <c r="F1961" s="8" t="str">
        <f>"T"&amp;ROUNDUP(Tabla2[[#This Row],[mes]]/3,0)</f>
        <v>T2</v>
      </c>
      <c r="G1961" t="s">
        <v>29</v>
      </c>
      <c r="H1961" t="s">
        <v>30</v>
      </c>
      <c r="I1961" s="8" t="str">
        <f>IF(Tabla2[[#This Row],[precio_unitario]]&lt;=30,"Económico",IF(Tabla2[[#This Row],[precio_unitario]]&lt;=58.49,"Accesible","Caro"))</f>
        <v>Económico</v>
      </c>
      <c r="J1961" t="s">
        <v>26</v>
      </c>
      <c r="K1961">
        <v>1</v>
      </c>
      <c r="L1961" s="19">
        <v>22.51</v>
      </c>
      <c r="M1961" s="19">
        <v>11.03</v>
      </c>
      <c r="N1961" s="11">
        <v>0</v>
      </c>
      <c r="O1961" s="17">
        <f t="shared" si="123"/>
        <v>22.51</v>
      </c>
      <c r="P1961" s="17">
        <f t="shared" si="120"/>
        <v>11.03</v>
      </c>
      <c r="Q1961" s="17">
        <f t="shared" si="121"/>
        <v>11.480000000000002</v>
      </c>
      <c r="R1961" s="24">
        <f t="shared" si="122"/>
        <v>0.50999555752998671</v>
      </c>
      <c r="S1961" t="s">
        <v>83</v>
      </c>
      <c r="T1961" t="s">
        <v>64</v>
      </c>
    </row>
    <row r="1962" spans="1:20" hidden="1">
      <c r="A1962" t="s">
        <v>2029</v>
      </c>
      <c r="B1962" s="5">
        <v>45797</v>
      </c>
      <c r="C1962" s="8">
        <f>YEAR(Tabla2[[#This Row],[fecha]])</f>
        <v>2025</v>
      </c>
      <c r="D1962" s="8">
        <f>MONTH(Tabla2[[#This Row],[fecha]])</f>
        <v>5</v>
      </c>
      <c r="E1962" s="8" t="str">
        <f>TEXT(Tabla2[[#This Row],[fecha]], "mmmm")</f>
        <v>mayo</v>
      </c>
      <c r="F1962" s="8" t="str">
        <f>"T"&amp;ROUNDUP(Tabla2[[#This Row],[mes]]/3,0)</f>
        <v>T2</v>
      </c>
      <c r="G1962" t="s">
        <v>20</v>
      </c>
      <c r="H1962" t="s">
        <v>21</v>
      </c>
      <c r="I1962" s="8" t="str">
        <f>IF(Tabla2[[#This Row],[precio_unitario]]&lt;=30,"Económico",IF(Tabla2[[#This Row],[precio_unitario]]&lt;=58.49,"Accesible","Caro"))</f>
        <v>Económico</v>
      </c>
      <c r="J1962" t="s">
        <v>17</v>
      </c>
      <c r="K1962">
        <v>1</v>
      </c>
      <c r="L1962" s="19">
        <v>20.66</v>
      </c>
      <c r="M1962" s="19">
        <v>12.91</v>
      </c>
      <c r="N1962" s="13">
        <v>0</v>
      </c>
      <c r="O1962" s="17">
        <f t="shared" si="123"/>
        <v>20.66</v>
      </c>
      <c r="P1962" s="17">
        <f t="shared" si="120"/>
        <v>12.91</v>
      </c>
      <c r="Q1962" s="17">
        <f t="shared" si="121"/>
        <v>7.75</v>
      </c>
      <c r="R1962" s="24">
        <f t="shared" si="122"/>
        <v>0.3751210067763795</v>
      </c>
      <c r="S1962" t="s">
        <v>540</v>
      </c>
      <c r="T1962" t="s">
        <v>64</v>
      </c>
    </row>
    <row r="1963" spans="1:20" hidden="1">
      <c r="A1963" t="s">
        <v>2030</v>
      </c>
      <c r="B1963" s="5">
        <v>45698</v>
      </c>
      <c r="C1963" s="8">
        <f>YEAR(Tabla2[[#This Row],[fecha]])</f>
        <v>2025</v>
      </c>
      <c r="D1963" s="8">
        <f>MONTH(Tabla2[[#This Row],[fecha]])</f>
        <v>2</v>
      </c>
      <c r="E1963" s="8" t="str">
        <f>TEXT(Tabla2[[#This Row],[fecha]], "mmmm")</f>
        <v>febrero</v>
      </c>
      <c r="F1963" s="8" t="str">
        <f>"T"&amp;ROUNDUP(Tabla2[[#This Row],[mes]]/3,0)</f>
        <v>T1</v>
      </c>
      <c r="G1963" t="s">
        <v>49</v>
      </c>
      <c r="H1963" t="s">
        <v>50</v>
      </c>
      <c r="I1963" s="8" t="str">
        <f>IF(Tabla2[[#This Row],[precio_unitario]]&lt;=30,"Económico",IF(Tabla2[[#This Row],[precio_unitario]]&lt;=58.49,"Accesible","Caro"))</f>
        <v>Caro</v>
      </c>
      <c r="J1963" t="s">
        <v>44</v>
      </c>
      <c r="K1963">
        <v>4</v>
      </c>
      <c r="L1963" s="19">
        <v>59.84</v>
      </c>
      <c r="M1963" s="19">
        <v>32.86</v>
      </c>
      <c r="N1963" s="11">
        <v>0</v>
      </c>
      <c r="O1963" s="17">
        <f t="shared" si="123"/>
        <v>239.36</v>
      </c>
      <c r="P1963" s="17">
        <f t="shared" si="120"/>
        <v>131.44</v>
      </c>
      <c r="Q1963" s="17">
        <f t="shared" si="121"/>
        <v>107.92000000000002</v>
      </c>
      <c r="R1963" s="24">
        <f t="shared" si="122"/>
        <v>0.4508689839572193</v>
      </c>
      <c r="S1963" t="s">
        <v>101</v>
      </c>
      <c r="T1963" t="s">
        <v>60</v>
      </c>
    </row>
    <row r="1964" spans="1:20" hidden="1">
      <c r="A1964" t="s">
        <v>2031</v>
      </c>
      <c r="B1964" s="5">
        <v>46017</v>
      </c>
      <c r="C1964" s="8">
        <f>YEAR(Tabla2[[#This Row],[fecha]])</f>
        <v>2025</v>
      </c>
      <c r="D1964" s="8">
        <f>MONTH(Tabla2[[#This Row],[fecha]])</f>
        <v>12</v>
      </c>
      <c r="E1964" s="8" t="str">
        <f>TEXT(Tabla2[[#This Row],[fecha]], "mmmm")</f>
        <v>diciembre</v>
      </c>
      <c r="F1964" s="8" t="str">
        <f>"T"&amp;ROUNDUP(Tabla2[[#This Row],[mes]]/3,0)</f>
        <v>T4</v>
      </c>
      <c r="G1964" t="s">
        <v>49</v>
      </c>
      <c r="H1964" t="s">
        <v>50</v>
      </c>
      <c r="I1964" s="8" t="str">
        <f>IF(Tabla2[[#This Row],[precio_unitario]]&lt;=30,"Económico",IF(Tabla2[[#This Row],[precio_unitario]]&lt;=58.49,"Accesible","Caro"))</f>
        <v>Caro</v>
      </c>
      <c r="J1964" t="s">
        <v>44</v>
      </c>
      <c r="K1964">
        <v>2</v>
      </c>
      <c r="L1964" s="19">
        <v>63.34</v>
      </c>
      <c r="M1964" s="19">
        <v>34.35</v>
      </c>
      <c r="N1964" s="11">
        <v>0</v>
      </c>
      <c r="O1964" s="17">
        <f t="shared" si="123"/>
        <v>126.68</v>
      </c>
      <c r="P1964" s="17">
        <f t="shared" si="120"/>
        <v>68.7</v>
      </c>
      <c r="Q1964" s="17">
        <f t="shared" si="121"/>
        <v>57.980000000000004</v>
      </c>
      <c r="R1964" s="24">
        <f t="shared" si="122"/>
        <v>0.45768866435112093</v>
      </c>
      <c r="S1964" t="s">
        <v>101</v>
      </c>
      <c r="T1964" t="s">
        <v>60</v>
      </c>
    </row>
    <row r="1965" spans="1:20" hidden="1">
      <c r="A1965" t="s">
        <v>2032</v>
      </c>
      <c r="B1965" s="5">
        <v>45686</v>
      </c>
      <c r="C1965" s="8">
        <f>YEAR(Tabla2[[#This Row],[fecha]])</f>
        <v>2025</v>
      </c>
      <c r="D1965" s="8">
        <f>MONTH(Tabla2[[#This Row],[fecha]])</f>
        <v>1</v>
      </c>
      <c r="E1965" s="8" t="str">
        <f>TEXT(Tabla2[[#This Row],[fecha]], "mmmm")</f>
        <v>enero</v>
      </c>
      <c r="F1965" s="8" t="str">
        <f>"T"&amp;ROUNDUP(Tabla2[[#This Row],[mes]]/3,0)</f>
        <v>T1</v>
      </c>
      <c r="G1965" t="s">
        <v>11</v>
      </c>
      <c r="H1965" t="s">
        <v>12</v>
      </c>
      <c r="I1965" s="8" t="str">
        <f>IF(Tabla2[[#This Row],[precio_unitario]]&lt;=30,"Económico",IF(Tabla2[[#This Row],[precio_unitario]]&lt;=58.49,"Accesible","Caro"))</f>
        <v>Caro</v>
      </c>
      <c r="J1965" t="s">
        <v>8</v>
      </c>
      <c r="K1965">
        <v>1</v>
      </c>
      <c r="L1965" s="19">
        <v>171.17</v>
      </c>
      <c r="M1965" s="19">
        <v>98.39</v>
      </c>
      <c r="N1965" s="13">
        <v>0</v>
      </c>
      <c r="O1965" s="17">
        <f t="shared" si="123"/>
        <v>171.17</v>
      </c>
      <c r="P1965" s="17">
        <f t="shared" si="120"/>
        <v>98.39</v>
      </c>
      <c r="Q1965" s="17">
        <f t="shared" si="121"/>
        <v>72.779999999999987</v>
      </c>
      <c r="R1965" s="24">
        <f t="shared" si="122"/>
        <v>0.42519133025647016</v>
      </c>
      <c r="S1965" t="s">
        <v>96</v>
      </c>
      <c r="T1965" t="s">
        <v>60</v>
      </c>
    </row>
    <row r="1966" spans="1:20" hidden="1">
      <c r="A1966" t="s">
        <v>2033</v>
      </c>
      <c r="B1966" s="5">
        <v>45989</v>
      </c>
      <c r="C1966" s="8">
        <f>YEAR(Tabla2[[#This Row],[fecha]])</f>
        <v>2025</v>
      </c>
      <c r="D1966" s="8">
        <f>MONTH(Tabla2[[#This Row],[fecha]])</f>
        <v>11</v>
      </c>
      <c r="E1966" s="8" t="str">
        <f>TEXT(Tabla2[[#This Row],[fecha]], "mmmm")</f>
        <v>noviembre</v>
      </c>
      <c r="F1966" s="8" t="str">
        <f>"T"&amp;ROUNDUP(Tabla2[[#This Row],[mes]]/3,0)</f>
        <v>T4</v>
      </c>
      <c r="G1966" t="s">
        <v>6</v>
      </c>
      <c r="H1966" t="s">
        <v>7</v>
      </c>
      <c r="I1966" s="8" t="str">
        <f>IF(Tabla2[[#This Row],[precio_unitario]]&lt;=30,"Económico",IF(Tabla2[[#This Row],[precio_unitario]]&lt;=58.49,"Accesible","Caro"))</f>
        <v>Caro</v>
      </c>
      <c r="J1966" t="s">
        <v>8</v>
      </c>
      <c r="K1966">
        <v>6</v>
      </c>
      <c r="L1966" s="19">
        <v>116.08</v>
      </c>
      <c r="M1966" s="19">
        <v>84.71</v>
      </c>
      <c r="N1966" s="13">
        <v>0</v>
      </c>
      <c r="O1966" s="17">
        <f t="shared" si="123"/>
        <v>696.48</v>
      </c>
      <c r="P1966" s="17">
        <f t="shared" si="120"/>
        <v>508.26</v>
      </c>
      <c r="Q1966" s="17">
        <f t="shared" si="121"/>
        <v>188.22000000000003</v>
      </c>
      <c r="R1966" s="24">
        <f t="shared" si="122"/>
        <v>0.27024465885596144</v>
      </c>
      <c r="S1966" t="s">
        <v>540</v>
      </c>
      <c r="T1966" t="s">
        <v>60</v>
      </c>
    </row>
    <row r="1967" spans="1:20">
      <c r="A1967" t="s">
        <v>2034</v>
      </c>
      <c r="B1967" s="5">
        <v>45776</v>
      </c>
      <c r="C1967" s="8">
        <f>YEAR(Tabla2[[#This Row],[fecha]])</f>
        <v>2025</v>
      </c>
      <c r="D1967" s="8">
        <f>MONTH(Tabla2[[#This Row],[fecha]])</f>
        <v>4</v>
      </c>
      <c r="E1967" s="8" t="str">
        <f>TEXT(Tabla2[[#This Row],[fecha]], "mmmm")</f>
        <v>abril</v>
      </c>
      <c r="F1967" s="8" t="str">
        <f>"T"&amp;ROUNDUP(Tabla2[[#This Row],[mes]]/3,0)</f>
        <v>T2</v>
      </c>
      <c r="G1967" t="s">
        <v>40</v>
      </c>
      <c r="H1967" t="s">
        <v>41</v>
      </c>
      <c r="I1967" s="8" t="str">
        <f>IF(Tabla2[[#This Row],[precio_unitario]]&lt;=30,"Económico",IF(Tabla2[[#This Row],[precio_unitario]]&lt;=58.49,"Accesible","Caro"))</f>
        <v>Caro</v>
      </c>
      <c r="J1967" t="s">
        <v>35</v>
      </c>
      <c r="K1967">
        <v>3</v>
      </c>
      <c r="L1967" s="19">
        <v>82.67</v>
      </c>
      <c r="M1967" s="19">
        <v>41.9</v>
      </c>
      <c r="N1967" s="13">
        <v>0</v>
      </c>
      <c r="O1967" s="17">
        <f t="shared" si="123"/>
        <v>248.01</v>
      </c>
      <c r="P1967" s="17">
        <f t="shared" si="120"/>
        <v>125.69999999999999</v>
      </c>
      <c r="Q1967" s="17">
        <f t="shared" si="121"/>
        <v>122.31</v>
      </c>
      <c r="R1967" s="24">
        <f t="shared" si="122"/>
        <v>0.49316559816136452</v>
      </c>
      <c r="S1967" t="s">
        <v>67</v>
      </c>
      <c r="T1967" t="s">
        <v>60</v>
      </c>
    </row>
    <row r="1968" spans="1:20" hidden="1">
      <c r="A1968" t="s">
        <v>2035</v>
      </c>
      <c r="B1968" s="5">
        <v>45957</v>
      </c>
      <c r="C1968" s="8">
        <f>YEAR(Tabla2[[#This Row],[fecha]])</f>
        <v>2025</v>
      </c>
      <c r="D1968" s="8">
        <f>MONTH(Tabla2[[#This Row],[fecha]])</f>
        <v>10</v>
      </c>
      <c r="E1968" s="8" t="str">
        <f>TEXT(Tabla2[[#This Row],[fecha]], "mmmm")</f>
        <v>octubre</v>
      </c>
      <c r="F1968" s="8" t="str">
        <f>"T"&amp;ROUNDUP(Tabla2[[#This Row],[mes]]/3,0)</f>
        <v>T4</v>
      </c>
      <c r="G1968" t="s">
        <v>24</v>
      </c>
      <c r="H1968" t="s">
        <v>25</v>
      </c>
      <c r="I1968" s="8" t="str">
        <f>IF(Tabla2[[#This Row],[precio_unitario]]&lt;=30,"Económico",IF(Tabla2[[#This Row],[precio_unitario]]&lt;=58.49,"Accesible","Caro"))</f>
        <v>Económico</v>
      </c>
      <c r="J1968" t="s">
        <v>26</v>
      </c>
      <c r="K1968">
        <v>6</v>
      </c>
      <c r="L1968" s="19">
        <v>8.4700000000000006</v>
      </c>
      <c r="M1968" s="19">
        <v>4.41</v>
      </c>
      <c r="N1968" s="11">
        <v>0</v>
      </c>
      <c r="O1968" s="17">
        <f t="shared" si="123"/>
        <v>50.820000000000007</v>
      </c>
      <c r="P1968" s="17">
        <f t="shared" si="120"/>
        <v>26.46</v>
      </c>
      <c r="Q1968" s="17">
        <f t="shared" si="121"/>
        <v>24.360000000000007</v>
      </c>
      <c r="R1968" s="24">
        <f t="shared" si="122"/>
        <v>0.47933884297520668</v>
      </c>
      <c r="S1968" s="10" t="s">
        <v>2377</v>
      </c>
      <c r="T1968" t="s">
        <v>60</v>
      </c>
    </row>
    <row r="1969" spans="1:20" hidden="1">
      <c r="A1969" t="s">
        <v>2036</v>
      </c>
      <c r="B1969" s="5">
        <v>45955</v>
      </c>
      <c r="C1969" s="8">
        <f>YEAR(Tabla2[[#This Row],[fecha]])</f>
        <v>2025</v>
      </c>
      <c r="D1969" s="8">
        <f>MONTH(Tabla2[[#This Row],[fecha]])</f>
        <v>10</v>
      </c>
      <c r="E1969" s="8" t="str">
        <f>TEXT(Tabla2[[#This Row],[fecha]], "mmmm")</f>
        <v>octubre</v>
      </c>
      <c r="F1969" s="8" t="str">
        <f>"T"&amp;ROUNDUP(Tabla2[[#This Row],[mes]]/3,0)</f>
        <v>T4</v>
      </c>
      <c r="G1969" t="s">
        <v>36</v>
      </c>
      <c r="H1969" t="s">
        <v>37</v>
      </c>
      <c r="I1969" s="8" t="str">
        <f>IF(Tabla2[[#This Row],[precio_unitario]]&lt;=30,"Económico",IF(Tabla2[[#This Row],[precio_unitario]]&lt;=58.49,"Accesible","Caro"))</f>
        <v>Económico</v>
      </c>
      <c r="J1969" t="s">
        <v>35</v>
      </c>
      <c r="K1969">
        <v>1</v>
      </c>
      <c r="L1969" s="19">
        <v>13.74</v>
      </c>
      <c r="M1969" s="19">
        <v>9.3000000000000007</v>
      </c>
      <c r="N1969" s="11">
        <v>0.28000000000000003</v>
      </c>
      <c r="O1969" s="17">
        <f t="shared" si="123"/>
        <v>9.8927999999999994</v>
      </c>
      <c r="P1969" s="17">
        <f t="shared" si="120"/>
        <v>9.3000000000000007</v>
      </c>
      <c r="Q1969" s="17">
        <f t="shared" si="121"/>
        <v>0.59279999999999866</v>
      </c>
      <c r="R1969" s="24">
        <f t="shared" si="122"/>
        <v>5.992236778262966E-2</v>
      </c>
      <c r="S1969" t="s">
        <v>63</v>
      </c>
      <c r="T1969" t="s">
        <v>64</v>
      </c>
    </row>
    <row r="1970" spans="1:20" hidden="1">
      <c r="A1970" t="s">
        <v>2037</v>
      </c>
      <c r="B1970" s="5">
        <v>45988</v>
      </c>
      <c r="C1970" s="8">
        <f>YEAR(Tabla2[[#This Row],[fecha]])</f>
        <v>2025</v>
      </c>
      <c r="D1970" s="8">
        <f>MONTH(Tabla2[[#This Row],[fecha]])</f>
        <v>11</v>
      </c>
      <c r="E1970" s="8" t="str">
        <f>TEXT(Tabla2[[#This Row],[fecha]], "mmmm")</f>
        <v>noviembre</v>
      </c>
      <c r="F1970" s="8" t="str">
        <f>"T"&amp;ROUNDUP(Tabla2[[#This Row],[mes]]/3,0)</f>
        <v>T4</v>
      </c>
      <c r="G1970" t="s">
        <v>36</v>
      </c>
      <c r="H1970" t="s">
        <v>37</v>
      </c>
      <c r="I1970" s="8" t="str">
        <f>IF(Tabla2[[#This Row],[precio_unitario]]&lt;=30,"Económico",IF(Tabla2[[#This Row],[precio_unitario]]&lt;=58.49,"Accesible","Caro"))</f>
        <v>Económico</v>
      </c>
      <c r="J1970" t="s">
        <v>35</v>
      </c>
      <c r="K1970">
        <v>5</v>
      </c>
      <c r="L1970" s="19">
        <v>14.25</v>
      </c>
      <c r="M1970" s="19">
        <v>9.39</v>
      </c>
      <c r="N1970" s="11">
        <v>0</v>
      </c>
      <c r="O1970" s="17">
        <f t="shared" si="123"/>
        <v>71.25</v>
      </c>
      <c r="P1970" s="17">
        <f t="shared" si="120"/>
        <v>46.95</v>
      </c>
      <c r="Q1970" s="17">
        <f t="shared" si="121"/>
        <v>24.299999999999997</v>
      </c>
      <c r="R1970" s="24">
        <f t="shared" si="122"/>
        <v>0.34105263157894733</v>
      </c>
      <c r="S1970" t="s">
        <v>101</v>
      </c>
      <c r="T1970" t="s">
        <v>64</v>
      </c>
    </row>
    <row r="1971" spans="1:20" hidden="1">
      <c r="A1971" t="s">
        <v>2038</v>
      </c>
      <c r="B1971" s="5">
        <v>45775</v>
      </c>
      <c r="C1971" s="8">
        <f>YEAR(Tabla2[[#This Row],[fecha]])</f>
        <v>2025</v>
      </c>
      <c r="D1971" s="8">
        <f>MONTH(Tabla2[[#This Row],[fecha]])</f>
        <v>4</v>
      </c>
      <c r="E1971" s="8" t="str">
        <f>TEXT(Tabla2[[#This Row],[fecha]], "mmmm")</f>
        <v>abril</v>
      </c>
      <c r="F1971" s="8" t="str">
        <f>"T"&amp;ROUNDUP(Tabla2[[#This Row],[mes]]/3,0)</f>
        <v>T2</v>
      </c>
      <c r="G1971" t="s">
        <v>24</v>
      </c>
      <c r="H1971" t="s">
        <v>25</v>
      </c>
      <c r="I1971" s="8" t="str">
        <f>IF(Tabla2[[#This Row],[precio_unitario]]&lt;=30,"Económico",IF(Tabla2[[#This Row],[precio_unitario]]&lt;=58.49,"Accesible","Caro"))</f>
        <v>Económico</v>
      </c>
      <c r="J1971" t="s">
        <v>26</v>
      </c>
      <c r="K1971">
        <v>5</v>
      </c>
      <c r="L1971" s="19">
        <v>8.2200000000000006</v>
      </c>
      <c r="M1971" s="21">
        <f>INDEX(Tabla3[coste_objetivo], MATCH(Tabla2[[#This Row],[id_producto]], Tabla3[id_producto],0))</f>
        <v>4.32</v>
      </c>
      <c r="N1971" s="11">
        <v>0.17</v>
      </c>
      <c r="O1971" s="17">
        <f t="shared" si="123"/>
        <v>34.113</v>
      </c>
      <c r="P1971" s="17">
        <f t="shared" si="120"/>
        <v>21.6</v>
      </c>
      <c r="Q1971" s="17">
        <f t="shared" si="121"/>
        <v>12.512999999999998</v>
      </c>
      <c r="R1971" s="24">
        <f t="shared" si="122"/>
        <v>0.36681030692111505</v>
      </c>
      <c r="S1971" t="s">
        <v>63</v>
      </c>
      <c r="T1971" t="s">
        <v>60</v>
      </c>
    </row>
    <row r="1972" spans="1:20">
      <c r="A1972" t="s">
        <v>2039</v>
      </c>
      <c r="B1972" s="5">
        <v>45684</v>
      </c>
      <c r="C1972" s="8">
        <f>YEAR(Tabla2[[#This Row],[fecha]])</f>
        <v>2025</v>
      </c>
      <c r="D1972" s="8">
        <f>MONTH(Tabla2[[#This Row],[fecha]])</f>
        <v>1</v>
      </c>
      <c r="E1972" s="8" t="str">
        <f>TEXT(Tabla2[[#This Row],[fecha]], "mmmm")</f>
        <v>enero</v>
      </c>
      <c r="F1972" s="8" t="str">
        <f>"T"&amp;ROUNDUP(Tabla2[[#This Row],[mes]]/3,0)</f>
        <v>T1</v>
      </c>
      <c r="G1972" t="s">
        <v>9</v>
      </c>
      <c r="H1972" t="s">
        <v>10</v>
      </c>
      <c r="I1972" s="8" t="str">
        <f>IF(Tabla2[[#This Row],[precio_unitario]]&lt;=30,"Económico",IF(Tabla2[[#This Row],[precio_unitario]]&lt;=58.49,"Accesible","Caro"))</f>
        <v>Caro</v>
      </c>
      <c r="J1972" t="s">
        <v>8</v>
      </c>
      <c r="K1972">
        <v>1</v>
      </c>
      <c r="L1972" s="19">
        <v>77.39</v>
      </c>
      <c r="M1972" s="19">
        <v>46.58</v>
      </c>
      <c r="N1972" s="11">
        <v>0.2</v>
      </c>
      <c r="O1972" s="17">
        <f t="shared" si="123"/>
        <v>61.912000000000006</v>
      </c>
      <c r="P1972" s="17">
        <f t="shared" si="120"/>
        <v>46.58</v>
      </c>
      <c r="Q1972" s="17">
        <f t="shared" si="121"/>
        <v>15.332000000000008</v>
      </c>
      <c r="R1972" s="24">
        <f t="shared" si="122"/>
        <v>0.24764181418787967</v>
      </c>
      <c r="S1972" t="s">
        <v>67</v>
      </c>
      <c r="T1972" t="s">
        <v>60</v>
      </c>
    </row>
    <row r="1973" spans="1:20" hidden="1">
      <c r="A1973" t="s">
        <v>2040</v>
      </c>
      <c r="B1973" s="5">
        <v>45503</v>
      </c>
      <c r="C1973" s="8">
        <f>YEAR(Tabla2[[#This Row],[fecha]])</f>
        <v>2024</v>
      </c>
      <c r="D1973" s="8">
        <f>MONTH(Tabla2[[#This Row],[fecha]])</f>
        <v>7</v>
      </c>
      <c r="E1973" s="8" t="str">
        <f>TEXT(Tabla2[[#This Row],[fecha]], "mmmm")</f>
        <v>julio</v>
      </c>
      <c r="F1973" s="8" t="str">
        <f>"T"&amp;ROUNDUP(Tabla2[[#This Row],[mes]]/3,0)</f>
        <v>T3</v>
      </c>
      <c r="G1973" t="s">
        <v>22</v>
      </c>
      <c r="H1973" t="s">
        <v>23</v>
      </c>
      <c r="I1973" s="8" t="str">
        <f>IF(Tabla2[[#This Row],[precio_unitario]]&lt;=30,"Económico",IF(Tabla2[[#This Row],[precio_unitario]]&lt;=58.49,"Accesible","Caro"))</f>
        <v>Caro</v>
      </c>
      <c r="J1973" t="s">
        <v>17</v>
      </c>
      <c r="K1973">
        <v>1</v>
      </c>
      <c r="L1973" s="19">
        <v>96.94</v>
      </c>
      <c r="M1973" s="19">
        <v>56.75</v>
      </c>
      <c r="N1973" s="13">
        <v>0</v>
      </c>
      <c r="O1973" s="17">
        <f t="shared" si="123"/>
        <v>96.94</v>
      </c>
      <c r="P1973" s="17">
        <f t="shared" si="120"/>
        <v>56.75</v>
      </c>
      <c r="Q1973" s="17">
        <f t="shared" si="121"/>
        <v>40.19</v>
      </c>
      <c r="R1973" s="24">
        <f t="shared" si="122"/>
        <v>0.41458634206725808</v>
      </c>
      <c r="S1973" t="s">
        <v>67</v>
      </c>
      <c r="T1973" t="s">
        <v>64</v>
      </c>
    </row>
    <row r="1974" spans="1:20" hidden="1">
      <c r="A1974" t="s">
        <v>2041</v>
      </c>
      <c r="B1974" s="5">
        <v>45536</v>
      </c>
      <c r="C1974" s="8">
        <f>YEAR(Tabla2[[#This Row],[fecha]])</f>
        <v>2024</v>
      </c>
      <c r="D1974" s="8">
        <f>MONTH(Tabla2[[#This Row],[fecha]])</f>
        <v>9</v>
      </c>
      <c r="E1974" s="8" t="str">
        <f>TEXT(Tabla2[[#This Row],[fecha]], "mmmm")</f>
        <v>septiembre</v>
      </c>
      <c r="F1974" s="8" t="str">
        <f>"T"&amp;ROUNDUP(Tabla2[[#This Row],[mes]]/3,0)</f>
        <v>T3</v>
      </c>
      <c r="G1974" t="s">
        <v>47</v>
      </c>
      <c r="H1974" t="s">
        <v>48</v>
      </c>
      <c r="I1974" s="8" t="str">
        <f>IF(Tabla2[[#This Row],[precio_unitario]]&lt;=30,"Económico",IF(Tabla2[[#This Row],[precio_unitario]]&lt;=58.49,"Accesible","Caro"))</f>
        <v>Caro</v>
      </c>
      <c r="J1974" t="s">
        <v>44</v>
      </c>
      <c r="K1974">
        <v>3</v>
      </c>
      <c r="L1974" s="19">
        <v>59.74</v>
      </c>
      <c r="M1974" s="19">
        <v>33.770000000000003</v>
      </c>
      <c r="N1974" s="11">
        <v>0</v>
      </c>
      <c r="O1974" s="17">
        <f t="shared" si="123"/>
        <v>179.22</v>
      </c>
      <c r="P1974" s="17">
        <f t="shared" si="120"/>
        <v>101.31</v>
      </c>
      <c r="Q1974" s="17">
        <f t="shared" si="121"/>
        <v>77.91</v>
      </c>
      <c r="R1974" s="24">
        <f t="shared" si="122"/>
        <v>0.43471710746568459</v>
      </c>
      <c r="S1974" t="s">
        <v>540</v>
      </c>
      <c r="T1974" t="s">
        <v>60</v>
      </c>
    </row>
    <row r="1975" spans="1:20" hidden="1">
      <c r="A1975" t="s">
        <v>2042</v>
      </c>
      <c r="B1975" s="5">
        <v>45477</v>
      </c>
      <c r="C1975" s="8">
        <f>YEAR(Tabla2[[#This Row],[fecha]])</f>
        <v>2024</v>
      </c>
      <c r="D1975" s="8">
        <f>MONTH(Tabla2[[#This Row],[fecha]])</f>
        <v>7</v>
      </c>
      <c r="E1975" s="8" t="str">
        <f>TEXT(Tabla2[[#This Row],[fecha]], "mmmm")</f>
        <v>julio</v>
      </c>
      <c r="F1975" s="8" t="str">
        <f>"T"&amp;ROUNDUP(Tabla2[[#This Row],[mes]]/3,0)</f>
        <v>T3</v>
      </c>
      <c r="G1975" t="s">
        <v>18</v>
      </c>
      <c r="H1975" t="s">
        <v>19</v>
      </c>
      <c r="I1975" s="8" t="str">
        <f>IF(Tabla2[[#This Row],[precio_unitario]]&lt;=30,"Económico",IF(Tabla2[[#This Row],[precio_unitario]]&lt;=58.49,"Accesible","Caro"))</f>
        <v>Accesible</v>
      </c>
      <c r="J1975" t="s">
        <v>17</v>
      </c>
      <c r="K1975">
        <v>5</v>
      </c>
      <c r="L1975" s="19">
        <v>43.69</v>
      </c>
      <c r="M1975" s="19">
        <v>26.37</v>
      </c>
      <c r="N1975" s="11">
        <v>0</v>
      </c>
      <c r="O1975" s="17">
        <f t="shared" si="123"/>
        <v>218.45</v>
      </c>
      <c r="P1975" s="17">
        <f t="shared" si="120"/>
        <v>131.85</v>
      </c>
      <c r="Q1975" s="17">
        <f t="shared" si="121"/>
        <v>86.6</v>
      </c>
      <c r="R1975" s="24">
        <f t="shared" si="122"/>
        <v>0.39642938887617302</v>
      </c>
      <c r="S1975" t="s">
        <v>67</v>
      </c>
      <c r="T1975" t="s">
        <v>64</v>
      </c>
    </row>
    <row r="1976" spans="1:20" hidden="1">
      <c r="A1976" t="s">
        <v>2043</v>
      </c>
      <c r="B1976" s="5">
        <v>45356</v>
      </c>
      <c r="C1976" s="8">
        <f>YEAR(Tabla2[[#This Row],[fecha]])</f>
        <v>2024</v>
      </c>
      <c r="D1976" s="8">
        <f>MONTH(Tabla2[[#This Row],[fecha]])</f>
        <v>3</v>
      </c>
      <c r="E1976" s="8" t="str">
        <f>TEXT(Tabla2[[#This Row],[fecha]], "mmmm")</f>
        <v>marzo</v>
      </c>
      <c r="F1976" s="8" t="str">
        <f>"T"&amp;ROUNDUP(Tabla2[[#This Row],[mes]]/3,0)</f>
        <v>T1</v>
      </c>
      <c r="G1976" t="s">
        <v>11</v>
      </c>
      <c r="H1976" t="s">
        <v>12</v>
      </c>
      <c r="I1976" s="8" t="str">
        <f>IF(Tabla2[[#This Row],[precio_unitario]]&lt;=30,"Económico",IF(Tabla2[[#This Row],[precio_unitario]]&lt;=58.49,"Accesible","Caro"))</f>
        <v>Caro</v>
      </c>
      <c r="J1976" t="s">
        <v>8</v>
      </c>
      <c r="K1976">
        <v>3</v>
      </c>
      <c r="L1976" s="19">
        <v>169.02</v>
      </c>
      <c r="M1976" s="19">
        <v>98.82</v>
      </c>
      <c r="N1976" s="11">
        <v>0</v>
      </c>
      <c r="O1976" s="17">
        <f t="shared" si="123"/>
        <v>507.06000000000006</v>
      </c>
      <c r="P1976" s="17">
        <f t="shared" si="120"/>
        <v>296.45999999999998</v>
      </c>
      <c r="Q1976" s="17">
        <f t="shared" si="121"/>
        <v>210.60000000000008</v>
      </c>
      <c r="R1976" s="24">
        <f t="shared" si="122"/>
        <v>0.41533546325878606</v>
      </c>
      <c r="S1976" t="s">
        <v>67</v>
      </c>
      <c r="T1976" t="s">
        <v>60</v>
      </c>
    </row>
    <row r="1977" spans="1:20" hidden="1">
      <c r="A1977" t="s">
        <v>2044</v>
      </c>
      <c r="B1977" s="5">
        <v>45391</v>
      </c>
      <c r="C1977" s="8">
        <f>YEAR(Tabla2[[#This Row],[fecha]])</f>
        <v>2024</v>
      </c>
      <c r="D1977" s="8">
        <f>MONTH(Tabla2[[#This Row],[fecha]])</f>
        <v>4</v>
      </c>
      <c r="E1977" s="8" t="str">
        <f>TEXT(Tabla2[[#This Row],[fecha]], "mmmm")</f>
        <v>abril</v>
      </c>
      <c r="F1977" s="8" t="str">
        <f>"T"&amp;ROUNDUP(Tabla2[[#This Row],[mes]]/3,0)</f>
        <v>T2</v>
      </c>
      <c r="G1977" t="s">
        <v>6</v>
      </c>
      <c r="H1977" t="s">
        <v>7</v>
      </c>
      <c r="I1977" s="8" t="str">
        <f>IF(Tabla2[[#This Row],[precio_unitario]]&lt;=30,"Económico",IF(Tabla2[[#This Row],[precio_unitario]]&lt;=58.49,"Accesible","Caro"))</f>
        <v>Caro</v>
      </c>
      <c r="J1977" t="s">
        <v>8</v>
      </c>
      <c r="K1977">
        <v>4</v>
      </c>
      <c r="L1977" s="19">
        <v>128.49</v>
      </c>
      <c r="M1977" s="19">
        <v>82.07</v>
      </c>
      <c r="N1977" s="11">
        <v>0.09</v>
      </c>
      <c r="O1977" s="17">
        <f t="shared" si="123"/>
        <v>467.70360000000005</v>
      </c>
      <c r="P1977" s="17">
        <f t="shared" si="120"/>
        <v>328.28</v>
      </c>
      <c r="Q1977" s="17">
        <f t="shared" si="121"/>
        <v>139.42360000000008</v>
      </c>
      <c r="R1977" s="24">
        <f t="shared" si="122"/>
        <v>0.29810247344685836</v>
      </c>
      <c r="S1977" t="s">
        <v>101</v>
      </c>
      <c r="T1977" t="s">
        <v>64</v>
      </c>
    </row>
    <row r="1978" spans="1:20" hidden="1">
      <c r="A1978" t="s">
        <v>2045</v>
      </c>
      <c r="B1978" s="5">
        <v>45335</v>
      </c>
      <c r="C1978" s="8">
        <f>YEAR(Tabla2[[#This Row],[fecha]])</f>
        <v>2024</v>
      </c>
      <c r="D1978" s="8">
        <f>MONTH(Tabla2[[#This Row],[fecha]])</f>
        <v>2</v>
      </c>
      <c r="E1978" s="8" t="str">
        <f>TEXT(Tabla2[[#This Row],[fecha]], "mmmm")</f>
        <v>febrero</v>
      </c>
      <c r="F1978" s="8" t="str">
        <f>"T"&amp;ROUNDUP(Tabla2[[#This Row],[mes]]/3,0)</f>
        <v>T1</v>
      </c>
      <c r="G1978" t="s">
        <v>33</v>
      </c>
      <c r="H1978" t="s">
        <v>34</v>
      </c>
      <c r="I1978" s="8" t="str">
        <f>IF(Tabla2[[#This Row],[precio_unitario]]&lt;=30,"Económico",IF(Tabla2[[#This Row],[precio_unitario]]&lt;=58.49,"Accesible","Caro"))</f>
        <v>Caro</v>
      </c>
      <c r="J1978" t="s">
        <v>35</v>
      </c>
      <c r="K1978">
        <v>6</v>
      </c>
      <c r="L1978" s="19">
        <v>77.739999999999995</v>
      </c>
      <c r="M1978" s="19">
        <v>45.8</v>
      </c>
      <c r="N1978" s="11">
        <v>0</v>
      </c>
      <c r="O1978" s="17">
        <f t="shared" si="123"/>
        <v>466.43999999999994</v>
      </c>
      <c r="P1978" s="17">
        <f t="shared" si="120"/>
        <v>274.79999999999995</v>
      </c>
      <c r="Q1978" s="17">
        <f t="shared" si="121"/>
        <v>191.64</v>
      </c>
      <c r="R1978" s="24">
        <f t="shared" si="122"/>
        <v>0.4108567018266015</v>
      </c>
      <c r="S1978" t="s">
        <v>83</v>
      </c>
      <c r="T1978" t="s">
        <v>64</v>
      </c>
    </row>
    <row r="1979" spans="1:20" hidden="1">
      <c r="A1979" t="s">
        <v>2046</v>
      </c>
      <c r="B1979" s="5">
        <v>45847</v>
      </c>
      <c r="C1979" s="8">
        <f>YEAR(Tabla2[[#This Row],[fecha]])</f>
        <v>2025</v>
      </c>
      <c r="D1979" s="8">
        <f>MONTH(Tabla2[[#This Row],[fecha]])</f>
        <v>7</v>
      </c>
      <c r="E1979" s="8" t="str">
        <f>TEXT(Tabla2[[#This Row],[fecha]], "mmmm")</f>
        <v>julio</v>
      </c>
      <c r="F1979" s="8" t="str">
        <f>"T"&amp;ROUNDUP(Tabla2[[#This Row],[mes]]/3,0)</f>
        <v>T3</v>
      </c>
      <c r="G1979" t="s">
        <v>24</v>
      </c>
      <c r="H1979" t="s">
        <v>25</v>
      </c>
      <c r="I1979" s="8" t="str">
        <f>IF(Tabla2[[#This Row],[precio_unitario]]&lt;=30,"Económico",IF(Tabla2[[#This Row],[precio_unitario]]&lt;=58.49,"Accesible","Caro"))</f>
        <v>Económico</v>
      </c>
      <c r="J1979" t="s">
        <v>26</v>
      </c>
      <c r="K1979">
        <v>2</v>
      </c>
      <c r="L1979" s="19">
        <v>7.51</v>
      </c>
      <c r="M1979" s="19">
        <v>4.12</v>
      </c>
      <c r="N1979" s="11">
        <v>0</v>
      </c>
      <c r="O1979" s="17">
        <f t="shared" si="123"/>
        <v>15.02</v>
      </c>
      <c r="P1979" s="17">
        <f t="shared" si="120"/>
        <v>8.24</v>
      </c>
      <c r="Q1979" s="17">
        <f t="shared" si="121"/>
        <v>6.7799999999999994</v>
      </c>
      <c r="R1979" s="24">
        <f t="shared" si="122"/>
        <v>0.45139813581890809</v>
      </c>
      <c r="S1979" t="s">
        <v>540</v>
      </c>
      <c r="T1979" t="s">
        <v>60</v>
      </c>
    </row>
    <row r="1980" spans="1:20" hidden="1">
      <c r="A1980" t="s">
        <v>2047</v>
      </c>
      <c r="B1980" s="5">
        <v>45425</v>
      </c>
      <c r="C1980" s="8">
        <f>YEAR(Tabla2[[#This Row],[fecha]])</f>
        <v>2024</v>
      </c>
      <c r="D1980" s="8">
        <f>MONTH(Tabla2[[#This Row],[fecha]])</f>
        <v>5</v>
      </c>
      <c r="E1980" s="8" t="str">
        <f>TEXT(Tabla2[[#This Row],[fecha]], "mmmm")</f>
        <v>mayo</v>
      </c>
      <c r="F1980" s="8" t="str">
        <f>"T"&amp;ROUNDUP(Tabla2[[#This Row],[mes]]/3,0)</f>
        <v>T2</v>
      </c>
      <c r="G1980" t="s">
        <v>27</v>
      </c>
      <c r="H1980" t="s">
        <v>28</v>
      </c>
      <c r="I1980" s="8" t="str">
        <f>IF(Tabla2[[#This Row],[precio_unitario]]&lt;=30,"Económico",IF(Tabla2[[#This Row],[precio_unitario]]&lt;=58.49,"Accesible","Caro"))</f>
        <v>Económico</v>
      </c>
      <c r="J1980" t="s">
        <v>26</v>
      </c>
      <c r="K1980">
        <v>5</v>
      </c>
      <c r="L1980" s="19">
        <v>16.68</v>
      </c>
      <c r="M1980" s="19">
        <v>11.76</v>
      </c>
      <c r="N1980" s="11">
        <v>0</v>
      </c>
      <c r="O1980" s="17">
        <f t="shared" si="123"/>
        <v>83.4</v>
      </c>
      <c r="P1980" s="17">
        <f t="shared" si="120"/>
        <v>58.8</v>
      </c>
      <c r="Q1980" s="17">
        <f t="shared" si="121"/>
        <v>24.600000000000009</v>
      </c>
      <c r="R1980" s="24">
        <f t="shared" si="122"/>
        <v>0.29496402877697853</v>
      </c>
      <c r="S1980" t="s">
        <v>540</v>
      </c>
      <c r="T1980" t="s">
        <v>60</v>
      </c>
    </row>
    <row r="1981" spans="1:20">
      <c r="A1981" t="s">
        <v>2048</v>
      </c>
      <c r="B1981" s="5">
        <v>45762</v>
      </c>
      <c r="C1981" s="8">
        <f>YEAR(Tabla2[[#This Row],[fecha]])</f>
        <v>2025</v>
      </c>
      <c r="D1981" s="8">
        <f>MONTH(Tabla2[[#This Row],[fecha]])</f>
        <v>4</v>
      </c>
      <c r="E1981" s="8" t="str">
        <f>TEXT(Tabla2[[#This Row],[fecha]], "mmmm")</f>
        <v>abril</v>
      </c>
      <c r="F1981" s="8" t="str">
        <f>"T"&amp;ROUNDUP(Tabla2[[#This Row],[mes]]/3,0)</f>
        <v>T2</v>
      </c>
      <c r="G1981" t="s">
        <v>31</v>
      </c>
      <c r="H1981" t="s">
        <v>32</v>
      </c>
      <c r="I1981" s="8" t="str">
        <f>IF(Tabla2[[#This Row],[precio_unitario]]&lt;=30,"Económico",IF(Tabla2[[#This Row],[precio_unitario]]&lt;=58.49,"Accesible","Caro"))</f>
        <v>Económico</v>
      </c>
      <c r="J1981" t="s">
        <v>26</v>
      </c>
      <c r="K1981">
        <v>4</v>
      </c>
      <c r="L1981" s="19">
        <v>8.6</v>
      </c>
      <c r="M1981" s="19">
        <v>5.54</v>
      </c>
      <c r="N1981" s="11">
        <v>0</v>
      </c>
      <c r="O1981" s="17">
        <f t="shared" si="123"/>
        <v>34.4</v>
      </c>
      <c r="P1981" s="17">
        <f t="shared" si="120"/>
        <v>22.16</v>
      </c>
      <c r="Q1981" s="17">
        <f t="shared" si="121"/>
        <v>12.239999999999998</v>
      </c>
      <c r="R1981" s="24">
        <f t="shared" si="122"/>
        <v>0.35581395348837208</v>
      </c>
      <c r="S1981" t="s">
        <v>67</v>
      </c>
      <c r="T1981" t="s">
        <v>64</v>
      </c>
    </row>
    <row r="1982" spans="1:20" hidden="1">
      <c r="A1982" t="s">
        <v>2049</v>
      </c>
      <c r="B1982" s="5">
        <v>45437</v>
      </c>
      <c r="C1982" s="8">
        <f>YEAR(Tabla2[[#This Row],[fecha]])</f>
        <v>2024</v>
      </c>
      <c r="D1982" s="8">
        <f>MONTH(Tabla2[[#This Row],[fecha]])</f>
        <v>5</v>
      </c>
      <c r="E1982" s="8" t="str">
        <f>TEXT(Tabla2[[#This Row],[fecha]], "mmmm")</f>
        <v>mayo</v>
      </c>
      <c r="F1982" s="8" t="str">
        <f>"T"&amp;ROUNDUP(Tabla2[[#This Row],[mes]]/3,0)</f>
        <v>T2</v>
      </c>
      <c r="G1982" t="s">
        <v>11</v>
      </c>
      <c r="H1982" t="s">
        <v>12</v>
      </c>
      <c r="I1982" s="8" t="str">
        <f>IF(Tabla2[[#This Row],[precio_unitario]]&lt;=30,"Económico",IF(Tabla2[[#This Row],[precio_unitario]]&lt;=58.49,"Accesible","Caro"))</f>
        <v>Caro</v>
      </c>
      <c r="J1982" t="s">
        <v>8</v>
      </c>
      <c r="K1982">
        <v>1</v>
      </c>
      <c r="L1982" s="19">
        <v>176.19</v>
      </c>
      <c r="M1982" s="19">
        <v>97.42</v>
      </c>
      <c r="N1982" s="13">
        <v>0</v>
      </c>
      <c r="O1982" s="17">
        <f t="shared" si="123"/>
        <v>176.19</v>
      </c>
      <c r="P1982" s="17">
        <f t="shared" si="120"/>
        <v>97.42</v>
      </c>
      <c r="Q1982" s="17">
        <f t="shared" si="121"/>
        <v>78.77</v>
      </c>
      <c r="R1982" s="24">
        <f t="shared" si="122"/>
        <v>0.447074181281571</v>
      </c>
      <c r="S1982" t="s">
        <v>101</v>
      </c>
      <c r="T1982" t="s">
        <v>64</v>
      </c>
    </row>
    <row r="1983" spans="1:20" hidden="1">
      <c r="A1983" t="s">
        <v>2050</v>
      </c>
      <c r="B1983" s="5">
        <v>45989</v>
      </c>
      <c r="C1983" s="8">
        <f>YEAR(Tabla2[[#This Row],[fecha]])</f>
        <v>2025</v>
      </c>
      <c r="D1983" s="8">
        <f>MONTH(Tabla2[[#This Row],[fecha]])</f>
        <v>11</v>
      </c>
      <c r="E1983" s="8" t="str">
        <f>TEXT(Tabla2[[#This Row],[fecha]], "mmmm")</f>
        <v>noviembre</v>
      </c>
      <c r="F1983" s="8" t="str">
        <f>"T"&amp;ROUNDUP(Tabla2[[#This Row],[mes]]/3,0)</f>
        <v>T4</v>
      </c>
      <c r="G1983" t="s">
        <v>18</v>
      </c>
      <c r="H1983" t="s">
        <v>19</v>
      </c>
      <c r="I1983" s="8" t="str">
        <f>IF(Tabla2[[#This Row],[precio_unitario]]&lt;=30,"Económico",IF(Tabla2[[#This Row],[precio_unitario]]&lt;=58.49,"Accesible","Caro"))</f>
        <v>Accesible</v>
      </c>
      <c r="J1983" t="s">
        <v>17</v>
      </c>
      <c r="K1983">
        <v>1</v>
      </c>
      <c r="L1983" s="19">
        <v>46.64</v>
      </c>
      <c r="M1983" s="19">
        <v>26.94</v>
      </c>
      <c r="N1983" s="11">
        <v>0</v>
      </c>
      <c r="O1983" s="17">
        <f t="shared" si="123"/>
        <v>46.64</v>
      </c>
      <c r="P1983" s="17">
        <f t="shared" si="120"/>
        <v>26.94</v>
      </c>
      <c r="Q1983" s="17">
        <f t="shared" si="121"/>
        <v>19.7</v>
      </c>
      <c r="R1983" s="24">
        <f t="shared" si="122"/>
        <v>0.42238421955403088</v>
      </c>
      <c r="S1983" t="s">
        <v>96</v>
      </c>
      <c r="T1983" t="s">
        <v>60</v>
      </c>
    </row>
    <row r="1984" spans="1:20" hidden="1">
      <c r="A1984" t="s">
        <v>2051</v>
      </c>
      <c r="B1984" s="5">
        <v>45606</v>
      </c>
      <c r="C1984" s="8">
        <f>YEAR(Tabla2[[#This Row],[fecha]])</f>
        <v>2024</v>
      </c>
      <c r="D1984" s="8">
        <f>MONTH(Tabla2[[#This Row],[fecha]])</f>
        <v>11</v>
      </c>
      <c r="E1984" s="8" t="str">
        <f>TEXT(Tabla2[[#This Row],[fecha]], "mmmm")</f>
        <v>noviembre</v>
      </c>
      <c r="F1984" s="8" t="str">
        <f>"T"&amp;ROUNDUP(Tabla2[[#This Row],[mes]]/3,0)</f>
        <v>T4</v>
      </c>
      <c r="G1984" t="s">
        <v>33</v>
      </c>
      <c r="H1984" t="s">
        <v>34</v>
      </c>
      <c r="I1984" s="8" t="str">
        <f>IF(Tabla2[[#This Row],[precio_unitario]]&lt;=30,"Económico",IF(Tabla2[[#This Row],[precio_unitario]]&lt;=58.49,"Accesible","Caro"))</f>
        <v>Caro</v>
      </c>
      <c r="J1984" t="s">
        <v>35</v>
      </c>
      <c r="K1984">
        <v>1</v>
      </c>
      <c r="L1984" s="19">
        <v>71.400000000000006</v>
      </c>
      <c r="M1984" s="19">
        <v>49.99</v>
      </c>
      <c r="N1984" s="11">
        <v>0</v>
      </c>
      <c r="O1984" s="17">
        <f t="shared" si="123"/>
        <v>71.400000000000006</v>
      </c>
      <c r="P1984" s="17">
        <f t="shared" si="120"/>
        <v>49.99</v>
      </c>
      <c r="Q1984" s="17">
        <f t="shared" si="121"/>
        <v>21.410000000000004</v>
      </c>
      <c r="R1984" s="24">
        <f t="shared" si="122"/>
        <v>0.29985994397759108</v>
      </c>
      <c r="S1984" t="s">
        <v>67</v>
      </c>
      <c r="T1984" t="s">
        <v>64</v>
      </c>
    </row>
    <row r="1985" spans="1:20" hidden="1">
      <c r="A1985" t="s">
        <v>2052</v>
      </c>
      <c r="B1985" s="5">
        <v>45589</v>
      </c>
      <c r="C1985" s="8">
        <f>YEAR(Tabla2[[#This Row],[fecha]])</f>
        <v>2024</v>
      </c>
      <c r="D1985" s="8">
        <f>MONTH(Tabla2[[#This Row],[fecha]])</f>
        <v>10</v>
      </c>
      <c r="E1985" s="8" t="str">
        <f>TEXT(Tabla2[[#This Row],[fecha]], "mmmm")</f>
        <v>octubre</v>
      </c>
      <c r="F1985" s="8" t="str">
        <f>"T"&amp;ROUNDUP(Tabla2[[#This Row],[mes]]/3,0)</f>
        <v>T4</v>
      </c>
      <c r="G1985" t="s">
        <v>9</v>
      </c>
      <c r="H1985" t="s">
        <v>10</v>
      </c>
      <c r="I1985" s="8" t="str">
        <f>IF(Tabla2[[#This Row],[precio_unitario]]&lt;=30,"Económico",IF(Tabla2[[#This Row],[precio_unitario]]&lt;=58.49,"Accesible","Caro"))</f>
        <v>Caro</v>
      </c>
      <c r="J1985" t="s">
        <v>8</v>
      </c>
      <c r="K1985">
        <v>2</v>
      </c>
      <c r="L1985" s="19">
        <v>77.95</v>
      </c>
      <c r="M1985" s="19">
        <v>49.07</v>
      </c>
      <c r="N1985" s="11">
        <v>0.08</v>
      </c>
      <c r="O1985" s="17">
        <f t="shared" si="123"/>
        <v>143.428</v>
      </c>
      <c r="P1985" s="17">
        <f t="shared" si="120"/>
        <v>98.14</v>
      </c>
      <c r="Q1985" s="17">
        <f t="shared" si="121"/>
        <v>45.287999999999997</v>
      </c>
      <c r="R1985" s="24">
        <f t="shared" si="122"/>
        <v>0.31575424603285268</v>
      </c>
      <c r="S1985" t="s">
        <v>67</v>
      </c>
      <c r="T1985" t="s">
        <v>64</v>
      </c>
    </row>
    <row r="1986" spans="1:20" hidden="1">
      <c r="A1986" t="s">
        <v>2053</v>
      </c>
      <c r="B1986" s="5">
        <v>45666</v>
      </c>
      <c r="C1986" s="8">
        <f>YEAR(Tabla2[[#This Row],[fecha]])</f>
        <v>2025</v>
      </c>
      <c r="D1986" s="8">
        <f>MONTH(Tabla2[[#This Row],[fecha]])</f>
        <v>1</v>
      </c>
      <c r="E1986" s="8" t="str">
        <f>TEXT(Tabla2[[#This Row],[fecha]], "mmmm")</f>
        <v>enero</v>
      </c>
      <c r="F1986" s="8" t="str">
        <f>"T"&amp;ROUNDUP(Tabla2[[#This Row],[mes]]/3,0)</f>
        <v>T1</v>
      </c>
      <c r="G1986" t="s">
        <v>45</v>
      </c>
      <c r="H1986" t="s">
        <v>46</v>
      </c>
      <c r="I1986" s="8" t="str">
        <f>IF(Tabla2[[#This Row],[precio_unitario]]&lt;=30,"Económico",IF(Tabla2[[#This Row],[precio_unitario]]&lt;=58.49,"Accesible","Caro"))</f>
        <v>Económico</v>
      </c>
      <c r="J1986" t="s">
        <v>44</v>
      </c>
      <c r="K1986">
        <v>3</v>
      </c>
      <c r="L1986" s="19">
        <v>28.66</v>
      </c>
      <c r="M1986" s="19">
        <v>16.68</v>
      </c>
      <c r="N1986" s="11">
        <v>0</v>
      </c>
      <c r="O1986" s="17">
        <f t="shared" si="123"/>
        <v>85.98</v>
      </c>
      <c r="P1986" s="17">
        <f t="shared" ref="P1986:P2049" si="124">M1986*K1986</f>
        <v>50.04</v>
      </c>
      <c r="Q1986" s="17">
        <f t="shared" ref="Q1986:Q2049" si="125">O1986-P1986</f>
        <v>35.940000000000005</v>
      </c>
      <c r="R1986" s="24">
        <f t="shared" ref="R1986:R2049" si="126">IFERROR(Q1986/O1986,0)</f>
        <v>0.41800418702023728</v>
      </c>
      <c r="S1986" t="s">
        <v>63</v>
      </c>
      <c r="T1986" t="s">
        <v>60</v>
      </c>
    </row>
    <row r="1987" spans="1:20" hidden="1">
      <c r="A1987" t="s">
        <v>2054</v>
      </c>
      <c r="B1987" s="5">
        <v>45464</v>
      </c>
      <c r="C1987" s="8">
        <f>YEAR(Tabla2[[#This Row],[fecha]])</f>
        <v>2024</v>
      </c>
      <c r="D1987" s="8">
        <f>MONTH(Tabla2[[#This Row],[fecha]])</f>
        <v>6</v>
      </c>
      <c r="E1987" s="8" t="str">
        <f>TEXT(Tabla2[[#This Row],[fecha]], "mmmm")</f>
        <v>junio</v>
      </c>
      <c r="F1987" s="8" t="str">
        <f>"T"&amp;ROUNDUP(Tabla2[[#This Row],[mes]]/3,0)</f>
        <v>T2</v>
      </c>
      <c r="G1987" t="s">
        <v>13</v>
      </c>
      <c r="H1987" t="s">
        <v>14</v>
      </c>
      <c r="I1987" s="8" t="str">
        <f>IF(Tabla2[[#This Row],[precio_unitario]]&lt;=30,"Económico",IF(Tabla2[[#This Row],[precio_unitario]]&lt;=58.49,"Accesible","Caro"))</f>
        <v>Caro</v>
      </c>
      <c r="J1987" t="s">
        <v>8</v>
      </c>
      <c r="K1987">
        <v>2</v>
      </c>
      <c r="L1987" s="19">
        <v>174.51</v>
      </c>
      <c r="M1987" s="19">
        <v>105.88</v>
      </c>
      <c r="N1987" s="11">
        <v>0</v>
      </c>
      <c r="O1987" s="17">
        <f t="shared" ref="O1987:O2050" si="127">K1987*L1987*(1-N1987)</f>
        <v>349.02</v>
      </c>
      <c r="P1987" s="17">
        <f t="shared" si="124"/>
        <v>211.76</v>
      </c>
      <c r="Q1987" s="17">
        <f t="shared" si="125"/>
        <v>137.26</v>
      </c>
      <c r="R1987" s="24">
        <f t="shared" si="126"/>
        <v>0.39327259182854851</v>
      </c>
      <c r="S1987" t="s">
        <v>67</v>
      </c>
      <c r="T1987" t="s">
        <v>265</v>
      </c>
    </row>
    <row r="1988" spans="1:20" hidden="1">
      <c r="A1988" t="s">
        <v>2055</v>
      </c>
      <c r="B1988" s="5">
        <v>45320</v>
      </c>
      <c r="C1988" s="8">
        <f>YEAR(Tabla2[[#This Row],[fecha]])</f>
        <v>2024</v>
      </c>
      <c r="D1988" s="8">
        <f>MONTH(Tabla2[[#This Row],[fecha]])</f>
        <v>1</v>
      </c>
      <c r="E1988" s="8" t="str">
        <f>TEXT(Tabla2[[#This Row],[fecha]], "mmmm")</f>
        <v>enero</v>
      </c>
      <c r="F1988" s="8" t="str">
        <f>"T"&amp;ROUNDUP(Tabla2[[#This Row],[mes]]/3,0)</f>
        <v>T1</v>
      </c>
      <c r="G1988" t="s">
        <v>15</v>
      </c>
      <c r="H1988" t="s">
        <v>16</v>
      </c>
      <c r="I1988" s="8" t="str">
        <f>IF(Tabla2[[#This Row],[precio_unitario]]&lt;=30,"Económico",IF(Tabla2[[#This Row],[precio_unitario]]&lt;=58.49,"Accesible","Caro"))</f>
        <v>Caro</v>
      </c>
      <c r="J1988" t="s">
        <v>17</v>
      </c>
      <c r="K1988">
        <v>1</v>
      </c>
      <c r="L1988" s="19">
        <v>64.290000000000006</v>
      </c>
      <c r="M1988" s="19">
        <v>41.72</v>
      </c>
      <c r="N1988" s="11">
        <v>0</v>
      </c>
      <c r="O1988" s="17">
        <f t="shared" si="127"/>
        <v>64.290000000000006</v>
      </c>
      <c r="P1988" s="17">
        <f t="shared" si="124"/>
        <v>41.72</v>
      </c>
      <c r="Q1988" s="17">
        <f t="shared" si="125"/>
        <v>22.570000000000007</v>
      </c>
      <c r="R1988" s="24">
        <f t="shared" si="126"/>
        <v>0.35106548452325409</v>
      </c>
      <c r="S1988" t="s">
        <v>83</v>
      </c>
      <c r="T1988" t="s">
        <v>64</v>
      </c>
    </row>
    <row r="1989" spans="1:20" hidden="1">
      <c r="A1989" t="s">
        <v>2056</v>
      </c>
      <c r="B1989" s="5">
        <v>45354</v>
      </c>
      <c r="C1989" s="8">
        <f>YEAR(Tabla2[[#This Row],[fecha]])</f>
        <v>2024</v>
      </c>
      <c r="D1989" s="8">
        <f>MONTH(Tabla2[[#This Row],[fecha]])</f>
        <v>3</v>
      </c>
      <c r="E1989" s="8" t="str">
        <f>TEXT(Tabla2[[#This Row],[fecha]], "mmmm")</f>
        <v>marzo</v>
      </c>
      <c r="F1989" s="8" t="str">
        <f>"T"&amp;ROUNDUP(Tabla2[[#This Row],[mes]]/3,0)</f>
        <v>T1</v>
      </c>
      <c r="G1989" t="s">
        <v>13</v>
      </c>
      <c r="H1989" t="s">
        <v>14</v>
      </c>
      <c r="I1989" s="8" t="str">
        <f>IF(Tabla2[[#This Row],[precio_unitario]]&lt;=30,"Económico",IF(Tabla2[[#This Row],[precio_unitario]]&lt;=58.49,"Accesible","Caro"))</f>
        <v>Caro</v>
      </c>
      <c r="J1989" t="s">
        <v>8</v>
      </c>
      <c r="K1989">
        <v>1</v>
      </c>
      <c r="L1989" s="19">
        <v>159.79</v>
      </c>
      <c r="M1989" s="19">
        <v>107.59</v>
      </c>
      <c r="N1989" s="13">
        <v>0</v>
      </c>
      <c r="O1989" s="17">
        <f t="shared" si="127"/>
        <v>159.79</v>
      </c>
      <c r="P1989" s="17">
        <f t="shared" si="124"/>
        <v>107.59</v>
      </c>
      <c r="Q1989" s="17">
        <f t="shared" si="125"/>
        <v>52.199999999999989</v>
      </c>
      <c r="R1989" s="24">
        <f t="shared" si="126"/>
        <v>0.32667876588021771</v>
      </c>
      <c r="S1989" t="s">
        <v>540</v>
      </c>
      <c r="T1989" t="s">
        <v>60</v>
      </c>
    </row>
    <row r="1990" spans="1:20">
      <c r="A1990" t="s">
        <v>2057</v>
      </c>
      <c r="B1990" s="5">
        <v>45902</v>
      </c>
      <c r="C1990" s="8">
        <f>YEAR(Tabla2[[#This Row],[fecha]])</f>
        <v>2025</v>
      </c>
      <c r="D1990" s="8">
        <f>MONTH(Tabla2[[#This Row],[fecha]])</f>
        <v>9</v>
      </c>
      <c r="E1990" s="8" t="str">
        <f>TEXT(Tabla2[[#This Row],[fecha]], "mmmm")</f>
        <v>septiembre</v>
      </c>
      <c r="F1990" s="8" t="str">
        <f>"T"&amp;ROUNDUP(Tabla2[[#This Row],[mes]]/3,0)</f>
        <v>T3</v>
      </c>
      <c r="G1990" t="s">
        <v>15</v>
      </c>
      <c r="H1990" t="s">
        <v>16</v>
      </c>
      <c r="I1990" s="8" t="str">
        <f>IF(Tabla2[[#This Row],[precio_unitario]]&lt;=30,"Económico",IF(Tabla2[[#This Row],[precio_unitario]]&lt;=58.49,"Accesible","Caro"))</f>
        <v>Caro</v>
      </c>
      <c r="J1990" t="s">
        <v>17</v>
      </c>
      <c r="K1990">
        <v>8</v>
      </c>
      <c r="L1990" s="19">
        <v>61.59</v>
      </c>
      <c r="M1990" s="19">
        <v>40.619999999999997</v>
      </c>
      <c r="N1990" s="11">
        <v>0</v>
      </c>
      <c r="O1990" s="17">
        <f t="shared" si="127"/>
        <v>492.72</v>
      </c>
      <c r="P1990" s="17">
        <f t="shared" si="124"/>
        <v>324.95999999999998</v>
      </c>
      <c r="Q1990" s="17">
        <f t="shared" si="125"/>
        <v>167.76000000000005</v>
      </c>
      <c r="R1990" s="24">
        <f t="shared" si="126"/>
        <v>0.34047735021919151</v>
      </c>
      <c r="S1990" t="s">
        <v>67</v>
      </c>
      <c r="T1990" t="s">
        <v>60</v>
      </c>
    </row>
    <row r="1991" spans="1:20" hidden="1">
      <c r="A1991" t="s">
        <v>2058</v>
      </c>
      <c r="B1991" s="5">
        <v>45915</v>
      </c>
      <c r="C1991" s="8">
        <f>YEAR(Tabla2[[#This Row],[fecha]])</f>
        <v>2025</v>
      </c>
      <c r="D1991" s="8">
        <f>MONTH(Tabla2[[#This Row],[fecha]])</f>
        <v>9</v>
      </c>
      <c r="E1991" s="8" t="str">
        <f>TEXT(Tabla2[[#This Row],[fecha]], "mmmm")</f>
        <v>septiembre</v>
      </c>
      <c r="F1991" s="8" t="str">
        <f>"T"&amp;ROUNDUP(Tabla2[[#This Row],[mes]]/3,0)</f>
        <v>T3</v>
      </c>
      <c r="G1991" t="s">
        <v>47</v>
      </c>
      <c r="H1991" t="s">
        <v>48</v>
      </c>
      <c r="I1991" s="8" t="str">
        <f>IF(Tabla2[[#This Row],[precio_unitario]]&lt;=30,"Económico",IF(Tabla2[[#This Row],[precio_unitario]]&lt;=58.49,"Accesible","Caro"))</f>
        <v>Accesible</v>
      </c>
      <c r="J1991" t="s">
        <v>44</v>
      </c>
      <c r="K1991">
        <v>1</v>
      </c>
      <c r="L1991" s="19">
        <v>58.04</v>
      </c>
      <c r="M1991" s="19">
        <v>32.51</v>
      </c>
      <c r="N1991" s="11">
        <v>0</v>
      </c>
      <c r="O1991" s="17">
        <f t="shared" si="127"/>
        <v>58.04</v>
      </c>
      <c r="P1991" s="17">
        <f t="shared" si="124"/>
        <v>32.51</v>
      </c>
      <c r="Q1991" s="17">
        <f t="shared" si="125"/>
        <v>25.53</v>
      </c>
      <c r="R1991" s="24">
        <f t="shared" si="126"/>
        <v>0.43986905582357</v>
      </c>
      <c r="S1991" t="s">
        <v>83</v>
      </c>
      <c r="T1991" t="s">
        <v>64</v>
      </c>
    </row>
    <row r="1992" spans="1:20" hidden="1">
      <c r="A1992" t="s">
        <v>2059</v>
      </c>
      <c r="B1992" s="5">
        <v>45572</v>
      </c>
      <c r="C1992" s="8">
        <f>YEAR(Tabla2[[#This Row],[fecha]])</f>
        <v>2024</v>
      </c>
      <c r="D1992" s="8">
        <f>MONTH(Tabla2[[#This Row],[fecha]])</f>
        <v>10</v>
      </c>
      <c r="E1992" s="8" t="str">
        <f>TEXT(Tabla2[[#This Row],[fecha]], "mmmm")</f>
        <v>octubre</v>
      </c>
      <c r="F1992" s="8" t="str">
        <f>"T"&amp;ROUNDUP(Tabla2[[#This Row],[mes]]/3,0)</f>
        <v>T4</v>
      </c>
      <c r="G1992" t="s">
        <v>13</v>
      </c>
      <c r="H1992" t="s">
        <v>14</v>
      </c>
      <c r="I1992" s="8" t="str">
        <f>IF(Tabla2[[#This Row],[precio_unitario]]&lt;=30,"Económico",IF(Tabla2[[#This Row],[precio_unitario]]&lt;=58.49,"Accesible","Caro"))</f>
        <v>Caro</v>
      </c>
      <c r="J1992" t="s">
        <v>8</v>
      </c>
      <c r="K1992">
        <v>4</v>
      </c>
      <c r="L1992" s="19">
        <v>164.05</v>
      </c>
      <c r="M1992" s="19">
        <v>108.08</v>
      </c>
      <c r="N1992" s="11">
        <v>0.06</v>
      </c>
      <c r="O1992" s="17">
        <f t="shared" si="127"/>
        <v>616.82799999999997</v>
      </c>
      <c r="P1992" s="17">
        <f t="shared" si="124"/>
        <v>432.32</v>
      </c>
      <c r="Q1992" s="17">
        <f t="shared" si="125"/>
        <v>184.50799999999998</v>
      </c>
      <c r="R1992" s="24">
        <f t="shared" si="126"/>
        <v>0.29912390488110135</v>
      </c>
      <c r="S1992" t="s">
        <v>540</v>
      </c>
      <c r="T1992" t="s">
        <v>60</v>
      </c>
    </row>
    <row r="1993" spans="1:20" hidden="1">
      <c r="A1993" t="s">
        <v>2060</v>
      </c>
      <c r="B1993" s="5">
        <v>45423</v>
      </c>
      <c r="C1993" s="8">
        <f>YEAR(Tabla2[[#This Row],[fecha]])</f>
        <v>2024</v>
      </c>
      <c r="D1993" s="8">
        <f>MONTH(Tabla2[[#This Row],[fecha]])</f>
        <v>5</v>
      </c>
      <c r="E1993" s="8" t="str">
        <f>TEXT(Tabla2[[#This Row],[fecha]], "mmmm")</f>
        <v>mayo</v>
      </c>
      <c r="F1993" s="8" t="str">
        <f>"T"&amp;ROUNDUP(Tabla2[[#This Row],[mes]]/3,0)</f>
        <v>T2</v>
      </c>
      <c r="G1993" t="s">
        <v>31</v>
      </c>
      <c r="H1993" t="s">
        <v>32</v>
      </c>
      <c r="I1993" s="8" t="str">
        <f>IF(Tabla2[[#This Row],[precio_unitario]]&lt;=30,"Económico",IF(Tabla2[[#This Row],[precio_unitario]]&lt;=58.49,"Accesible","Caro"))</f>
        <v>Económico</v>
      </c>
      <c r="J1993" t="s">
        <v>26</v>
      </c>
      <c r="K1993">
        <v>4</v>
      </c>
      <c r="L1993" s="19">
        <v>9.39</v>
      </c>
      <c r="M1993" s="19">
        <v>5.73</v>
      </c>
      <c r="N1993" s="11">
        <v>0</v>
      </c>
      <c r="O1993" s="17">
        <f t="shared" si="127"/>
        <v>37.56</v>
      </c>
      <c r="P1993" s="17">
        <f t="shared" si="124"/>
        <v>22.92</v>
      </c>
      <c r="Q1993" s="17">
        <f t="shared" si="125"/>
        <v>14.64</v>
      </c>
      <c r="R1993" s="24">
        <f t="shared" si="126"/>
        <v>0.38977635782747605</v>
      </c>
      <c r="S1993" t="s">
        <v>96</v>
      </c>
      <c r="T1993" t="s">
        <v>64</v>
      </c>
    </row>
    <row r="1994" spans="1:20">
      <c r="A1994" t="s">
        <v>2061</v>
      </c>
      <c r="B1994" s="5">
        <v>45746</v>
      </c>
      <c r="C1994" s="8">
        <f>YEAR(Tabla2[[#This Row],[fecha]])</f>
        <v>2025</v>
      </c>
      <c r="D1994" s="8">
        <f>MONTH(Tabla2[[#This Row],[fecha]])</f>
        <v>3</v>
      </c>
      <c r="E1994" s="8" t="str">
        <f>TEXT(Tabla2[[#This Row],[fecha]], "mmmm")</f>
        <v>marzo</v>
      </c>
      <c r="F1994" s="8" t="str">
        <f>"T"&amp;ROUNDUP(Tabla2[[#This Row],[mes]]/3,0)</f>
        <v>T1</v>
      </c>
      <c r="G1994" t="s">
        <v>22</v>
      </c>
      <c r="H1994" t="s">
        <v>23</v>
      </c>
      <c r="I1994" s="8" t="str">
        <f>IF(Tabla2[[#This Row],[precio_unitario]]&lt;=30,"Económico",IF(Tabla2[[#This Row],[precio_unitario]]&lt;=58.49,"Accesible","Caro"))</f>
        <v>Caro</v>
      </c>
      <c r="J1994" t="s">
        <v>17</v>
      </c>
      <c r="K1994">
        <v>3</v>
      </c>
      <c r="L1994" s="19">
        <v>100.92</v>
      </c>
      <c r="M1994" s="19">
        <v>58.3</v>
      </c>
      <c r="N1994" s="13">
        <v>0</v>
      </c>
      <c r="O1994" s="17">
        <f t="shared" si="127"/>
        <v>302.76</v>
      </c>
      <c r="P1994" s="17">
        <f t="shared" si="124"/>
        <v>174.89999999999998</v>
      </c>
      <c r="Q1994" s="17">
        <f t="shared" si="125"/>
        <v>127.86000000000001</v>
      </c>
      <c r="R1994" s="24">
        <f t="shared" si="126"/>
        <v>0.42231470471660726</v>
      </c>
      <c r="S1994" t="s">
        <v>67</v>
      </c>
      <c r="T1994" t="s">
        <v>64</v>
      </c>
    </row>
    <row r="1995" spans="1:20">
      <c r="A1995" t="s">
        <v>2062</v>
      </c>
      <c r="B1995" s="5">
        <v>45670</v>
      </c>
      <c r="C1995" s="8">
        <f>YEAR(Tabla2[[#This Row],[fecha]])</f>
        <v>2025</v>
      </c>
      <c r="D1995" s="8">
        <f>MONTH(Tabla2[[#This Row],[fecha]])</f>
        <v>1</v>
      </c>
      <c r="E1995" s="8" t="str">
        <f>TEXT(Tabla2[[#This Row],[fecha]], "mmmm")</f>
        <v>enero</v>
      </c>
      <c r="F1995" s="8" t="str">
        <f>"T"&amp;ROUNDUP(Tabla2[[#This Row],[mes]]/3,0)</f>
        <v>T1</v>
      </c>
      <c r="G1995" t="s">
        <v>11</v>
      </c>
      <c r="H1995" t="s">
        <v>12</v>
      </c>
      <c r="I1995" s="8" t="str">
        <f>IF(Tabla2[[#This Row],[precio_unitario]]&lt;=30,"Económico",IF(Tabla2[[#This Row],[precio_unitario]]&lt;=58.49,"Accesible","Caro"))</f>
        <v>Caro</v>
      </c>
      <c r="J1995" t="s">
        <v>8</v>
      </c>
      <c r="K1995">
        <v>1</v>
      </c>
      <c r="L1995" s="19">
        <v>167.75</v>
      </c>
      <c r="M1995" s="19">
        <v>98.83</v>
      </c>
      <c r="N1995" s="11">
        <v>0</v>
      </c>
      <c r="O1995" s="17">
        <f t="shared" si="127"/>
        <v>167.75</v>
      </c>
      <c r="P1995" s="17">
        <f t="shared" si="124"/>
        <v>98.83</v>
      </c>
      <c r="Q1995" s="17">
        <f t="shared" si="125"/>
        <v>68.92</v>
      </c>
      <c r="R1995" s="24">
        <f t="shared" si="126"/>
        <v>0.41084947839046199</v>
      </c>
      <c r="S1995" t="s">
        <v>67</v>
      </c>
      <c r="T1995" t="s">
        <v>60</v>
      </c>
    </row>
    <row r="1996" spans="1:20" hidden="1">
      <c r="A1996" t="s">
        <v>2063</v>
      </c>
      <c r="B1996" s="5">
        <v>45593</v>
      </c>
      <c r="C1996" s="8">
        <f>YEAR(Tabla2[[#This Row],[fecha]])</f>
        <v>2024</v>
      </c>
      <c r="D1996" s="8">
        <f>MONTH(Tabla2[[#This Row],[fecha]])</f>
        <v>10</v>
      </c>
      <c r="E1996" s="8" t="str">
        <f>TEXT(Tabla2[[#This Row],[fecha]], "mmmm")</f>
        <v>octubre</v>
      </c>
      <c r="F1996" s="8" t="str">
        <f>"T"&amp;ROUNDUP(Tabla2[[#This Row],[mes]]/3,0)</f>
        <v>T4</v>
      </c>
      <c r="G1996" t="s">
        <v>11</v>
      </c>
      <c r="H1996" t="s">
        <v>12</v>
      </c>
      <c r="I1996" s="8" t="str">
        <f>IF(Tabla2[[#This Row],[precio_unitario]]&lt;=30,"Económico",IF(Tabla2[[#This Row],[precio_unitario]]&lt;=58.49,"Accesible","Caro"))</f>
        <v>Caro</v>
      </c>
      <c r="J1996" t="s">
        <v>8</v>
      </c>
      <c r="K1996">
        <v>1</v>
      </c>
      <c r="L1996" s="19">
        <v>176.96</v>
      </c>
      <c r="M1996" s="19">
        <v>94.48</v>
      </c>
      <c r="N1996" s="11">
        <v>0</v>
      </c>
      <c r="O1996" s="17">
        <f t="shared" si="127"/>
        <v>176.96</v>
      </c>
      <c r="P1996" s="17">
        <f t="shared" si="124"/>
        <v>94.48</v>
      </c>
      <c r="Q1996" s="17">
        <f t="shared" si="125"/>
        <v>82.48</v>
      </c>
      <c r="R1996" s="24">
        <f t="shared" si="126"/>
        <v>0.46609403254972875</v>
      </c>
      <c r="S1996" t="s">
        <v>67</v>
      </c>
      <c r="T1996" t="s">
        <v>64</v>
      </c>
    </row>
    <row r="1997" spans="1:20" hidden="1">
      <c r="A1997" t="s">
        <v>2064</v>
      </c>
      <c r="B1997" s="5">
        <v>45582</v>
      </c>
      <c r="C1997" s="8">
        <f>YEAR(Tabla2[[#This Row],[fecha]])</f>
        <v>2024</v>
      </c>
      <c r="D1997" s="8">
        <f>MONTH(Tabla2[[#This Row],[fecha]])</f>
        <v>10</v>
      </c>
      <c r="E1997" s="8" t="str">
        <f>TEXT(Tabla2[[#This Row],[fecha]], "mmmm")</f>
        <v>octubre</v>
      </c>
      <c r="F1997" s="8" t="str">
        <f>"T"&amp;ROUNDUP(Tabla2[[#This Row],[mes]]/3,0)</f>
        <v>T4</v>
      </c>
      <c r="G1997" t="s">
        <v>20</v>
      </c>
      <c r="H1997" t="s">
        <v>21</v>
      </c>
      <c r="I1997" s="8" t="str">
        <f>IF(Tabla2[[#This Row],[precio_unitario]]&lt;=30,"Económico",IF(Tabla2[[#This Row],[precio_unitario]]&lt;=58.49,"Accesible","Caro"))</f>
        <v>Económico</v>
      </c>
      <c r="J1997" t="s">
        <v>17</v>
      </c>
      <c r="K1997">
        <v>3</v>
      </c>
      <c r="L1997" s="19">
        <v>21.09</v>
      </c>
      <c r="M1997" s="19">
        <v>13.01</v>
      </c>
      <c r="N1997" s="11">
        <v>0</v>
      </c>
      <c r="O1997" s="17">
        <f t="shared" si="127"/>
        <v>63.269999999999996</v>
      </c>
      <c r="P1997" s="17">
        <f t="shared" si="124"/>
        <v>39.03</v>
      </c>
      <c r="Q1997" s="17">
        <f t="shared" si="125"/>
        <v>24.239999999999995</v>
      </c>
      <c r="R1997" s="24">
        <f t="shared" si="126"/>
        <v>0.38311996206733046</v>
      </c>
      <c r="S1997" t="s">
        <v>67</v>
      </c>
      <c r="T1997" t="s">
        <v>60</v>
      </c>
    </row>
    <row r="1998" spans="1:20" hidden="1">
      <c r="A1998" t="s">
        <v>2065</v>
      </c>
      <c r="B1998" s="5">
        <v>45382</v>
      </c>
      <c r="C1998" s="8">
        <f>YEAR(Tabla2[[#This Row],[fecha]])</f>
        <v>2024</v>
      </c>
      <c r="D1998" s="8">
        <f>MONTH(Tabla2[[#This Row],[fecha]])</f>
        <v>3</v>
      </c>
      <c r="E1998" s="8" t="str">
        <f>TEXT(Tabla2[[#This Row],[fecha]], "mmmm")</f>
        <v>marzo</v>
      </c>
      <c r="F1998" s="8" t="str">
        <f>"T"&amp;ROUNDUP(Tabla2[[#This Row],[mes]]/3,0)</f>
        <v>T1</v>
      </c>
      <c r="G1998" t="s">
        <v>13</v>
      </c>
      <c r="H1998" t="s">
        <v>14</v>
      </c>
      <c r="I1998" s="8" t="str">
        <f>IF(Tabla2[[#This Row],[precio_unitario]]&lt;=30,"Económico",IF(Tabla2[[#This Row],[precio_unitario]]&lt;=58.49,"Accesible","Caro"))</f>
        <v>Caro</v>
      </c>
      <c r="J1998" t="s">
        <v>8</v>
      </c>
      <c r="K1998">
        <v>1</v>
      </c>
      <c r="L1998" s="19">
        <v>152.41999999999999</v>
      </c>
      <c r="M1998" s="19">
        <v>113.65</v>
      </c>
      <c r="N1998" s="11">
        <v>0</v>
      </c>
      <c r="O1998" s="17">
        <f t="shared" si="127"/>
        <v>152.41999999999999</v>
      </c>
      <c r="P1998" s="17">
        <f t="shared" si="124"/>
        <v>113.65</v>
      </c>
      <c r="Q1998" s="17">
        <f t="shared" si="125"/>
        <v>38.769999999999982</v>
      </c>
      <c r="R1998" s="24">
        <f t="shared" si="126"/>
        <v>0.25436294449547292</v>
      </c>
      <c r="S1998" t="s">
        <v>67</v>
      </c>
      <c r="T1998" t="s">
        <v>60</v>
      </c>
    </row>
    <row r="1999" spans="1:20" hidden="1">
      <c r="A1999" t="s">
        <v>2066</v>
      </c>
      <c r="B1999" s="5">
        <v>45311</v>
      </c>
      <c r="C1999" s="8">
        <f>YEAR(Tabla2[[#This Row],[fecha]])</f>
        <v>2024</v>
      </c>
      <c r="D1999" s="8">
        <f>MONTH(Tabla2[[#This Row],[fecha]])</f>
        <v>1</v>
      </c>
      <c r="E1999" s="8" t="str">
        <f>TEXT(Tabla2[[#This Row],[fecha]], "mmmm")</f>
        <v>enero</v>
      </c>
      <c r="F1999" s="8" t="str">
        <f>"T"&amp;ROUNDUP(Tabla2[[#This Row],[mes]]/3,0)</f>
        <v>T1</v>
      </c>
      <c r="G1999" t="s">
        <v>18</v>
      </c>
      <c r="H1999" t="s">
        <v>19</v>
      </c>
      <c r="I1999" s="8" t="str">
        <f>IF(Tabla2[[#This Row],[precio_unitario]]&lt;=30,"Económico",IF(Tabla2[[#This Row],[precio_unitario]]&lt;=58.49,"Accesible","Caro"))</f>
        <v>Accesible</v>
      </c>
      <c r="J1999" t="s">
        <v>17</v>
      </c>
      <c r="K1999">
        <v>1</v>
      </c>
      <c r="L1999" s="19">
        <v>47.92</v>
      </c>
      <c r="M1999" s="19">
        <v>27.49</v>
      </c>
      <c r="N1999" s="11">
        <v>0</v>
      </c>
      <c r="O1999" s="17">
        <f t="shared" si="127"/>
        <v>47.92</v>
      </c>
      <c r="P1999" s="17">
        <f t="shared" si="124"/>
        <v>27.49</v>
      </c>
      <c r="Q1999" s="17">
        <f t="shared" si="125"/>
        <v>20.430000000000003</v>
      </c>
      <c r="R1999" s="24">
        <f t="shared" si="126"/>
        <v>0.42633555926544248</v>
      </c>
      <c r="S1999" t="s">
        <v>83</v>
      </c>
      <c r="T1999" t="s">
        <v>64</v>
      </c>
    </row>
    <row r="2000" spans="1:20" hidden="1">
      <c r="A2000" t="s">
        <v>2067</v>
      </c>
      <c r="B2000" s="5">
        <v>45766</v>
      </c>
      <c r="C2000" s="8">
        <f>YEAR(Tabla2[[#This Row],[fecha]])</f>
        <v>2025</v>
      </c>
      <c r="D2000" s="8">
        <f>MONTH(Tabla2[[#This Row],[fecha]])</f>
        <v>4</v>
      </c>
      <c r="E2000" s="8" t="str">
        <f>TEXT(Tabla2[[#This Row],[fecha]], "mmmm")</f>
        <v>abril</v>
      </c>
      <c r="F2000" s="8" t="str">
        <f>"T"&amp;ROUNDUP(Tabla2[[#This Row],[mes]]/3,0)</f>
        <v>T2</v>
      </c>
      <c r="G2000" t="s">
        <v>33</v>
      </c>
      <c r="H2000" t="s">
        <v>34</v>
      </c>
      <c r="I2000" s="8" t="str">
        <f>IF(Tabla2[[#This Row],[precio_unitario]]&lt;=30,"Económico",IF(Tabla2[[#This Row],[precio_unitario]]&lt;=58.49,"Accesible","Caro"))</f>
        <v>Caro</v>
      </c>
      <c r="J2000" t="s">
        <v>35</v>
      </c>
      <c r="K2000">
        <v>1</v>
      </c>
      <c r="L2000" s="19">
        <v>75.400000000000006</v>
      </c>
      <c r="M2000" s="19">
        <v>49.76</v>
      </c>
      <c r="N2000" s="11">
        <v>0</v>
      </c>
      <c r="O2000" s="17">
        <f t="shared" si="127"/>
        <v>75.400000000000006</v>
      </c>
      <c r="P2000" s="17">
        <f t="shared" si="124"/>
        <v>49.76</v>
      </c>
      <c r="Q2000" s="17">
        <f t="shared" si="125"/>
        <v>25.640000000000008</v>
      </c>
      <c r="R2000" s="24">
        <f t="shared" si="126"/>
        <v>0.34005305039787809</v>
      </c>
      <c r="S2000" t="s">
        <v>96</v>
      </c>
      <c r="T2000" t="s">
        <v>64</v>
      </c>
    </row>
    <row r="2001" spans="1:20" hidden="1">
      <c r="A2001" t="s">
        <v>2068</v>
      </c>
      <c r="B2001" s="5">
        <v>45576</v>
      </c>
      <c r="C2001" s="8">
        <f>YEAR(Tabla2[[#This Row],[fecha]])</f>
        <v>2024</v>
      </c>
      <c r="D2001" s="8">
        <f>MONTH(Tabla2[[#This Row],[fecha]])</f>
        <v>10</v>
      </c>
      <c r="E2001" s="8" t="str">
        <f>TEXT(Tabla2[[#This Row],[fecha]], "mmmm")</f>
        <v>octubre</v>
      </c>
      <c r="F2001" s="8" t="str">
        <f>"T"&amp;ROUNDUP(Tabla2[[#This Row],[mes]]/3,0)</f>
        <v>T4</v>
      </c>
      <c r="G2001" t="s">
        <v>13</v>
      </c>
      <c r="H2001" t="s">
        <v>14</v>
      </c>
      <c r="I2001" s="8" t="str">
        <f>IF(Tabla2[[#This Row],[precio_unitario]]&lt;=30,"Económico",IF(Tabla2[[#This Row],[precio_unitario]]&lt;=58.49,"Accesible","Caro"))</f>
        <v>Caro</v>
      </c>
      <c r="J2001" t="s">
        <v>8</v>
      </c>
      <c r="K2001">
        <v>3</v>
      </c>
      <c r="L2001" s="19">
        <v>163.51</v>
      </c>
      <c r="M2001" s="19">
        <v>112.04</v>
      </c>
      <c r="N2001" s="13">
        <v>0</v>
      </c>
      <c r="O2001" s="17">
        <f t="shared" si="127"/>
        <v>490.53</v>
      </c>
      <c r="P2001" s="17">
        <f t="shared" si="124"/>
        <v>336.12</v>
      </c>
      <c r="Q2001" s="17">
        <f t="shared" si="125"/>
        <v>154.40999999999997</v>
      </c>
      <c r="R2001" s="24">
        <f t="shared" si="126"/>
        <v>0.31478197052168061</v>
      </c>
      <c r="S2001" t="s">
        <v>83</v>
      </c>
      <c r="T2001" t="s">
        <v>64</v>
      </c>
    </row>
    <row r="2002" spans="1:20" hidden="1">
      <c r="A2002" t="s">
        <v>2069</v>
      </c>
      <c r="B2002" s="5">
        <v>45463</v>
      </c>
      <c r="C2002" s="8">
        <f>YEAR(Tabla2[[#This Row],[fecha]])</f>
        <v>2024</v>
      </c>
      <c r="D2002" s="8">
        <f>MONTH(Tabla2[[#This Row],[fecha]])</f>
        <v>6</v>
      </c>
      <c r="E2002" s="8" t="str">
        <f>TEXT(Tabla2[[#This Row],[fecha]], "mmmm")</f>
        <v>junio</v>
      </c>
      <c r="F2002" s="8" t="str">
        <f>"T"&amp;ROUNDUP(Tabla2[[#This Row],[mes]]/3,0)</f>
        <v>T2</v>
      </c>
      <c r="G2002" t="s">
        <v>24</v>
      </c>
      <c r="H2002" t="s">
        <v>25</v>
      </c>
      <c r="I2002" s="8" t="str">
        <f>IF(Tabla2[[#This Row],[precio_unitario]]&lt;=30,"Económico",IF(Tabla2[[#This Row],[precio_unitario]]&lt;=58.49,"Accesible","Caro"))</f>
        <v>Económico</v>
      </c>
      <c r="J2002" t="s">
        <v>26</v>
      </c>
      <c r="K2002">
        <v>2</v>
      </c>
      <c r="L2002" s="19">
        <v>7.51</v>
      </c>
      <c r="M2002" s="19">
        <v>4.2699999999999996</v>
      </c>
      <c r="N2002" s="11">
        <v>0.1</v>
      </c>
      <c r="O2002" s="17">
        <f t="shared" si="127"/>
        <v>13.518000000000001</v>
      </c>
      <c r="P2002" s="17">
        <f t="shared" si="124"/>
        <v>8.5399999999999991</v>
      </c>
      <c r="Q2002" s="17">
        <f t="shared" si="125"/>
        <v>4.9780000000000015</v>
      </c>
      <c r="R2002" s="24">
        <f t="shared" si="126"/>
        <v>0.36824974108595954</v>
      </c>
      <c r="S2002" t="s">
        <v>63</v>
      </c>
      <c r="T2002" t="s">
        <v>60</v>
      </c>
    </row>
    <row r="2003" spans="1:20" hidden="1">
      <c r="A2003" t="s">
        <v>2070</v>
      </c>
      <c r="B2003" s="5">
        <v>45492</v>
      </c>
      <c r="C2003" s="8">
        <f>YEAR(Tabla2[[#This Row],[fecha]])</f>
        <v>2024</v>
      </c>
      <c r="D2003" s="8">
        <f>MONTH(Tabla2[[#This Row],[fecha]])</f>
        <v>7</v>
      </c>
      <c r="E2003" s="8" t="str">
        <f>TEXT(Tabla2[[#This Row],[fecha]], "mmmm")</f>
        <v>julio</v>
      </c>
      <c r="F2003" s="8" t="str">
        <f>"T"&amp;ROUNDUP(Tabla2[[#This Row],[mes]]/3,0)</f>
        <v>T3</v>
      </c>
      <c r="G2003" t="s">
        <v>40</v>
      </c>
      <c r="H2003" t="s">
        <v>41</v>
      </c>
      <c r="I2003" s="8" t="str">
        <f>IF(Tabla2[[#This Row],[precio_unitario]]&lt;=30,"Económico",IF(Tabla2[[#This Row],[precio_unitario]]&lt;=58.49,"Accesible","Caro"))</f>
        <v>Caro</v>
      </c>
      <c r="J2003" t="s">
        <v>35</v>
      </c>
      <c r="K2003">
        <v>3</v>
      </c>
      <c r="L2003" s="19">
        <v>81.31</v>
      </c>
      <c r="M2003" s="19">
        <v>39</v>
      </c>
      <c r="N2003" s="13">
        <v>0</v>
      </c>
      <c r="O2003" s="17">
        <f t="shared" si="127"/>
        <v>243.93</v>
      </c>
      <c r="P2003" s="17">
        <f t="shared" si="124"/>
        <v>117</v>
      </c>
      <c r="Q2003" s="17">
        <f t="shared" si="125"/>
        <v>126.93</v>
      </c>
      <c r="R2003" s="24">
        <f t="shared" si="126"/>
        <v>0.52035419997540278</v>
      </c>
      <c r="S2003" t="s">
        <v>63</v>
      </c>
      <c r="T2003" t="s">
        <v>64</v>
      </c>
    </row>
    <row r="2004" spans="1:20" hidden="1">
      <c r="A2004" t="s">
        <v>2071</v>
      </c>
      <c r="B2004" s="5">
        <v>45938</v>
      </c>
      <c r="C2004" s="8">
        <f>YEAR(Tabla2[[#This Row],[fecha]])</f>
        <v>2025</v>
      </c>
      <c r="D2004" s="8">
        <f>MONTH(Tabla2[[#This Row],[fecha]])</f>
        <v>10</v>
      </c>
      <c r="E2004" s="8" t="str">
        <f>TEXT(Tabla2[[#This Row],[fecha]], "mmmm")</f>
        <v>octubre</v>
      </c>
      <c r="F2004" s="8" t="str">
        <f>"T"&amp;ROUNDUP(Tabla2[[#This Row],[mes]]/3,0)</f>
        <v>T4</v>
      </c>
      <c r="G2004" t="s">
        <v>49</v>
      </c>
      <c r="H2004" t="s">
        <v>50</v>
      </c>
      <c r="I2004" s="8" t="str">
        <f>IF(Tabla2[[#This Row],[precio_unitario]]&lt;=30,"Económico",IF(Tabla2[[#This Row],[precio_unitario]]&lt;=58.49,"Accesible","Caro"))</f>
        <v>Caro</v>
      </c>
      <c r="J2004" t="s">
        <v>44</v>
      </c>
      <c r="K2004">
        <v>2</v>
      </c>
      <c r="L2004" s="19">
        <v>59.14</v>
      </c>
      <c r="M2004" s="19">
        <v>35.43</v>
      </c>
      <c r="N2004" s="11">
        <v>0</v>
      </c>
      <c r="O2004" s="17">
        <f t="shared" si="127"/>
        <v>118.28</v>
      </c>
      <c r="P2004" s="17">
        <f t="shared" si="124"/>
        <v>70.86</v>
      </c>
      <c r="Q2004" s="17">
        <f t="shared" si="125"/>
        <v>47.42</v>
      </c>
      <c r="R2004" s="24">
        <f t="shared" si="126"/>
        <v>0.40091308758877242</v>
      </c>
      <c r="S2004" t="s">
        <v>96</v>
      </c>
      <c r="T2004" t="s">
        <v>64</v>
      </c>
    </row>
    <row r="2005" spans="1:20">
      <c r="A2005" t="s">
        <v>2072</v>
      </c>
      <c r="B2005" s="5">
        <v>45848</v>
      </c>
      <c r="C2005" s="8">
        <f>YEAR(Tabla2[[#This Row],[fecha]])</f>
        <v>2025</v>
      </c>
      <c r="D2005" s="8">
        <f>MONTH(Tabla2[[#This Row],[fecha]])</f>
        <v>7</v>
      </c>
      <c r="E2005" s="8" t="str">
        <f>TEXT(Tabla2[[#This Row],[fecha]], "mmmm")</f>
        <v>julio</v>
      </c>
      <c r="F2005" s="8" t="str">
        <f>"T"&amp;ROUNDUP(Tabla2[[#This Row],[mes]]/3,0)</f>
        <v>T3</v>
      </c>
      <c r="G2005" t="s">
        <v>49</v>
      </c>
      <c r="H2005" t="s">
        <v>50</v>
      </c>
      <c r="I2005" s="8" t="str">
        <f>IF(Tabla2[[#This Row],[precio_unitario]]&lt;=30,"Económico",IF(Tabla2[[#This Row],[precio_unitario]]&lt;=58.49,"Accesible","Caro"))</f>
        <v>Accesible</v>
      </c>
      <c r="J2005" t="s">
        <v>44</v>
      </c>
      <c r="K2005">
        <v>3</v>
      </c>
      <c r="L2005" s="19">
        <v>57.19</v>
      </c>
      <c r="M2005" s="19">
        <v>32.44</v>
      </c>
      <c r="N2005" s="11">
        <v>0</v>
      </c>
      <c r="O2005" s="17">
        <f t="shared" si="127"/>
        <v>171.57</v>
      </c>
      <c r="P2005" s="17">
        <f t="shared" si="124"/>
        <v>97.32</v>
      </c>
      <c r="Q2005" s="17">
        <f t="shared" si="125"/>
        <v>74.25</v>
      </c>
      <c r="R2005" s="24">
        <f t="shared" si="126"/>
        <v>0.43276796642769716</v>
      </c>
      <c r="S2005" t="s">
        <v>67</v>
      </c>
      <c r="T2005" t="s">
        <v>60</v>
      </c>
    </row>
    <row r="2006" spans="1:20" hidden="1">
      <c r="A2006" t="s">
        <v>2073</v>
      </c>
      <c r="B2006" s="5">
        <v>45985</v>
      </c>
      <c r="C2006" s="8">
        <f>YEAR(Tabla2[[#This Row],[fecha]])</f>
        <v>2025</v>
      </c>
      <c r="D2006" s="8">
        <f>MONTH(Tabla2[[#This Row],[fecha]])</f>
        <v>11</v>
      </c>
      <c r="E2006" s="8" t="str">
        <f>TEXT(Tabla2[[#This Row],[fecha]], "mmmm")</f>
        <v>noviembre</v>
      </c>
      <c r="F2006" s="8" t="str">
        <f>"T"&amp;ROUNDUP(Tabla2[[#This Row],[mes]]/3,0)</f>
        <v>T4</v>
      </c>
      <c r="G2006" t="s">
        <v>47</v>
      </c>
      <c r="H2006" t="s">
        <v>48</v>
      </c>
      <c r="I2006" s="8" t="str">
        <f>IF(Tabla2[[#This Row],[precio_unitario]]&lt;=30,"Económico",IF(Tabla2[[#This Row],[precio_unitario]]&lt;=58.49,"Accesible","Caro"))</f>
        <v>Accesible</v>
      </c>
      <c r="J2006" t="s">
        <v>44</v>
      </c>
      <c r="K2006">
        <v>1</v>
      </c>
      <c r="L2006" s="19">
        <v>55.07</v>
      </c>
      <c r="M2006" s="19">
        <v>31.3</v>
      </c>
      <c r="N2006" s="11">
        <v>0</v>
      </c>
      <c r="O2006" s="17">
        <f t="shared" si="127"/>
        <v>55.07</v>
      </c>
      <c r="P2006" s="17">
        <f t="shared" si="124"/>
        <v>31.3</v>
      </c>
      <c r="Q2006" s="17">
        <f t="shared" si="125"/>
        <v>23.77</v>
      </c>
      <c r="R2006" s="24">
        <f t="shared" si="126"/>
        <v>0.43163246776829489</v>
      </c>
      <c r="S2006" t="s">
        <v>101</v>
      </c>
      <c r="T2006" t="s">
        <v>60</v>
      </c>
    </row>
    <row r="2007" spans="1:20">
      <c r="A2007" t="s">
        <v>2074</v>
      </c>
      <c r="B2007" s="5">
        <v>45884</v>
      </c>
      <c r="C2007" s="8">
        <f>YEAR(Tabla2[[#This Row],[fecha]])</f>
        <v>2025</v>
      </c>
      <c r="D2007" s="8">
        <f>MONTH(Tabla2[[#This Row],[fecha]])</f>
        <v>8</v>
      </c>
      <c r="E2007" s="8" t="str">
        <f>TEXT(Tabla2[[#This Row],[fecha]], "mmmm")</f>
        <v>agosto</v>
      </c>
      <c r="F2007" s="8" t="str">
        <f>"T"&amp;ROUNDUP(Tabla2[[#This Row],[mes]]/3,0)</f>
        <v>T3</v>
      </c>
      <c r="G2007" t="s">
        <v>18</v>
      </c>
      <c r="H2007" t="s">
        <v>19</v>
      </c>
      <c r="I2007" s="8" t="str">
        <f>IF(Tabla2[[#This Row],[precio_unitario]]&lt;=30,"Económico",IF(Tabla2[[#This Row],[precio_unitario]]&lt;=58.49,"Accesible","Caro"))</f>
        <v>Accesible</v>
      </c>
      <c r="J2007" t="s">
        <v>17</v>
      </c>
      <c r="K2007">
        <v>2</v>
      </c>
      <c r="L2007" s="19">
        <v>50.26</v>
      </c>
      <c r="M2007" s="19">
        <v>25.55</v>
      </c>
      <c r="N2007" s="11">
        <v>0</v>
      </c>
      <c r="O2007" s="17">
        <f t="shared" si="127"/>
        <v>100.52</v>
      </c>
      <c r="P2007" s="17">
        <f t="shared" si="124"/>
        <v>51.1</v>
      </c>
      <c r="Q2007" s="17">
        <f t="shared" si="125"/>
        <v>49.419999999999995</v>
      </c>
      <c r="R2007" s="24">
        <f t="shared" si="126"/>
        <v>0.49164345403899717</v>
      </c>
      <c r="S2007" t="s">
        <v>67</v>
      </c>
      <c r="T2007" t="s">
        <v>60</v>
      </c>
    </row>
    <row r="2008" spans="1:20" hidden="1">
      <c r="A2008" t="s">
        <v>2075</v>
      </c>
      <c r="B2008" s="5">
        <v>45485</v>
      </c>
      <c r="C2008" s="8">
        <f>YEAR(Tabla2[[#This Row],[fecha]])</f>
        <v>2024</v>
      </c>
      <c r="D2008" s="8">
        <f>MONTH(Tabla2[[#This Row],[fecha]])</f>
        <v>7</v>
      </c>
      <c r="E2008" s="8" t="str">
        <f>TEXT(Tabla2[[#This Row],[fecha]], "mmmm")</f>
        <v>julio</v>
      </c>
      <c r="F2008" s="8" t="str">
        <f>"T"&amp;ROUNDUP(Tabla2[[#This Row],[mes]]/3,0)</f>
        <v>T3</v>
      </c>
      <c r="G2008" t="s">
        <v>24</v>
      </c>
      <c r="H2008" t="s">
        <v>25</v>
      </c>
      <c r="I2008" s="8" t="str">
        <f>IF(Tabla2[[#This Row],[precio_unitario]]&lt;=30,"Económico",IF(Tabla2[[#This Row],[precio_unitario]]&lt;=58.49,"Accesible","Caro"))</f>
        <v>Económico</v>
      </c>
      <c r="J2008" t="s">
        <v>26</v>
      </c>
      <c r="K2008">
        <v>1</v>
      </c>
      <c r="L2008" s="19">
        <v>7.87</v>
      </c>
      <c r="M2008" s="19">
        <v>4.2699999999999996</v>
      </c>
      <c r="N2008" s="11">
        <v>0.25</v>
      </c>
      <c r="O2008" s="17">
        <f t="shared" si="127"/>
        <v>5.9024999999999999</v>
      </c>
      <c r="P2008" s="17">
        <f t="shared" si="124"/>
        <v>4.2699999999999996</v>
      </c>
      <c r="Q2008" s="17">
        <f t="shared" si="125"/>
        <v>1.6325000000000003</v>
      </c>
      <c r="R2008" s="24">
        <f t="shared" si="126"/>
        <v>0.27657772130453201</v>
      </c>
      <c r="S2008" t="s">
        <v>67</v>
      </c>
      <c r="T2008" t="s">
        <v>64</v>
      </c>
    </row>
    <row r="2009" spans="1:20" hidden="1">
      <c r="A2009" t="s">
        <v>2076</v>
      </c>
      <c r="B2009" s="5">
        <v>45339</v>
      </c>
      <c r="C2009" s="8">
        <f>YEAR(Tabla2[[#This Row],[fecha]])</f>
        <v>2024</v>
      </c>
      <c r="D2009" s="8">
        <f>MONTH(Tabla2[[#This Row],[fecha]])</f>
        <v>2</v>
      </c>
      <c r="E2009" s="8" t="str">
        <f>TEXT(Tabla2[[#This Row],[fecha]], "mmmm")</f>
        <v>febrero</v>
      </c>
      <c r="F2009" s="8" t="str">
        <f>"T"&amp;ROUNDUP(Tabla2[[#This Row],[mes]]/3,0)</f>
        <v>T1</v>
      </c>
      <c r="G2009" t="s">
        <v>40</v>
      </c>
      <c r="H2009" t="s">
        <v>41</v>
      </c>
      <c r="I2009" s="8" t="str">
        <f>IF(Tabla2[[#This Row],[precio_unitario]]&lt;=30,"Económico",IF(Tabla2[[#This Row],[precio_unitario]]&lt;=58.49,"Accesible","Caro"))</f>
        <v>Caro</v>
      </c>
      <c r="J2009" t="s">
        <v>35</v>
      </c>
      <c r="K2009">
        <v>1</v>
      </c>
      <c r="L2009" s="19">
        <v>76.69</v>
      </c>
      <c r="M2009" s="19">
        <v>40.53</v>
      </c>
      <c r="N2009" s="11">
        <v>0</v>
      </c>
      <c r="O2009" s="17">
        <f t="shared" si="127"/>
        <v>76.69</v>
      </c>
      <c r="P2009" s="17">
        <f t="shared" si="124"/>
        <v>40.53</v>
      </c>
      <c r="Q2009" s="17">
        <f t="shared" si="125"/>
        <v>36.159999999999997</v>
      </c>
      <c r="R2009" s="24">
        <f t="shared" si="126"/>
        <v>0.47150867127396007</v>
      </c>
      <c r="S2009" s="10" t="s">
        <v>2377</v>
      </c>
      <c r="T2009" t="s">
        <v>64</v>
      </c>
    </row>
    <row r="2010" spans="1:20">
      <c r="A2010" t="s">
        <v>2077</v>
      </c>
      <c r="B2010" s="5">
        <v>45775</v>
      </c>
      <c r="C2010" s="8">
        <f>YEAR(Tabla2[[#This Row],[fecha]])</f>
        <v>2025</v>
      </c>
      <c r="D2010" s="8">
        <f>MONTH(Tabla2[[#This Row],[fecha]])</f>
        <v>4</v>
      </c>
      <c r="E2010" s="8" t="str">
        <f>TEXT(Tabla2[[#This Row],[fecha]], "mmmm")</f>
        <v>abril</v>
      </c>
      <c r="F2010" s="8" t="str">
        <f>"T"&amp;ROUNDUP(Tabla2[[#This Row],[mes]]/3,0)</f>
        <v>T2</v>
      </c>
      <c r="G2010" t="s">
        <v>40</v>
      </c>
      <c r="H2010" t="s">
        <v>41</v>
      </c>
      <c r="I2010" s="8" t="str">
        <f>IF(Tabla2[[#This Row],[precio_unitario]]&lt;=30,"Económico",IF(Tabla2[[#This Row],[precio_unitario]]&lt;=58.49,"Accesible","Caro"))</f>
        <v>Caro</v>
      </c>
      <c r="J2010" t="s">
        <v>35</v>
      </c>
      <c r="K2010">
        <v>2</v>
      </c>
      <c r="L2010" s="19">
        <v>78.97</v>
      </c>
      <c r="M2010" s="19">
        <v>42.57</v>
      </c>
      <c r="N2010" s="11">
        <v>0</v>
      </c>
      <c r="O2010" s="17">
        <f t="shared" si="127"/>
        <v>157.94</v>
      </c>
      <c r="P2010" s="17">
        <f t="shared" si="124"/>
        <v>85.14</v>
      </c>
      <c r="Q2010" s="17">
        <f t="shared" si="125"/>
        <v>72.8</v>
      </c>
      <c r="R2010" s="24">
        <f t="shared" si="126"/>
        <v>0.46093453210079777</v>
      </c>
      <c r="S2010" t="s">
        <v>67</v>
      </c>
      <c r="T2010" t="s">
        <v>64</v>
      </c>
    </row>
    <row r="2011" spans="1:20" hidden="1">
      <c r="A2011" t="s">
        <v>2078</v>
      </c>
      <c r="B2011" s="5">
        <v>45325</v>
      </c>
      <c r="C2011" s="8">
        <f>YEAR(Tabla2[[#This Row],[fecha]])</f>
        <v>2024</v>
      </c>
      <c r="D2011" s="8">
        <f>MONTH(Tabla2[[#This Row],[fecha]])</f>
        <v>2</v>
      </c>
      <c r="E2011" s="8" t="str">
        <f>TEXT(Tabla2[[#This Row],[fecha]], "mmmm")</f>
        <v>febrero</v>
      </c>
      <c r="F2011" s="8" t="str">
        <f>"T"&amp;ROUNDUP(Tabla2[[#This Row],[mes]]/3,0)</f>
        <v>T1</v>
      </c>
      <c r="G2011" t="s">
        <v>27</v>
      </c>
      <c r="H2011" t="s">
        <v>28</v>
      </c>
      <c r="I2011" s="8" t="str">
        <f>IF(Tabla2[[#This Row],[precio_unitario]]&lt;=30,"Económico",IF(Tabla2[[#This Row],[precio_unitario]]&lt;=58.49,"Accesible","Caro"))</f>
        <v>Económico</v>
      </c>
      <c r="J2011" t="s">
        <v>26</v>
      </c>
      <c r="K2011">
        <v>4</v>
      </c>
      <c r="L2011" s="19">
        <v>16.09</v>
      </c>
      <c r="M2011" s="19">
        <v>11.44</v>
      </c>
      <c r="N2011" s="13">
        <v>0</v>
      </c>
      <c r="O2011" s="17">
        <f t="shared" si="127"/>
        <v>64.36</v>
      </c>
      <c r="P2011" s="17">
        <f t="shared" si="124"/>
        <v>45.76</v>
      </c>
      <c r="Q2011" s="17">
        <f t="shared" si="125"/>
        <v>18.600000000000001</v>
      </c>
      <c r="R2011" s="24">
        <f t="shared" si="126"/>
        <v>0.28899937849596025</v>
      </c>
      <c r="S2011" t="s">
        <v>67</v>
      </c>
      <c r="T2011" t="s">
        <v>60</v>
      </c>
    </row>
    <row r="2012" spans="1:20" hidden="1">
      <c r="A2012" t="s">
        <v>2079</v>
      </c>
      <c r="B2012" s="5">
        <v>45600</v>
      </c>
      <c r="C2012" s="8">
        <f>YEAR(Tabla2[[#This Row],[fecha]])</f>
        <v>2024</v>
      </c>
      <c r="D2012" s="8">
        <f>MONTH(Tabla2[[#This Row],[fecha]])</f>
        <v>11</v>
      </c>
      <c r="E2012" s="8" t="str">
        <f>TEXT(Tabla2[[#This Row],[fecha]], "mmmm")</f>
        <v>noviembre</v>
      </c>
      <c r="F2012" s="8" t="str">
        <f>"T"&amp;ROUNDUP(Tabla2[[#This Row],[mes]]/3,0)</f>
        <v>T4</v>
      </c>
      <c r="G2012" t="s">
        <v>15</v>
      </c>
      <c r="H2012" t="s">
        <v>16</v>
      </c>
      <c r="I2012" s="8" t="str">
        <f>IF(Tabla2[[#This Row],[precio_unitario]]&lt;=30,"Económico",IF(Tabla2[[#This Row],[precio_unitario]]&lt;=58.49,"Accesible","Caro"))</f>
        <v>Accesible</v>
      </c>
      <c r="J2012" t="s">
        <v>17</v>
      </c>
      <c r="K2012">
        <v>4</v>
      </c>
      <c r="L2012" s="19">
        <v>55.54</v>
      </c>
      <c r="M2012" s="19">
        <v>39.74</v>
      </c>
      <c r="N2012" s="11">
        <v>0</v>
      </c>
      <c r="O2012" s="17">
        <f t="shared" si="127"/>
        <v>222.16</v>
      </c>
      <c r="P2012" s="17">
        <f t="shared" si="124"/>
        <v>158.96</v>
      </c>
      <c r="Q2012" s="17">
        <f t="shared" si="125"/>
        <v>63.199999999999989</v>
      </c>
      <c r="R2012" s="24">
        <f t="shared" si="126"/>
        <v>0.28447965430320488</v>
      </c>
      <c r="S2012" t="s">
        <v>83</v>
      </c>
      <c r="T2012" t="s">
        <v>64</v>
      </c>
    </row>
    <row r="2013" spans="1:20" hidden="1">
      <c r="A2013" t="s">
        <v>2080</v>
      </c>
      <c r="B2013" s="5">
        <v>45400</v>
      </c>
      <c r="C2013" s="8">
        <f>YEAR(Tabla2[[#This Row],[fecha]])</f>
        <v>2024</v>
      </c>
      <c r="D2013" s="8">
        <f>MONTH(Tabla2[[#This Row],[fecha]])</f>
        <v>4</v>
      </c>
      <c r="E2013" s="8" t="str">
        <f>TEXT(Tabla2[[#This Row],[fecha]], "mmmm")</f>
        <v>abril</v>
      </c>
      <c r="F2013" s="8" t="str">
        <f>"T"&amp;ROUNDUP(Tabla2[[#This Row],[mes]]/3,0)</f>
        <v>T2</v>
      </c>
      <c r="G2013" t="s">
        <v>47</v>
      </c>
      <c r="H2013" t="s">
        <v>48</v>
      </c>
      <c r="I2013" s="8" t="str">
        <f>IF(Tabla2[[#This Row],[precio_unitario]]&lt;=30,"Económico",IF(Tabla2[[#This Row],[precio_unitario]]&lt;=58.49,"Accesible","Caro"))</f>
        <v>Accesible</v>
      </c>
      <c r="J2013" t="s">
        <v>44</v>
      </c>
      <c r="K2013">
        <v>4</v>
      </c>
      <c r="L2013" s="19">
        <v>56.63</v>
      </c>
      <c r="M2013" s="19">
        <v>32.49</v>
      </c>
      <c r="N2013" s="11">
        <v>0</v>
      </c>
      <c r="O2013" s="17">
        <f t="shared" si="127"/>
        <v>226.52</v>
      </c>
      <c r="P2013" s="17">
        <f t="shared" si="124"/>
        <v>129.96</v>
      </c>
      <c r="Q2013" s="17">
        <f t="shared" si="125"/>
        <v>96.56</v>
      </c>
      <c r="R2013" s="24">
        <f t="shared" si="126"/>
        <v>0.42627582553416915</v>
      </c>
      <c r="S2013" t="s">
        <v>63</v>
      </c>
      <c r="T2013" t="s">
        <v>64</v>
      </c>
    </row>
    <row r="2014" spans="1:20" hidden="1">
      <c r="A2014" t="s">
        <v>2081</v>
      </c>
      <c r="B2014" s="5">
        <v>45295</v>
      </c>
      <c r="C2014" s="8">
        <f>YEAR(Tabla2[[#This Row],[fecha]])</f>
        <v>2024</v>
      </c>
      <c r="D2014" s="8">
        <f>MONTH(Tabla2[[#This Row],[fecha]])</f>
        <v>1</v>
      </c>
      <c r="E2014" s="8" t="str">
        <f>TEXT(Tabla2[[#This Row],[fecha]], "mmmm")</f>
        <v>enero</v>
      </c>
      <c r="F2014" s="8" t="str">
        <f>"T"&amp;ROUNDUP(Tabla2[[#This Row],[mes]]/3,0)</f>
        <v>T1</v>
      </c>
      <c r="G2014" t="s">
        <v>47</v>
      </c>
      <c r="H2014" t="s">
        <v>48</v>
      </c>
      <c r="I2014" s="8" t="str">
        <f>IF(Tabla2[[#This Row],[precio_unitario]]&lt;=30,"Económico",IF(Tabla2[[#This Row],[precio_unitario]]&lt;=58.49,"Accesible","Caro"))</f>
        <v>Accesible</v>
      </c>
      <c r="J2014" t="s">
        <v>44</v>
      </c>
      <c r="K2014">
        <v>5</v>
      </c>
      <c r="L2014" s="19">
        <v>56.3</v>
      </c>
      <c r="M2014" s="19">
        <v>31.88</v>
      </c>
      <c r="N2014" s="11">
        <v>0</v>
      </c>
      <c r="O2014" s="17">
        <f t="shared" si="127"/>
        <v>281.5</v>
      </c>
      <c r="P2014" s="17">
        <f t="shared" si="124"/>
        <v>159.4</v>
      </c>
      <c r="Q2014" s="17">
        <f t="shared" si="125"/>
        <v>122.1</v>
      </c>
      <c r="R2014" s="24">
        <f t="shared" si="126"/>
        <v>0.43374777975133211</v>
      </c>
      <c r="S2014" t="s">
        <v>67</v>
      </c>
      <c r="T2014" t="s">
        <v>64</v>
      </c>
    </row>
    <row r="2015" spans="1:20" hidden="1">
      <c r="A2015" t="s">
        <v>2082</v>
      </c>
      <c r="B2015" s="5">
        <v>45933</v>
      </c>
      <c r="C2015" s="8">
        <f>YEAR(Tabla2[[#This Row],[fecha]])</f>
        <v>2025</v>
      </c>
      <c r="D2015" s="8">
        <f>MONTH(Tabla2[[#This Row],[fecha]])</f>
        <v>10</v>
      </c>
      <c r="E2015" s="8" t="str">
        <f>TEXT(Tabla2[[#This Row],[fecha]], "mmmm")</f>
        <v>octubre</v>
      </c>
      <c r="F2015" s="8" t="str">
        <f>"T"&amp;ROUNDUP(Tabla2[[#This Row],[mes]]/3,0)</f>
        <v>T4</v>
      </c>
      <c r="G2015" t="s">
        <v>18</v>
      </c>
      <c r="H2015" t="s">
        <v>19</v>
      </c>
      <c r="I2015" s="8" t="str">
        <f>IF(Tabla2[[#This Row],[precio_unitario]]&lt;=30,"Económico",IF(Tabla2[[#This Row],[precio_unitario]]&lt;=58.49,"Accesible","Caro"))</f>
        <v>Accesible</v>
      </c>
      <c r="J2015" t="s">
        <v>17</v>
      </c>
      <c r="K2015">
        <v>2</v>
      </c>
      <c r="L2015" s="19">
        <v>43.52</v>
      </c>
      <c r="M2015" s="19">
        <v>26.81</v>
      </c>
      <c r="N2015" s="11">
        <v>0</v>
      </c>
      <c r="O2015" s="17">
        <f t="shared" si="127"/>
        <v>87.04</v>
      </c>
      <c r="P2015" s="17">
        <f t="shared" si="124"/>
        <v>53.62</v>
      </c>
      <c r="Q2015" s="17">
        <f t="shared" si="125"/>
        <v>33.420000000000009</v>
      </c>
      <c r="R2015" s="24">
        <f t="shared" si="126"/>
        <v>0.38396139705882359</v>
      </c>
      <c r="S2015" t="s">
        <v>83</v>
      </c>
      <c r="T2015" t="s">
        <v>60</v>
      </c>
    </row>
    <row r="2016" spans="1:20" hidden="1">
      <c r="A2016" t="s">
        <v>2083</v>
      </c>
      <c r="B2016" s="5">
        <v>45732</v>
      </c>
      <c r="C2016" s="8">
        <f>YEAR(Tabla2[[#This Row],[fecha]])</f>
        <v>2025</v>
      </c>
      <c r="D2016" s="8">
        <f>MONTH(Tabla2[[#This Row],[fecha]])</f>
        <v>3</v>
      </c>
      <c r="E2016" s="8" t="str">
        <f>TEXT(Tabla2[[#This Row],[fecha]], "mmmm")</f>
        <v>marzo</v>
      </c>
      <c r="F2016" s="8" t="str">
        <f>"T"&amp;ROUNDUP(Tabla2[[#This Row],[mes]]/3,0)</f>
        <v>T1</v>
      </c>
      <c r="G2016" t="s">
        <v>45</v>
      </c>
      <c r="H2016" t="s">
        <v>46</v>
      </c>
      <c r="I2016" s="8" t="str">
        <f>IF(Tabla2[[#This Row],[precio_unitario]]&lt;=30,"Económico",IF(Tabla2[[#This Row],[precio_unitario]]&lt;=58.49,"Accesible","Caro"))</f>
        <v>Económico</v>
      </c>
      <c r="J2016" t="s">
        <v>44</v>
      </c>
      <c r="K2016">
        <v>3</v>
      </c>
      <c r="L2016" s="19">
        <v>28.78</v>
      </c>
      <c r="M2016" s="19">
        <v>17.670000000000002</v>
      </c>
      <c r="N2016" s="11">
        <v>0</v>
      </c>
      <c r="O2016" s="17">
        <f t="shared" si="127"/>
        <v>86.34</v>
      </c>
      <c r="P2016" s="17">
        <f t="shared" si="124"/>
        <v>53.010000000000005</v>
      </c>
      <c r="Q2016" s="17">
        <f t="shared" si="125"/>
        <v>33.33</v>
      </c>
      <c r="R2016" s="24">
        <f t="shared" si="126"/>
        <v>0.38603196664350242</v>
      </c>
      <c r="S2016" t="s">
        <v>101</v>
      </c>
      <c r="T2016" t="s">
        <v>60</v>
      </c>
    </row>
    <row r="2017" spans="1:20" hidden="1">
      <c r="A2017" t="s">
        <v>2084</v>
      </c>
      <c r="B2017" s="5">
        <v>45463</v>
      </c>
      <c r="C2017" s="8">
        <f>YEAR(Tabla2[[#This Row],[fecha]])</f>
        <v>2024</v>
      </c>
      <c r="D2017" s="8">
        <f>MONTH(Tabla2[[#This Row],[fecha]])</f>
        <v>6</v>
      </c>
      <c r="E2017" s="8" t="str">
        <f>TEXT(Tabla2[[#This Row],[fecha]], "mmmm")</f>
        <v>junio</v>
      </c>
      <c r="F2017" s="8" t="str">
        <f>"T"&amp;ROUNDUP(Tabla2[[#This Row],[mes]]/3,0)</f>
        <v>T2</v>
      </c>
      <c r="G2017" t="s">
        <v>18</v>
      </c>
      <c r="H2017" t="s">
        <v>19</v>
      </c>
      <c r="I2017" s="8" t="str">
        <f>IF(Tabla2[[#This Row],[precio_unitario]]&lt;=30,"Económico",IF(Tabla2[[#This Row],[precio_unitario]]&lt;=58.49,"Accesible","Caro"))</f>
        <v>Accesible</v>
      </c>
      <c r="J2017" t="s">
        <v>17</v>
      </c>
      <c r="K2017">
        <v>4</v>
      </c>
      <c r="L2017" s="19">
        <v>49.97</v>
      </c>
      <c r="M2017" s="19">
        <v>26.35</v>
      </c>
      <c r="N2017" s="13">
        <v>0</v>
      </c>
      <c r="O2017" s="17">
        <f t="shared" si="127"/>
        <v>199.88</v>
      </c>
      <c r="P2017" s="17">
        <f t="shared" si="124"/>
        <v>105.4</v>
      </c>
      <c r="Q2017" s="17">
        <f t="shared" si="125"/>
        <v>94.47999999999999</v>
      </c>
      <c r="R2017" s="24">
        <f t="shared" si="126"/>
        <v>0.47268361016609961</v>
      </c>
      <c r="S2017" t="s">
        <v>67</v>
      </c>
      <c r="T2017" t="s">
        <v>64</v>
      </c>
    </row>
    <row r="2018" spans="1:20">
      <c r="A2018" t="s">
        <v>2085</v>
      </c>
      <c r="B2018" s="5">
        <v>45673</v>
      </c>
      <c r="C2018" s="8">
        <f>YEAR(Tabla2[[#This Row],[fecha]])</f>
        <v>2025</v>
      </c>
      <c r="D2018" s="8">
        <f>MONTH(Tabla2[[#This Row],[fecha]])</f>
        <v>1</v>
      </c>
      <c r="E2018" s="8" t="str">
        <f>TEXT(Tabla2[[#This Row],[fecha]], "mmmm")</f>
        <v>enero</v>
      </c>
      <c r="F2018" s="8" t="str">
        <f>"T"&amp;ROUNDUP(Tabla2[[#This Row],[mes]]/3,0)</f>
        <v>T1</v>
      </c>
      <c r="G2018" t="s">
        <v>9</v>
      </c>
      <c r="H2018" t="s">
        <v>10</v>
      </c>
      <c r="I2018" s="8" t="str">
        <f>IF(Tabla2[[#This Row],[precio_unitario]]&lt;=30,"Económico",IF(Tabla2[[#This Row],[precio_unitario]]&lt;=58.49,"Accesible","Caro"))</f>
        <v>Caro</v>
      </c>
      <c r="J2018" t="s">
        <v>8</v>
      </c>
      <c r="K2018">
        <v>1</v>
      </c>
      <c r="L2018" s="19">
        <v>79.010000000000005</v>
      </c>
      <c r="M2018" s="19">
        <v>46.99</v>
      </c>
      <c r="N2018" s="11">
        <v>0</v>
      </c>
      <c r="O2018" s="17">
        <f t="shared" si="127"/>
        <v>79.010000000000005</v>
      </c>
      <c r="P2018" s="17">
        <f t="shared" si="124"/>
        <v>46.99</v>
      </c>
      <c r="Q2018" s="17">
        <f t="shared" si="125"/>
        <v>32.020000000000003</v>
      </c>
      <c r="R2018" s="24">
        <f t="shared" si="126"/>
        <v>0.40526515630932797</v>
      </c>
      <c r="S2018" t="s">
        <v>67</v>
      </c>
      <c r="T2018" t="s">
        <v>64</v>
      </c>
    </row>
    <row r="2019" spans="1:20" hidden="1">
      <c r="A2019" t="s">
        <v>2086</v>
      </c>
      <c r="B2019" s="5">
        <v>45297</v>
      </c>
      <c r="C2019" s="8">
        <f>YEAR(Tabla2[[#This Row],[fecha]])</f>
        <v>2024</v>
      </c>
      <c r="D2019" s="8">
        <f>MONTH(Tabla2[[#This Row],[fecha]])</f>
        <v>1</v>
      </c>
      <c r="E2019" s="8" t="str">
        <f>TEXT(Tabla2[[#This Row],[fecha]], "mmmm")</f>
        <v>enero</v>
      </c>
      <c r="F2019" s="8" t="str">
        <f>"T"&amp;ROUNDUP(Tabla2[[#This Row],[mes]]/3,0)</f>
        <v>T1</v>
      </c>
      <c r="G2019" t="s">
        <v>18</v>
      </c>
      <c r="H2019" t="s">
        <v>19</v>
      </c>
      <c r="I2019" s="8" t="str">
        <f>IF(Tabla2[[#This Row],[precio_unitario]]&lt;=30,"Económico",IF(Tabla2[[#This Row],[precio_unitario]]&lt;=58.49,"Accesible","Caro"))</f>
        <v>Accesible</v>
      </c>
      <c r="J2019" t="s">
        <v>17</v>
      </c>
      <c r="K2019">
        <v>1</v>
      </c>
      <c r="L2019" s="19">
        <v>44.52</v>
      </c>
      <c r="M2019" s="19">
        <v>25.73</v>
      </c>
      <c r="N2019" s="11">
        <v>0</v>
      </c>
      <c r="O2019" s="17">
        <f t="shared" si="127"/>
        <v>44.52</v>
      </c>
      <c r="P2019" s="17">
        <f t="shared" si="124"/>
        <v>25.73</v>
      </c>
      <c r="Q2019" s="17">
        <f t="shared" si="125"/>
        <v>18.790000000000003</v>
      </c>
      <c r="R2019" s="24">
        <f t="shared" si="126"/>
        <v>0.42205750224618155</v>
      </c>
      <c r="S2019" t="s">
        <v>83</v>
      </c>
      <c r="T2019" t="s">
        <v>64</v>
      </c>
    </row>
    <row r="2020" spans="1:20">
      <c r="A2020" t="s">
        <v>2087</v>
      </c>
      <c r="B2020" s="5">
        <v>45883</v>
      </c>
      <c r="C2020" s="8">
        <f>YEAR(Tabla2[[#This Row],[fecha]])</f>
        <v>2025</v>
      </c>
      <c r="D2020" s="8">
        <f>MONTH(Tabla2[[#This Row],[fecha]])</f>
        <v>8</v>
      </c>
      <c r="E2020" s="8" t="str">
        <f>TEXT(Tabla2[[#This Row],[fecha]], "mmmm")</f>
        <v>agosto</v>
      </c>
      <c r="F2020" s="8" t="str">
        <f>"T"&amp;ROUNDUP(Tabla2[[#This Row],[mes]]/3,0)</f>
        <v>T3</v>
      </c>
      <c r="G2020" t="s">
        <v>11</v>
      </c>
      <c r="H2020" t="s">
        <v>12</v>
      </c>
      <c r="I2020" s="8" t="str">
        <f>IF(Tabla2[[#This Row],[precio_unitario]]&lt;=30,"Económico",IF(Tabla2[[#This Row],[precio_unitario]]&lt;=58.49,"Accesible","Caro"))</f>
        <v>Caro</v>
      </c>
      <c r="J2020" t="s">
        <v>8</v>
      </c>
      <c r="K2020">
        <v>1</v>
      </c>
      <c r="L2020" s="19">
        <v>176.51</v>
      </c>
      <c r="M2020" s="19">
        <v>91.95</v>
      </c>
      <c r="N2020" s="11">
        <v>0</v>
      </c>
      <c r="O2020" s="17">
        <f t="shared" si="127"/>
        <v>176.51</v>
      </c>
      <c r="P2020" s="17">
        <f t="shared" si="124"/>
        <v>91.95</v>
      </c>
      <c r="Q2020" s="17">
        <f t="shared" si="125"/>
        <v>84.559999999999988</v>
      </c>
      <c r="R2020" s="24">
        <f t="shared" si="126"/>
        <v>0.47906634185032004</v>
      </c>
      <c r="S2020" t="s">
        <v>67</v>
      </c>
      <c r="T2020" t="s">
        <v>64</v>
      </c>
    </row>
    <row r="2021" spans="1:20" hidden="1">
      <c r="A2021" t="s">
        <v>2088</v>
      </c>
      <c r="B2021" s="5">
        <v>45982</v>
      </c>
      <c r="C2021" s="8">
        <f>YEAR(Tabla2[[#This Row],[fecha]])</f>
        <v>2025</v>
      </c>
      <c r="D2021" s="8">
        <f>MONTH(Tabla2[[#This Row],[fecha]])</f>
        <v>11</v>
      </c>
      <c r="E2021" s="8" t="str">
        <f>TEXT(Tabla2[[#This Row],[fecha]], "mmmm")</f>
        <v>noviembre</v>
      </c>
      <c r="F2021" s="8" t="str">
        <f>"T"&amp;ROUNDUP(Tabla2[[#This Row],[mes]]/3,0)</f>
        <v>T4</v>
      </c>
      <c r="G2021" t="s">
        <v>27</v>
      </c>
      <c r="H2021" t="s">
        <v>28</v>
      </c>
      <c r="I2021" s="8" t="str">
        <f>IF(Tabla2[[#This Row],[precio_unitario]]&lt;=30,"Económico",IF(Tabla2[[#This Row],[precio_unitario]]&lt;=58.49,"Accesible","Caro"))</f>
        <v>Económico</v>
      </c>
      <c r="J2021" t="s">
        <v>26</v>
      </c>
      <c r="K2021">
        <v>2</v>
      </c>
      <c r="L2021" s="19">
        <v>16.309999999999999</v>
      </c>
      <c r="M2021" s="19">
        <v>11.72</v>
      </c>
      <c r="N2021" s="13">
        <v>0</v>
      </c>
      <c r="O2021" s="17">
        <f t="shared" si="127"/>
        <v>32.619999999999997</v>
      </c>
      <c r="P2021" s="17">
        <f t="shared" si="124"/>
        <v>23.44</v>
      </c>
      <c r="Q2021" s="17">
        <f t="shared" si="125"/>
        <v>9.1799999999999962</v>
      </c>
      <c r="R2021" s="24">
        <f t="shared" si="126"/>
        <v>0.28142244022072338</v>
      </c>
      <c r="S2021" t="s">
        <v>63</v>
      </c>
      <c r="T2021" t="s">
        <v>64</v>
      </c>
    </row>
    <row r="2022" spans="1:20">
      <c r="A2022" t="s">
        <v>2089</v>
      </c>
      <c r="B2022" s="5">
        <v>45766</v>
      </c>
      <c r="C2022" s="8">
        <f>YEAR(Tabla2[[#This Row],[fecha]])</f>
        <v>2025</v>
      </c>
      <c r="D2022" s="8">
        <f>MONTH(Tabla2[[#This Row],[fecha]])</f>
        <v>4</v>
      </c>
      <c r="E2022" s="8" t="str">
        <f>TEXT(Tabla2[[#This Row],[fecha]], "mmmm")</f>
        <v>abril</v>
      </c>
      <c r="F2022" s="8" t="str">
        <f>"T"&amp;ROUNDUP(Tabla2[[#This Row],[mes]]/3,0)</f>
        <v>T2</v>
      </c>
      <c r="G2022" t="s">
        <v>20</v>
      </c>
      <c r="H2022" t="s">
        <v>21</v>
      </c>
      <c r="I2022" s="8" t="str">
        <f>IF(Tabla2[[#This Row],[precio_unitario]]&lt;=30,"Económico",IF(Tabla2[[#This Row],[precio_unitario]]&lt;=58.49,"Accesible","Caro"))</f>
        <v>Económico</v>
      </c>
      <c r="J2022" t="s">
        <v>17</v>
      </c>
      <c r="K2022">
        <v>1</v>
      </c>
      <c r="L2022" s="19">
        <v>20.29</v>
      </c>
      <c r="M2022" s="19">
        <v>12.39</v>
      </c>
      <c r="N2022" s="11">
        <v>0</v>
      </c>
      <c r="O2022" s="17">
        <f t="shared" si="127"/>
        <v>20.29</v>
      </c>
      <c r="P2022" s="17">
        <f t="shared" si="124"/>
        <v>12.39</v>
      </c>
      <c r="Q2022" s="17">
        <f t="shared" si="125"/>
        <v>7.8999999999999986</v>
      </c>
      <c r="R2022" s="24">
        <f t="shared" si="126"/>
        <v>0.38935436175455884</v>
      </c>
      <c r="S2022" t="s">
        <v>67</v>
      </c>
      <c r="T2022" t="s">
        <v>64</v>
      </c>
    </row>
    <row r="2023" spans="1:20" hidden="1">
      <c r="A2023" t="s">
        <v>2090</v>
      </c>
      <c r="B2023" s="5">
        <v>45558</v>
      </c>
      <c r="C2023" s="8">
        <f>YEAR(Tabla2[[#This Row],[fecha]])</f>
        <v>2024</v>
      </c>
      <c r="D2023" s="8">
        <f>MONTH(Tabla2[[#This Row],[fecha]])</f>
        <v>9</v>
      </c>
      <c r="E2023" s="8" t="str">
        <f>TEXT(Tabla2[[#This Row],[fecha]], "mmmm")</f>
        <v>septiembre</v>
      </c>
      <c r="F2023" s="8" t="str">
        <f>"T"&amp;ROUNDUP(Tabla2[[#This Row],[mes]]/3,0)</f>
        <v>T3</v>
      </c>
      <c r="G2023" t="s">
        <v>38</v>
      </c>
      <c r="H2023" t="s">
        <v>39</v>
      </c>
      <c r="I2023" s="8" t="str">
        <f>IF(Tabla2[[#This Row],[precio_unitario]]&lt;=30,"Económico",IF(Tabla2[[#This Row],[precio_unitario]]&lt;=58.49,"Accesible","Caro"))</f>
        <v>Caro</v>
      </c>
      <c r="J2023" t="s">
        <v>35</v>
      </c>
      <c r="K2023">
        <v>2</v>
      </c>
      <c r="L2023" s="19">
        <v>79.069999999999993</v>
      </c>
      <c r="M2023" s="19">
        <v>41.15</v>
      </c>
      <c r="N2023" s="13">
        <v>0</v>
      </c>
      <c r="O2023" s="17">
        <f t="shared" si="127"/>
        <v>158.13999999999999</v>
      </c>
      <c r="P2023" s="17">
        <f t="shared" si="124"/>
        <v>82.3</v>
      </c>
      <c r="Q2023" s="17">
        <f t="shared" si="125"/>
        <v>75.839999999999989</v>
      </c>
      <c r="R2023" s="24">
        <f t="shared" si="126"/>
        <v>0.47957506007335271</v>
      </c>
      <c r="S2023" t="s">
        <v>67</v>
      </c>
      <c r="T2023" t="s">
        <v>64</v>
      </c>
    </row>
    <row r="2024" spans="1:20" hidden="1">
      <c r="A2024" t="s">
        <v>2091</v>
      </c>
      <c r="B2024" s="5">
        <v>45316</v>
      </c>
      <c r="C2024" s="8">
        <f>YEAR(Tabla2[[#This Row],[fecha]])</f>
        <v>2024</v>
      </c>
      <c r="D2024" s="8">
        <f>MONTH(Tabla2[[#This Row],[fecha]])</f>
        <v>1</v>
      </c>
      <c r="E2024" s="8" t="str">
        <f>TEXT(Tabla2[[#This Row],[fecha]], "mmmm")</f>
        <v>enero</v>
      </c>
      <c r="F2024" s="8" t="str">
        <f>"T"&amp;ROUNDUP(Tabla2[[#This Row],[mes]]/3,0)</f>
        <v>T1</v>
      </c>
      <c r="G2024" t="s">
        <v>42</v>
      </c>
      <c r="H2024" t="s">
        <v>43</v>
      </c>
      <c r="I2024" s="8" t="str">
        <f>IF(Tabla2[[#This Row],[precio_unitario]]&lt;=30,"Económico",IF(Tabla2[[#This Row],[precio_unitario]]&lt;=58.49,"Accesible","Caro"))</f>
        <v>Accesible</v>
      </c>
      <c r="J2024" t="s">
        <v>44</v>
      </c>
      <c r="K2024">
        <v>1</v>
      </c>
      <c r="L2024" s="19">
        <v>49.33</v>
      </c>
      <c r="M2024" s="19">
        <v>23.19</v>
      </c>
      <c r="N2024" s="11">
        <v>0</v>
      </c>
      <c r="O2024" s="17">
        <f t="shared" si="127"/>
        <v>49.33</v>
      </c>
      <c r="P2024" s="17">
        <f t="shared" si="124"/>
        <v>23.19</v>
      </c>
      <c r="Q2024" s="17">
        <f t="shared" si="125"/>
        <v>26.139999999999997</v>
      </c>
      <c r="R2024" s="24">
        <f t="shared" si="126"/>
        <v>0.52990066896411914</v>
      </c>
      <c r="S2024" t="s">
        <v>67</v>
      </c>
      <c r="T2024" t="s">
        <v>60</v>
      </c>
    </row>
    <row r="2025" spans="1:20" hidden="1">
      <c r="A2025" t="s">
        <v>2092</v>
      </c>
      <c r="B2025" s="5">
        <v>45497</v>
      </c>
      <c r="C2025" s="8">
        <f>YEAR(Tabla2[[#This Row],[fecha]])</f>
        <v>2024</v>
      </c>
      <c r="D2025" s="8">
        <f>MONTH(Tabla2[[#This Row],[fecha]])</f>
        <v>7</v>
      </c>
      <c r="E2025" s="8" t="str">
        <f>TEXT(Tabla2[[#This Row],[fecha]], "mmmm")</f>
        <v>julio</v>
      </c>
      <c r="F2025" s="8" t="str">
        <f>"T"&amp;ROUNDUP(Tabla2[[#This Row],[mes]]/3,0)</f>
        <v>T3</v>
      </c>
      <c r="G2025" t="s">
        <v>40</v>
      </c>
      <c r="H2025" t="s">
        <v>41</v>
      </c>
      <c r="I2025" s="8" t="str">
        <f>IF(Tabla2[[#This Row],[precio_unitario]]&lt;=30,"Económico",IF(Tabla2[[#This Row],[precio_unitario]]&lt;=58.49,"Accesible","Caro"))</f>
        <v>Caro</v>
      </c>
      <c r="J2025" t="s">
        <v>35</v>
      </c>
      <c r="K2025">
        <v>2</v>
      </c>
      <c r="L2025" s="19">
        <v>75.45</v>
      </c>
      <c r="M2025" s="19">
        <v>42.38</v>
      </c>
      <c r="N2025" s="11">
        <v>0.24</v>
      </c>
      <c r="O2025" s="17">
        <f t="shared" si="127"/>
        <v>114.68400000000001</v>
      </c>
      <c r="P2025" s="17">
        <f t="shared" si="124"/>
        <v>84.76</v>
      </c>
      <c r="Q2025" s="17">
        <f t="shared" si="125"/>
        <v>29.924000000000007</v>
      </c>
      <c r="R2025" s="24">
        <f t="shared" si="126"/>
        <v>0.26092567402601935</v>
      </c>
      <c r="S2025" t="s">
        <v>67</v>
      </c>
      <c r="T2025" t="s">
        <v>64</v>
      </c>
    </row>
    <row r="2026" spans="1:20" hidden="1">
      <c r="A2026" t="s">
        <v>2093</v>
      </c>
      <c r="B2026" s="5">
        <v>46020</v>
      </c>
      <c r="C2026" s="8">
        <f>YEAR(Tabla2[[#This Row],[fecha]])</f>
        <v>2025</v>
      </c>
      <c r="D2026" s="8">
        <f>MONTH(Tabla2[[#This Row],[fecha]])</f>
        <v>12</v>
      </c>
      <c r="E2026" s="8" t="str">
        <f>TEXT(Tabla2[[#This Row],[fecha]], "mmmm")</f>
        <v>diciembre</v>
      </c>
      <c r="F2026" s="8" t="str">
        <f>"T"&amp;ROUNDUP(Tabla2[[#This Row],[mes]]/3,0)</f>
        <v>T4</v>
      </c>
      <c r="G2026" t="s">
        <v>45</v>
      </c>
      <c r="H2026" t="s">
        <v>46</v>
      </c>
      <c r="I2026" s="8" t="str">
        <f>IF(Tabla2[[#This Row],[precio_unitario]]&lt;=30,"Económico",IF(Tabla2[[#This Row],[precio_unitario]]&lt;=58.49,"Accesible","Caro"))</f>
        <v>Accesible</v>
      </c>
      <c r="J2026" t="s">
        <v>44</v>
      </c>
      <c r="K2026">
        <v>2</v>
      </c>
      <c r="L2026" s="19">
        <v>33.33</v>
      </c>
      <c r="M2026" s="19">
        <v>16.670000000000002</v>
      </c>
      <c r="N2026" s="11">
        <v>0</v>
      </c>
      <c r="O2026" s="17">
        <f t="shared" si="127"/>
        <v>66.66</v>
      </c>
      <c r="P2026" s="17">
        <f t="shared" si="124"/>
        <v>33.340000000000003</v>
      </c>
      <c r="Q2026" s="17">
        <f t="shared" si="125"/>
        <v>33.319999999999993</v>
      </c>
      <c r="R2026" s="24">
        <f t="shared" si="126"/>
        <v>0.49984998499849975</v>
      </c>
      <c r="S2026" t="s">
        <v>101</v>
      </c>
      <c r="T2026" t="s">
        <v>64</v>
      </c>
    </row>
    <row r="2027" spans="1:20" hidden="1">
      <c r="A2027" t="s">
        <v>2094</v>
      </c>
      <c r="B2027" s="5">
        <v>45708</v>
      </c>
      <c r="C2027" s="8">
        <f>YEAR(Tabla2[[#This Row],[fecha]])</f>
        <v>2025</v>
      </c>
      <c r="D2027" s="8">
        <f>MONTH(Tabla2[[#This Row],[fecha]])</f>
        <v>2</v>
      </c>
      <c r="E2027" s="8" t="str">
        <f>TEXT(Tabla2[[#This Row],[fecha]], "mmmm")</f>
        <v>febrero</v>
      </c>
      <c r="F2027" s="8" t="str">
        <f>"T"&amp;ROUNDUP(Tabla2[[#This Row],[mes]]/3,0)</f>
        <v>T1</v>
      </c>
      <c r="G2027" t="s">
        <v>42</v>
      </c>
      <c r="H2027" t="s">
        <v>43</v>
      </c>
      <c r="I2027" s="8" t="str">
        <f>IF(Tabla2[[#This Row],[precio_unitario]]&lt;=30,"Económico",IF(Tabla2[[#This Row],[precio_unitario]]&lt;=58.49,"Accesible","Caro"))</f>
        <v>Accesible</v>
      </c>
      <c r="J2027" t="s">
        <v>44</v>
      </c>
      <c r="K2027">
        <v>3</v>
      </c>
      <c r="L2027" s="19">
        <v>52.58</v>
      </c>
      <c r="M2027" s="21">
        <f>INDEX(Tabla3[coste_objetivo], MATCH(Tabla2[[#This Row],[id_producto]], Tabla3[id_producto],0))</f>
        <v>22.69</v>
      </c>
      <c r="N2027" s="11">
        <v>0.25</v>
      </c>
      <c r="O2027" s="17">
        <f t="shared" si="127"/>
        <v>118.30500000000001</v>
      </c>
      <c r="P2027" s="17">
        <f t="shared" si="124"/>
        <v>68.070000000000007</v>
      </c>
      <c r="Q2027" s="17">
        <f t="shared" si="125"/>
        <v>50.234999999999999</v>
      </c>
      <c r="R2027" s="24">
        <f t="shared" si="126"/>
        <v>0.4246227970077342</v>
      </c>
      <c r="S2027" t="s">
        <v>63</v>
      </c>
      <c r="T2027" t="s">
        <v>64</v>
      </c>
    </row>
    <row r="2028" spans="1:20" hidden="1">
      <c r="A2028" t="s">
        <v>2095</v>
      </c>
      <c r="B2028" s="5">
        <v>45629</v>
      </c>
      <c r="C2028" s="8">
        <f>YEAR(Tabla2[[#This Row],[fecha]])</f>
        <v>2024</v>
      </c>
      <c r="D2028" s="8">
        <f>MONTH(Tabla2[[#This Row],[fecha]])</f>
        <v>12</v>
      </c>
      <c r="E2028" s="8" t="str">
        <f>TEXT(Tabla2[[#This Row],[fecha]], "mmmm")</f>
        <v>diciembre</v>
      </c>
      <c r="F2028" s="8" t="str">
        <f>"T"&amp;ROUNDUP(Tabla2[[#This Row],[mes]]/3,0)</f>
        <v>T4</v>
      </c>
      <c r="G2028" t="s">
        <v>42</v>
      </c>
      <c r="H2028" t="s">
        <v>43</v>
      </c>
      <c r="I2028" s="8" t="str">
        <f>IF(Tabla2[[#This Row],[precio_unitario]]&lt;=30,"Económico",IF(Tabla2[[#This Row],[precio_unitario]]&lt;=58.49,"Accesible","Caro"))</f>
        <v>Accesible</v>
      </c>
      <c r="J2028" t="s">
        <v>44</v>
      </c>
      <c r="K2028">
        <v>1</v>
      </c>
      <c r="L2028" s="19">
        <v>47</v>
      </c>
      <c r="M2028" s="19">
        <v>22.5</v>
      </c>
      <c r="N2028" s="13">
        <v>0</v>
      </c>
      <c r="O2028" s="17">
        <f t="shared" si="127"/>
        <v>47</v>
      </c>
      <c r="P2028" s="17">
        <f t="shared" si="124"/>
        <v>22.5</v>
      </c>
      <c r="Q2028" s="17">
        <f t="shared" si="125"/>
        <v>24.5</v>
      </c>
      <c r="R2028" s="24">
        <f t="shared" si="126"/>
        <v>0.52127659574468088</v>
      </c>
      <c r="S2028" t="s">
        <v>83</v>
      </c>
      <c r="T2028" t="s">
        <v>64</v>
      </c>
    </row>
    <row r="2029" spans="1:20" hidden="1">
      <c r="A2029" t="s">
        <v>2096</v>
      </c>
      <c r="B2029" s="5">
        <v>45387</v>
      </c>
      <c r="C2029" s="8">
        <f>YEAR(Tabla2[[#This Row],[fecha]])</f>
        <v>2024</v>
      </c>
      <c r="D2029" s="8">
        <f>MONTH(Tabla2[[#This Row],[fecha]])</f>
        <v>4</v>
      </c>
      <c r="E2029" s="8" t="str">
        <f>TEXT(Tabla2[[#This Row],[fecha]], "mmmm")</f>
        <v>abril</v>
      </c>
      <c r="F2029" s="8" t="str">
        <f>"T"&amp;ROUNDUP(Tabla2[[#This Row],[mes]]/3,0)</f>
        <v>T2</v>
      </c>
      <c r="G2029" t="s">
        <v>42</v>
      </c>
      <c r="H2029" t="s">
        <v>43</v>
      </c>
      <c r="I2029" s="8" t="str">
        <f>IF(Tabla2[[#This Row],[precio_unitario]]&lt;=30,"Económico",IF(Tabla2[[#This Row],[precio_unitario]]&lt;=58.49,"Accesible","Caro"))</f>
        <v>Accesible</v>
      </c>
      <c r="J2029" t="s">
        <v>44</v>
      </c>
      <c r="K2029">
        <v>2</v>
      </c>
      <c r="L2029" s="19">
        <v>46.81</v>
      </c>
      <c r="M2029" s="19">
        <v>22.04</v>
      </c>
      <c r="N2029" s="11">
        <v>0</v>
      </c>
      <c r="O2029" s="17">
        <f t="shared" si="127"/>
        <v>93.62</v>
      </c>
      <c r="P2029" s="17">
        <f t="shared" si="124"/>
        <v>44.08</v>
      </c>
      <c r="Q2029" s="17">
        <f t="shared" si="125"/>
        <v>49.540000000000006</v>
      </c>
      <c r="R2029" s="24">
        <f t="shared" si="126"/>
        <v>0.52916043580431538</v>
      </c>
      <c r="S2029" s="10" t="s">
        <v>2377</v>
      </c>
      <c r="T2029" t="s">
        <v>64</v>
      </c>
    </row>
    <row r="2030" spans="1:20" hidden="1">
      <c r="A2030" t="s">
        <v>2097</v>
      </c>
      <c r="B2030" s="5">
        <v>45570</v>
      </c>
      <c r="C2030" s="8">
        <f>YEAR(Tabla2[[#This Row],[fecha]])</f>
        <v>2024</v>
      </c>
      <c r="D2030" s="8">
        <f>MONTH(Tabla2[[#This Row],[fecha]])</f>
        <v>10</v>
      </c>
      <c r="E2030" s="8" t="str">
        <f>TEXT(Tabla2[[#This Row],[fecha]], "mmmm")</f>
        <v>octubre</v>
      </c>
      <c r="F2030" s="8" t="str">
        <f>"T"&amp;ROUNDUP(Tabla2[[#This Row],[mes]]/3,0)</f>
        <v>T4</v>
      </c>
      <c r="G2030" t="s">
        <v>9</v>
      </c>
      <c r="H2030" t="s">
        <v>10</v>
      </c>
      <c r="I2030" s="8" t="str">
        <f>IF(Tabla2[[#This Row],[precio_unitario]]&lt;=30,"Económico",IF(Tabla2[[#This Row],[precio_unitario]]&lt;=58.49,"Accesible","Caro"))</f>
        <v>Caro</v>
      </c>
      <c r="J2030" t="s">
        <v>8</v>
      </c>
      <c r="K2030">
        <v>2</v>
      </c>
      <c r="L2030" s="19">
        <v>77.56</v>
      </c>
      <c r="M2030" s="21">
        <f>INDEX(Tabla3[coste_objetivo], MATCH(Tabla2[[#This Row],[id_producto]], Tabla3[id_producto],0))</f>
        <v>47.23</v>
      </c>
      <c r="N2030" s="11">
        <v>0</v>
      </c>
      <c r="O2030" s="17">
        <f t="shared" si="127"/>
        <v>155.12</v>
      </c>
      <c r="P2030" s="17">
        <f t="shared" si="124"/>
        <v>94.46</v>
      </c>
      <c r="Q2030" s="17">
        <f t="shared" si="125"/>
        <v>60.660000000000011</v>
      </c>
      <c r="R2030" s="24">
        <f t="shared" si="126"/>
        <v>0.39105208870551839</v>
      </c>
      <c r="S2030" t="s">
        <v>63</v>
      </c>
      <c r="T2030" t="s">
        <v>64</v>
      </c>
    </row>
    <row r="2031" spans="1:20" hidden="1">
      <c r="A2031" t="s">
        <v>2098</v>
      </c>
      <c r="B2031" s="5">
        <v>45664</v>
      </c>
      <c r="C2031" s="8">
        <f>YEAR(Tabla2[[#This Row],[fecha]])</f>
        <v>2025</v>
      </c>
      <c r="D2031" s="8">
        <f>MONTH(Tabla2[[#This Row],[fecha]])</f>
        <v>1</v>
      </c>
      <c r="E2031" s="8" t="str">
        <f>TEXT(Tabla2[[#This Row],[fecha]], "mmmm")</f>
        <v>enero</v>
      </c>
      <c r="F2031" s="8" t="str">
        <f>"T"&amp;ROUNDUP(Tabla2[[#This Row],[mes]]/3,0)</f>
        <v>T1</v>
      </c>
      <c r="G2031" t="s">
        <v>9</v>
      </c>
      <c r="H2031" t="s">
        <v>10</v>
      </c>
      <c r="I2031" s="8" t="str">
        <f>IF(Tabla2[[#This Row],[precio_unitario]]&lt;=30,"Económico",IF(Tabla2[[#This Row],[precio_unitario]]&lt;=58.49,"Accesible","Caro"))</f>
        <v>Caro</v>
      </c>
      <c r="J2031" t="s">
        <v>8</v>
      </c>
      <c r="K2031">
        <v>4</v>
      </c>
      <c r="L2031" s="19">
        <v>77.19</v>
      </c>
      <c r="M2031" s="19">
        <v>45.36</v>
      </c>
      <c r="N2031" s="13">
        <v>0</v>
      </c>
      <c r="O2031" s="17">
        <f t="shared" si="127"/>
        <v>308.76</v>
      </c>
      <c r="P2031" s="17">
        <f t="shared" si="124"/>
        <v>181.44</v>
      </c>
      <c r="Q2031" s="17">
        <f t="shared" si="125"/>
        <v>127.32</v>
      </c>
      <c r="R2031" s="24">
        <f t="shared" si="126"/>
        <v>0.41235911387485424</v>
      </c>
      <c r="S2031" t="s">
        <v>540</v>
      </c>
      <c r="T2031" t="s">
        <v>64</v>
      </c>
    </row>
    <row r="2032" spans="1:20">
      <c r="A2032" t="s">
        <v>2099</v>
      </c>
      <c r="B2032" s="5">
        <v>46005</v>
      </c>
      <c r="C2032" s="8">
        <f>YEAR(Tabla2[[#This Row],[fecha]])</f>
        <v>2025</v>
      </c>
      <c r="D2032" s="8">
        <f>MONTH(Tabla2[[#This Row],[fecha]])</f>
        <v>12</v>
      </c>
      <c r="E2032" s="8" t="str">
        <f>TEXT(Tabla2[[#This Row],[fecha]], "mmmm")</f>
        <v>diciembre</v>
      </c>
      <c r="F2032" s="8" t="str">
        <f>"T"&amp;ROUNDUP(Tabla2[[#This Row],[mes]]/3,0)</f>
        <v>T4</v>
      </c>
      <c r="G2032" t="s">
        <v>31</v>
      </c>
      <c r="H2032" t="s">
        <v>32</v>
      </c>
      <c r="I2032" s="8" t="str">
        <f>IF(Tabla2[[#This Row],[precio_unitario]]&lt;=30,"Económico",IF(Tabla2[[#This Row],[precio_unitario]]&lt;=58.49,"Accesible","Caro"))</f>
        <v>Económico</v>
      </c>
      <c r="J2032" t="s">
        <v>26</v>
      </c>
      <c r="K2032">
        <v>2</v>
      </c>
      <c r="L2032" s="19">
        <v>8.7100000000000009</v>
      </c>
      <c r="M2032" s="19">
        <v>6.01</v>
      </c>
      <c r="N2032" s="11">
        <v>0</v>
      </c>
      <c r="O2032" s="17">
        <f t="shared" si="127"/>
        <v>17.420000000000002</v>
      </c>
      <c r="P2032" s="17">
        <f t="shared" si="124"/>
        <v>12.02</v>
      </c>
      <c r="Q2032" s="17">
        <f t="shared" si="125"/>
        <v>5.4000000000000021</v>
      </c>
      <c r="R2032" s="24">
        <f t="shared" si="126"/>
        <v>0.30998851894374291</v>
      </c>
      <c r="S2032" t="s">
        <v>67</v>
      </c>
      <c r="T2032" t="s">
        <v>60</v>
      </c>
    </row>
    <row r="2033" spans="1:20" hidden="1">
      <c r="A2033" t="s">
        <v>2100</v>
      </c>
      <c r="B2033" s="5">
        <v>45722</v>
      </c>
      <c r="C2033" s="8">
        <f>YEAR(Tabla2[[#This Row],[fecha]])</f>
        <v>2025</v>
      </c>
      <c r="D2033" s="8">
        <f>MONTH(Tabla2[[#This Row],[fecha]])</f>
        <v>3</v>
      </c>
      <c r="E2033" s="8" t="str">
        <f>TEXT(Tabla2[[#This Row],[fecha]], "mmmm")</f>
        <v>marzo</v>
      </c>
      <c r="F2033" s="8" t="str">
        <f>"T"&amp;ROUNDUP(Tabla2[[#This Row],[mes]]/3,0)</f>
        <v>T1</v>
      </c>
      <c r="G2033" t="s">
        <v>47</v>
      </c>
      <c r="H2033" t="s">
        <v>48</v>
      </c>
      <c r="I2033" s="8" t="str">
        <f>IF(Tabla2[[#This Row],[precio_unitario]]&lt;=30,"Económico",IF(Tabla2[[#This Row],[precio_unitario]]&lt;=58.49,"Accesible","Caro"))</f>
        <v>Accesible</v>
      </c>
      <c r="J2033" t="s">
        <v>44</v>
      </c>
      <c r="K2033">
        <v>2</v>
      </c>
      <c r="L2033" s="19">
        <v>54.79</v>
      </c>
      <c r="M2033" s="19">
        <v>32.159999999999997</v>
      </c>
      <c r="N2033" s="13">
        <v>0</v>
      </c>
      <c r="O2033" s="17">
        <f t="shared" si="127"/>
        <v>109.58</v>
      </c>
      <c r="P2033" s="17">
        <f t="shared" si="124"/>
        <v>64.319999999999993</v>
      </c>
      <c r="Q2033" s="17">
        <f t="shared" si="125"/>
        <v>45.260000000000005</v>
      </c>
      <c r="R2033" s="24">
        <f t="shared" si="126"/>
        <v>0.4130315751049462</v>
      </c>
      <c r="S2033" t="s">
        <v>83</v>
      </c>
      <c r="T2033" t="s">
        <v>60</v>
      </c>
    </row>
    <row r="2034" spans="1:20" hidden="1">
      <c r="A2034" t="s">
        <v>2101</v>
      </c>
      <c r="B2034" s="5">
        <v>45928</v>
      </c>
      <c r="C2034" s="8">
        <f>YEAR(Tabla2[[#This Row],[fecha]])</f>
        <v>2025</v>
      </c>
      <c r="D2034" s="8">
        <f>MONTH(Tabla2[[#This Row],[fecha]])</f>
        <v>9</v>
      </c>
      <c r="E2034" s="8" t="str">
        <f>TEXT(Tabla2[[#This Row],[fecha]], "mmmm")</f>
        <v>septiembre</v>
      </c>
      <c r="F2034" s="8" t="str">
        <f>"T"&amp;ROUNDUP(Tabla2[[#This Row],[mes]]/3,0)</f>
        <v>T3</v>
      </c>
      <c r="G2034" t="s">
        <v>42</v>
      </c>
      <c r="H2034" t="s">
        <v>43</v>
      </c>
      <c r="I2034" s="8" t="str">
        <f>IF(Tabla2[[#This Row],[precio_unitario]]&lt;=30,"Económico",IF(Tabla2[[#This Row],[precio_unitario]]&lt;=58.49,"Accesible","Caro"))</f>
        <v>Accesible</v>
      </c>
      <c r="J2034" t="s">
        <v>44</v>
      </c>
      <c r="K2034">
        <v>2</v>
      </c>
      <c r="L2034" s="19">
        <v>49.07</v>
      </c>
      <c r="M2034" s="19">
        <v>21.66</v>
      </c>
      <c r="N2034" s="11">
        <v>0.22</v>
      </c>
      <c r="O2034" s="17">
        <f t="shared" si="127"/>
        <v>76.549199999999999</v>
      </c>
      <c r="P2034" s="17">
        <f t="shared" si="124"/>
        <v>43.32</v>
      </c>
      <c r="Q2034" s="17">
        <f t="shared" si="125"/>
        <v>33.229199999999999</v>
      </c>
      <c r="R2034" s="24">
        <f t="shared" si="126"/>
        <v>0.43408944835478358</v>
      </c>
      <c r="S2034" t="s">
        <v>63</v>
      </c>
      <c r="T2034" t="s">
        <v>60</v>
      </c>
    </row>
    <row r="2035" spans="1:20" hidden="1">
      <c r="A2035" t="s">
        <v>2102</v>
      </c>
      <c r="B2035" s="5">
        <v>45963</v>
      </c>
      <c r="C2035" s="8">
        <f>YEAR(Tabla2[[#This Row],[fecha]])</f>
        <v>2025</v>
      </c>
      <c r="D2035" s="8">
        <f>MONTH(Tabla2[[#This Row],[fecha]])</f>
        <v>11</v>
      </c>
      <c r="E2035" s="8" t="str">
        <f>TEXT(Tabla2[[#This Row],[fecha]], "mmmm")</f>
        <v>noviembre</v>
      </c>
      <c r="F2035" s="8" t="str">
        <f>"T"&amp;ROUNDUP(Tabla2[[#This Row],[mes]]/3,0)</f>
        <v>T4</v>
      </c>
      <c r="G2035" t="s">
        <v>18</v>
      </c>
      <c r="H2035" t="s">
        <v>19</v>
      </c>
      <c r="I2035" s="8" t="str">
        <f>IF(Tabla2[[#This Row],[precio_unitario]]&lt;=30,"Económico",IF(Tabla2[[#This Row],[precio_unitario]]&lt;=58.49,"Accesible","Caro"))</f>
        <v>Accesible</v>
      </c>
      <c r="J2035" t="s">
        <v>17</v>
      </c>
      <c r="K2035">
        <v>9</v>
      </c>
      <c r="L2035" s="19">
        <v>47.48</v>
      </c>
      <c r="M2035" s="19">
        <v>26.59</v>
      </c>
      <c r="N2035" s="11">
        <v>0</v>
      </c>
      <c r="O2035" s="17">
        <f t="shared" si="127"/>
        <v>427.32</v>
      </c>
      <c r="P2035" s="17">
        <f t="shared" si="124"/>
        <v>239.31</v>
      </c>
      <c r="Q2035" s="17">
        <f t="shared" si="125"/>
        <v>188.01</v>
      </c>
      <c r="R2035" s="24">
        <f t="shared" si="126"/>
        <v>0.43997472620050548</v>
      </c>
      <c r="S2035" t="s">
        <v>540</v>
      </c>
      <c r="T2035" t="s">
        <v>64</v>
      </c>
    </row>
    <row r="2036" spans="1:20" hidden="1">
      <c r="A2036" t="s">
        <v>2103</v>
      </c>
      <c r="B2036" s="5">
        <v>45557</v>
      </c>
      <c r="C2036" s="8">
        <f>YEAR(Tabla2[[#This Row],[fecha]])</f>
        <v>2024</v>
      </c>
      <c r="D2036" s="8">
        <f>MONTH(Tabla2[[#This Row],[fecha]])</f>
        <v>9</v>
      </c>
      <c r="E2036" s="8" t="str">
        <f>TEXT(Tabla2[[#This Row],[fecha]], "mmmm")</f>
        <v>septiembre</v>
      </c>
      <c r="F2036" s="8" t="str">
        <f>"T"&amp;ROUNDUP(Tabla2[[#This Row],[mes]]/3,0)</f>
        <v>T3</v>
      </c>
      <c r="G2036" t="s">
        <v>20</v>
      </c>
      <c r="H2036" t="s">
        <v>21</v>
      </c>
      <c r="I2036" s="8" t="str">
        <f>IF(Tabla2[[#This Row],[precio_unitario]]&lt;=30,"Económico",IF(Tabla2[[#This Row],[precio_unitario]]&lt;=58.49,"Accesible","Caro"))</f>
        <v>Económico</v>
      </c>
      <c r="J2036" t="s">
        <v>17</v>
      </c>
      <c r="K2036">
        <v>2</v>
      </c>
      <c r="L2036" s="19">
        <v>18.61</v>
      </c>
      <c r="M2036" s="19">
        <v>13.08</v>
      </c>
      <c r="N2036" s="11">
        <v>7.0000000000000007E-2</v>
      </c>
      <c r="O2036" s="17">
        <f t="shared" si="127"/>
        <v>34.614599999999996</v>
      </c>
      <c r="P2036" s="17">
        <f t="shared" si="124"/>
        <v>26.16</v>
      </c>
      <c r="Q2036" s="17">
        <f t="shared" si="125"/>
        <v>8.4545999999999957</v>
      </c>
      <c r="R2036" s="24">
        <f t="shared" si="126"/>
        <v>0.24424953632282323</v>
      </c>
      <c r="S2036" t="s">
        <v>101</v>
      </c>
      <c r="T2036" t="s">
        <v>64</v>
      </c>
    </row>
    <row r="2037" spans="1:20" hidden="1">
      <c r="A2037" t="s">
        <v>2104</v>
      </c>
      <c r="B2037" s="5">
        <v>45536</v>
      </c>
      <c r="C2037" s="8">
        <f>YEAR(Tabla2[[#This Row],[fecha]])</f>
        <v>2024</v>
      </c>
      <c r="D2037" s="8">
        <f>MONTH(Tabla2[[#This Row],[fecha]])</f>
        <v>9</v>
      </c>
      <c r="E2037" s="8" t="str">
        <f>TEXT(Tabla2[[#This Row],[fecha]], "mmmm")</f>
        <v>septiembre</v>
      </c>
      <c r="F2037" s="8" t="str">
        <f>"T"&amp;ROUNDUP(Tabla2[[#This Row],[mes]]/3,0)</f>
        <v>T3</v>
      </c>
      <c r="G2037" t="s">
        <v>33</v>
      </c>
      <c r="H2037" t="s">
        <v>34</v>
      </c>
      <c r="I2037" s="8" t="str">
        <f>IF(Tabla2[[#This Row],[precio_unitario]]&lt;=30,"Económico",IF(Tabla2[[#This Row],[precio_unitario]]&lt;=58.49,"Accesible","Caro"))</f>
        <v>Caro</v>
      </c>
      <c r="J2037" t="s">
        <v>35</v>
      </c>
      <c r="K2037">
        <v>1</v>
      </c>
      <c r="L2037" s="19">
        <v>78.38</v>
      </c>
      <c r="M2037" s="19">
        <v>47.61</v>
      </c>
      <c r="N2037" s="13">
        <v>0</v>
      </c>
      <c r="O2037" s="17">
        <f t="shared" si="127"/>
        <v>78.38</v>
      </c>
      <c r="P2037" s="17">
        <f t="shared" si="124"/>
        <v>47.61</v>
      </c>
      <c r="Q2037" s="17">
        <f t="shared" si="125"/>
        <v>30.769999999999996</v>
      </c>
      <c r="R2037" s="24">
        <f t="shared" si="126"/>
        <v>0.39257463638683338</v>
      </c>
      <c r="S2037" t="s">
        <v>67</v>
      </c>
      <c r="T2037" t="s">
        <v>64</v>
      </c>
    </row>
    <row r="2038" spans="1:20" hidden="1">
      <c r="A2038" t="s">
        <v>2105</v>
      </c>
      <c r="B2038" s="5">
        <v>45736</v>
      </c>
      <c r="C2038" s="8">
        <f>YEAR(Tabla2[[#This Row],[fecha]])</f>
        <v>2025</v>
      </c>
      <c r="D2038" s="8">
        <f>MONTH(Tabla2[[#This Row],[fecha]])</f>
        <v>3</v>
      </c>
      <c r="E2038" s="8" t="str">
        <f>TEXT(Tabla2[[#This Row],[fecha]], "mmmm")</f>
        <v>marzo</v>
      </c>
      <c r="F2038" s="8" t="str">
        <f>"T"&amp;ROUNDUP(Tabla2[[#This Row],[mes]]/3,0)</f>
        <v>T1</v>
      </c>
      <c r="G2038" t="s">
        <v>31</v>
      </c>
      <c r="H2038" t="s">
        <v>32</v>
      </c>
      <c r="I2038" s="8" t="str">
        <f>IF(Tabla2[[#This Row],[precio_unitario]]&lt;=30,"Económico",IF(Tabla2[[#This Row],[precio_unitario]]&lt;=58.49,"Accesible","Caro"))</f>
        <v>Económico</v>
      </c>
      <c r="J2038" t="s">
        <v>26</v>
      </c>
      <c r="K2038">
        <v>4</v>
      </c>
      <c r="L2038" s="19">
        <v>8.06</v>
      </c>
      <c r="M2038" s="19">
        <v>5.93</v>
      </c>
      <c r="N2038" s="11">
        <v>0</v>
      </c>
      <c r="O2038" s="17">
        <f t="shared" si="127"/>
        <v>32.24</v>
      </c>
      <c r="P2038" s="17">
        <f t="shared" si="124"/>
        <v>23.72</v>
      </c>
      <c r="Q2038" s="17">
        <f t="shared" si="125"/>
        <v>8.5200000000000031</v>
      </c>
      <c r="R2038" s="24">
        <f t="shared" si="126"/>
        <v>0.26426799007444179</v>
      </c>
      <c r="S2038" t="s">
        <v>540</v>
      </c>
      <c r="T2038" t="s">
        <v>64</v>
      </c>
    </row>
    <row r="2039" spans="1:20" hidden="1">
      <c r="A2039" t="s">
        <v>2106</v>
      </c>
      <c r="B2039" s="5">
        <v>45360</v>
      </c>
      <c r="C2039" s="8">
        <f>YEAR(Tabla2[[#This Row],[fecha]])</f>
        <v>2024</v>
      </c>
      <c r="D2039" s="8">
        <f>MONTH(Tabla2[[#This Row],[fecha]])</f>
        <v>3</v>
      </c>
      <c r="E2039" s="8" t="str">
        <f>TEXT(Tabla2[[#This Row],[fecha]], "mmmm")</f>
        <v>marzo</v>
      </c>
      <c r="F2039" s="8" t="str">
        <f>"T"&amp;ROUNDUP(Tabla2[[#This Row],[mes]]/3,0)</f>
        <v>T1</v>
      </c>
      <c r="G2039" t="s">
        <v>40</v>
      </c>
      <c r="H2039" t="s">
        <v>41</v>
      </c>
      <c r="I2039" s="8" t="str">
        <f>IF(Tabla2[[#This Row],[precio_unitario]]&lt;=30,"Económico",IF(Tabla2[[#This Row],[precio_unitario]]&lt;=58.49,"Accesible","Caro"))</f>
        <v>Caro</v>
      </c>
      <c r="J2039" t="s">
        <v>35</v>
      </c>
      <c r="K2039">
        <v>2</v>
      </c>
      <c r="L2039" s="19">
        <v>82.25</v>
      </c>
      <c r="M2039" s="19">
        <v>40.409999999999997</v>
      </c>
      <c r="N2039" s="11">
        <v>0</v>
      </c>
      <c r="O2039" s="17">
        <f t="shared" si="127"/>
        <v>164.5</v>
      </c>
      <c r="P2039" s="17">
        <f t="shared" si="124"/>
        <v>80.819999999999993</v>
      </c>
      <c r="Q2039" s="17">
        <f t="shared" si="125"/>
        <v>83.68</v>
      </c>
      <c r="R2039" s="24">
        <f t="shared" si="126"/>
        <v>0.5086930091185411</v>
      </c>
      <c r="S2039" t="s">
        <v>67</v>
      </c>
      <c r="T2039" t="s">
        <v>64</v>
      </c>
    </row>
    <row r="2040" spans="1:20" hidden="1">
      <c r="A2040" t="s">
        <v>2107</v>
      </c>
      <c r="B2040" s="5">
        <v>45675</v>
      </c>
      <c r="C2040" s="8">
        <f>YEAR(Tabla2[[#This Row],[fecha]])</f>
        <v>2025</v>
      </c>
      <c r="D2040" s="8">
        <f>MONTH(Tabla2[[#This Row],[fecha]])</f>
        <v>1</v>
      </c>
      <c r="E2040" s="8" t="str">
        <f>TEXT(Tabla2[[#This Row],[fecha]], "mmmm")</f>
        <v>enero</v>
      </c>
      <c r="F2040" s="8" t="str">
        <f>"T"&amp;ROUNDUP(Tabla2[[#This Row],[mes]]/3,0)</f>
        <v>T1</v>
      </c>
      <c r="G2040" t="s">
        <v>42</v>
      </c>
      <c r="H2040" t="s">
        <v>43</v>
      </c>
      <c r="I2040" s="8" t="str">
        <f>IF(Tabla2[[#This Row],[precio_unitario]]&lt;=30,"Económico",IF(Tabla2[[#This Row],[precio_unitario]]&lt;=58.49,"Accesible","Caro"))</f>
        <v>Accesible</v>
      </c>
      <c r="J2040" t="s">
        <v>44</v>
      </c>
      <c r="K2040">
        <v>2</v>
      </c>
      <c r="L2040" s="19">
        <v>50.87</v>
      </c>
      <c r="M2040" s="19">
        <v>23.18</v>
      </c>
      <c r="N2040" s="13">
        <v>0</v>
      </c>
      <c r="O2040" s="17">
        <f t="shared" si="127"/>
        <v>101.74</v>
      </c>
      <c r="P2040" s="17">
        <f t="shared" si="124"/>
        <v>46.36</v>
      </c>
      <c r="Q2040" s="17">
        <f t="shared" si="125"/>
        <v>55.379999999999995</v>
      </c>
      <c r="R2040" s="24">
        <f t="shared" si="126"/>
        <v>0.54432868095144482</v>
      </c>
      <c r="S2040" t="s">
        <v>540</v>
      </c>
      <c r="T2040" t="s">
        <v>64</v>
      </c>
    </row>
    <row r="2041" spans="1:20" hidden="1">
      <c r="A2041" t="s">
        <v>2108</v>
      </c>
      <c r="B2041" s="5">
        <v>45539</v>
      </c>
      <c r="C2041" s="8">
        <f>YEAR(Tabla2[[#This Row],[fecha]])</f>
        <v>2024</v>
      </c>
      <c r="D2041" s="8">
        <f>MONTH(Tabla2[[#This Row],[fecha]])</f>
        <v>9</v>
      </c>
      <c r="E2041" s="8" t="str">
        <f>TEXT(Tabla2[[#This Row],[fecha]], "mmmm")</f>
        <v>septiembre</v>
      </c>
      <c r="F2041" s="8" t="str">
        <f>"T"&amp;ROUNDUP(Tabla2[[#This Row],[mes]]/3,0)</f>
        <v>T3</v>
      </c>
      <c r="G2041" t="s">
        <v>42</v>
      </c>
      <c r="H2041" t="s">
        <v>43</v>
      </c>
      <c r="I2041" s="8" t="str">
        <f>IF(Tabla2[[#This Row],[precio_unitario]]&lt;=30,"Económico",IF(Tabla2[[#This Row],[precio_unitario]]&lt;=58.49,"Accesible","Caro"))</f>
        <v>Accesible</v>
      </c>
      <c r="J2041" t="s">
        <v>44</v>
      </c>
      <c r="K2041">
        <v>2</v>
      </c>
      <c r="L2041" s="19">
        <v>52.19</v>
      </c>
      <c r="M2041" s="19">
        <v>23.78</v>
      </c>
      <c r="N2041" s="13">
        <v>0</v>
      </c>
      <c r="O2041" s="17">
        <f t="shared" si="127"/>
        <v>104.38</v>
      </c>
      <c r="P2041" s="17">
        <f t="shared" si="124"/>
        <v>47.56</v>
      </c>
      <c r="Q2041" s="17">
        <f t="shared" si="125"/>
        <v>56.819999999999993</v>
      </c>
      <c r="R2041" s="24">
        <f t="shared" si="126"/>
        <v>0.54435715654339911</v>
      </c>
      <c r="S2041" t="s">
        <v>67</v>
      </c>
      <c r="T2041" t="s">
        <v>64</v>
      </c>
    </row>
    <row r="2042" spans="1:20" hidden="1">
      <c r="A2042" t="s">
        <v>2109</v>
      </c>
      <c r="B2042" s="5">
        <v>45350</v>
      </c>
      <c r="C2042" s="8">
        <f>YEAR(Tabla2[[#This Row],[fecha]])</f>
        <v>2024</v>
      </c>
      <c r="D2042" s="8">
        <f>MONTH(Tabla2[[#This Row],[fecha]])</f>
        <v>2</v>
      </c>
      <c r="E2042" s="8" t="str">
        <f>TEXT(Tabla2[[#This Row],[fecha]], "mmmm")</f>
        <v>febrero</v>
      </c>
      <c r="F2042" s="8" t="str">
        <f>"T"&amp;ROUNDUP(Tabla2[[#This Row],[mes]]/3,0)</f>
        <v>T1</v>
      </c>
      <c r="G2042" t="s">
        <v>9</v>
      </c>
      <c r="H2042" t="s">
        <v>10</v>
      </c>
      <c r="I2042" s="8" t="str">
        <f>IF(Tabla2[[#This Row],[precio_unitario]]&lt;=30,"Económico",IF(Tabla2[[#This Row],[precio_unitario]]&lt;=58.49,"Accesible","Caro"))</f>
        <v>Caro</v>
      </c>
      <c r="J2042" t="s">
        <v>8</v>
      </c>
      <c r="K2042">
        <v>4</v>
      </c>
      <c r="L2042" s="19">
        <v>68.959999999999994</v>
      </c>
      <c r="M2042" s="19">
        <v>47.67</v>
      </c>
      <c r="N2042" s="11">
        <v>0</v>
      </c>
      <c r="O2042" s="17">
        <f t="shared" si="127"/>
        <v>275.83999999999997</v>
      </c>
      <c r="P2042" s="17">
        <f t="shared" si="124"/>
        <v>190.68</v>
      </c>
      <c r="Q2042" s="17">
        <f t="shared" si="125"/>
        <v>85.159999999999968</v>
      </c>
      <c r="R2042" s="24">
        <f t="shared" si="126"/>
        <v>0.30872969837587</v>
      </c>
      <c r="S2042" t="s">
        <v>67</v>
      </c>
      <c r="T2042" t="s">
        <v>60</v>
      </c>
    </row>
    <row r="2043" spans="1:20" hidden="1">
      <c r="A2043" t="s">
        <v>2110</v>
      </c>
      <c r="B2043" s="5">
        <v>45532</v>
      </c>
      <c r="C2043" s="8">
        <f>YEAR(Tabla2[[#This Row],[fecha]])</f>
        <v>2024</v>
      </c>
      <c r="D2043" s="8">
        <f>MONTH(Tabla2[[#This Row],[fecha]])</f>
        <v>8</v>
      </c>
      <c r="E2043" s="8" t="str">
        <f>TEXT(Tabla2[[#This Row],[fecha]], "mmmm")</f>
        <v>agosto</v>
      </c>
      <c r="F2043" s="8" t="str">
        <f>"T"&amp;ROUNDUP(Tabla2[[#This Row],[mes]]/3,0)</f>
        <v>T3</v>
      </c>
      <c r="G2043" t="s">
        <v>11</v>
      </c>
      <c r="H2043" t="s">
        <v>12</v>
      </c>
      <c r="I2043" s="8" t="str">
        <f>IF(Tabla2[[#This Row],[precio_unitario]]&lt;=30,"Económico",IF(Tabla2[[#This Row],[precio_unitario]]&lt;=58.49,"Accesible","Caro"))</f>
        <v>Caro</v>
      </c>
      <c r="J2043" t="s">
        <v>8</v>
      </c>
      <c r="K2043">
        <v>4</v>
      </c>
      <c r="L2043" s="19">
        <v>177.85</v>
      </c>
      <c r="M2043" s="19">
        <v>98.83</v>
      </c>
      <c r="N2043" s="11">
        <v>0</v>
      </c>
      <c r="O2043" s="17">
        <f t="shared" si="127"/>
        <v>711.4</v>
      </c>
      <c r="P2043" s="17">
        <f t="shared" si="124"/>
        <v>395.32</v>
      </c>
      <c r="Q2043" s="17">
        <f t="shared" si="125"/>
        <v>316.08</v>
      </c>
      <c r="R2043" s="24">
        <f t="shared" si="126"/>
        <v>0.44430700028113579</v>
      </c>
      <c r="S2043" t="s">
        <v>67</v>
      </c>
      <c r="T2043" t="s">
        <v>64</v>
      </c>
    </row>
    <row r="2044" spans="1:20" hidden="1">
      <c r="A2044" t="s">
        <v>2111</v>
      </c>
      <c r="B2044" s="5">
        <v>45321</v>
      </c>
      <c r="C2044" s="8">
        <f>YEAR(Tabla2[[#This Row],[fecha]])</f>
        <v>2024</v>
      </c>
      <c r="D2044" s="8">
        <f>MONTH(Tabla2[[#This Row],[fecha]])</f>
        <v>1</v>
      </c>
      <c r="E2044" s="8" t="str">
        <f>TEXT(Tabla2[[#This Row],[fecha]], "mmmm")</f>
        <v>enero</v>
      </c>
      <c r="F2044" s="8" t="str">
        <f>"T"&amp;ROUNDUP(Tabla2[[#This Row],[mes]]/3,0)</f>
        <v>T1</v>
      </c>
      <c r="G2044" t="s">
        <v>47</v>
      </c>
      <c r="H2044" t="s">
        <v>48</v>
      </c>
      <c r="I2044" s="8" t="str">
        <f>IF(Tabla2[[#This Row],[precio_unitario]]&lt;=30,"Económico",IF(Tabla2[[#This Row],[precio_unitario]]&lt;=58.49,"Accesible","Caro"))</f>
        <v>Accesible</v>
      </c>
      <c r="J2044" t="s">
        <v>44</v>
      </c>
      <c r="K2044">
        <v>1</v>
      </c>
      <c r="L2044" s="19">
        <v>54.98</v>
      </c>
      <c r="M2044" s="19">
        <v>31.21</v>
      </c>
      <c r="N2044" s="11">
        <v>0</v>
      </c>
      <c r="O2044" s="17">
        <f t="shared" si="127"/>
        <v>54.98</v>
      </c>
      <c r="P2044" s="17">
        <f t="shared" si="124"/>
        <v>31.21</v>
      </c>
      <c r="Q2044" s="17">
        <f t="shared" si="125"/>
        <v>23.769999999999996</v>
      </c>
      <c r="R2044" s="24">
        <f t="shared" si="126"/>
        <v>0.43233903237540922</v>
      </c>
      <c r="S2044" t="s">
        <v>67</v>
      </c>
      <c r="T2044" t="s">
        <v>64</v>
      </c>
    </row>
    <row r="2045" spans="1:20" hidden="1">
      <c r="A2045" t="s">
        <v>2112</v>
      </c>
      <c r="B2045" s="5">
        <v>45411</v>
      </c>
      <c r="C2045" s="8">
        <f>YEAR(Tabla2[[#This Row],[fecha]])</f>
        <v>2024</v>
      </c>
      <c r="D2045" s="8">
        <f>MONTH(Tabla2[[#This Row],[fecha]])</f>
        <v>4</v>
      </c>
      <c r="E2045" s="8" t="str">
        <f>TEXT(Tabla2[[#This Row],[fecha]], "mmmm")</f>
        <v>abril</v>
      </c>
      <c r="F2045" s="8" t="str">
        <f>"T"&amp;ROUNDUP(Tabla2[[#This Row],[mes]]/3,0)</f>
        <v>T2</v>
      </c>
      <c r="G2045" t="s">
        <v>40</v>
      </c>
      <c r="H2045" t="s">
        <v>41</v>
      </c>
      <c r="I2045" s="8" t="str">
        <f>IF(Tabla2[[#This Row],[precio_unitario]]&lt;=30,"Económico",IF(Tabla2[[#This Row],[precio_unitario]]&lt;=58.49,"Accesible","Caro"))</f>
        <v>Caro</v>
      </c>
      <c r="J2045" t="s">
        <v>35</v>
      </c>
      <c r="K2045">
        <v>2</v>
      </c>
      <c r="L2045" s="19">
        <v>72.819999999999993</v>
      </c>
      <c r="M2045" s="19">
        <v>40.14</v>
      </c>
      <c r="N2045" s="13">
        <v>0</v>
      </c>
      <c r="O2045" s="17">
        <f t="shared" si="127"/>
        <v>145.63999999999999</v>
      </c>
      <c r="P2045" s="17">
        <f t="shared" si="124"/>
        <v>80.28</v>
      </c>
      <c r="Q2045" s="17">
        <f t="shared" si="125"/>
        <v>65.359999999999985</v>
      </c>
      <c r="R2045" s="24">
        <f t="shared" si="126"/>
        <v>0.44877780829442454</v>
      </c>
      <c r="S2045" t="s">
        <v>540</v>
      </c>
      <c r="T2045" t="s">
        <v>64</v>
      </c>
    </row>
    <row r="2046" spans="1:20" hidden="1">
      <c r="A2046" t="s">
        <v>2113</v>
      </c>
      <c r="B2046" s="5">
        <v>45474</v>
      </c>
      <c r="C2046" s="8">
        <f>YEAR(Tabla2[[#This Row],[fecha]])</f>
        <v>2024</v>
      </c>
      <c r="D2046" s="8">
        <f>MONTH(Tabla2[[#This Row],[fecha]])</f>
        <v>7</v>
      </c>
      <c r="E2046" s="8" t="str">
        <f>TEXT(Tabla2[[#This Row],[fecha]], "mmmm")</f>
        <v>julio</v>
      </c>
      <c r="F2046" s="8" t="str">
        <f>"T"&amp;ROUNDUP(Tabla2[[#This Row],[mes]]/3,0)</f>
        <v>T3</v>
      </c>
      <c r="G2046" t="s">
        <v>38</v>
      </c>
      <c r="H2046" t="s">
        <v>39</v>
      </c>
      <c r="I2046" s="8" t="str">
        <f>IF(Tabla2[[#This Row],[precio_unitario]]&lt;=30,"Económico",IF(Tabla2[[#This Row],[precio_unitario]]&lt;=58.49,"Accesible","Caro"))</f>
        <v>Caro</v>
      </c>
      <c r="J2046" t="s">
        <v>35</v>
      </c>
      <c r="K2046">
        <v>5</v>
      </c>
      <c r="L2046" s="19">
        <v>83.72</v>
      </c>
      <c r="M2046" s="19">
        <v>41.52</v>
      </c>
      <c r="N2046" s="11">
        <v>0.22</v>
      </c>
      <c r="O2046" s="17">
        <f t="shared" si="127"/>
        <v>326.50800000000004</v>
      </c>
      <c r="P2046" s="17">
        <f t="shared" si="124"/>
        <v>207.60000000000002</v>
      </c>
      <c r="Q2046" s="17">
        <f t="shared" si="125"/>
        <v>118.90800000000002</v>
      </c>
      <c r="R2046" s="24">
        <f t="shared" si="126"/>
        <v>0.36418096953214013</v>
      </c>
      <c r="S2046" t="s">
        <v>540</v>
      </c>
      <c r="T2046" t="s">
        <v>60</v>
      </c>
    </row>
    <row r="2047" spans="1:20" hidden="1">
      <c r="A2047" t="s">
        <v>2114</v>
      </c>
      <c r="B2047" s="14">
        <v>45823</v>
      </c>
      <c r="C2047" s="8">
        <f>YEAR(Tabla2[[#This Row],[fecha]])</f>
        <v>2025</v>
      </c>
      <c r="D2047" s="8">
        <f>MONTH(Tabla2[[#This Row],[fecha]])</f>
        <v>6</v>
      </c>
      <c r="E2047" s="8" t="str">
        <f>TEXT(Tabla2[[#This Row],[fecha]], "mmmm")</f>
        <v>junio</v>
      </c>
      <c r="F2047" s="8" t="str">
        <f>"T"&amp;ROUNDUP(Tabla2[[#This Row],[mes]]/3,0)</f>
        <v>T2</v>
      </c>
      <c r="G2047" t="s">
        <v>31</v>
      </c>
      <c r="H2047" t="s">
        <v>32</v>
      </c>
      <c r="I2047" s="8" t="str">
        <f>IF(Tabla2[[#This Row],[precio_unitario]]&lt;=30,"Económico",IF(Tabla2[[#This Row],[precio_unitario]]&lt;=58.49,"Accesible","Caro"))</f>
        <v>Económico</v>
      </c>
      <c r="J2047" t="s">
        <v>26</v>
      </c>
      <c r="K2047">
        <v>1</v>
      </c>
      <c r="L2047" s="19">
        <v>9.09</v>
      </c>
      <c r="M2047" s="19">
        <v>6.06</v>
      </c>
      <c r="N2047" s="11">
        <v>0</v>
      </c>
      <c r="O2047" s="17">
        <f t="shared" si="127"/>
        <v>9.09</v>
      </c>
      <c r="P2047" s="17">
        <f t="shared" si="124"/>
        <v>6.06</v>
      </c>
      <c r="Q2047" s="17">
        <f t="shared" si="125"/>
        <v>3.0300000000000002</v>
      </c>
      <c r="R2047" s="24">
        <f t="shared" si="126"/>
        <v>0.33333333333333337</v>
      </c>
      <c r="S2047" t="s">
        <v>83</v>
      </c>
      <c r="T2047" t="s">
        <v>64</v>
      </c>
    </row>
    <row r="2048" spans="1:20" hidden="1">
      <c r="A2048" t="s">
        <v>2115</v>
      </c>
      <c r="B2048" s="5">
        <v>45761</v>
      </c>
      <c r="C2048" s="8">
        <f>YEAR(Tabla2[[#This Row],[fecha]])</f>
        <v>2025</v>
      </c>
      <c r="D2048" s="8">
        <f>MONTH(Tabla2[[#This Row],[fecha]])</f>
        <v>4</v>
      </c>
      <c r="E2048" s="8" t="str">
        <f>TEXT(Tabla2[[#This Row],[fecha]], "mmmm")</f>
        <v>abril</v>
      </c>
      <c r="F2048" s="8" t="str">
        <f>"T"&amp;ROUNDUP(Tabla2[[#This Row],[mes]]/3,0)</f>
        <v>T2</v>
      </c>
      <c r="G2048" t="s">
        <v>18</v>
      </c>
      <c r="H2048" t="s">
        <v>19</v>
      </c>
      <c r="I2048" s="8" t="str">
        <f>IF(Tabla2[[#This Row],[precio_unitario]]&lt;=30,"Económico",IF(Tabla2[[#This Row],[precio_unitario]]&lt;=58.49,"Accesible","Caro"))</f>
        <v>Accesible</v>
      </c>
      <c r="J2048" t="s">
        <v>17</v>
      </c>
      <c r="K2048">
        <v>1</v>
      </c>
      <c r="L2048" s="19">
        <v>45.19</v>
      </c>
      <c r="M2048" s="19">
        <v>27.09</v>
      </c>
      <c r="N2048" s="11">
        <v>0.2</v>
      </c>
      <c r="O2048" s="17">
        <f t="shared" si="127"/>
        <v>36.152000000000001</v>
      </c>
      <c r="P2048" s="17">
        <f t="shared" si="124"/>
        <v>27.09</v>
      </c>
      <c r="Q2048" s="17">
        <f t="shared" si="125"/>
        <v>9.0620000000000012</v>
      </c>
      <c r="R2048" s="24">
        <f t="shared" si="126"/>
        <v>0.25066386368665639</v>
      </c>
      <c r="S2048" t="s">
        <v>83</v>
      </c>
      <c r="T2048" t="s">
        <v>64</v>
      </c>
    </row>
    <row r="2049" spans="1:20" hidden="1">
      <c r="A2049" t="s">
        <v>2116</v>
      </c>
      <c r="B2049" s="5">
        <v>45633</v>
      </c>
      <c r="C2049" s="8">
        <f>YEAR(Tabla2[[#This Row],[fecha]])</f>
        <v>2024</v>
      </c>
      <c r="D2049" s="8">
        <f>MONTH(Tabla2[[#This Row],[fecha]])</f>
        <v>12</v>
      </c>
      <c r="E2049" s="8" t="str">
        <f>TEXT(Tabla2[[#This Row],[fecha]], "mmmm")</f>
        <v>diciembre</v>
      </c>
      <c r="F2049" s="8" t="str">
        <f>"T"&amp;ROUNDUP(Tabla2[[#This Row],[mes]]/3,0)</f>
        <v>T4</v>
      </c>
      <c r="G2049" t="s">
        <v>47</v>
      </c>
      <c r="H2049" t="s">
        <v>48</v>
      </c>
      <c r="I2049" s="8" t="str">
        <f>IF(Tabla2[[#This Row],[precio_unitario]]&lt;=30,"Económico",IF(Tabla2[[#This Row],[precio_unitario]]&lt;=58.49,"Accesible","Caro"))</f>
        <v>Caro</v>
      </c>
      <c r="J2049" t="s">
        <v>44</v>
      </c>
      <c r="K2049">
        <v>3</v>
      </c>
      <c r="L2049" s="19">
        <v>62.09</v>
      </c>
      <c r="M2049" s="19">
        <v>32.78</v>
      </c>
      <c r="N2049" s="11">
        <v>0</v>
      </c>
      <c r="O2049" s="17">
        <f t="shared" si="127"/>
        <v>186.27</v>
      </c>
      <c r="P2049" s="17">
        <f t="shared" si="124"/>
        <v>98.34</v>
      </c>
      <c r="Q2049" s="17">
        <f t="shared" si="125"/>
        <v>87.93</v>
      </c>
      <c r="R2049" s="24">
        <f t="shared" si="126"/>
        <v>0.47205669189885652</v>
      </c>
      <c r="S2049" t="s">
        <v>83</v>
      </c>
      <c r="T2049" t="s">
        <v>64</v>
      </c>
    </row>
    <row r="2050" spans="1:20" hidden="1">
      <c r="A2050" t="s">
        <v>2117</v>
      </c>
      <c r="B2050" s="5">
        <v>45626</v>
      </c>
      <c r="C2050" s="8">
        <f>YEAR(Tabla2[[#This Row],[fecha]])</f>
        <v>2024</v>
      </c>
      <c r="D2050" s="8">
        <f>MONTH(Tabla2[[#This Row],[fecha]])</f>
        <v>11</v>
      </c>
      <c r="E2050" s="8" t="str">
        <f>TEXT(Tabla2[[#This Row],[fecha]], "mmmm")</f>
        <v>noviembre</v>
      </c>
      <c r="F2050" s="8" t="str">
        <f>"T"&amp;ROUNDUP(Tabla2[[#This Row],[mes]]/3,0)</f>
        <v>T4</v>
      </c>
      <c r="G2050" t="s">
        <v>45</v>
      </c>
      <c r="H2050" t="s">
        <v>46</v>
      </c>
      <c r="I2050" s="8" t="str">
        <f>IF(Tabla2[[#This Row],[precio_unitario]]&lt;=30,"Económico",IF(Tabla2[[#This Row],[precio_unitario]]&lt;=58.49,"Accesible","Caro"))</f>
        <v>Económico</v>
      </c>
      <c r="J2050" t="s">
        <v>44</v>
      </c>
      <c r="K2050">
        <v>1</v>
      </c>
      <c r="L2050" s="19">
        <v>29.21</v>
      </c>
      <c r="M2050" s="19">
        <v>16.690000000000001</v>
      </c>
      <c r="N2050" s="11">
        <v>0</v>
      </c>
      <c r="O2050" s="17">
        <f t="shared" si="127"/>
        <v>29.21</v>
      </c>
      <c r="P2050" s="17">
        <f t="shared" ref="P2050:P2113" si="128">M2050*K2050</f>
        <v>16.690000000000001</v>
      </c>
      <c r="Q2050" s="17">
        <f t="shared" ref="Q2050:Q2113" si="129">O2050-P2050</f>
        <v>12.52</v>
      </c>
      <c r="R2050" s="24">
        <f t="shared" ref="R2050:R2113" si="130">IFERROR(Q2050/O2050,0)</f>
        <v>0.42862033550154055</v>
      </c>
      <c r="S2050" t="s">
        <v>540</v>
      </c>
      <c r="T2050" t="s">
        <v>60</v>
      </c>
    </row>
    <row r="2051" spans="1:20">
      <c r="A2051" t="s">
        <v>2118</v>
      </c>
      <c r="B2051" s="5">
        <v>45866</v>
      </c>
      <c r="C2051" s="8">
        <f>YEAR(Tabla2[[#This Row],[fecha]])</f>
        <v>2025</v>
      </c>
      <c r="D2051" s="8">
        <f>MONTH(Tabla2[[#This Row],[fecha]])</f>
        <v>7</v>
      </c>
      <c r="E2051" s="8" t="str">
        <f>TEXT(Tabla2[[#This Row],[fecha]], "mmmm")</f>
        <v>julio</v>
      </c>
      <c r="F2051" s="8" t="str">
        <f>"T"&amp;ROUNDUP(Tabla2[[#This Row],[mes]]/3,0)</f>
        <v>T3</v>
      </c>
      <c r="G2051" t="s">
        <v>29</v>
      </c>
      <c r="H2051" t="s">
        <v>30</v>
      </c>
      <c r="I2051" s="8" t="str">
        <f>IF(Tabla2[[#This Row],[precio_unitario]]&lt;=30,"Económico",IF(Tabla2[[#This Row],[precio_unitario]]&lt;=58.49,"Accesible","Caro"))</f>
        <v>Económico</v>
      </c>
      <c r="J2051" t="s">
        <v>26</v>
      </c>
      <c r="K2051">
        <v>2</v>
      </c>
      <c r="L2051" s="19">
        <v>20.2</v>
      </c>
      <c r="M2051" s="19">
        <v>11.51</v>
      </c>
      <c r="N2051" s="11">
        <v>0</v>
      </c>
      <c r="O2051" s="17">
        <f t="shared" ref="O2051:O2114" si="131">K2051*L2051*(1-N2051)</f>
        <v>40.4</v>
      </c>
      <c r="P2051" s="17">
        <f t="shared" si="128"/>
        <v>23.02</v>
      </c>
      <c r="Q2051" s="17">
        <f t="shared" si="129"/>
        <v>17.38</v>
      </c>
      <c r="R2051" s="24">
        <f t="shared" si="130"/>
        <v>0.43019801980198019</v>
      </c>
      <c r="S2051" t="s">
        <v>67</v>
      </c>
      <c r="T2051" t="s">
        <v>60</v>
      </c>
    </row>
    <row r="2052" spans="1:20" hidden="1">
      <c r="A2052" t="s">
        <v>2119</v>
      </c>
      <c r="B2052" s="5">
        <v>45674</v>
      </c>
      <c r="C2052" s="8">
        <f>YEAR(Tabla2[[#This Row],[fecha]])</f>
        <v>2025</v>
      </c>
      <c r="D2052" s="8">
        <f>MONTH(Tabla2[[#This Row],[fecha]])</f>
        <v>1</v>
      </c>
      <c r="E2052" s="8" t="str">
        <f>TEXT(Tabla2[[#This Row],[fecha]], "mmmm")</f>
        <v>enero</v>
      </c>
      <c r="F2052" s="8" t="str">
        <f>"T"&amp;ROUNDUP(Tabla2[[#This Row],[mes]]/3,0)</f>
        <v>T1</v>
      </c>
      <c r="G2052" t="s">
        <v>18</v>
      </c>
      <c r="H2052" t="s">
        <v>19</v>
      </c>
      <c r="I2052" s="8" t="str">
        <f>IF(Tabla2[[#This Row],[precio_unitario]]&lt;=30,"Económico",IF(Tabla2[[#This Row],[precio_unitario]]&lt;=58.49,"Accesible","Caro"))</f>
        <v>Accesible</v>
      </c>
      <c r="J2052" t="s">
        <v>17</v>
      </c>
      <c r="K2052">
        <v>4</v>
      </c>
      <c r="L2052" s="19">
        <v>49.34</v>
      </c>
      <c r="M2052" s="19">
        <v>27.58</v>
      </c>
      <c r="N2052" s="11">
        <v>0</v>
      </c>
      <c r="O2052" s="17">
        <f t="shared" si="131"/>
        <v>197.36</v>
      </c>
      <c r="P2052" s="17">
        <f t="shared" si="128"/>
        <v>110.32</v>
      </c>
      <c r="Q2052" s="17">
        <f t="shared" si="129"/>
        <v>87.04000000000002</v>
      </c>
      <c r="R2052" s="24">
        <f t="shared" si="130"/>
        <v>0.44102148358329962</v>
      </c>
      <c r="S2052" t="s">
        <v>101</v>
      </c>
      <c r="T2052" t="s">
        <v>60</v>
      </c>
    </row>
    <row r="2053" spans="1:20" hidden="1">
      <c r="A2053" t="s">
        <v>2120</v>
      </c>
      <c r="B2053" s="5">
        <v>45306</v>
      </c>
      <c r="C2053" s="8">
        <f>YEAR(Tabla2[[#This Row],[fecha]])</f>
        <v>2024</v>
      </c>
      <c r="D2053" s="8">
        <f>MONTH(Tabla2[[#This Row],[fecha]])</f>
        <v>1</v>
      </c>
      <c r="E2053" s="8" t="str">
        <f>TEXT(Tabla2[[#This Row],[fecha]], "mmmm")</f>
        <v>enero</v>
      </c>
      <c r="F2053" s="8" t="str">
        <f>"T"&amp;ROUNDUP(Tabla2[[#This Row],[mes]]/3,0)</f>
        <v>T1</v>
      </c>
      <c r="G2053" t="s">
        <v>22</v>
      </c>
      <c r="H2053" t="s">
        <v>23</v>
      </c>
      <c r="I2053" s="8" t="str">
        <f>IF(Tabla2[[#This Row],[precio_unitario]]&lt;=30,"Económico",IF(Tabla2[[#This Row],[precio_unitario]]&lt;=58.49,"Accesible","Caro"))</f>
        <v>Caro</v>
      </c>
      <c r="J2053" t="s">
        <v>17</v>
      </c>
      <c r="K2053">
        <v>6</v>
      </c>
      <c r="L2053" s="19">
        <v>95.19</v>
      </c>
      <c r="M2053" s="19">
        <v>55.82</v>
      </c>
      <c r="N2053" s="11">
        <v>0</v>
      </c>
      <c r="O2053" s="17">
        <f t="shared" si="131"/>
        <v>571.14</v>
      </c>
      <c r="P2053" s="17">
        <f t="shared" si="128"/>
        <v>334.92</v>
      </c>
      <c r="Q2053" s="17">
        <f t="shared" si="129"/>
        <v>236.21999999999997</v>
      </c>
      <c r="R2053" s="24">
        <f t="shared" si="130"/>
        <v>0.41359386490177535</v>
      </c>
      <c r="S2053" t="s">
        <v>67</v>
      </c>
      <c r="T2053" t="s">
        <v>64</v>
      </c>
    </row>
    <row r="2054" spans="1:20" hidden="1">
      <c r="A2054" t="s">
        <v>2121</v>
      </c>
      <c r="B2054" s="5">
        <v>45663</v>
      </c>
      <c r="C2054" s="8">
        <f>YEAR(Tabla2[[#This Row],[fecha]])</f>
        <v>2025</v>
      </c>
      <c r="D2054" s="8">
        <f>MONTH(Tabla2[[#This Row],[fecha]])</f>
        <v>1</v>
      </c>
      <c r="E2054" s="8" t="str">
        <f>TEXT(Tabla2[[#This Row],[fecha]], "mmmm")</f>
        <v>enero</v>
      </c>
      <c r="F2054" s="8" t="str">
        <f>"T"&amp;ROUNDUP(Tabla2[[#This Row],[mes]]/3,0)</f>
        <v>T1</v>
      </c>
      <c r="G2054" t="s">
        <v>18</v>
      </c>
      <c r="H2054" t="s">
        <v>19</v>
      </c>
      <c r="I2054" s="8" t="str">
        <f>IF(Tabla2[[#This Row],[precio_unitario]]&lt;=30,"Económico",IF(Tabla2[[#This Row],[precio_unitario]]&lt;=58.49,"Accesible","Caro"))</f>
        <v>Accesible</v>
      </c>
      <c r="J2054" t="s">
        <v>17</v>
      </c>
      <c r="K2054">
        <v>2</v>
      </c>
      <c r="L2054" s="19">
        <v>48.16</v>
      </c>
      <c r="M2054" s="19">
        <v>25.93</v>
      </c>
      <c r="N2054" s="11">
        <v>7.0000000000000007E-2</v>
      </c>
      <c r="O2054" s="17">
        <f t="shared" si="131"/>
        <v>89.57759999999999</v>
      </c>
      <c r="P2054" s="17">
        <f t="shared" si="128"/>
        <v>51.86</v>
      </c>
      <c r="Q2054" s="17">
        <f t="shared" si="129"/>
        <v>37.71759999999999</v>
      </c>
      <c r="R2054" s="24">
        <f t="shared" si="130"/>
        <v>0.42106062229843166</v>
      </c>
      <c r="S2054" t="s">
        <v>540</v>
      </c>
      <c r="T2054" t="s">
        <v>60</v>
      </c>
    </row>
    <row r="2055" spans="1:20" hidden="1">
      <c r="A2055" t="s">
        <v>2122</v>
      </c>
      <c r="B2055" s="5">
        <v>45483</v>
      </c>
      <c r="C2055" s="8">
        <f>YEAR(Tabla2[[#This Row],[fecha]])</f>
        <v>2024</v>
      </c>
      <c r="D2055" s="8">
        <f>MONTH(Tabla2[[#This Row],[fecha]])</f>
        <v>7</v>
      </c>
      <c r="E2055" s="8" t="str">
        <f>TEXT(Tabla2[[#This Row],[fecha]], "mmmm")</f>
        <v>julio</v>
      </c>
      <c r="F2055" s="8" t="str">
        <f>"T"&amp;ROUNDUP(Tabla2[[#This Row],[mes]]/3,0)</f>
        <v>T3</v>
      </c>
      <c r="G2055" t="s">
        <v>31</v>
      </c>
      <c r="H2055" t="s">
        <v>32</v>
      </c>
      <c r="I2055" s="8" t="str">
        <f>IF(Tabla2[[#This Row],[precio_unitario]]&lt;=30,"Económico",IF(Tabla2[[#This Row],[precio_unitario]]&lt;=58.49,"Accesible","Caro"))</f>
        <v>Económico</v>
      </c>
      <c r="J2055" t="s">
        <v>26</v>
      </c>
      <c r="K2055">
        <v>2</v>
      </c>
      <c r="L2055" s="19">
        <v>9.07</v>
      </c>
      <c r="M2055" s="19">
        <v>5.89</v>
      </c>
      <c r="N2055" s="11">
        <v>0</v>
      </c>
      <c r="O2055" s="17">
        <f t="shared" si="131"/>
        <v>18.14</v>
      </c>
      <c r="P2055" s="17">
        <f t="shared" si="128"/>
        <v>11.78</v>
      </c>
      <c r="Q2055" s="17">
        <f t="shared" si="129"/>
        <v>6.3600000000000012</v>
      </c>
      <c r="R2055" s="24">
        <f t="shared" si="130"/>
        <v>0.35060639470782806</v>
      </c>
      <c r="S2055" t="s">
        <v>540</v>
      </c>
      <c r="T2055" t="s">
        <v>64</v>
      </c>
    </row>
    <row r="2056" spans="1:20">
      <c r="A2056" t="s">
        <v>2123</v>
      </c>
      <c r="B2056" s="5">
        <v>45874</v>
      </c>
      <c r="C2056" s="8">
        <f>YEAR(Tabla2[[#This Row],[fecha]])</f>
        <v>2025</v>
      </c>
      <c r="D2056" s="8">
        <f>MONTH(Tabla2[[#This Row],[fecha]])</f>
        <v>8</v>
      </c>
      <c r="E2056" s="8" t="str">
        <f>TEXT(Tabla2[[#This Row],[fecha]], "mmmm")</f>
        <v>agosto</v>
      </c>
      <c r="F2056" s="8" t="str">
        <f>"T"&amp;ROUNDUP(Tabla2[[#This Row],[mes]]/3,0)</f>
        <v>T3</v>
      </c>
      <c r="G2056" t="s">
        <v>27</v>
      </c>
      <c r="H2056" t="s">
        <v>28</v>
      </c>
      <c r="I2056" s="8" t="str">
        <f>IF(Tabla2[[#This Row],[precio_unitario]]&lt;=30,"Económico",IF(Tabla2[[#This Row],[precio_unitario]]&lt;=58.49,"Accesible","Caro"))</f>
        <v>Económico</v>
      </c>
      <c r="J2056" t="s">
        <v>26</v>
      </c>
      <c r="K2056">
        <v>1</v>
      </c>
      <c r="L2056" s="19">
        <v>16.14</v>
      </c>
      <c r="M2056" s="19">
        <v>10.98</v>
      </c>
      <c r="N2056" s="11">
        <v>0</v>
      </c>
      <c r="O2056" s="17">
        <f t="shared" si="131"/>
        <v>16.14</v>
      </c>
      <c r="P2056" s="17">
        <f t="shared" si="128"/>
        <v>10.98</v>
      </c>
      <c r="Q2056" s="17">
        <f t="shared" si="129"/>
        <v>5.16</v>
      </c>
      <c r="R2056" s="24">
        <f t="shared" si="130"/>
        <v>0.31970260223048325</v>
      </c>
      <c r="S2056" t="s">
        <v>67</v>
      </c>
      <c r="T2056" t="s">
        <v>1064</v>
      </c>
    </row>
    <row r="2057" spans="1:20" hidden="1">
      <c r="A2057" t="s">
        <v>2124</v>
      </c>
      <c r="B2057" s="5">
        <v>45492</v>
      </c>
      <c r="C2057" s="8">
        <f>YEAR(Tabla2[[#This Row],[fecha]])</f>
        <v>2024</v>
      </c>
      <c r="D2057" s="8">
        <f>MONTH(Tabla2[[#This Row],[fecha]])</f>
        <v>7</v>
      </c>
      <c r="E2057" s="8" t="str">
        <f>TEXT(Tabla2[[#This Row],[fecha]], "mmmm")</f>
        <v>julio</v>
      </c>
      <c r="F2057" s="8" t="str">
        <f>"T"&amp;ROUNDUP(Tabla2[[#This Row],[mes]]/3,0)</f>
        <v>T3</v>
      </c>
      <c r="G2057" t="s">
        <v>6</v>
      </c>
      <c r="H2057" t="s">
        <v>7</v>
      </c>
      <c r="I2057" s="8" t="str">
        <f>IF(Tabla2[[#This Row],[precio_unitario]]&lt;=30,"Económico",IF(Tabla2[[#This Row],[precio_unitario]]&lt;=58.49,"Accesible","Caro"))</f>
        <v>Caro</v>
      </c>
      <c r="J2057" t="s">
        <v>8</v>
      </c>
      <c r="K2057">
        <v>3</v>
      </c>
      <c r="L2057" s="19">
        <v>129.52000000000001</v>
      </c>
      <c r="M2057" s="19">
        <v>81.069999999999993</v>
      </c>
      <c r="N2057" s="11">
        <v>0</v>
      </c>
      <c r="O2057" s="17">
        <f t="shared" si="131"/>
        <v>388.56000000000006</v>
      </c>
      <c r="P2057" s="17">
        <f t="shared" si="128"/>
        <v>243.20999999999998</v>
      </c>
      <c r="Q2057" s="17">
        <f t="shared" si="129"/>
        <v>145.35000000000008</v>
      </c>
      <c r="R2057" s="24">
        <f t="shared" si="130"/>
        <v>0.37407350216182844</v>
      </c>
      <c r="S2057" t="s">
        <v>540</v>
      </c>
      <c r="T2057" t="s">
        <v>60</v>
      </c>
    </row>
    <row r="2058" spans="1:20" hidden="1">
      <c r="A2058" t="s">
        <v>2125</v>
      </c>
      <c r="B2058" s="5">
        <v>45906</v>
      </c>
      <c r="C2058" s="8">
        <f>YEAR(Tabla2[[#This Row],[fecha]])</f>
        <v>2025</v>
      </c>
      <c r="D2058" s="8">
        <f>MONTH(Tabla2[[#This Row],[fecha]])</f>
        <v>9</v>
      </c>
      <c r="E2058" s="8" t="str">
        <f>TEXT(Tabla2[[#This Row],[fecha]], "mmmm")</f>
        <v>septiembre</v>
      </c>
      <c r="F2058" s="8" t="str">
        <f>"T"&amp;ROUNDUP(Tabla2[[#This Row],[mes]]/3,0)</f>
        <v>T3</v>
      </c>
      <c r="G2058" t="s">
        <v>40</v>
      </c>
      <c r="H2058" t="s">
        <v>41</v>
      </c>
      <c r="I2058" s="8" t="str">
        <f>IF(Tabla2[[#This Row],[precio_unitario]]&lt;=30,"Económico",IF(Tabla2[[#This Row],[precio_unitario]]&lt;=58.49,"Accesible","Caro"))</f>
        <v>Caro</v>
      </c>
      <c r="J2058" t="s">
        <v>35</v>
      </c>
      <c r="K2058">
        <v>1</v>
      </c>
      <c r="L2058" s="19">
        <v>73.040000000000006</v>
      </c>
      <c r="M2058" s="19">
        <v>40.54</v>
      </c>
      <c r="N2058" s="11">
        <v>0</v>
      </c>
      <c r="O2058" s="17">
        <f t="shared" si="131"/>
        <v>73.040000000000006</v>
      </c>
      <c r="P2058" s="17">
        <f t="shared" si="128"/>
        <v>40.54</v>
      </c>
      <c r="Q2058" s="17">
        <f t="shared" si="129"/>
        <v>32.500000000000007</v>
      </c>
      <c r="R2058" s="24">
        <f t="shared" si="130"/>
        <v>0.44496166484118299</v>
      </c>
      <c r="S2058" t="s">
        <v>540</v>
      </c>
      <c r="T2058" t="s">
        <v>60</v>
      </c>
    </row>
    <row r="2059" spans="1:20" hidden="1">
      <c r="A2059" t="s">
        <v>2126</v>
      </c>
      <c r="B2059" s="5">
        <v>45740</v>
      </c>
      <c r="C2059" s="8">
        <f>YEAR(Tabla2[[#This Row],[fecha]])</f>
        <v>2025</v>
      </c>
      <c r="D2059" s="8">
        <f>MONTH(Tabla2[[#This Row],[fecha]])</f>
        <v>3</v>
      </c>
      <c r="E2059" s="8" t="str">
        <f>TEXT(Tabla2[[#This Row],[fecha]], "mmmm")</f>
        <v>marzo</v>
      </c>
      <c r="F2059" s="8" t="str">
        <f>"T"&amp;ROUNDUP(Tabla2[[#This Row],[mes]]/3,0)</f>
        <v>T1</v>
      </c>
      <c r="G2059" t="s">
        <v>29</v>
      </c>
      <c r="H2059" t="s">
        <v>30</v>
      </c>
      <c r="I2059" s="8" t="str">
        <f>IF(Tabla2[[#This Row],[precio_unitario]]&lt;=30,"Económico",IF(Tabla2[[#This Row],[precio_unitario]]&lt;=58.49,"Accesible","Caro"))</f>
        <v>Económico</v>
      </c>
      <c r="J2059" t="s">
        <v>26</v>
      </c>
      <c r="K2059">
        <v>1</v>
      </c>
      <c r="L2059" s="19">
        <v>22.92</v>
      </c>
      <c r="M2059" s="19">
        <v>11.63</v>
      </c>
      <c r="N2059" s="13">
        <v>0</v>
      </c>
      <c r="O2059" s="17">
        <f t="shared" si="131"/>
        <v>22.92</v>
      </c>
      <c r="P2059" s="17">
        <f t="shared" si="128"/>
        <v>11.63</v>
      </c>
      <c r="Q2059" s="17">
        <f t="shared" si="129"/>
        <v>11.290000000000001</v>
      </c>
      <c r="R2059" s="24">
        <f t="shared" si="130"/>
        <v>0.49258289703315883</v>
      </c>
      <c r="S2059" t="s">
        <v>96</v>
      </c>
      <c r="T2059" t="s">
        <v>64</v>
      </c>
    </row>
    <row r="2060" spans="1:20" hidden="1">
      <c r="A2060" t="s">
        <v>2127</v>
      </c>
      <c r="B2060" s="5">
        <v>45508</v>
      </c>
      <c r="C2060" s="8">
        <f>YEAR(Tabla2[[#This Row],[fecha]])</f>
        <v>2024</v>
      </c>
      <c r="D2060" s="8">
        <f>MONTH(Tabla2[[#This Row],[fecha]])</f>
        <v>8</v>
      </c>
      <c r="E2060" s="8" t="str">
        <f>TEXT(Tabla2[[#This Row],[fecha]], "mmmm")</f>
        <v>agosto</v>
      </c>
      <c r="F2060" s="8" t="str">
        <f>"T"&amp;ROUNDUP(Tabla2[[#This Row],[mes]]/3,0)</f>
        <v>T3</v>
      </c>
      <c r="G2060" t="s">
        <v>31</v>
      </c>
      <c r="H2060" t="s">
        <v>32</v>
      </c>
      <c r="I2060" s="8" t="str">
        <f>IF(Tabla2[[#This Row],[precio_unitario]]&lt;=30,"Económico",IF(Tabla2[[#This Row],[precio_unitario]]&lt;=58.49,"Accesible","Caro"))</f>
        <v>Económico</v>
      </c>
      <c r="J2060" t="s">
        <v>26</v>
      </c>
      <c r="K2060">
        <v>3</v>
      </c>
      <c r="L2060" s="19">
        <v>8.35</v>
      </c>
      <c r="M2060" s="19">
        <v>5.96</v>
      </c>
      <c r="N2060" s="11">
        <v>0.1</v>
      </c>
      <c r="O2060" s="17">
        <f t="shared" si="131"/>
        <v>22.544999999999998</v>
      </c>
      <c r="P2060" s="17">
        <f t="shared" si="128"/>
        <v>17.88</v>
      </c>
      <c r="Q2060" s="17">
        <f t="shared" si="129"/>
        <v>4.6649999999999991</v>
      </c>
      <c r="R2060" s="24">
        <f t="shared" si="130"/>
        <v>0.20691949434464402</v>
      </c>
      <c r="S2060" t="s">
        <v>540</v>
      </c>
      <c r="T2060" t="s">
        <v>64</v>
      </c>
    </row>
    <row r="2061" spans="1:20" hidden="1">
      <c r="A2061" t="s">
        <v>2128</v>
      </c>
      <c r="B2061" s="5">
        <v>45503</v>
      </c>
      <c r="C2061" s="8">
        <f>YEAR(Tabla2[[#This Row],[fecha]])</f>
        <v>2024</v>
      </c>
      <c r="D2061" s="8">
        <f>MONTH(Tabla2[[#This Row],[fecha]])</f>
        <v>7</v>
      </c>
      <c r="E2061" s="8" t="str">
        <f>TEXT(Tabla2[[#This Row],[fecha]], "mmmm")</f>
        <v>julio</v>
      </c>
      <c r="F2061" s="8" t="str">
        <f>"T"&amp;ROUNDUP(Tabla2[[#This Row],[mes]]/3,0)</f>
        <v>T3</v>
      </c>
      <c r="G2061" t="s">
        <v>33</v>
      </c>
      <c r="H2061" t="s">
        <v>34</v>
      </c>
      <c r="I2061" s="8" t="str">
        <f>IF(Tabla2[[#This Row],[precio_unitario]]&lt;=30,"Económico",IF(Tabla2[[#This Row],[precio_unitario]]&lt;=58.49,"Accesible","Caro"))</f>
        <v>Caro</v>
      </c>
      <c r="J2061" t="s">
        <v>35</v>
      </c>
      <c r="K2061">
        <v>2</v>
      </c>
      <c r="L2061" s="19">
        <v>76.5</v>
      </c>
      <c r="M2061" s="19">
        <v>48.11</v>
      </c>
      <c r="N2061" s="11">
        <v>0</v>
      </c>
      <c r="O2061" s="17">
        <f t="shared" si="131"/>
        <v>153</v>
      </c>
      <c r="P2061" s="17">
        <f t="shared" si="128"/>
        <v>96.22</v>
      </c>
      <c r="Q2061" s="17">
        <f t="shared" si="129"/>
        <v>56.78</v>
      </c>
      <c r="R2061" s="24">
        <f t="shared" si="130"/>
        <v>0.37111111111111111</v>
      </c>
      <c r="S2061" t="s">
        <v>67</v>
      </c>
      <c r="T2061" t="s">
        <v>60</v>
      </c>
    </row>
    <row r="2062" spans="1:20" hidden="1">
      <c r="A2062" t="s">
        <v>2129</v>
      </c>
      <c r="B2062" s="5">
        <v>45577</v>
      </c>
      <c r="C2062" s="8">
        <f>YEAR(Tabla2[[#This Row],[fecha]])</f>
        <v>2024</v>
      </c>
      <c r="D2062" s="8">
        <f>MONTH(Tabla2[[#This Row],[fecha]])</f>
        <v>10</v>
      </c>
      <c r="E2062" s="8" t="str">
        <f>TEXT(Tabla2[[#This Row],[fecha]], "mmmm")</f>
        <v>octubre</v>
      </c>
      <c r="F2062" s="8" t="str">
        <f>"T"&amp;ROUNDUP(Tabla2[[#This Row],[mes]]/3,0)</f>
        <v>T4</v>
      </c>
      <c r="G2062" t="s">
        <v>18</v>
      </c>
      <c r="H2062" t="s">
        <v>19</v>
      </c>
      <c r="I2062" s="8" t="str">
        <f>IF(Tabla2[[#This Row],[precio_unitario]]&lt;=30,"Económico",IF(Tabla2[[#This Row],[precio_unitario]]&lt;=58.49,"Accesible","Caro"))</f>
        <v>Accesible</v>
      </c>
      <c r="J2062" t="s">
        <v>17</v>
      </c>
      <c r="K2062">
        <v>2</v>
      </c>
      <c r="L2062" s="19">
        <v>44.55</v>
      </c>
      <c r="M2062" s="19">
        <v>26.72</v>
      </c>
      <c r="N2062" s="11">
        <v>0</v>
      </c>
      <c r="O2062" s="17">
        <f t="shared" si="131"/>
        <v>89.1</v>
      </c>
      <c r="P2062" s="17">
        <f t="shared" si="128"/>
        <v>53.44</v>
      </c>
      <c r="Q2062" s="17">
        <f t="shared" si="129"/>
        <v>35.659999999999997</v>
      </c>
      <c r="R2062" s="24">
        <f t="shared" si="130"/>
        <v>0.40022446689113356</v>
      </c>
      <c r="S2062" t="s">
        <v>67</v>
      </c>
      <c r="T2062" t="s">
        <v>64</v>
      </c>
    </row>
    <row r="2063" spans="1:20" hidden="1">
      <c r="A2063" t="s">
        <v>2130</v>
      </c>
      <c r="B2063" s="5">
        <v>45361</v>
      </c>
      <c r="C2063" s="8">
        <f>YEAR(Tabla2[[#This Row],[fecha]])</f>
        <v>2024</v>
      </c>
      <c r="D2063" s="8">
        <f>MONTH(Tabla2[[#This Row],[fecha]])</f>
        <v>3</v>
      </c>
      <c r="E2063" s="8" t="str">
        <f>TEXT(Tabla2[[#This Row],[fecha]], "mmmm")</f>
        <v>marzo</v>
      </c>
      <c r="F2063" s="8" t="str">
        <f>"T"&amp;ROUNDUP(Tabla2[[#This Row],[mes]]/3,0)</f>
        <v>T1</v>
      </c>
      <c r="G2063" t="s">
        <v>18</v>
      </c>
      <c r="H2063" t="s">
        <v>19</v>
      </c>
      <c r="I2063" s="8" t="str">
        <f>IF(Tabla2[[#This Row],[precio_unitario]]&lt;=30,"Económico",IF(Tabla2[[#This Row],[precio_unitario]]&lt;=58.49,"Accesible","Caro"))</f>
        <v>Accesible</v>
      </c>
      <c r="J2063" t="s">
        <v>17</v>
      </c>
      <c r="K2063">
        <v>6</v>
      </c>
      <c r="L2063" s="19">
        <v>49.78</v>
      </c>
      <c r="M2063" s="19">
        <v>27.22</v>
      </c>
      <c r="N2063" s="11">
        <v>0</v>
      </c>
      <c r="O2063" s="17">
        <f t="shared" si="131"/>
        <v>298.68</v>
      </c>
      <c r="P2063" s="17">
        <f t="shared" si="128"/>
        <v>163.32</v>
      </c>
      <c r="Q2063" s="17">
        <f t="shared" si="129"/>
        <v>135.36000000000001</v>
      </c>
      <c r="R2063" s="24">
        <f t="shared" si="130"/>
        <v>0.45319405383688233</v>
      </c>
      <c r="S2063" t="s">
        <v>67</v>
      </c>
      <c r="T2063" t="s">
        <v>64</v>
      </c>
    </row>
    <row r="2064" spans="1:20" hidden="1">
      <c r="A2064" t="s">
        <v>2131</v>
      </c>
      <c r="B2064" s="5">
        <v>45989</v>
      </c>
      <c r="C2064" s="8">
        <f>YEAR(Tabla2[[#This Row],[fecha]])</f>
        <v>2025</v>
      </c>
      <c r="D2064" s="8">
        <f>MONTH(Tabla2[[#This Row],[fecha]])</f>
        <v>11</v>
      </c>
      <c r="E2064" s="8" t="str">
        <f>TEXT(Tabla2[[#This Row],[fecha]], "mmmm")</f>
        <v>noviembre</v>
      </c>
      <c r="F2064" s="8" t="str">
        <f>"T"&amp;ROUNDUP(Tabla2[[#This Row],[mes]]/3,0)</f>
        <v>T4</v>
      </c>
      <c r="G2064" t="s">
        <v>13</v>
      </c>
      <c r="H2064" t="s">
        <v>14</v>
      </c>
      <c r="I2064" s="8" t="str">
        <f>IF(Tabla2[[#This Row],[precio_unitario]]&lt;=30,"Económico",IF(Tabla2[[#This Row],[precio_unitario]]&lt;=58.49,"Accesible","Caro"))</f>
        <v>Caro</v>
      </c>
      <c r="J2064" t="s">
        <v>8</v>
      </c>
      <c r="K2064">
        <v>5</v>
      </c>
      <c r="L2064" s="19">
        <v>154.41999999999999</v>
      </c>
      <c r="M2064" s="19">
        <v>108.61</v>
      </c>
      <c r="N2064" s="11">
        <v>0.05</v>
      </c>
      <c r="O2064" s="17">
        <f t="shared" si="131"/>
        <v>733.49499999999989</v>
      </c>
      <c r="P2064" s="17">
        <f t="shared" si="128"/>
        <v>543.04999999999995</v>
      </c>
      <c r="Q2064" s="17">
        <f t="shared" si="129"/>
        <v>190.44499999999994</v>
      </c>
      <c r="R2064" s="24">
        <f t="shared" si="130"/>
        <v>0.25964048834688713</v>
      </c>
      <c r="S2064" t="s">
        <v>101</v>
      </c>
      <c r="T2064" t="s">
        <v>64</v>
      </c>
    </row>
    <row r="2065" spans="1:20" hidden="1">
      <c r="A2065" t="s">
        <v>2132</v>
      </c>
      <c r="B2065" s="5">
        <v>45820</v>
      </c>
      <c r="C2065" s="8">
        <f>YEAR(Tabla2[[#This Row],[fecha]])</f>
        <v>2025</v>
      </c>
      <c r="D2065" s="8">
        <f>MONTH(Tabla2[[#This Row],[fecha]])</f>
        <v>6</v>
      </c>
      <c r="E2065" s="8" t="str">
        <f>TEXT(Tabla2[[#This Row],[fecha]], "mmmm")</f>
        <v>junio</v>
      </c>
      <c r="F2065" s="8" t="str">
        <f>"T"&amp;ROUNDUP(Tabla2[[#This Row],[mes]]/3,0)</f>
        <v>T2</v>
      </c>
      <c r="G2065" t="s">
        <v>13</v>
      </c>
      <c r="H2065" t="s">
        <v>14</v>
      </c>
      <c r="I2065" s="8" t="str">
        <f>IF(Tabla2[[#This Row],[precio_unitario]]&lt;=30,"Económico",IF(Tabla2[[#This Row],[precio_unitario]]&lt;=58.49,"Accesible","Caro"))</f>
        <v>Caro</v>
      </c>
      <c r="J2065" t="s">
        <v>8</v>
      </c>
      <c r="K2065">
        <v>5</v>
      </c>
      <c r="L2065" s="19">
        <v>167.34</v>
      </c>
      <c r="M2065" s="19">
        <v>110.28</v>
      </c>
      <c r="N2065" s="13">
        <v>0</v>
      </c>
      <c r="O2065" s="17">
        <f t="shared" si="131"/>
        <v>836.7</v>
      </c>
      <c r="P2065" s="17">
        <f t="shared" si="128"/>
        <v>551.4</v>
      </c>
      <c r="Q2065" s="17">
        <f t="shared" si="129"/>
        <v>285.30000000000007</v>
      </c>
      <c r="R2065" s="24">
        <f t="shared" si="130"/>
        <v>0.34098243097884551</v>
      </c>
      <c r="S2065" t="s">
        <v>83</v>
      </c>
      <c r="T2065" t="s">
        <v>60</v>
      </c>
    </row>
    <row r="2066" spans="1:20" hidden="1">
      <c r="A2066" t="s">
        <v>2133</v>
      </c>
      <c r="B2066" s="5">
        <v>45534</v>
      </c>
      <c r="C2066" s="8">
        <f>YEAR(Tabla2[[#This Row],[fecha]])</f>
        <v>2024</v>
      </c>
      <c r="D2066" s="8">
        <f>MONTH(Tabla2[[#This Row],[fecha]])</f>
        <v>8</v>
      </c>
      <c r="E2066" s="8" t="str">
        <f>TEXT(Tabla2[[#This Row],[fecha]], "mmmm")</f>
        <v>agosto</v>
      </c>
      <c r="F2066" s="8" t="str">
        <f>"T"&amp;ROUNDUP(Tabla2[[#This Row],[mes]]/3,0)</f>
        <v>T3</v>
      </c>
      <c r="G2066" t="s">
        <v>29</v>
      </c>
      <c r="H2066" t="s">
        <v>30</v>
      </c>
      <c r="I2066" s="8" t="str">
        <f>IF(Tabla2[[#This Row],[precio_unitario]]&lt;=30,"Económico",IF(Tabla2[[#This Row],[precio_unitario]]&lt;=58.49,"Accesible","Caro"))</f>
        <v>Económico</v>
      </c>
      <c r="J2066" t="s">
        <v>26</v>
      </c>
      <c r="K2066">
        <v>4</v>
      </c>
      <c r="L2066" s="19">
        <v>20.82</v>
      </c>
      <c r="M2066" s="19">
        <v>10.9</v>
      </c>
      <c r="N2066" s="11">
        <v>0</v>
      </c>
      <c r="O2066" s="17">
        <f t="shared" si="131"/>
        <v>83.28</v>
      </c>
      <c r="P2066" s="17">
        <f t="shared" si="128"/>
        <v>43.6</v>
      </c>
      <c r="Q2066" s="17">
        <f t="shared" si="129"/>
        <v>39.68</v>
      </c>
      <c r="R2066" s="24">
        <f t="shared" si="130"/>
        <v>0.47646493756003844</v>
      </c>
      <c r="S2066" t="s">
        <v>67</v>
      </c>
      <c r="T2066" t="s">
        <v>60</v>
      </c>
    </row>
    <row r="2067" spans="1:20" hidden="1">
      <c r="A2067" t="s">
        <v>2134</v>
      </c>
      <c r="B2067" s="5">
        <v>45673</v>
      </c>
      <c r="C2067" s="8">
        <f>YEAR(Tabla2[[#This Row],[fecha]])</f>
        <v>2025</v>
      </c>
      <c r="D2067" s="8">
        <f>MONTH(Tabla2[[#This Row],[fecha]])</f>
        <v>1</v>
      </c>
      <c r="E2067" s="8" t="str">
        <f>TEXT(Tabla2[[#This Row],[fecha]], "mmmm")</f>
        <v>enero</v>
      </c>
      <c r="F2067" s="8" t="str">
        <f>"T"&amp;ROUNDUP(Tabla2[[#This Row],[mes]]/3,0)</f>
        <v>T1</v>
      </c>
      <c r="G2067" t="s">
        <v>20</v>
      </c>
      <c r="H2067" t="s">
        <v>21</v>
      </c>
      <c r="I2067" s="8" t="str">
        <f>IF(Tabla2[[#This Row],[precio_unitario]]&lt;=30,"Económico",IF(Tabla2[[#This Row],[precio_unitario]]&lt;=58.49,"Accesible","Caro"))</f>
        <v>Económico</v>
      </c>
      <c r="J2067" t="s">
        <v>17</v>
      </c>
      <c r="K2067">
        <v>3</v>
      </c>
      <c r="L2067" s="19">
        <v>20.87</v>
      </c>
      <c r="M2067" s="19">
        <v>12.66</v>
      </c>
      <c r="N2067" s="11">
        <v>0</v>
      </c>
      <c r="O2067" s="17">
        <f t="shared" si="131"/>
        <v>62.61</v>
      </c>
      <c r="P2067" s="17">
        <f t="shared" si="128"/>
        <v>37.980000000000004</v>
      </c>
      <c r="Q2067" s="17">
        <f t="shared" si="129"/>
        <v>24.629999999999995</v>
      </c>
      <c r="R2067" s="24">
        <f t="shared" si="130"/>
        <v>0.39338763775754665</v>
      </c>
      <c r="S2067" t="s">
        <v>83</v>
      </c>
      <c r="T2067" t="s">
        <v>64</v>
      </c>
    </row>
    <row r="2068" spans="1:20" hidden="1">
      <c r="A2068" t="s">
        <v>2135</v>
      </c>
      <c r="B2068" s="5">
        <v>45656</v>
      </c>
      <c r="C2068" s="8">
        <f>YEAR(Tabla2[[#This Row],[fecha]])</f>
        <v>2024</v>
      </c>
      <c r="D2068" s="8">
        <f>MONTH(Tabla2[[#This Row],[fecha]])</f>
        <v>12</v>
      </c>
      <c r="E2068" s="8" t="str">
        <f>TEXT(Tabla2[[#This Row],[fecha]], "mmmm")</f>
        <v>diciembre</v>
      </c>
      <c r="F2068" s="8" t="str">
        <f>"T"&amp;ROUNDUP(Tabla2[[#This Row],[mes]]/3,0)</f>
        <v>T4</v>
      </c>
      <c r="G2068" t="s">
        <v>33</v>
      </c>
      <c r="H2068" t="s">
        <v>34</v>
      </c>
      <c r="I2068" s="8" t="str">
        <f>IF(Tabla2[[#This Row],[precio_unitario]]&lt;=30,"Económico",IF(Tabla2[[#This Row],[precio_unitario]]&lt;=58.49,"Accesible","Caro"))</f>
        <v>Caro</v>
      </c>
      <c r="J2068" t="s">
        <v>35</v>
      </c>
      <c r="K2068">
        <v>1</v>
      </c>
      <c r="L2068" s="19">
        <v>78.38</v>
      </c>
      <c r="M2068" s="19">
        <v>49.24</v>
      </c>
      <c r="N2068" s="13">
        <v>0</v>
      </c>
      <c r="O2068" s="17">
        <f t="shared" si="131"/>
        <v>78.38</v>
      </c>
      <c r="P2068" s="17">
        <f t="shared" si="128"/>
        <v>49.24</v>
      </c>
      <c r="Q2068" s="17">
        <f t="shared" si="129"/>
        <v>29.139999999999993</v>
      </c>
      <c r="R2068" s="24">
        <f t="shared" si="130"/>
        <v>0.37177851492727731</v>
      </c>
      <c r="S2068" t="s">
        <v>540</v>
      </c>
      <c r="T2068" t="s">
        <v>64</v>
      </c>
    </row>
    <row r="2069" spans="1:20" hidden="1">
      <c r="A2069" t="s">
        <v>2136</v>
      </c>
      <c r="B2069" s="5">
        <v>45958</v>
      </c>
      <c r="C2069" s="8">
        <f>YEAR(Tabla2[[#This Row],[fecha]])</f>
        <v>2025</v>
      </c>
      <c r="D2069" s="8">
        <f>MONTH(Tabla2[[#This Row],[fecha]])</f>
        <v>10</v>
      </c>
      <c r="E2069" s="8" t="str">
        <f>TEXT(Tabla2[[#This Row],[fecha]], "mmmm")</f>
        <v>octubre</v>
      </c>
      <c r="F2069" s="8" t="str">
        <f>"T"&amp;ROUNDUP(Tabla2[[#This Row],[mes]]/3,0)</f>
        <v>T4</v>
      </c>
      <c r="G2069" t="s">
        <v>24</v>
      </c>
      <c r="H2069" t="s">
        <v>25</v>
      </c>
      <c r="I2069" s="8" t="str">
        <f>IF(Tabla2[[#This Row],[precio_unitario]]&lt;=30,"Económico",IF(Tabla2[[#This Row],[precio_unitario]]&lt;=58.49,"Accesible","Caro"))</f>
        <v>Económico</v>
      </c>
      <c r="J2069" t="s">
        <v>26</v>
      </c>
      <c r="K2069">
        <v>2</v>
      </c>
      <c r="L2069" s="19">
        <v>8.1999999999999993</v>
      </c>
      <c r="M2069" s="19">
        <v>4.49</v>
      </c>
      <c r="N2069" s="11">
        <v>0.25</v>
      </c>
      <c r="O2069" s="17">
        <f t="shared" si="131"/>
        <v>12.299999999999999</v>
      </c>
      <c r="P2069" s="17">
        <f t="shared" si="128"/>
        <v>8.98</v>
      </c>
      <c r="Q2069" s="17">
        <f t="shared" si="129"/>
        <v>3.3199999999999985</v>
      </c>
      <c r="R2069" s="24">
        <f t="shared" si="130"/>
        <v>0.2699186991869918</v>
      </c>
      <c r="S2069" t="s">
        <v>540</v>
      </c>
      <c r="T2069" t="s">
        <v>60</v>
      </c>
    </row>
    <row r="2070" spans="1:20" hidden="1">
      <c r="A2070" t="s">
        <v>2137</v>
      </c>
      <c r="B2070" s="5">
        <v>45799</v>
      </c>
      <c r="C2070" s="8">
        <f>YEAR(Tabla2[[#This Row],[fecha]])</f>
        <v>2025</v>
      </c>
      <c r="D2070" s="8">
        <f>MONTH(Tabla2[[#This Row],[fecha]])</f>
        <v>5</v>
      </c>
      <c r="E2070" s="8" t="str">
        <f>TEXT(Tabla2[[#This Row],[fecha]], "mmmm")</f>
        <v>mayo</v>
      </c>
      <c r="F2070" s="8" t="str">
        <f>"T"&amp;ROUNDUP(Tabla2[[#This Row],[mes]]/3,0)</f>
        <v>T2</v>
      </c>
      <c r="G2070" t="s">
        <v>45</v>
      </c>
      <c r="H2070" t="s">
        <v>46</v>
      </c>
      <c r="I2070" s="8" t="str">
        <f>IF(Tabla2[[#This Row],[precio_unitario]]&lt;=30,"Económico",IF(Tabla2[[#This Row],[precio_unitario]]&lt;=58.49,"Accesible","Caro"))</f>
        <v>Accesible</v>
      </c>
      <c r="J2070" t="s">
        <v>44</v>
      </c>
      <c r="K2070">
        <v>2</v>
      </c>
      <c r="L2070" s="19">
        <v>32.799999999999997</v>
      </c>
      <c r="M2070" s="19">
        <v>17.309999999999999</v>
      </c>
      <c r="N2070" s="13">
        <v>0</v>
      </c>
      <c r="O2070" s="17">
        <f t="shared" si="131"/>
        <v>65.599999999999994</v>
      </c>
      <c r="P2070" s="17">
        <f t="shared" si="128"/>
        <v>34.619999999999997</v>
      </c>
      <c r="Q2070" s="17">
        <f t="shared" si="129"/>
        <v>30.979999999999997</v>
      </c>
      <c r="R2070" s="24">
        <f t="shared" si="130"/>
        <v>0.47225609756097559</v>
      </c>
      <c r="S2070" t="s">
        <v>63</v>
      </c>
      <c r="T2070" t="s">
        <v>64</v>
      </c>
    </row>
    <row r="2071" spans="1:20" hidden="1">
      <c r="A2071" t="s">
        <v>2138</v>
      </c>
      <c r="B2071" s="5">
        <v>45721</v>
      </c>
      <c r="C2071" s="8">
        <f>YEAR(Tabla2[[#This Row],[fecha]])</f>
        <v>2025</v>
      </c>
      <c r="D2071" s="8">
        <f>MONTH(Tabla2[[#This Row],[fecha]])</f>
        <v>3</v>
      </c>
      <c r="E2071" s="8" t="str">
        <f>TEXT(Tabla2[[#This Row],[fecha]], "mmmm")</f>
        <v>marzo</v>
      </c>
      <c r="F2071" s="8" t="str">
        <f>"T"&amp;ROUNDUP(Tabla2[[#This Row],[mes]]/3,0)</f>
        <v>T1</v>
      </c>
      <c r="G2071" t="s">
        <v>29</v>
      </c>
      <c r="H2071" t="s">
        <v>30</v>
      </c>
      <c r="I2071" s="8" t="str">
        <f>IF(Tabla2[[#This Row],[precio_unitario]]&lt;=30,"Económico",IF(Tabla2[[#This Row],[precio_unitario]]&lt;=58.49,"Accesible","Caro"))</f>
        <v>Económico</v>
      </c>
      <c r="J2071" t="s">
        <v>26</v>
      </c>
      <c r="K2071">
        <v>5</v>
      </c>
      <c r="L2071" s="19">
        <v>21.81</v>
      </c>
      <c r="M2071" s="19">
        <v>11.08</v>
      </c>
      <c r="N2071" s="13">
        <v>0</v>
      </c>
      <c r="O2071" s="17">
        <f t="shared" si="131"/>
        <v>109.05</v>
      </c>
      <c r="P2071" s="17">
        <f t="shared" si="128"/>
        <v>55.4</v>
      </c>
      <c r="Q2071" s="17">
        <f t="shared" si="129"/>
        <v>53.65</v>
      </c>
      <c r="R2071" s="24">
        <f t="shared" si="130"/>
        <v>0.49197615772581382</v>
      </c>
      <c r="S2071" t="s">
        <v>83</v>
      </c>
      <c r="T2071" t="s">
        <v>60</v>
      </c>
    </row>
    <row r="2072" spans="1:20">
      <c r="A2072" t="s">
        <v>2139</v>
      </c>
      <c r="B2072" s="5">
        <v>45764</v>
      </c>
      <c r="C2072" s="8">
        <f>YEAR(Tabla2[[#This Row],[fecha]])</f>
        <v>2025</v>
      </c>
      <c r="D2072" s="8">
        <f>MONTH(Tabla2[[#This Row],[fecha]])</f>
        <v>4</v>
      </c>
      <c r="E2072" s="8" t="str">
        <f>TEXT(Tabla2[[#This Row],[fecha]], "mmmm")</f>
        <v>abril</v>
      </c>
      <c r="F2072" s="8" t="str">
        <f>"T"&amp;ROUNDUP(Tabla2[[#This Row],[mes]]/3,0)</f>
        <v>T2</v>
      </c>
      <c r="G2072" t="s">
        <v>38</v>
      </c>
      <c r="H2072" t="s">
        <v>39</v>
      </c>
      <c r="I2072" s="8" t="str">
        <f>IF(Tabla2[[#This Row],[precio_unitario]]&lt;=30,"Económico",IF(Tabla2[[#This Row],[precio_unitario]]&lt;=58.49,"Accesible","Caro"))</f>
        <v>Caro</v>
      </c>
      <c r="J2072" t="s">
        <v>35</v>
      </c>
      <c r="K2072">
        <v>2</v>
      </c>
      <c r="L2072" s="19">
        <v>71.95</v>
      </c>
      <c r="M2072" s="19">
        <v>41.25</v>
      </c>
      <c r="N2072" s="11">
        <v>0</v>
      </c>
      <c r="O2072" s="17">
        <f t="shared" si="131"/>
        <v>143.9</v>
      </c>
      <c r="P2072" s="17">
        <f t="shared" si="128"/>
        <v>82.5</v>
      </c>
      <c r="Q2072" s="17">
        <f t="shared" si="129"/>
        <v>61.400000000000006</v>
      </c>
      <c r="R2072" s="24">
        <f t="shared" si="130"/>
        <v>0.42668519805420435</v>
      </c>
      <c r="S2072" t="s">
        <v>67</v>
      </c>
      <c r="T2072" t="s">
        <v>60</v>
      </c>
    </row>
    <row r="2073" spans="1:20">
      <c r="A2073" t="s">
        <v>2140</v>
      </c>
      <c r="B2073" s="5">
        <v>45928</v>
      </c>
      <c r="C2073" s="8">
        <f>YEAR(Tabla2[[#This Row],[fecha]])</f>
        <v>2025</v>
      </c>
      <c r="D2073" s="8">
        <f>MONTH(Tabla2[[#This Row],[fecha]])</f>
        <v>9</v>
      </c>
      <c r="E2073" s="8" t="str">
        <f>TEXT(Tabla2[[#This Row],[fecha]], "mmmm")</f>
        <v>septiembre</v>
      </c>
      <c r="F2073" s="8" t="str">
        <f>"T"&amp;ROUNDUP(Tabla2[[#This Row],[mes]]/3,0)</f>
        <v>T3</v>
      </c>
      <c r="G2073" t="s">
        <v>24</v>
      </c>
      <c r="H2073" t="s">
        <v>25</v>
      </c>
      <c r="I2073" s="8" t="str">
        <f>IF(Tabla2[[#This Row],[precio_unitario]]&lt;=30,"Económico",IF(Tabla2[[#This Row],[precio_unitario]]&lt;=58.49,"Accesible","Caro"))</f>
        <v>Económico</v>
      </c>
      <c r="J2073" t="s">
        <v>26</v>
      </c>
      <c r="K2073">
        <v>2</v>
      </c>
      <c r="L2073" s="19">
        <v>7.26</v>
      </c>
      <c r="M2073" s="19">
        <v>4.4800000000000004</v>
      </c>
      <c r="N2073" s="11">
        <v>0</v>
      </c>
      <c r="O2073" s="17">
        <f t="shared" si="131"/>
        <v>14.52</v>
      </c>
      <c r="P2073" s="17">
        <f t="shared" si="128"/>
        <v>8.9600000000000009</v>
      </c>
      <c r="Q2073" s="17">
        <f t="shared" si="129"/>
        <v>5.5599999999999987</v>
      </c>
      <c r="R2073" s="24">
        <f t="shared" si="130"/>
        <v>0.38292011019283739</v>
      </c>
      <c r="S2073" t="s">
        <v>67</v>
      </c>
      <c r="T2073" t="s">
        <v>64</v>
      </c>
    </row>
    <row r="2074" spans="1:20" hidden="1">
      <c r="A2074" t="s">
        <v>2141</v>
      </c>
      <c r="B2074" s="5">
        <v>45521</v>
      </c>
      <c r="C2074" s="8">
        <f>YEAR(Tabla2[[#This Row],[fecha]])</f>
        <v>2024</v>
      </c>
      <c r="D2074" s="8">
        <f>MONTH(Tabla2[[#This Row],[fecha]])</f>
        <v>8</v>
      </c>
      <c r="E2074" s="8" t="str">
        <f>TEXT(Tabla2[[#This Row],[fecha]], "mmmm")</f>
        <v>agosto</v>
      </c>
      <c r="F2074" s="8" t="str">
        <f>"T"&amp;ROUNDUP(Tabla2[[#This Row],[mes]]/3,0)</f>
        <v>T3</v>
      </c>
      <c r="G2074" t="s">
        <v>6</v>
      </c>
      <c r="H2074" t="s">
        <v>7</v>
      </c>
      <c r="I2074" s="8" t="str">
        <f>IF(Tabla2[[#This Row],[precio_unitario]]&lt;=30,"Económico",IF(Tabla2[[#This Row],[precio_unitario]]&lt;=58.49,"Accesible","Caro"))</f>
        <v>Caro</v>
      </c>
      <c r="J2074" t="s">
        <v>8</v>
      </c>
      <c r="K2074">
        <v>1</v>
      </c>
      <c r="L2074" s="19">
        <v>124.98</v>
      </c>
      <c r="M2074" s="19">
        <v>83.67</v>
      </c>
      <c r="N2074" s="13">
        <v>0</v>
      </c>
      <c r="O2074" s="17">
        <f t="shared" si="131"/>
        <v>124.98</v>
      </c>
      <c r="P2074" s="17">
        <f t="shared" si="128"/>
        <v>83.67</v>
      </c>
      <c r="Q2074" s="17">
        <f t="shared" si="129"/>
        <v>41.31</v>
      </c>
      <c r="R2074" s="24">
        <f t="shared" si="130"/>
        <v>0.33053288526164187</v>
      </c>
      <c r="S2074" t="s">
        <v>67</v>
      </c>
      <c r="T2074" t="s">
        <v>64</v>
      </c>
    </row>
    <row r="2075" spans="1:20" hidden="1">
      <c r="A2075" t="s">
        <v>2142</v>
      </c>
      <c r="B2075" s="5">
        <v>45747</v>
      </c>
      <c r="C2075" s="8">
        <f>YEAR(Tabla2[[#This Row],[fecha]])</f>
        <v>2025</v>
      </c>
      <c r="D2075" s="8">
        <f>MONTH(Tabla2[[#This Row],[fecha]])</f>
        <v>3</v>
      </c>
      <c r="E2075" s="8" t="str">
        <f>TEXT(Tabla2[[#This Row],[fecha]], "mmmm")</f>
        <v>marzo</v>
      </c>
      <c r="F2075" s="8" t="str">
        <f>"T"&amp;ROUNDUP(Tabla2[[#This Row],[mes]]/3,0)</f>
        <v>T1</v>
      </c>
      <c r="G2075" t="s">
        <v>27</v>
      </c>
      <c r="H2075" t="s">
        <v>28</v>
      </c>
      <c r="I2075" s="8" t="str">
        <f>IF(Tabla2[[#This Row],[precio_unitario]]&lt;=30,"Económico",IF(Tabla2[[#This Row],[precio_unitario]]&lt;=58.49,"Accesible","Caro"))</f>
        <v>Económico</v>
      </c>
      <c r="J2075" t="s">
        <v>26</v>
      </c>
      <c r="K2075">
        <v>1</v>
      </c>
      <c r="L2075" s="19">
        <v>16.14</v>
      </c>
      <c r="M2075" s="19">
        <v>11.87</v>
      </c>
      <c r="N2075" s="11">
        <v>0.15</v>
      </c>
      <c r="O2075" s="17">
        <f t="shared" si="131"/>
        <v>13.718999999999999</v>
      </c>
      <c r="P2075" s="17">
        <f t="shared" si="128"/>
        <v>11.87</v>
      </c>
      <c r="Q2075" s="17">
        <f t="shared" si="129"/>
        <v>1.8490000000000002</v>
      </c>
      <c r="R2075" s="24">
        <f t="shared" si="130"/>
        <v>0.13477658721481159</v>
      </c>
      <c r="S2075" t="s">
        <v>540</v>
      </c>
      <c r="T2075" t="s">
        <v>64</v>
      </c>
    </row>
    <row r="2076" spans="1:20" hidden="1">
      <c r="A2076" t="s">
        <v>2143</v>
      </c>
      <c r="B2076" s="5">
        <v>45323</v>
      </c>
      <c r="C2076" s="8">
        <f>YEAR(Tabla2[[#This Row],[fecha]])</f>
        <v>2024</v>
      </c>
      <c r="D2076" s="8">
        <f>MONTH(Tabla2[[#This Row],[fecha]])</f>
        <v>2</v>
      </c>
      <c r="E2076" s="8" t="str">
        <f>TEXT(Tabla2[[#This Row],[fecha]], "mmmm")</f>
        <v>febrero</v>
      </c>
      <c r="F2076" s="8" t="str">
        <f>"T"&amp;ROUNDUP(Tabla2[[#This Row],[mes]]/3,0)</f>
        <v>T1</v>
      </c>
      <c r="G2076" t="s">
        <v>11</v>
      </c>
      <c r="H2076" t="s">
        <v>12</v>
      </c>
      <c r="I2076" s="8" t="str">
        <f>IF(Tabla2[[#This Row],[precio_unitario]]&lt;=30,"Económico",IF(Tabla2[[#This Row],[precio_unitario]]&lt;=58.49,"Accesible","Caro"))</f>
        <v>Caro</v>
      </c>
      <c r="J2076" t="s">
        <v>8</v>
      </c>
      <c r="K2076">
        <v>1</v>
      </c>
      <c r="L2076" s="20">
        <f>INDEX(Tabla3[precio_venta_recomendado], MATCH(Tabla2[[#This Row],[id_producto]], Tabla3[id_producto], 0))</f>
        <v>177.72</v>
      </c>
      <c r="M2076" s="19">
        <v>96.99</v>
      </c>
      <c r="N2076" s="11">
        <v>0</v>
      </c>
      <c r="O2076" s="17">
        <f t="shared" si="131"/>
        <v>177.72</v>
      </c>
      <c r="P2076" s="17">
        <f t="shared" si="128"/>
        <v>96.99</v>
      </c>
      <c r="Q2076" s="17">
        <f t="shared" si="129"/>
        <v>80.73</v>
      </c>
      <c r="R2076" s="24">
        <f t="shared" si="130"/>
        <v>0.45425388251181636</v>
      </c>
      <c r="S2076" t="s">
        <v>67</v>
      </c>
      <c r="T2076" t="s">
        <v>64</v>
      </c>
    </row>
    <row r="2077" spans="1:20" hidden="1">
      <c r="A2077" t="s">
        <v>2144</v>
      </c>
      <c r="B2077" s="5">
        <v>45780</v>
      </c>
      <c r="C2077" s="8">
        <f>YEAR(Tabla2[[#This Row],[fecha]])</f>
        <v>2025</v>
      </c>
      <c r="D2077" s="8">
        <f>MONTH(Tabla2[[#This Row],[fecha]])</f>
        <v>5</v>
      </c>
      <c r="E2077" s="8" t="str">
        <f>TEXT(Tabla2[[#This Row],[fecha]], "mmmm")</f>
        <v>mayo</v>
      </c>
      <c r="F2077" s="8" t="str">
        <f>"T"&amp;ROUNDUP(Tabla2[[#This Row],[mes]]/3,0)</f>
        <v>T2</v>
      </c>
      <c r="G2077" t="s">
        <v>33</v>
      </c>
      <c r="H2077" t="s">
        <v>34</v>
      </c>
      <c r="I2077" s="8" t="str">
        <f>IF(Tabla2[[#This Row],[precio_unitario]]&lt;=30,"Económico",IF(Tabla2[[#This Row],[precio_unitario]]&lt;=58.49,"Accesible","Caro"))</f>
        <v>Caro</v>
      </c>
      <c r="J2077" t="s">
        <v>35</v>
      </c>
      <c r="K2077">
        <v>1</v>
      </c>
      <c r="L2077" s="19">
        <v>76.36</v>
      </c>
      <c r="M2077" s="19">
        <v>49.45</v>
      </c>
      <c r="N2077" s="11">
        <v>0.23</v>
      </c>
      <c r="O2077" s="17">
        <f t="shared" si="131"/>
        <v>58.797200000000004</v>
      </c>
      <c r="P2077" s="17">
        <f t="shared" si="128"/>
        <v>49.45</v>
      </c>
      <c r="Q2077" s="17">
        <f t="shared" si="129"/>
        <v>9.3472000000000008</v>
      </c>
      <c r="R2077" s="24">
        <f t="shared" si="130"/>
        <v>0.15897355656391801</v>
      </c>
      <c r="S2077" t="s">
        <v>83</v>
      </c>
      <c r="T2077" t="s">
        <v>64</v>
      </c>
    </row>
    <row r="2078" spans="1:20" hidden="1">
      <c r="A2078" t="s">
        <v>2145</v>
      </c>
      <c r="B2078" s="5">
        <v>45385</v>
      </c>
      <c r="C2078" s="8">
        <f>YEAR(Tabla2[[#This Row],[fecha]])</f>
        <v>2024</v>
      </c>
      <c r="D2078" s="8">
        <f>MONTH(Tabla2[[#This Row],[fecha]])</f>
        <v>4</v>
      </c>
      <c r="E2078" s="8" t="str">
        <f>TEXT(Tabla2[[#This Row],[fecha]], "mmmm")</f>
        <v>abril</v>
      </c>
      <c r="F2078" s="8" t="str">
        <f>"T"&amp;ROUNDUP(Tabla2[[#This Row],[mes]]/3,0)</f>
        <v>T2</v>
      </c>
      <c r="G2078" t="s">
        <v>24</v>
      </c>
      <c r="H2078" t="s">
        <v>25</v>
      </c>
      <c r="I2078" s="8" t="str">
        <f>IF(Tabla2[[#This Row],[precio_unitario]]&lt;=30,"Económico",IF(Tabla2[[#This Row],[precio_unitario]]&lt;=58.49,"Accesible","Caro"))</f>
        <v>Económico</v>
      </c>
      <c r="J2078" t="s">
        <v>26</v>
      </c>
      <c r="K2078">
        <v>12</v>
      </c>
      <c r="L2078" s="19">
        <v>7.39</v>
      </c>
      <c r="M2078" s="19">
        <v>4.2300000000000004</v>
      </c>
      <c r="N2078" s="13">
        <v>0</v>
      </c>
      <c r="O2078" s="17">
        <f t="shared" si="131"/>
        <v>88.679999999999993</v>
      </c>
      <c r="P2078" s="17">
        <f t="shared" si="128"/>
        <v>50.760000000000005</v>
      </c>
      <c r="Q2078" s="17">
        <f t="shared" si="129"/>
        <v>37.919999999999987</v>
      </c>
      <c r="R2078" s="24">
        <f t="shared" si="130"/>
        <v>0.42760487144790249</v>
      </c>
      <c r="S2078" t="s">
        <v>63</v>
      </c>
      <c r="T2078" t="s">
        <v>64</v>
      </c>
    </row>
    <row r="2079" spans="1:20" hidden="1">
      <c r="A2079" t="s">
        <v>2146</v>
      </c>
      <c r="B2079" s="5">
        <v>45580</v>
      </c>
      <c r="C2079" s="8">
        <f>YEAR(Tabla2[[#This Row],[fecha]])</f>
        <v>2024</v>
      </c>
      <c r="D2079" s="8">
        <f>MONTH(Tabla2[[#This Row],[fecha]])</f>
        <v>10</v>
      </c>
      <c r="E2079" s="8" t="str">
        <f>TEXT(Tabla2[[#This Row],[fecha]], "mmmm")</f>
        <v>octubre</v>
      </c>
      <c r="F2079" s="8" t="str">
        <f>"T"&amp;ROUNDUP(Tabla2[[#This Row],[mes]]/3,0)</f>
        <v>T4</v>
      </c>
      <c r="G2079" t="s">
        <v>29</v>
      </c>
      <c r="H2079" t="s">
        <v>30</v>
      </c>
      <c r="I2079" s="8" t="str">
        <f>IF(Tabla2[[#This Row],[precio_unitario]]&lt;=30,"Económico",IF(Tabla2[[#This Row],[precio_unitario]]&lt;=58.49,"Accesible","Caro"))</f>
        <v>Económico</v>
      </c>
      <c r="J2079" t="s">
        <v>26</v>
      </c>
      <c r="K2079">
        <v>1</v>
      </c>
      <c r="L2079" s="19">
        <v>23.04</v>
      </c>
      <c r="M2079" s="19">
        <v>11.84</v>
      </c>
      <c r="N2079" s="11">
        <v>0</v>
      </c>
      <c r="O2079" s="17">
        <f t="shared" si="131"/>
        <v>23.04</v>
      </c>
      <c r="P2079" s="17">
        <f t="shared" si="128"/>
        <v>11.84</v>
      </c>
      <c r="Q2079" s="17">
        <f t="shared" si="129"/>
        <v>11.2</v>
      </c>
      <c r="R2079" s="24">
        <f t="shared" si="130"/>
        <v>0.4861111111111111</v>
      </c>
      <c r="S2079" t="s">
        <v>67</v>
      </c>
      <c r="T2079" t="s">
        <v>60</v>
      </c>
    </row>
    <row r="2080" spans="1:20" hidden="1">
      <c r="A2080" t="s">
        <v>2147</v>
      </c>
      <c r="B2080" s="5">
        <v>45336</v>
      </c>
      <c r="C2080" s="8">
        <f>YEAR(Tabla2[[#This Row],[fecha]])</f>
        <v>2024</v>
      </c>
      <c r="D2080" s="8">
        <f>MONTH(Tabla2[[#This Row],[fecha]])</f>
        <v>2</v>
      </c>
      <c r="E2080" s="8" t="str">
        <f>TEXT(Tabla2[[#This Row],[fecha]], "mmmm")</f>
        <v>febrero</v>
      </c>
      <c r="F2080" s="8" t="str">
        <f>"T"&amp;ROUNDUP(Tabla2[[#This Row],[mes]]/3,0)</f>
        <v>T1</v>
      </c>
      <c r="G2080" t="s">
        <v>38</v>
      </c>
      <c r="H2080" t="s">
        <v>39</v>
      </c>
      <c r="I2080" s="8" t="str">
        <f>IF(Tabla2[[#This Row],[precio_unitario]]&lt;=30,"Económico",IF(Tabla2[[#This Row],[precio_unitario]]&lt;=58.49,"Accesible","Caro"))</f>
        <v>Caro</v>
      </c>
      <c r="J2080" t="s">
        <v>35</v>
      </c>
      <c r="K2080">
        <v>3</v>
      </c>
      <c r="L2080" s="19">
        <v>71.94</v>
      </c>
      <c r="M2080" s="19">
        <v>42.85</v>
      </c>
      <c r="N2080" s="11">
        <v>0.11</v>
      </c>
      <c r="O2080" s="17">
        <f t="shared" si="131"/>
        <v>192.07980000000001</v>
      </c>
      <c r="P2080" s="17">
        <f t="shared" si="128"/>
        <v>128.55000000000001</v>
      </c>
      <c r="Q2080" s="17">
        <f t="shared" si="129"/>
        <v>63.529799999999994</v>
      </c>
      <c r="R2080" s="24">
        <f t="shared" si="130"/>
        <v>0.33074690831623105</v>
      </c>
      <c r="S2080" t="s">
        <v>67</v>
      </c>
      <c r="T2080" t="s">
        <v>60</v>
      </c>
    </row>
    <row r="2081" spans="1:20" hidden="1">
      <c r="A2081" t="s">
        <v>2148</v>
      </c>
      <c r="B2081" s="5">
        <v>45420</v>
      </c>
      <c r="C2081" s="8">
        <f>YEAR(Tabla2[[#This Row],[fecha]])</f>
        <v>2024</v>
      </c>
      <c r="D2081" s="8">
        <f>MONTH(Tabla2[[#This Row],[fecha]])</f>
        <v>5</v>
      </c>
      <c r="E2081" s="8" t="str">
        <f>TEXT(Tabla2[[#This Row],[fecha]], "mmmm")</f>
        <v>mayo</v>
      </c>
      <c r="F2081" s="8" t="str">
        <f>"T"&amp;ROUNDUP(Tabla2[[#This Row],[mes]]/3,0)</f>
        <v>T2</v>
      </c>
      <c r="G2081" t="s">
        <v>22</v>
      </c>
      <c r="H2081" t="s">
        <v>23</v>
      </c>
      <c r="I2081" s="8" t="str">
        <f>IF(Tabla2[[#This Row],[precio_unitario]]&lt;=30,"Económico",IF(Tabla2[[#This Row],[precio_unitario]]&lt;=58.49,"Accesible","Caro"))</f>
        <v>Caro</v>
      </c>
      <c r="J2081" t="s">
        <v>17</v>
      </c>
      <c r="K2081">
        <v>7</v>
      </c>
      <c r="L2081" s="19">
        <v>104.04</v>
      </c>
      <c r="M2081" s="19">
        <v>59.27</v>
      </c>
      <c r="N2081" s="13">
        <v>0</v>
      </c>
      <c r="O2081" s="17">
        <f t="shared" si="131"/>
        <v>728.28000000000009</v>
      </c>
      <c r="P2081" s="17">
        <f t="shared" si="128"/>
        <v>414.89000000000004</v>
      </c>
      <c r="Q2081" s="17">
        <f t="shared" si="129"/>
        <v>313.39000000000004</v>
      </c>
      <c r="R2081" s="24">
        <f t="shared" si="130"/>
        <v>0.43031526336024606</v>
      </c>
      <c r="S2081" t="s">
        <v>63</v>
      </c>
      <c r="T2081" t="s">
        <v>60</v>
      </c>
    </row>
    <row r="2082" spans="1:20" hidden="1">
      <c r="A2082" t="s">
        <v>2149</v>
      </c>
      <c r="B2082" s="5">
        <v>45396</v>
      </c>
      <c r="C2082" s="8">
        <f>YEAR(Tabla2[[#This Row],[fecha]])</f>
        <v>2024</v>
      </c>
      <c r="D2082" s="8">
        <f>MONTH(Tabla2[[#This Row],[fecha]])</f>
        <v>4</v>
      </c>
      <c r="E2082" s="8" t="str">
        <f>TEXT(Tabla2[[#This Row],[fecha]], "mmmm")</f>
        <v>abril</v>
      </c>
      <c r="F2082" s="8" t="str">
        <f>"T"&amp;ROUNDUP(Tabla2[[#This Row],[mes]]/3,0)</f>
        <v>T2</v>
      </c>
      <c r="G2082" t="s">
        <v>18</v>
      </c>
      <c r="H2082" t="s">
        <v>19</v>
      </c>
      <c r="I2082" s="8" t="str">
        <f>IF(Tabla2[[#This Row],[precio_unitario]]&lt;=30,"Económico",IF(Tabla2[[#This Row],[precio_unitario]]&lt;=58.49,"Accesible","Caro"))</f>
        <v>Accesible</v>
      </c>
      <c r="J2082" t="s">
        <v>17</v>
      </c>
      <c r="K2082">
        <v>8</v>
      </c>
      <c r="L2082" s="19">
        <v>47.16</v>
      </c>
      <c r="M2082" s="19">
        <v>27.14</v>
      </c>
      <c r="N2082" s="13">
        <v>0</v>
      </c>
      <c r="O2082" s="17">
        <f t="shared" si="131"/>
        <v>377.28</v>
      </c>
      <c r="P2082" s="17">
        <f t="shared" si="128"/>
        <v>217.12</v>
      </c>
      <c r="Q2082" s="17">
        <f t="shared" si="129"/>
        <v>160.15999999999997</v>
      </c>
      <c r="R2082" s="24">
        <f t="shared" si="130"/>
        <v>0.42451229855810002</v>
      </c>
      <c r="S2082" t="s">
        <v>67</v>
      </c>
      <c r="T2082" t="s">
        <v>64</v>
      </c>
    </row>
    <row r="2083" spans="1:20" hidden="1">
      <c r="A2083" t="s">
        <v>2150</v>
      </c>
      <c r="B2083" s="5">
        <v>45554</v>
      </c>
      <c r="C2083" s="8">
        <f>YEAR(Tabla2[[#This Row],[fecha]])</f>
        <v>2024</v>
      </c>
      <c r="D2083" s="8">
        <f>MONTH(Tabla2[[#This Row],[fecha]])</f>
        <v>9</v>
      </c>
      <c r="E2083" s="8" t="str">
        <f>TEXT(Tabla2[[#This Row],[fecha]], "mmmm")</f>
        <v>septiembre</v>
      </c>
      <c r="F2083" s="8" t="str">
        <f>"T"&amp;ROUNDUP(Tabla2[[#This Row],[mes]]/3,0)</f>
        <v>T3</v>
      </c>
      <c r="G2083" t="s">
        <v>49</v>
      </c>
      <c r="H2083" t="s">
        <v>50</v>
      </c>
      <c r="I2083" s="8" t="str">
        <f>IF(Tabla2[[#This Row],[precio_unitario]]&lt;=30,"Económico",IF(Tabla2[[#This Row],[precio_unitario]]&lt;=58.49,"Accesible","Caro"))</f>
        <v>Accesible</v>
      </c>
      <c r="J2083" t="s">
        <v>44</v>
      </c>
      <c r="K2083">
        <v>1</v>
      </c>
      <c r="L2083" s="19">
        <v>58.25</v>
      </c>
      <c r="M2083" s="19">
        <v>32.19</v>
      </c>
      <c r="N2083" s="11">
        <v>0</v>
      </c>
      <c r="O2083" s="17">
        <f t="shared" si="131"/>
        <v>58.25</v>
      </c>
      <c r="P2083" s="17">
        <f t="shared" si="128"/>
        <v>32.19</v>
      </c>
      <c r="Q2083" s="17">
        <f t="shared" si="129"/>
        <v>26.060000000000002</v>
      </c>
      <c r="R2083" s="24">
        <f t="shared" si="130"/>
        <v>0.44738197424892706</v>
      </c>
      <c r="S2083" t="s">
        <v>67</v>
      </c>
      <c r="T2083" t="s">
        <v>60</v>
      </c>
    </row>
    <row r="2084" spans="1:20" hidden="1">
      <c r="A2084" t="s">
        <v>2151</v>
      </c>
      <c r="B2084" s="5">
        <v>45386</v>
      </c>
      <c r="C2084" s="8">
        <f>YEAR(Tabla2[[#This Row],[fecha]])</f>
        <v>2024</v>
      </c>
      <c r="D2084" s="8">
        <f>MONTH(Tabla2[[#This Row],[fecha]])</f>
        <v>4</v>
      </c>
      <c r="E2084" s="8" t="str">
        <f>TEXT(Tabla2[[#This Row],[fecha]], "mmmm")</f>
        <v>abril</v>
      </c>
      <c r="F2084" s="8" t="str">
        <f>"T"&amp;ROUNDUP(Tabla2[[#This Row],[mes]]/3,0)</f>
        <v>T2</v>
      </c>
      <c r="G2084" t="s">
        <v>27</v>
      </c>
      <c r="H2084" t="s">
        <v>28</v>
      </c>
      <c r="I2084" s="8" t="str">
        <f>IF(Tabla2[[#This Row],[precio_unitario]]&lt;=30,"Económico",IF(Tabla2[[#This Row],[precio_unitario]]&lt;=58.49,"Accesible","Caro"))</f>
        <v>Económico</v>
      </c>
      <c r="J2084" t="s">
        <v>26</v>
      </c>
      <c r="K2084">
        <v>1</v>
      </c>
      <c r="L2084" s="19">
        <v>15.88</v>
      </c>
      <c r="M2084" s="19">
        <v>11.42</v>
      </c>
      <c r="N2084" s="13">
        <v>0</v>
      </c>
      <c r="O2084" s="17">
        <f t="shared" si="131"/>
        <v>15.88</v>
      </c>
      <c r="P2084" s="17">
        <f t="shared" si="128"/>
        <v>11.42</v>
      </c>
      <c r="Q2084" s="17">
        <f t="shared" si="129"/>
        <v>4.4600000000000009</v>
      </c>
      <c r="R2084" s="24">
        <f t="shared" si="130"/>
        <v>0.28085642317380355</v>
      </c>
      <c r="S2084" t="s">
        <v>83</v>
      </c>
      <c r="T2084" t="s">
        <v>64</v>
      </c>
    </row>
    <row r="2085" spans="1:20" hidden="1">
      <c r="A2085" t="s">
        <v>2152</v>
      </c>
      <c r="B2085" s="5">
        <v>45889</v>
      </c>
      <c r="C2085" s="8">
        <f>YEAR(Tabla2[[#This Row],[fecha]])</f>
        <v>2025</v>
      </c>
      <c r="D2085" s="8">
        <f>MONTH(Tabla2[[#This Row],[fecha]])</f>
        <v>8</v>
      </c>
      <c r="E2085" s="8" t="str">
        <f>TEXT(Tabla2[[#This Row],[fecha]], "mmmm")</f>
        <v>agosto</v>
      </c>
      <c r="F2085" s="8" t="str">
        <f>"T"&amp;ROUNDUP(Tabla2[[#This Row],[mes]]/3,0)</f>
        <v>T3</v>
      </c>
      <c r="G2085" t="s">
        <v>15</v>
      </c>
      <c r="H2085" t="s">
        <v>16</v>
      </c>
      <c r="I2085" s="8" t="str">
        <f>IF(Tabla2[[#This Row],[precio_unitario]]&lt;=30,"Económico",IF(Tabla2[[#This Row],[precio_unitario]]&lt;=58.49,"Accesible","Caro"))</f>
        <v>Caro</v>
      </c>
      <c r="J2085" t="s">
        <v>17</v>
      </c>
      <c r="K2085">
        <v>9</v>
      </c>
      <c r="L2085" s="19">
        <v>63.37</v>
      </c>
      <c r="M2085" s="19">
        <v>43.09</v>
      </c>
      <c r="N2085" s="11">
        <v>0</v>
      </c>
      <c r="O2085" s="17">
        <f t="shared" si="131"/>
        <v>570.32999999999993</v>
      </c>
      <c r="P2085" s="17">
        <f t="shared" si="128"/>
        <v>387.81000000000006</v>
      </c>
      <c r="Q2085" s="17">
        <f t="shared" si="129"/>
        <v>182.51999999999987</v>
      </c>
      <c r="R2085" s="24">
        <f t="shared" si="130"/>
        <v>0.32002524854031855</v>
      </c>
      <c r="S2085" t="s">
        <v>540</v>
      </c>
      <c r="T2085" t="s">
        <v>60</v>
      </c>
    </row>
    <row r="2086" spans="1:20" hidden="1">
      <c r="A2086" t="s">
        <v>2153</v>
      </c>
      <c r="B2086" s="5">
        <v>45534</v>
      </c>
      <c r="C2086" s="8">
        <f>YEAR(Tabla2[[#This Row],[fecha]])</f>
        <v>2024</v>
      </c>
      <c r="D2086" s="8">
        <f>MONTH(Tabla2[[#This Row],[fecha]])</f>
        <v>8</v>
      </c>
      <c r="E2086" s="8" t="str">
        <f>TEXT(Tabla2[[#This Row],[fecha]], "mmmm")</f>
        <v>agosto</v>
      </c>
      <c r="F2086" s="8" t="str">
        <f>"T"&amp;ROUNDUP(Tabla2[[#This Row],[mes]]/3,0)</f>
        <v>T3</v>
      </c>
      <c r="G2086" t="s">
        <v>13</v>
      </c>
      <c r="H2086" t="s">
        <v>14</v>
      </c>
      <c r="I2086" s="8" t="str">
        <f>IF(Tabla2[[#This Row],[precio_unitario]]&lt;=30,"Económico",IF(Tabla2[[#This Row],[precio_unitario]]&lt;=58.49,"Accesible","Caro"))</f>
        <v>Caro</v>
      </c>
      <c r="J2086" t="s">
        <v>8</v>
      </c>
      <c r="K2086">
        <v>1</v>
      </c>
      <c r="L2086" s="19">
        <v>149.43</v>
      </c>
      <c r="M2086" s="19">
        <v>113.66</v>
      </c>
      <c r="N2086" s="11">
        <v>0</v>
      </c>
      <c r="O2086" s="17">
        <f t="shared" si="131"/>
        <v>149.43</v>
      </c>
      <c r="P2086" s="17">
        <f t="shared" si="128"/>
        <v>113.66</v>
      </c>
      <c r="Q2086" s="17">
        <f t="shared" si="129"/>
        <v>35.77000000000001</v>
      </c>
      <c r="R2086" s="24">
        <f t="shared" si="130"/>
        <v>0.23937629659372286</v>
      </c>
      <c r="S2086" t="s">
        <v>540</v>
      </c>
      <c r="T2086" t="s">
        <v>60</v>
      </c>
    </row>
    <row r="2087" spans="1:20" hidden="1">
      <c r="A2087" t="s">
        <v>2154</v>
      </c>
      <c r="B2087" s="5">
        <v>45447</v>
      </c>
      <c r="C2087" s="8">
        <f>YEAR(Tabla2[[#This Row],[fecha]])</f>
        <v>2024</v>
      </c>
      <c r="D2087" s="8">
        <f>MONTH(Tabla2[[#This Row],[fecha]])</f>
        <v>6</v>
      </c>
      <c r="E2087" s="8" t="str">
        <f>TEXT(Tabla2[[#This Row],[fecha]], "mmmm")</f>
        <v>junio</v>
      </c>
      <c r="F2087" s="8" t="str">
        <f>"T"&amp;ROUNDUP(Tabla2[[#This Row],[mes]]/3,0)</f>
        <v>T2</v>
      </c>
      <c r="G2087" t="s">
        <v>11</v>
      </c>
      <c r="H2087" t="s">
        <v>12</v>
      </c>
      <c r="I2087" s="8" t="str">
        <f>IF(Tabla2[[#This Row],[precio_unitario]]&lt;=30,"Económico",IF(Tabla2[[#This Row],[precio_unitario]]&lt;=58.49,"Accesible","Caro"))</f>
        <v>Caro</v>
      </c>
      <c r="J2087" t="s">
        <v>8</v>
      </c>
      <c r="K2087">
        <v>2</v>
      </c>
      <c r="L2087" s="19">
        <v>174.29</v>
      </c>
      <c r="M2087" s="19">
        <v>93.61</v>
      </c>
      <c r="N2087" s="11">
        <v>0</v>
      </c>
      <c r="O2087" s="17">
        <f t="shared" si="131"/>
        <v>348.58</v>
      </c>
      <c r="P2087" s="17">
        <f t="shared" si="128"/>
        <v>187.22</v>
      </c>
      <c r="Q2087" s="17">
        <f t="shared" si="129"/>
        <v>161.35999999999999</v>
      </c>
      <c r="R2087" s="24">
        <f t="shared" si="130"/>
        <v>0.46290664983647939</v>
      </c>
      <c r="S2087" t="s">
        <v>96</v>
      </c>
      <c r="T2087" t="s">
        <v>64</v>
      </c>
    </row>
    <row r="2088" spans="1:20" hidden="1">
      <c r="A2088" t="s">
        <v>2155</v>
      </c>
      <c r="B2088" s="5">
        <v>45982</v>
      </c>
      <c r="C2088" s="8">
        <f>YEAR(Tabla2[[#This Row],[fecha]])</f>
        <v>2025</v>
      </c>
      <c r="D2088" s="8">
        <f>MONTH(Tabla2[[#This Row],[fecha]])</f>
        <v>11</v>
      </c>
      <c r="E2088" s="8" t="str">
        <f>TEXT(Tabla2[[#This Row],[fecha]], "mmmm")</f>
        <v>noviembre</v>
      </c>
      <c r="F2088" s="8" t="str">
        <f>"T"&amp;ROUNDUP(Tabla2[[#This Row],[mes]]/3,0)</f>
        <v>T4</v>
      </c>
      <c r="G2088" t="s">
        <v>18</v>
      </c>
      <c r="H2088" t="s">
        <v>19</v>
      </c>
      <c r="I2088" s="8" t="str">
        <f>IF(Tabla2[[#This Row],[precio_unitario]]&lt;=30,"Económico",IF(Tabla2[[#This Row],[precio_unitario]]&lt;=58.49,"Accesible","Caro"))</f>
        <v>Accesible</v>
      </c>
      <c r="J2088" t="s">
        <v>17</v>
      </c>
      <c r="K2088">
        <v>2</v>
      </c>
      <c r="L2088" s="19">
        <v>45.62</v>
      </c>
      <c r="M2088" s="19">
        <v>25.43</v>
      </c>
      <c r="N2088" s="11">
        <v>0</v>
      </c>
      <c r="O2088" s="17">
        <f t="shared" si="131"/>
        <v>91.24</v>
      </c>
      <c r="P2088" s="17">
        <f t="shared" si="128"/>
        <v>50.86</v>
      </c>
      <c r="Q2088" s="17">
        <f t="shared" si="129"/>
        <v>40.379999999999995</v>
      </c>
      <c r="R2088" s="24">
        <f t="shared" si="130"/>
        <v>0.44256904866286711</v>
      </c>
      <c r="S2088" t="s">
        <v>101</v>
      </c>
      <c r="T2088" t="s">
        <v>64</v>
      </c>
    </row>
    <row r="2089" spans="1:20" hidden="1">
      <c r="A2089" t="s">
        <v>2156</v>
      </c>
      <c r="B2089" s="5">
        <v>45475</v>
      </c>
      <c r="C2089" s="8">
        <f>YEAR(Tabla2[[#This Row],[fecha]])</f>
        <v>2024</v>
      </c>
      <c r="D2089" s="8">
        <f>MONTH(Tabla2[[#This Row],[fecha]])</f>
        <v>7</v>
      </c>
      <c r="E2089" s="8" t="str">
        <f>TEXT(Tabla2[[#This Row],[fecha]], "mmmm")</f>
        <v>julio</v>
      </c>
      <c r="F2089" s="8" t="str">
        <f>"T"&amp;ROUNDUP(Tabla2[[#This Row],[mes]]/3,0)</f>
        <v>T3</v>
      </c>
      <c r="G2089" t="s">
        <v>31</v>
      </c>
      <c r="H2089" t="s">
        <v>32</v>
      </c>
      <c r="I2089" s="8" t="str">
        <f>IF(Tabla2[[#This Row],[precio_unitario]]&lt;=30,"Económico",IF(Tabla2[[#This Row],[precio_unitario]]&lt;=58.49,"Accesible","Caro"))</f>
        <v>Económico</v>
      </c>
      <c r="J2089" t="s">
        <v>26</v>
      </c>
      <c r="K2089">
        <v>8</v>
      </c>
      <c r="L2089" s="19">
        <v>8.76</v>
      </c>
      <c r="M2089" s="19">
        <v>5.49</v>
      </c>
      <c r="N2089" s="13">
        <v>0</v>
      </c>
      <c r="O2089" s="17">
        <f t="shared" si="131"/>
        <v>70.08</v>
      </c>
      <c r="P2089" s="17">
        <f t="shared" si="128"/>
        <v>43.92</v>
      </c>
      <c r="Q2089" s="17">
        <f t="shared" si="129"/>
        <v>26.159999999999997</v>
      </c>
      <c r="R2089" s="24">
        <f t="shared" si="130"/>
        <v>0.37328767123287665</v>
      </c>
      <c r="S2089" t="s">
        <v>67</v>
      </c>
      <c r="T2089" t="s">
        <v>64</v>
      </c>
    </row>
    <row r="2090" spans="1:20" hidden="1">
      <c r="A2090" t="s">
        <v>2157</v>
      </c>
      <c r="B2090" s="5">
        <v>45323</v>
      </c>
      <c r="C2090" s="8">
        <f>YEAR(Tabla2[[#This Row],[fecha]])</f>
        <v>2024</v>
      </c>
      <c r="D2090" s="8">
        <f>MONTH(Tabla2[[#This Row],[fecha]])</f>
        <v>2</v>
      </c>
      <c r="E2090" s="8" t="str">
        <f>TEXT(Tabla2[[#This Row],[fecha]], "mmmm")</f>
        <v>febrero</v>
      </c>
      <c r="F2090" s="8" t="str">
        <f>"T"&amp;ROUNDUP(Tabla2[[#This Row],[mes]]/3,0)</f>
        <v>T1</v>
      </c>
      <c r="G2090" t="s">
        <v>42</v>
      </c>
      <c r="H2090" t="s">
        <v>43</v>
      </c>
      <c r="I2090" s="8" t="str">
        <f>IF(Tabla2[[#This Row],[precio_unitario]]&lt;=30,"Económico",IF(Tabla2[[#This Row],[precio_unitario]]&lt;=58.49,"Accesible","Caro"))</f>
        <v>Accesible</v>
      </c>
      <c r="J2090" t="s">
        <v>44</v>
      </c>
      <c r="K2090">
        <v>1</v>
      </c>
      <c r="L2090" s="19">
        <v>48.95</v>
      </c>
      <c r="M2090" s="21">
        <f>INDEX(Tabla3[coste_objetivo], MATCH(Tabla2[[#This Row],[id_producto]], Tabla3[id_producto],0))</f>
        <v>22.69</v>
      </c>
      <c r="N2090" s="11">
        <v>0</v>
      </c>
      <c r="O2090" s="17">
        <f t="shared" si="131"/>
        <v>48.95</v>
      </c>
      <c r="P2090" s="17">
        <f t="shared" si="128"/>
        <v>22.69</v>
      </c>
      <c r="Q2090" s="17">
        <f t="shared" si="129"/>
        <v>26.26</v>
      </c>
      <c r="R2090" s="24">
        <f t="shared" si="130"/>
        <v>0.53646578140960166</v>
      </c>
      <c r="S2090" t="s">
        <v>63</v>
      </c>
      <c r="T2090" t="s">
        <v>64</v>
      </c>
    </row>
    <row r="2091" spans="1:20" hidden="1">
      <c r="A2091" t="s">
        <v>2158</v>
      </c>
      <c r="B2091" s="5">
        <v>45903</v>
      </c>
      <c r="C2091" s="8">
        <f>YEAR(Tabla2[[#This Row],[fecha]])</f>
        <v>2025</v>
      </c>
      <c r="D2091" s="8">
        <f>MONTH(Tabla2[[#This Row],[fecha]])</f>
        <v>9</v>
      </c>
      <c r="E2091" s="8" t="str">
        <f>TEXT(Tabla2[[#This Row],[fecha]], "mmmm")</f>
        <v>septiembre</v>
      </c>
      <c r="F2091" s="8" t="str">
        <f>"T"&amp;ROUNDUP(Tabla2[[#This Row],[mes]]/3,0)</f>
        <v>T3</v>
      </c>
      <c r="G2091" t="s">
        <v>11</v>
      </c>
      <c r="H2091" t="s">
        <v>12</v>
      </c>
      <c r="I2091" s="8" t="str">
        <f>IF(Tabla2[[#This Row],[precio_unitario]]&lt;=30,"Económico",IF(Tabla2[[#This Row],[precio_unitario]]&lt;=58.49,"Accesible","Caro"))</f>
        <v>Caro</v>
      </c>
      <c r="J2091" t="s">
        <v>8</v>
      </c>
      <c r="K2091">
        <v>2</v>
      </c>
      <c r="L2091" s="19">
        <v>174.53</v>
      </c>
      <c r="M2091" s="19">
        <v>90.28</v>
      </c>
      <c r="N2091" s="11">
        <v>0</v>
      </c>
      <c r="O2091" s="17">
        <f t="shared" si="131"/>
        <v>349.06</v>
      </c>
      <c r="P2091" s="17">
        <f t="shared" si="128"/>
        <v>180.56</v>
      </c>
      <c r="Q2091" s="17">
        <f t="shared" si="129"/>
        <v>168.5</v>
      </c>
      <c r="R2091" s="24">
        <f t="shared" si="130"/>
        <v>0.48272503294562541</v>
      </c>
      <c r="S2091" t="s">
        <v>83</v>
      </c>
      <c r="T2091" t="s">
        <v>60</v>
      </c>
    </row>
    <row r="2092" spans="1:20" hidden="1">
      <c r="A2092" t="s">
        <v>2159</v>
      </c>
      <c r="B2092" s="5">
        <v>45427</v>
      </c>
      <c r="C2092" s="8">
        <f>YEAR(Tabla2[[#This Row],[fecha]])</f>
        <v>2024</v>
      </c>
      <c r="D2092" s="8">
        <f>MONTH(Tabla2[[#This Row],[fecha]])</f>
        <v>5</v>
      </c>
      <c r="E2092" s="8" t="str">
        <f>TEXT(Tabla2[[#This Row],[fecha]], "mmmm")</f>
        <v>mayo</v>
      </c>
      <c r="F2092" s="8" t="str">
        <f>"T"&amp;ROUNDUP(Tabla2[[#This Row],[mes]]/3,0)</f>
        <v>T2</v>
      </c>
      <c r="G2092" t="s">
        <v>9</v>
      </c>
      <c r="H2092" t="s">
        <v>10</v>
      </c>
      <c r="I2092" s="8" t="str">
        <f>IF(Tabla2[[#This Row],[precio_unitario]]&lt;=30,"Económico",IF(Tabla2[[#This Row],[precio_unitario]]&lt;=58.49,"Accesible","Caro"))</f>
        <v>Caro</v>
      </c>
      <c r="J2092" t="s">
        <v>8</v>
      </c>
      <c r="K2092">
        <v>1</v>
      </c>
      <c r="L2092" s="19">
        <v>68.06</v>
      </c>
      <c r="M2092" s="19">
        <v>49.43</v>
      </c>
      <c r="N2092" s="11">
        <v>0</v>
      </c>
      <c r="O2092" s="17">
        <f t="shared" si="131"/>
        <v>68.06</v>
      </c>
      <c r="P2092" s="17">
        <f t="shared" si="128"/>
        <v>49.43</v>
      </c>
      <c r="Q2092" s="17">
        <f t="shared" si="129"/>
        <v>18.630000000000003</v>
      </c>
      <c r="R2092" s="24">
        <f t="shared" si="130"/>
        <v>0.27372906259183077</v>
      </c>
      <c r="S2092" t="s">
        <v>67</v>
      </c>
      <c r="T2092" t="s">
        <v>60</v>
      </c>
    </row>
    <row r="2093" spans="1:20" hidden="1">
      <c r="A2093" t="s">
        <v>2160</v>
      </c>
      <c r="B2093" s="5">
        <v>45628</v>
      </c>
      <c r="C2093" s="8">
        <f>YEAR(Tabla2[[#This Row],[fecha]])</f>
        <v>2024</v>
      </c>
      <c r="D2093" s="8">
        <f>MONTH(Tabla2[[#This Row],[fecha]])</f>
        <v>12</v>
      </c>
      <c r="E2093" s="8" t="str">
        <f>TEXT(Tabla2[[#This Row],[fecha]], "mmmm")</f>
        <v>diciembre</v>
      </c>
      <c r="F2093" s="8" t="str">
        <f>"T"&amp;ROUNDUP(Tabla2[[#This Row],[mes]]/3,0)</f>
        <v>T4</v>
      </c>
      <c r="G2093" t="s">
        <v>27</v>
      </c>
      <c r="H2093" t="s">
        <v>28</v>
      </c>
      <c r="I2093" s="8" t="str">
        <f>IF(Tabla2[[#This Row],[precio_unitario]]&lt;=30,"Económico",IF(Tabla2[[#This Row],[precio_unitario]]&lt;=58.49,"Accesible","Caro"))</f>
        <v>Económico</v>
      </c>
      <c r="J2093" t="s">
        <v>26</v>
      </c>
      <c r="K2093">
        <v>3</v>
      </c>
      <c r="L2093" s="19">
        <v>17.61</v>
      </c>
      <c r="M2093" s="19">
        <v>11.17</v>
      </c>
      <c r="N2093" s="13">
        <v>0</v>
      </c>
      <c r="O2093" s="17">
        <f t="shared" si="131"/>
        <v>52.83</v>
      </c>
      <c r="P2093" s="17">
        <f t="shared" si="128"/>
        <v>33.51</v>
      </c>
      <c r="Q2093" s="17">
        <f t="shared" si="129"/>
        <v>19.32</v>
      </c>
      <c r="R2093" s="24">
        <f t="shared" si="130"/>
        <v>0.36570130607609314</v>
      </c>
      <c r="S2093" t="s">
        <v>63</v>
      </c>
      <c r="T2093" t="s">
        <v>64</v>
      </c>
    </row>
    <row r="2094" spans="1:20" hidden="1">
      <c r="A2094" t="s">
        <v>2161</v>
      </c>
      <c r="B2094" s="5">
        <v>45887</v>
      </c>
      <c r="C2094" s="8">
        <f>YEAR(Tabla2[[#This Row],[fecha]])</f>
        <v>2025</v>
      </c>
      <c r="D2094" s="8">
        <f>MONTH(Tabla2[[#This Row],[fecha]])</f>
        <v>8</v>
      </c>
      <c r="E2094" s="8" t="str">
        <f>TEXT(Tabla2[[#This Row],[fecha]], "mmmm")</f>
        <v>agosto</v>
      </c>
      <c r="F2094" s="8" t="str">
        <f>"T"&amp;ROUNDUP(Tabla2[[#This Row],[mes]]/3,0)</f>
        <v>T3</v>
      </c>
      <c r="G2094" t="s">
        <v>20</v>
      </c>
      <c r="H2094" t="s">
        <v>21</v>
      </c>
      <c r="I2094" s="8" t="str">
        <f>IF(Tabla2[[#This Row],[precio_unitario]]&lt;=30,"Económico",IF(Tabla2[[#This Row],[precio_unitario]]&lt;=58.49,"Accesible","Caro"))</f>
        <v>Económico</v>
      </c>
      <c r="J2094" t="s">
        <v>17</v>
      </c>
      <c r="K2094">
        <v>2</v>
      </c>
      <c r="L2094" s="19">
        <v>20.58</v>
      </c>
      <c r="M2094" s="19">
        <v>12.81</v>
      </c>
      <c r="N2094" s="11">
        <v>0.17</v>
      </c>
      <c r="O2094" s="17">
        <f t="shared" si="131"/>
        <v>34.162799999999997</v>
      </c>
      <c r="P2094" s="17">
        <f t="shared" si="128"/>
        <v>25.62</v>
      </c>
      <c r="Q2094" s="17">
        <f t="shared" si="129"/>
        <v>8.5427999999999962</v>
      </c>
      <c r="R2094" s="24">
        <f t="shared" si="130"/>
        <v>0.25006147037128096</v>
      </c>
      <c r="S2094" t="s">
        <v>83</v>
      </c>
      <c r="T2094" t="s">
        <v>64</v>
      </c>
    </row>
    <row r="2095" spans="1:20" hidden="1">
      <c r="A2095" t="s">
        <v>2162</v>
      </c>
      <c r="B2095" s="5">
        <v>45292</v>
      </c>
      <c r="C2095" s="8">
        <f>YEAR(Tabla2[[#This Row],[fecha]])</f>
        <v>2024</v>
      </c>
      <c r="D2095" s="8">
        <f>MONTH(Tabla2[[#This Row],[fecha]])</f>
        <v>1</v>
      </c>
      <c r="E2095" s="8" t="str">
        <f>TEXT(Tabla2[[#This Row],[fecha]], "mmmm")</f>
        <v>enero</v>
      </c>
      <c r="F2095" s="8" t="str">
        <f>"T"&amp;ROUNDUP(Tabla2[[#This Row],[mes]]/3,0)</f>
        <v>T1</v>
      </c>
      <c r="G2095" t="s">
        <v>20</v>
      </c>
      <c r="H2095" t="s">
        <v>21</v>
      </c>
      <c r="I2095" s="8" t="str">
        <f>IF(Tabla2[[#This Row],[precio_unitario]]&lt;=30,"Económico",IF(Tabla2[[#This Row],[precio_unitario]]&lt;=58.49,"Accesible","Caro"))</f>
        <v>Económico</v>
      </c>
      <c r="J2095" t="s">
        <v>17</v>
      </c>
      <c r="K2095">
        <v>7</v>
      </c>
      <c r="L2095" s="19">
        <v>21.17</v>
      </c>
      <c r="M2095" s="19">
        <v>13.15</v>
      </c>
      <c r="N2095" s="13">
        <v>0</v>
      </c>
      <c r="O2095" s="17">
        <f t="shared" si="131"/>
        <v>148.19</v>
      </c>
      <c r="P2095" s="17">
        <f t="shared" si="128"/>
        <v>92.05</v>
      </c>
      <c r="Q2095" s="17">
        <f t="shared" si="129"/>
        <v>56.14</v>
      </c>
      <c r="R2095" s="24">
        <f t="shared" si="130"/>
        <v>0.37883797827113841</v>
      </c>
      <c r="S2095" t="s">
        <v>96</v>
      </c>
      <c r="T2095" t="s">
        <v>64</v>
      </c>
    </row>
    <row r="2096" spans="1:20" hidden="1">
      <c r="A2096" t="s">
        <v>2163</v>
      </c>
      <c r="B2096" s="5">
        <v>45812</v>
      </c>
      <c r="C2096" s="8">
        <f>YEAR(Tabla2[[#This Row],[fecha]])</f>
        <v>2025</v>
      </c>
      <c r="D2096" s="8">
        <f>MONTH(Tabla2[[#This Row],[fecha]])</f>
        <v>6</v>
      </c>
      <c r="E2096" s="8" t="str">
        <f>TEXT(Tabla2[[#This Row],[fecha]], "mmmm")</f>
        <v>junio</v>
      </c>
      <c r="F2096" s="8" t="str">
        <f>"T"&amp;ROUNDUP(Tabla2[[#This Row],[mes]]/3,0)</f>
        <v>T2</v>
      </c>
      <c r="G2096" t="s">
        <v>15</v>
      </c>
      <c r="H2096" t="s">
        <v>16</v>
      </c>
      <c r="I2096" s="8" t="str">
        <f>IF(Tabla2[[#This Row],[precio_unitario]]&lt;=30,"Económico",IF(Tabla2[[#This Row],[precio_unitario]]&lt;=58.49,"Accesible","Caro"))</f>
        <v>Accesible</v>
      </c>
      <c r="J2096" t="s">
        <v>17</v>
      </c>
      <c r="K2096">
        <v>1</v>
      </c>
      <c r="L2096" s="19">
        <v>58.06</v>
      </c>
      <c r="M2096" s="19">
        <v>42.74</v>
      </c>
      <c r="N2096" s="11">
        <v>0</v>
      </c>
      <c r="O2096" s="17">
        <f t="shared" si="131"/>
        <v>58.06</v>
      </c>
      <c r="P2096" s="17">
        <f t="shared" si="128"/>
        <v>42.74</v>
      </c>
      <c r="Q2096" s="17">
        <f t="shared" si="129"/>
        <v>15.32</v>
      </c>
      <c r="R2096" s="24">
        <f t="shared" si="130"/>
        <v>0.26386496727523251</v>
      </c>
      <c r="S2096" t="s">
        <v>96</v>
      </c>
      <c r="T2096" t="s">
        <v>64</v>
      </c>
    </row>
    <row r="2097" spans="1:20" hidden="1">
      <c r="A2097" t="s">
        <v>2164</v>
      </c>
      <c r="B2097" s="5">
        <v>45513</v>
      </c>
      <c r="C2097" s="8">
        <f>YEAR(Tabla2[[#This Row],[fecha]])</f>
        <v>2024</v>
      </c>
      <c r="D2097" s="8">
        <f>MONTH(Tabla2[[#This Row],[fecha]])</f>
        <v>8</v>
      </c>
      <c r="E2097" s="8" t="str">
        <f>TEXT(Tabla2[[#This Row],[fecha]], "mmmm")</f>
        <v>agosto</v>
      </c>
      <c r="F2097" s="8" t="str">
        <f>"T"&amp;ROUNDUP(Tabla2[[#This Row],[mes]]/3,0)</f>
        <v>T3</v>
      </c>
      <c r="G2097" t="s">
        <v>13</v>
      </c>
      <c r="H2097" t="s">
        <v>14</v>
      </c>
      <c r="I2097" s="8" t="str">
        <f>IF(Tabla2[[#This Row],[precio_unitario]]&lt;=30,"Económico",IF(Tabla2[[#This Row],[precio_unitario]]&lt;=58.49,"Accesible","Caro"))</f>
        <v>Caro</v>
      </c>
      <c r="J2097" t="s">
        <v>8</v>
      </c>
      <c r="K2097">
        <v>10</v>
      </c>
      <c r="L2097" s="19">
        <v>161.18</v>
      </c>
      <c r="M2097" s="19">
        <v>113.84</v>
      </c>
      <c r="N2097" s="11">
        <v>0</v>
      </c>
      <c r="O2097" s="17">
        <f t="shared" si="131"/>
        <v>1611.8000000000002</v>
      </c>
      <c r="P2097" s="17">
        <f t="shared" si="128"/>
        <v>1138.4000000000001</v>
      </c>
      <c r="Q2097" s="17">
        <f t="shared" si="129"/>
        <v>473.40000000000009</v>
      </c>
      <c r="R2097" s="24">
        <f t="shared" si="130"/>
        <v>0.29370889688546969</v>
      </c>
      <c r="S2097" t="s">
        <v>63</v>
      </c>
      <c r="T2097" t="s">
        <v>60</v>
      </c>
    </row>
    <row r="2098" spans="1:20">
      <c r="A2098" t="s">
        <v>2165</v>
      </c>
      <c r="B2098" s="5">
        <v>45833</v>
      </c>
      <c r="C2098" s="8">
        <f>YEAR(Tabla2[[#This Row],[fecha]])</f>
        <v>2025</v>
      </c>
      <c r="D2098" s="8">
        <f>MONTH(Tabla2[[#This Row],[fecha]])</f>
        <v>6</v>
      </c>
      <c r="E2098" s="8" t="str">
        <f>TEXT(Tabla2[[#This Row],[fecha]], "mmmm")</f>
        <v>junio</v>
      </c>
      <c r="F2098" s="8" t="str">
        <f>"T"&amp;ROUNDUP(Tabla2[[#This Row],[mes]]/3,0)</f>
        <v>T2</v>
      </c>
      <c r="G2098" t="s">
        <v>38</v>
      </c>
      <c r="H2098" t="s">
        <v>39</v>
      </c>
      <c r="I2098" s="8" t="str">
        <f>IF(Tabla2[[#This Row],[precio_unitario]]&lt;=30,"Económico",IF(Tabla2[[#This Row],[precio_unitario]]&lt;=58.49,"Accesible","Caro"))</f>
        <v>Caro</v>
      </c>
      <c r="J2098" t="s">
        <v>35</v>
      </c>
      <c r="K2098">
        <v>1</v>
      </c>
      <c r="L2098" s="19">
        <v>80.92</v>
      </c>
      <c r="M2098" s="19">
        <v>43.94</v>
      </c>
      <c r="N2098" s="11">
        <v>0</v>
      </c>
      <c r="O2098" s="17">
        <f t="shared" si="131"/>
        <v>80.92</v>
      </c>
      <c r="P2098" s="17">
        <f t="shared" si="128"/>
        <v>43.94</v>
      </c>
      <c r="Q2098" s="17">
        <f t="shared" si="129"/>
        <v>36.980000000000004</v>
      </c>
      <c r="R2098" s="24">
        <f t="shared" si="130"/>
        <v>0.45699456253089477</v>
      </c>
      <c r="S2098" t="s">
        <v>67</v>
      </c>
      <c r="T2098" t="s">
        <v>64</v>
      </c>
    </row>
    <row r="2099" spans="1:20" hidden="1">
      <c r="A2099" t="s">
        <v>2166</v>
      </c>
      <c r="B2099" s="5">
        <v>45462</v>
      </c>
      <c r="C2099" s="8">
        <f>YEAR(Tabla2[[#This Row],[fecha]])</f>
        <v>2024</v>
      </c>
      <c r="D2099" s="8">
        <f>MONTH(Tabla2[[#This Row],[fecha]])</f>
        <v>6</v>
      </c>
      <c r="E2099" s="8" t="str">
        <f>TEXT(Tabla2[[#This Row],[fecha]], "mmmm")</f>
        <v>junio</v>
      </c>
      <c r="F2099" s="8" t="str">
        <f>"T"&amp;ROUNDUP(Tabla2[[#This Row],[mes]]/3,0)</f>
        <v>T2</v>
      </c>
      <c r="G2099" t="s">
        <v>31</v>
      </c>
      <c r="H2099" t="s">
        <v>32</v>
      </c>
      <c r="I2099" s="8" t="str">
        <f>IF(Tabla2[[#This Row],[precio_unitario]]&lt;=30,"Económico",IF(Tabla2[[#This Row],[precio_unitario]]&lt;=58.49,"Accesible","Caro"))</f>
        <v>Económico</v>
      </c>
      <c r="J2099" t="s">
        <v>26</v>
      </c>
      <c r="K2099">
        <v>2</v>
      </c>
      <c r="L2099" s="19">
        <v>9.39</v>
      </c>
      <c r="M2099" s="19">
        <v>5.73</v>
      </c>
      <c r="N2099" s="11">
        <v>0.11</v>
      </c>
      <c r="O2099" s="17">
        <f t="shared" si="131"/>
        <v>16.714200000000002</v>
      </c>
      <c r="P2099" s="17">
        <f t="shared" si="128"/>
        <v>11.46</v>
      </c>
      <c r="Q2099" s="17">
        <f t="shared" si="129"/>
        <v>5.2542000000000009</v>
      </c>
      <c r="R2099" s="24">
        <f t="shared" si="130"/>
        <v>0.31435545823311917</v>
      </c>
      <c r="S2099" t="s">
        <v>83</v>
      </c>
      <c r="T2099" t="s">
        <v>60</v>
      </c>
    </row>
    <row r="2100" spans="1:20" hidden="1">
      <c r="A2100" t="s">
        <v>2167</v>
      </c>
      <c r="B2100" s="5">
        <v>45354</v>
      </c>
      <c r="C2100" s="8">
        <f>YEAR(Tabla2[[#This Row],[fecha]])</f>
        <v>2024</v>
      </c>
      <c r="D2100" s="8">
        <f>MONTH(Tabla2[[#This Row],[fecha]])</f>
        <v>3</v>
      </c>
      <c r="E2100" s="8" t="str">
        <f>TEXT(Tabla2[[#This Row],[fecha]], "mmmm")</f>
        <v>marzo</v>
      </c>
      <c r="F2100" s="8" t="str">
        <f>"T"&amp;ROUNDUP(Tabla2[[#This Row],[mes]]/3,0)</f>
        <v>T1</v>
      </c>
      <c r="G2100" t="s">
        <v>45</v>
      </c>
      <c r="H2100" t="s">
        <v>46</v>
      </c>
      <c r="I2100" s="8" t="str">
        <f>IF(Tabla2[[#This Row],[precio_unitario]]&lt;=30,"Económico",IF(Tabla2[[#This Row],[precio_unitario]]&lt;=58.49,"Accesible","Caro"))</f>
        <v>Accesible</v>
      </c>
      <c r="J2100" t="s">
        <v>44</v>
      </c>
      <c r="K2100">
        <v>3</v>
      </c>
      <c r="L2100" s="19">
        <v>32.65</v>
      </c>
      <c r="M2100" s="19">
        <v>16.72</v>
      </c>
      <c r="N2100" s="11">
        <v>0</v>
      </c>
      <c r="O2100" s="17">
        <f t="shared" si="131"/>
        <v>97.949999999999989</v>
      </c>
      <c r="P2100" s="17">
        <f t="shared" si="128"/>
        <v>50.16</v>
      </c>
      <c r="Q2100" s="17">
        <f t="shared" si="129"/>
        <v>47.789999999999992</v>
      </c>
      <c r="R2100" s="24">
        <f t="shared" si="130"/>
        <v>0.48790199081163854</v>
      </c>
      <c r="S2100" s="10" t="s">
        <v>2377</v>
      </c>
      <c r="T2100" t="s">
        <v>60</v>
      </c>
    </row>
    <row r="2101" spans="1:20" hidden="1">
      <c r="A2101" t="s">
        <v>2168</v>
      </c>
      <c r="B2101" s="5">
        <v>45698</v>
      </c>
      <c r="C2101" s="8">
        <f>YEAR(Tabla2[[#This Row],[fecha]])</f>
        <v>2025</v>
      </c>
      <c r="D2101" s="8">
        <f>MONTH(Tabla2[[#This Row],[fecha]])</f>
        <v>2</v>
      </c>
      <c r="E2101" s="8" t="str">
        <f>TEXT(Tabla2[[#This Row],[fecha]], "mmmm")</f>
        <v>febrero</v>
      </c>
      <c r="F2101" s="8" t="str">
        <f>"T"&amp;ROUNDUP(Tabla2[[#This Row],[mes]]/3,0)</f>
        <v>T1</v>
      </c>
      <c r="G2101" t="s">
        <v>18</v>
      </c>
      <c r="H2101" t="s">
        <v>19</v>
      </c>
      <c r="I2101" s="8" t="str">
        <f>IF(Tabla2[[#This Row],[precio_unitario]]&lt;=30,"Económico",IF(Tabla2[[#This Row],[precio_unitario]]&lt;=58.49,"Accesible","Caro"))</f>
        <v>Accesible</v>
      </c>
      <c r="J2101" t="s">
        <v>17</v>
      </c>
      <c r="K2101">
        <v>1</v>
      </c>
      <c r="L2101" s="19">
        <v>48.52</v>
      </c>
      <c r="M2101" s="19">
        <v>26.4</v>
      </c>
      <c r="N2101" s="11">
        <v>0</v>
      </c>
      <c r="O2101" s="17">
        <f t="shared" si="131"/>
        <v>48.52</v>
      </c>
      <c r="P2101" s="17">
        <f t="shared" si="128"/>
        <v>26.4</v>
      </c>
      <c r="Q2101" s="17">
        <f t="shared" si="129"/>
        <v>22.120000000000005</v>
      </c>
      <c r="R2101" s="24">
        <f t="shared" si="130"/>
        <v>0.4558944765045343</v>
      </c>
      <c r="S2101" t="s">
        <v>540</v>
      </c>
      <c r="T2101" t="s">
        <v>64</v>
      </c>
    </row>
    <row r="2102" spans="1:20" hidden="1">
      <c r="A2102" t="s">
        <v>2169</v>
      </c>
      <c r="B2102" s="5">
        <v>45493</v>
      </c>
      <c r="C2102" s="8">
        <f>YEAR(Tabla2[[#This Row],[fecha]])</f>
        <v>2024</v>
      </c>
      <c r="D2102" s="8">
        <f>MONTH(Tabla2[[#This Row],[fecha]])</f>
        <v>7</v>
      </c>
      <c r="E2102" s="8" t="str">
        <f>TEXT(Tabla2[[#This Row],[fecha]], "mmmm")</f>
        <v>julio</v>
      </c>
      <c r="F2102" s="8" t="str">
        <f>"T"&amp;ROUNDUP(Tabla2[[#This Row],[mes]]/3,0)</f>
        <v>T3</v>
      </c>
      <c r="G2102" t="s">
        <v>29</v>
      </c>
      <c r="H2102" t="s">
        <v>30</v>
      </c>
      <c r="I2102" s="8" t="str">
        <f>IF(Tabla2[[#This Row],[precio_unitario]]&lt;=30,"Económico",IF(Tabla2[[#This Row],[precio_unitario]]&lt;=58.49,"Accesible","Caro"))</f>
        <v>Económico</v>
      </c>
      <c r="J2102" t="s">
        <v>26</v>
      </c>
      <c r="K2102">
        <v>5</v>
      </c>
      <c r="L2102" s="19">
        <v>22.7</v>
      </c>
      <c r="M2102" s="19">
        <v>11.05</v>
      </c>
      <c r="N2102" s="11">
        <v>0</v>
      </c>
      <c r="O2102" s="17">
        <f t="shared" si="131"/>
        <v>113.5</v>
      </c>
      <c r="P2102" s="17">
        <f t="shared" si="128"/>
        <v>55.25</v>
      </c>
      <c r="Q2102" s="17">
        <f t="shared" si="129"/>
        <v>58.25</v>
      </c>
      <c r="R2102" s="24">
        <f t="shared" si="130"/>
        <v>0.513215859030837</v>
      </c>
      <c r="S2102" t="s">
        <v>83</v>
      </c>
      <c r="T2102" t="s">
        <v>60</v>
      </c>
    </row>
    <row r="2103" spans="1:20">
      <c r="A2103" t="s">
        <v>2170</v>
      </c>
      <c r="B2103" s="5">
        <v>45843</v>
      </c>
      <c r="C2103" s="8">
        <f>YEAR(Tabla2[[#This Row],[fecha]])</f>
        <v>2025</v>
      </c>
      <c r="D2103" s="8">
        <f>MONTH(Tabla2[[#This Row],[fecha]])</f>
        <v>7</v>
      </c>
      <c r="E2103" s="8" t="str">
        <f>TEXT(Tabla2[[#This Row],[fecha]], "mmmm")</f>
        <v>julio</v>
      </c>
      <c r="F2103" s="8" t="str">
        <f>"T"&amp;ROUNDUP(Tabla2[[#This Row],[mes]]/3,0)</f>
        <v>T3</v>
      </c>
      <c r="G2103" t="s">
        <v>45</v>
      </c>
      <c r="H2103" t="s">
        <v>46</v>
      </c>
      <c r="I2103" s="8" t="str">
        <f>IF(Tabla2[[#This Row],[precio_unitario]]&lt;=30,"Económico",IF(Tabla2[[#This Row],[precio_unitario]]&lt;=58.49,"Accesible","Caro"))</f>
        <v>Accesible</v>
      </c>
      <c r="J2103" t="s">
        <v>44</v>
      </c>
      <c r="K2103">
        <v>1</v>
      </c>
      <c r="L2103" s="19">
        <v>31.96</v>
      </c>
      <c r="M2103" s="19">
        <v>18.03</v>
      </c>
      <c r="N2103" s="11">
        <v>0</v>
      </c>
      <c r="O2103" s="17">
        <f t="shared" si="131"/>
        <v>31.96</v>
      </c>
      <c r="P2103" s="17">
        <f t="shared" si="128"/>
        <v>18.03</v>
      </c>
      <c r="Q2103" s="17">
        <f t="shared" si="129"/>
        <v>13.93</v>
      </c>
      <c r="R2103" s="24">
        <f t="shared" si="130"/>
        <v>0.43585732165206509</v>
      </c>
      <c r="S2103" t="s">
        <v>67</v>
      </c>
      <c r="T2103" t="s">
        <v>64</v>
      </c>
    </row>
    <row r="2104" spans="1:20">
      <c r="A2104" t="s">
        <v>2171</v>
      </c>
      <c r="B2104" s="5">
        <v>45792</v>
      </c>
      <c r="C2104" s="8">
        <f>YEAR(Tabla2[[#This Row],[fecha]])</f>
        <v>2025</v>
      </c>
      <c r="D2104" s="8">
        <f>MONTH(Tabla2[[#This Row],[fecha]])</f>
        <v>5</v>
      </c>
      <c r="E2104" s="8" t="str">
        <f>TEXT(Tabla2[[#This Row],[fecha]], "mmmm")</f>
        <v>mayo</v>
      </c>
      <c r="F2104" s="8" t="str">
        <f>"T"&amp;ROUNDUP(Tabla2[[#This Row],[mes]]/3,0)</f>
        <v>T2</v>
      </c>
      <c r="G2104" t="s">
        <v>18</v>
      </c>
      <c r="H2104" t="s">
        <v>19</v>
      </c>
      <c r="I2104" s="8" t="str">
        <f>IF(Tabla2[[#This Row],[precio_unitario]]&lt;=30,"Económico",IF(Tabla2[[#This Row],[precio_unitario]]&lt;=58.49,"Accesible","Caro"))</f>
        <v>Accesible</v>
      </c>
      <c r="J2104" t="s">
        <v>17</v>
      </c>
      <c r="K2104">
        <v>1</v>
      </c>
      <c r="L2104" s="19">
        <v>50.12</v>
      </c>
      <c r="M2104" s="21">
        <f>INDEX(Tabla3[coste_objetivo], MATCH(Tabla2[[#This Row],[id_producto]], Tabla3[id_producto],0))</f>
        <v>26.63</v>
      </c>
      <c r="N2104" s="11">
        <v>0</v>
      </c>
      <c r="O2104" s="17">
        <f t="shared" si="131"/>
        <v>50.12</v>
      </c>
      <c r="P2104" s="17">
        <f t="shared" si="128"/>
        <v>26.63</v>
      </c>
      <c r="Q2104" s="17">
        <f t="shared" si="129"/>
        <v>23.49</v>
      </c>
      <c r="R2104" s="24">
        <f t="shared" si="130"/>
        <v>0.46867517956903432</v>
      </c>
      <c r="S2104" t="s">
        <v>67</v>
      </c>
      <c r="T2104" t="s">
        <v>64</v>
      </c>
    </row>
    <row r="2105" spans="1:20">
      <c r="A2105" t="s">
        <v>2172</v>
      </c>
      <c r="B2105" s="5">
        <v>45838</v>
      </c>
      <c r="C2105" s="8">
        <f>YEAR(Tabla2[[#This Row],[fecha]])</f>
        <v>2025</v>
      </c>
      <c r="D2105" s="8">
        <f>MONTH(Tabla2[[#This Row],[fecha]])</f>
        <v>6</v>
      </c>
      <c r="E2105" s="8" t="str">
        <f>TEXT(Tabla2[[#This Row],[fecha]], "mmmm")</f>
        <v>junio</v>
      </c>
      <c r="F2105" s="8" t="str">
        <f>"T"&amp;ROUNDUP(Tabla2[[#This Row],[mes]]/3,0)</f>
        <v>T2</v>
      </c>
      <c r="G2105" t="s">
        <v>40</v>
      </c>
      <c r="H2105" t="s">
        <v>41</v>
      </c>
      <c r="I2105" s="8" t="str">
        <f>IF(Tabla2[[#This Row],[precio_unitario]]&lt;=30,"Económico",IF(Tabla2[[#This Row],[precio_unitario]]&lt;=58.49,"Accesible","Caro"))</f>
        <v>Caro</v>
      </c>
      <c r="J2105" t="s">
        <v>35</v>
      </c>
      <c r="K2105">
        <v>1</v>
      </c>
      <c r="L2105" s="19">
        <v>80.73</v>
      </c>
      <c r="M2105" s="19">
        <v>40.64</v>
      </c>
      <c r="N2105" s="13">
        <v>0</v>
      </c>
      <c r="O2105" s="17">
        <f t="shared" si="131"/>
        <v>80.73</v>
      </c>
      <c r="P2105" s="17">
        <f t="shared" si="128"/>
        <v>40.64</v>
      </c>
      <c r="Q2105" s="17">
        <f t="shared" si="129"/>
        <v>40.090000000000003</v>
      </c>
      <c r="R2105" s="24">
        <f t="shared" si="130"/>
        <v>0.4965935835501053</v>
      </c>
      <c r="S2105" t="s">
        <v>67</v>
      </c>
      <c r="T2105" t="s">
        <v>64</v>
      </c>
    </row>
    <row r="2106" spans="1:20" hidden="1">
      <c r="A2106" t="s">
        <v>2173</v>
      </c>
      <c r="B2106" s="5">
        <v>45591</v>
      </c>
      <c r="C2106" s="8">
        <f>YEAR(Tabla2[[#This Row],[fecha]])</f>
        <v>2024</v>
      </c>
      <c r="D2106" s="8">
        <f>MONTH(Tabla2[[#This Row],[fecha]])</f>
        <v>10</v>
      </c>
      <c r="E2106" s="8" t="str">
        <f>TEXT(Tabla2[[#This Row],[fecha]], "mmmm")</f>
        <v>octubre</v>
      </c>
      <c r="F2106" s="8" t="str">
        <f>"T"&amp;ROUNDUP(Tabla2[[#This Row],[mes]]/3,0)</f>
        <v>T4</v>
      </c>
      <c r="G2106" t="s">
        <v>22</v>
      </c>
      <c r="H2106" t="s">
        <v>23</v>
      </c>
      <c r="I2106" s="8" t="str">
        <f>IF(Tabla2[[#This Row],[precio_unitario]]&lt;=30,"Económico",IF(Tabla2[[#This Row],[precio_unitario]]&lt;=58.49,"Accesible","Caro"))</f>
        <v>Caro</v>
      </c>
      <c r="J2106" t="s">
        <v>17</v>
      </c>
      <c r="K2106">
        <v>1</v>
      </c>
      <c r="L2106" s="19">
        <v>103.7</v>
      </c>
      <c r="M2106" s="19">
        <v>59.04</v>
      </c>
      <c r="N2106" s="11">
        <v>0</v>
      </c>
      <c r="O2106" s="17">
        <f t="shared" si="131"/>
        <v>103.7</v>
      </c>
      <c r="P2106" s="17">
        <f t="shared" si="128"/>
        <v>59.04</v>
      </c>
      <c r="Q2106" s="17">
        <f t="shared" si="129"/>
        <v>44.660000000000004</v>
      </c>
      <c r="R2106" s="24">
        <f t="shared" si="130"/>
        <v>0.43066538090646095</v>
      </c>
      <c r="S2106" s="10" t="s">
        <v>2377</v>
      </c>
      <c r="T2106" t="s">
        <v>60</v>
      </c>
    </row>
    <row r="2107" spans="1:20" hidden="1">
      <c r="A2107" t="s">
        <v>2174</v>
      </c>
      <c r="B2107" s="5">
        <v>45735</v>
      </c>
      <c r="C2107" s="8">
        <f>YEAR(Tabla2[[#This Row],[fecha]])</f>
        <v>2025</v>
      </c>
      <c r="D2107" s="8">
        <f>MONTH(Tabla2[[#This Row],[fecha]])</f>
        <v>3</v>
      </c>
      <c r="E2107" s="8" t="str">
        <f>TEXT(Tabla2[[#This Row],[fecha]], "mmmm")</f>
        <v>marzo</v>
      </c>
      <c r="F2107" s="8" t="str">
        <f>"T"&amp;ROUNDUP(Tabla2[[#This Row],[mes]]/3,0)</f>
        <v>T1</v>
      </c>
      <c r="G2107" t="s">
        <v>36</v>
      </c>
      <c r="H2107" t="s">
        <v>37</v>
      </c>
      <c r="I2107" s="8" t="str">
        <f>IF(Tabla2[[#This Row],[precio_unitario]]&lt;=30,"Económico",IF(Tabla2[[#This Row],[precio_unitario]]&lt;=58.49,"Accesible","Caro"))</f>
        <v>Económico</v>
      </c>
      <c r="J2107" t="s">
        <v>35</v>
      </c>
      <c r="K2107">
        <v>2</v>
      </c>
      <c r="L2107" s="19">
        <v>12.99</v>
      </c>
      <c r="M2107" s="21">
        <f>INDEX(Tabla3[coste_objetivo], MATCH(Tabla2[[#This Row],[id_producto]], Tabla3[id_producto],0))</f>
        <v>9.58</v>
      </c>
      <c r="N2107" s="11">
        <v>0</v>
      </c>
      <c r="O2107" s="17">
        <f t="shared" si="131"/>
        <v>25.98</v>
      </c>
      <c r="P2107" s="17">
        <f t="shared" si="128"/>
        <v>19.16</v>
      </c>
      <c r="Q2107" s="17">
        <f t="shared" si="129"/>
        <v>6.82</v>
      </c>
      <c r="R2107" s="24">
        <f t="shared" si="130"/>
        <v>0.26250962278675904</v>
      </c>
      <c r="S2107" t="s">
        <v>101</v>
      </c>
      <c r="T2107" t="s">
        <v>64</v>
      </c>
    </row>
    <row r="2108" spans="1:20" hidden="1">
      <c r="A2108" t="s">
        <v>2175</v>
      </c>
      <c r="B2108" s="5">
        <v>45527</v>
      </c>
      <c r="C2108" s="8">
        <f>YEAR(Tabla2[[#This Row],[fecha]])</f>
        <v>2024</v>
      </c>
      <c r="D2108" s="8">
        <f>MONTH(Tabla2[[#This Row],[fecha]])</f>
        <v>8</v>
      </c>
      <c r="E2108" s="8" t="str">
        <f>TEXT(Tabla2[[#This Row],[fecha]], "mmmm")</f>
        <v>agosto</v>
      </c>
      <c r="F2108" s="8" t="str">
        <f>"T"&amp;ROUNDUP(Tabla2[[#This Row],[mes]]/3,0)</f>
        <v>T3</v>
      </c>
      <c r="G2108" t="s">
        <v>9</v>
      </c>
      <c r="H2108" t="s">
        <v>10</v>
      </c>
      <c r="I2108" s="8" t="str">
        <f>IF(Tabla2[[#This Row],[precio_unitario]]&lt;=30,"Económico",IF(Tabla2[[#This Row],[precio_unitario]]&lt;=58.49,"Accesible","Caro"))</f>
        <v>Caro</v>
      </c>
      <c r="J2108" t="s">
        <v>8</v>
      </c>
      <c r="K2108">
        <v>2</v>
      </c>
      <c r="L2108" s="19">
        <v>76.31</v>
      </c>
      <c r="M2108" s="19">
        <v>48.73</v>
      </c>
      <c r="N2108" s="11">
        <v>0.09</v>
      </c>
      <c r="O2108" s="17">
        <f t="shared" si="131"/>
        <v>138.88420000000002</v>
      </c>
      <c r="P2108" s="17">
        <f t="shared" si="128"/>
        <v>97.46</v>
      </c>
      <c r="Q2108" s="17">
        <f t="shared" si="129"/>
        <v>41.424200000000027</v>
      </c>
      <c r="R2108" s="24">
        <f t="shared" si="130"/>
        <v>0.29826430940308563</v>
      </c>
      <c r="S2108" t="s">
        <v>63</v>
      </c>
      <c r="T2108" t="s">
        <v>64</v>
      </c>
    </row>
    <row r="2109" spans="1:20" hidden="1">
      <c r="A2109" t="s">
        <v>2176</v>
      </c>
      <c r="B2109" s="5">
        <v>45774</v>
      </c>
      <c r="C2109" s="8">
        <f>YEAR(Tabla2[[#This Row],[fecha]])</f>
        <v>2025</v>
      </c>
      <c r="D2109" s="8">
        <f>MONTH(Tabla2[[#This Row],[fecha]])</f>
        <v>4</v>
      </c>
      <c r="E2109" s="8" t="str">
        <f>TEXT(Tabla2[[#This Row],[fecha]], "mmmm")</f>
        <v>abril</v>
      </c>
      <c r="F2109" s="8" t="str">
        <f>"T"&amp;ROUNDUP(Tabla2[[#This Row],[mes]]/3,0)</f>
        <v>T2</v>
      </c>
      <c r="G2109" t="s">
        <v>49</v>
      </c>
      <c r="H2109" t="s">
        <v>50</v>
      </c>
      <c r="I2109" s="8" t="str">
        <f>IF(Tabla2[[#This Row],[precio_unitario]]&lt;=30,"Económico",IF(Tabla2[[#This Row],[precio_unitario]]&lt;=58.49,"Accesible","Caro"))</f>
        <v>Accesible</v>
      </c>
      <c r="J2109" t="s">
        <v>44</v>
      </c>
      <c r="K2109">
        <v>1</v>
      </c>
      <c r="L2109" s="19">
        <v>57.5</v>
      </c>
      <c r="M2109" s="19">
        <v>33.19</v>
      </c>
      <c r="N2109" s="11">
        <v>0</v>
      </c>
      <c r="O2109" s="17">
        <f t="shared" si="131"/>
        <v>57.5</v>
      </c>
      <c r="P2109" s="17">
        <f t="shared" si="128"/>
        <v>33.19</v>
      </c>
      <c r="Q2109" s="17">
        <f t="shared" si="129"/>
        <v>24.310000000000002</v>
      </c>
      <c r="R2109" s="24">
        <f t="shared" si="130"/>
        <v>0.42278260869565221</v>
      </c>
      <c r="S2109" t="s">
        <v>96</v>
      </c>
      <c r="T2109" t="s">
        <v>64</v>
      </c>
    </row>
    <row r="2110" spans="1:20">
      <c r="A2110" t="s">
        <v>2177</v>
      </c>
      <c r="B2110" s="5">
        <v>45845</v>
      </c>
      <c r="C2110" s="8">
        <f>YEAR(Tabla2[[#This Row],[fecha]])</f>
        <v>2025</v>
      </c>
      <c r="D2110" s="8">
        <f>MONTH(Tabla2[[#This Row],[fecha]])</f>
        <v>7</v>
      </c>
      <c r="E2110" s="8" t="str">
        <f>TEXT(Tabla2[[#This Row],[fecha]], "mmmm")</f>
        <v>julio</v>
      </c>
      <c r="F2110" s="8" t="str">
        <f>"T"&amp;ROUNDUP(Tabla2[[#This Row],[mes]]/3,0)</f>
        <v>T3</v>
      </c>
      <c r="G2110" t="s">
        <v>24</v>
      </c>
      <c r="H2110" t="s">
        <v>25</v>
      </c>
      <c r="I2110" s="8" t="str">
        <f>IF(Tabla2[[#This Row],[precio_unitario]]&lt;=30,"Económico",IF(Tabla2[[#This Row],[precio_unitario]]&lt;=58.49,"Accesible","Caro"))</f>
        <v>Económico</v>
      </c>
      <c r="J2110" t="s">
        <v>26</v>
      </c>
      <c r="K2110">
        <v>3</v>
      </c>
      <c r="L2110" s="19">
        <v>8.2799999999999994</v>
      </c>
      <c r="M2110" s="19">
        <v>4.47</v>
      </c>
      <c r="N2110" s="11">
        <v>0</v>
      </c>
      <c r="O2110" s="17">
        <f t="shared" si="131"/>
        <v>24.839999999999996</v>
      </c>
      <c r="P2110" s="17">
        <f t="shared" si="128"/>
        <v>13.41</v>
      </c>
      <c r="Q2110" s="17">
        <f t="shared" si="129"/>
        <v>11.429999999999996</v>
      </c>
      <c r="R2110" s="24">
        <f t="shared" si="130"/>
        <v>0.46014492753623182</v>
      </c>
      <c r="S2110" t="s">
        <v>67</v>
      </c>
      <c r="T2110" t="s">
        <v>64</v>
      </c>
    </row>
    <row r="2111" spans="1:20" hidden="1">
      <c r="A2111" t="s">
        <v>2178</v>
      </c>
      <c r="B2111" s="5">
        <v>45756</v>
      </c>
      <c r="C2111" s="8">
        <f>YEAR(Tabla2[[#This Row],[fecha]])</f>
        <v>2025</v>
      </c>
      <c r="D2111" s="8">
        <f>MONTH(Tabla2[[#This Row],[fecha]])</f>
        <v>4</v>
      </c>
      <c r="E2111" s="8" t="str">
        <f>TEXT(Tabla2[[#This Row],[fecha]], "mmmm")</f>
        <v>abril</v>
      </c>
      <c r="F2111" s="8" t="str">
        <f>"T"&amp;ROUNDUP(Tabla2[[#This Row],[mes]]/3,0)</f>
        <v>T2</v>
      </c>
      <c r="G2111" t="s">
        <v>9</v>
      </c>
      <c r="H2111" t="s">
        <v>10</v>
      </c>
      <c r="I2111" s="8" t="str">
        <f>IF(Tabla2[[#This Row],[precio_unitario]]&lt;=30,"Económico",IF(Tabla2[[#This Row],[precio_unitario]]&lt;=58.49,"Accesible","Caro"))</f>
        <v>Caro</v>
      </c>
      <c r="J2111" t="s">
        <v>8</v>
      </c>
      <c r="K2111">
        <v>4</v>
      </c>
      <c r="L2111" s="19">
        <v>74.77</v>
      </c>
      <c r="M2111" s="19">
        <v>46.96</v>
      </c>
      <c r="N2111" s="13">
        <v>0</v>
      </c>
      <c r="O2111" s="17">
        <f t="shared" si="131"/>
        <v>299.08</v>
      </c>
      <c r="P2111" s="17">
        <f t="shared" si="128"/>
        <v>187.84</v>
      </c>
      <c r="Q2111" s="17">
        <f t="shared" si="129"/>
        <v>111.23999999999998</v>
      </c>
      <c r="R2111" s="24">
        <f t="shared" si="130"/>
        <v>0.37194061789487759</v>
      </c>
      <c r="S2111" t="s">
        <v>540</v>
      </c>
      <c r="T2111" t="s">
        <v>60</v>
      </c>
    </row>
    <row r="2112" spans="1:20" hidden="1">
      <c r="A2112" t="s">
        <v>2179</v>
      </c>
      <c r="B2112" s="5">
        <v>45642</v>
      </c>
      <c r="C2112" s="8">
        <f>YEAR(Tabla2[[#This Row],[fecha]])</f>
        <v>2024</v>
      </c>
      <c r="D2112" s="8">
        <f>MONTH(Tabla2[[#This Row],[fecha]])</f>
        <v>12</v>
      </c>
      <c r="E2112" s="8" t="str">
        <f>TEXT(Tabla2[[#This Row],[fecha]], "mmmm")</f>
        <v>diciembre</v>
      </c>
      <c r="F2112" s="8" t="str">
        <f>"T"&amp;ROUNDUP(Tabla2[[#This Row],[mes]]/3,0)</f>
        <v>T4</v>
      </c>
      <c r="G2112" t="s">
        <v>13</v>
      </c>
      <c r="H2112" t="s">
        <v>14</v>
      </c>
      <c r="I2112" s="8" t="str">
        <f>IF(Tabla2[[#This Row],[precio_unitario]]&lt;=30,"Económico",IF(Tabla2[[#This Row],[precio_unitario]]&lt;=58.49,"Accesible","Caro"))</f>
        <v>Caro</v>
      </c>
      <c r="J2112" t="s">
        <v>8</v>
      </c>
      <c r="K2112">
        <v>1</v>
      </c>
      <c r="L2112" s="19">
        <v>165.22</v>
      </c>
      <c r="M2112" s="19">
        <v>104.61</v>
      </c>
      <c r="N2112" s="11">
        <v>0</v>
      </c>
      <c r="O2112" s="17">
        <f t="shared" si="131"/>
        <v>165.22</v>
      </c>
      <c r="P2112" s="17">
        <f t="shared" si="128"/>
        <v>104.61</v>
      </c>
      <c r="Q2112" s="17">
        <f t="shared" si="129"/>
        <v>60.61</v>
      </c>
      <c r="R2112" s="24">
        <f t="shared" si="130"/>
        <v>0.36684420772303594</v>
      </c>
      <c r="S2112" t="s">
        <v>67</v>
      </c>
      <c r="T2112" t="s">
        <v>64</v>
      </c>
    </row>
    <row r="2113" spans="1:20" hidden="1">
      <c r="A2113" t="s">
        <v>2180</v>
      </c>
      <c r="B2113" s="5">
        <v>45335</v>
      </c>
      <c r="C2113" s="8">
        <f>YEAR(Tabla2[[#This Row],[fecha]])</f>
        <v>2024</v>
      </c>
      <c r="D2113" s="8">
        <f>MONTH(Tabla2[[#This Row],[fecha]])</f>
        <v>2</v>
      </c>
      <c r="E2113" s="8" t="str">
        <f>TEXT(Tabla2[[#This Row],[fecha]], "mmmm")</f>
        <v>febrero</v>
      </c>
      <c r="F2113" s="8" t="str">
        <f>"T"&amp;ROUNDUP(Tabla2[[#This Row],[mes]]/3,0)</f>
        <v>T1</v>
      </c>
      <c r="G2113" t="s">
        <v>38</v>
      </c>
      <c r="H2113" t="s">
        <v>39</v>
      </c>
      <c r="I2113" s="8" t="str">
        <f>IF(Tabla2[[#This Row],[precio_unitario]]&lt;=30,"Económico",IF(Tabla2[[#This Row],[precio_unitario]]&lt;=58.49,"Accesible","Caro"))</f>
        <v>Caro</v>
      </c>
      <c r="J2113" t="s">
        <v>35</v>
      </c>
      <c r="K2113">
        <v>3</v>
      </c>
      <c r="L2113" s="19">
        <v>72.06</v>
      </c>
      <c r="M2113" s="19">
        <v>42.31</v>
      </c>
      <c r="N2113" s="11">
        <v>0</v>
      </c>
      <c r="O2113" s="17">
        <f t="shared" si="131"/>
        <v>216.18</v>
      </c>
      <c r="P2113" s="17">
        <f t="shared" si="128"/>
        <v>126.93</v>
      </c>
      <c r="Q2113" s="17">
        <f t="shared" si="129"/>
        <v>89.25</v>
      </c>
      <c r="R2113" s="24">
        <f t="shared" si="130"/>
        <v>0.41285040244240911</v>
      </c>
      <c r="S2113" t="s">
        <v>96</v>
      </c>
      <c r="T2113" t="s">
        <v>60</v>
      </c>
    </row>
    <row r="2114" spans="1:20" hidden="1">
      <c r="A2114" t="s">
        <v>2181</v>
      </c>
      <c r="B2114" s="5">
        <v>45623</v>
      </c>
      <c r="C2114" s="8">
        <f>YEAR(Tabla2[[#This Row],[fecha]])</f>
        <v>2024</v>
      </c>
      <c r="D2114" s="8">
        <f>MONTH(Tabla2[[#This Row],[fecha]])</f>
        <v>11</v>
      </c>
      <c r="E2114" s="8" t="str">
        <f>TEXT(Tabla2[[#This Row],[fecha]], "mmmm")</f>
        <v>noviembre</v>
      </c>
      <c r="F2114" s="8" t="str">
        <f>"T"&amp;ROUNDUP(Tabla2[[#This Row],[mes]]/3,0)</f>
        <v>T4</v>
      </c>
      <c r="G2114" t="s">
        <v>13</v>
      </c>
      <c r="H2114" t="s">
        <v>14</v>
      </c>
      <c r="I2114" s="8" t="str">
        <f>IF(Tabla2[[#This Row],[precio_unitario]]&lt;=30,"Económico",IF(Tabla2[[#This Row],[precio_unitario]]&lt;=58.49,"Accesible","Caro"))</f>
        <v>Caro</v>
      </c>
      <c r="J2114" t="s">
        <v>8</v>
      </c>
      <c r="K2114">
        <v>2</v>
      </c>
      <c r="L2114" s="19">
        <v>157.03</v>
      </c>
      <c r="M2114" s="19">
        <v>109.21</v>
      </c>
      <c r="N2114" s="11">
        <v>0.28000000000000003</v>
      </c>
      <c r="O2114" s="17">
        <f t="shared" si="131"/>
        <v>226.1232</v>
      </c>
      <c r="P2114" s="17">
        <f t="shared" ref="P2114:P2177" si="132">M2114*K2114</f>
        <v>218.42</v>
      </c>
      <c r="Q2114" s="17">
        <f t="shared" ref="Q2114:Q2177" si="133">O2114-P2114</f>
        <v>7.7032000000000096</v>
      </c>
      <c r="R2114" s="24">
        <f t="shared" ref="R2114:R2177" si="134">IFERROR(Q2114/O2114,0)</f>
        <v>3.4066385050273519E-2</v>
      </c>
      <c r="S2114" s="10" t="s">
        <v>2377</v>
      </c>
      <c r="T2114" t="s">
        <v>64</v>
      </c>
    </row>
    <row r="2115" spans="1:20" hidden="1">
      <c r="A2115" t="s">
        <v>2182</v>
      </c>
      <c r="B2115" s="5">
        <v>45691</v>
      </c>
      <c r="C2115" s="8">
        <f>YEAR(Tabla2[[#This Row],[fecha]])</f>
        <v>2025</v>
      </c>
      <c r="D2115" s="8">
        <f>MONTH(Tabla2[[#This Row],[fecha]])</f>
        <v>2</v>
      </c>
      <c r="E2115" s="8" t="str">
        <f>TEXT(Tabla2[[#This Row],[fecha]], "mmmm")</f>
        <v>febrero</v>
      </c>
      <c r="F2115" s="8" t="str">
        <f>"T"&amp;ROUNDUP(Tabla2[[#This Row],[mes]]/3,0)</f>
        <v>T1</v>
      </c>
      <c r="G2115" t="s">
        <v>31</v>
      </c>
      <c r="H2115" t="s">
        <v>32</v>
      </c>
      <c r="I2115" s="8" t="str">
        <f>IF(Tabla2[[#This Row],[precio_unitario]]&lt;=30,"Económico",IF(Tabla2[[#This Row],[precio_unitario]]&lt;=58.49,"Accesible","Caro"))</f>
        <v>Económico</v>
      </c>
      <c r="J2115" t="s">
        <v>26</v>
      </c>
      <c r="K2115">
        <v>5</v>
      </c>
      <c r="L2115" s="19">
        <v>8.08</v>
      </c>
      <c r="M2115" s="19">
        <v>5.55</v>
      </c>
      <c r="N2115" s="13">
        <v>0</v>
      </c>
      <c r="O2115" s="17">
        <f t="shared" ref="O2115:O2178" si="135">K2115*L2115*(1-N2115)</f>
        <v>40.4</v>
      </c>
      <c r="P2115" s="17">
        <f t="shared" si="132"/>
        <v>27.75</v>
      </c>
      <c r="Q2115" s="17">
        <f t="shared" si="133"/>
        <v>12.649999999999999</v>
      </c>
      <c r="R2115" s="24">
        <f t="shared" si="134"/>
        <v>0.31311881188118812</v>
      </c>
      <c r="S2115" t="s">
        <v>540</v>
      </c>
      <c r="T2115" t="s">
        <v>64</v>
      </c>
    </row>
    <row r="2116" spans="1:20" hidden="1">
      <c r="A2116" t="s">
        <v>2183</v>
      </c>
      <c r="B2116" s="5">
        <v>45339</v>
      </c>
      <c r="C2116" s="8">
        <f>YEAR(Tabla2[[#This Row],[fecha]])</f>
        <v>2024</v>
      </c>
      <c r="D2116" s="8">
        <f>MONTH(Tabla2[[#This Row],[fecha]])</f>
        <v>2</v>
      </c>
      <c r="E2116" s="8" t="str">
        <f>TEXT(Tabla2[[#This Row],[fecha]], "mmmm")</f>
        <v>febrero</v>
      </c>
      <c r="F2116" s="8" t="str">
        <f>"T"&amp;ROUNDUP(Tabla2[[#This Row],[mes]]/3,0)</f>
        <v>T1</v>
      </c>
      <c r="G2116" t="s">
        <v>36</v>
      </c>
      <c r="H2116" t="s">
        <v>37</v>
      </c>
      <c r="I2116" s="8" t="str">
        <f>IF(Tabla2[[#This Row],[precio_unitario]]&lt;=30,"Económico",IF(Tabla2[[#This Row],[precio_unitario]]&lt;=58.49,"Accesible","Caro"))</f>
        <v>Económico</v>
      </c>
      <c r="J2116" t="s">
        <v>35</v>
      </c>
      <c r="K2116">
        <v>4</v>
      </c>
      <c r="L2116" s="19">
        <v>13.19</v>
      </c>
      <c r="M2116" s="19">
        <v>9.4600000000000009</v>
      </c>
      <c r="N2116" s="11">
        <v>0</v>
      </c>
      <c r="O2116" s="17">
        <f t="shared" si="135"/>
        <v>52.76</v>
      </c>
      <c r="P2116" s="17">
        <f t="shared" si="132"/>
        <v>37.840000000000003</v>
      </c>
      <c r="Q2116" s="17">
        <f t="shared" si="133"/>
        <v>14.919999999999995</v>
      </c>
      <c r="R2116" s="24">
        <f t="shared" si="134"/>
        <v>0.28278999241849878</v>
      </c>
      <c r="S2116" t="s">
        <v>67</v>
      </c>
      <c r="T2116" t="s">
        <v>64</v>
      </c>
    </row>
    <row r="2117" spans="1:20" hidden="1">
      <c r="A2117" t="s">
        <v>2184</v>
      </c>
      <c r="B2117" s="5">
        <v>45905</v>
      </c>
      <c r="C2117" s="8">
        <f>YEAR(Tabla2[[#This Row],[fecha]])</f>
        <v>2025</v>
      </c>
      <c r="D2117" s="8">
        <f>MONTH(Tabla2[[#This Row],[fecha]])</f>
        <v>9</v>
      </c>
      <c r="E2117" s="8" t="str">
        <f>TEXT(Tabla2[[#This Row],[fecha]], "mmmm")</f>
        <v>septiembre</v>
      </c>
      <c r="F2117" s="8" t="str">
        <f>"T"&amp;ROUNDUP(Tabla2[[#This Row],[mes]]/3,0)</f>
        <v>T3</v>
      </c>
      <c r="G2117" t="s">
        <v>13</v>
      </c>
      <c r="H2117" t="s">
        <v>14</v>
      </c>
      <c r="I2117" s="8" t="str">
        <f>IF(Tabla2[[#This Row],[precio_unitario]]&lt;=30,"Económico",IF(Tabla2[[#This Row],[precio_unitario]]&lt;=58.49,"Accesible","Caro"))</f>
        <v>Caro</v>
      </c>
      <c r="J2117" t="s">
        <v>8</v>
      </c>
      <c r="K2117">
        <v>8</v>
      </c>
      <c r="L2117" s="19">
        <v>165.15</v>
      </c>
      <c r="M2117" s="21">
        <f>INDEX(Tabla3[coste_objetivo], MATCH(Tabla2[[#This Row],[id_producto]], Tabla3[id_producto],0))</f>
        <v>110.03</v>
      </c>
      <c r="N2117" s="11">
        <v>0</v>
      </c>
      <c r="O2117" s="17">
        <f t="shared" si="135"/>
        <v>1321.2</v>
      </c>
      <c r="P2117" s="17">
        <f t="shared" si="132"/>
        <v>880.24</v>
      </c>
      <c r="Q2117" s="17">
        <f t="shared" si="133"/>
        <v>440.96000000000004</v>
      </c>
      <c r="R2117" s="24">
        <f t="shared" si="134"/>
        <v>0.33375719043293978</v>
      </c>
      <c r="S2117" t="s">
        <v>83</v>
      </c>
      <c r="T2117" t="s">
        <v>60</v>
      </c>
    </row>
    <row r="2118" spans="1:20" hidden="1">
      <c r="A2118" t="s">
        <v>2185</v>
      </c>
      <c r="B2118" s="5">
        <v>45714</v>
      </c>
      <c r="C2118" s="8">
        <f>YEAR(Tabla2[[#This Row],[fecha]])</f>
        <v>2025</v>
      </c>
      <c r="D2118" s="8">
        <f>MONTH(Tabla2[[#This Row],[fecha]])</f>
        <v>2</v>
      </c>
      <c r="E2118" s="8" t="str">
        <f>TEXT(Tabla2[[#This Row],[fecha]], "mmmm")</f>
        <v>febrero</v>
      </c>
      <c r="F2118" s="8" t="str">
        <f>"T"&amp;ROUNDUP(Tabla2[[#This Row],[mes]]/3,0)</f>
        <v>T1</v>
      </c>
      <c r="G2118" t="s">
        <v>22</v>
      </c>
      <c r="H2118" t="s">
        <v>23</v>
      </c>
      <c r="I2118" s="8" t="str">
        <f>IF(Tabla2[[#This Row],[precio_unitario]]&lt;=30,"Económico",IF(Tabla2[[#This Row],[precio_unitario]]&lt;=58.49,"Accesible","Caro"))</f>
        <v>Caro</v>
      </c>
      <c r="J2118" t="s">
        <v>17</v>
      </c>
      <c r="K2118">
        <v>1</v>
      </c>
      <c r="L2118" s="19">
        <v>102.36</v>
      </c>
      <c r="M2118" s="19">
        <v>59.71</v>
      </c>
      <c r="N2118" s="13">
        <v>0</v>
      </c>
      <c r="O2118" s="17">
        <f t="shared" si="135"/>
        <v>102.36</v>
      </c>
      <c r="P2118" s="17">
        <f t="shared" si="132"/>
        <v>59.71</v>
      </c>
      <c r="Q2118" s="17">
        <f t="shared" si="133"/>
        <v>42.65</v>
      </c>
      <c r="R2118" s="24">
        <f t="shared" si="134"/>
        <v>0.41666666666666663</v>
      </c>
      <c r="S2118" t="s">
        <v>96</v>
      </c>
      <c r="T2118" t="s">
        <v>60</v>
      </c>
    </row>
    <row r="2119" spans="1:20" hidden="1">
      <c r="A2119" t="s">
        <v>2186</v>
      </c>
      <c r="B2119" s="5">
        <v>45832</v>
      </c>
      <c r="C2119" s="8">
        <f>YEAR(Tabla2[[#This Row],[fecha]])</f>
        <v>2025</v>
      </c>
      <c r="D2119" s="8">
        <f>MONTH(Tabla2[[#This Row],[fecha]])</f>
        <v>6</v>
      </c>
      <c r="E2119" s="8" t="str">
        <f>TEXT(Tabla2[[#This Row],[fecha]], "mmmm")</f>
        <v>junio</v>
      </c>
      <c r="F2119" s="8" t="str">
        <f>"T"&amp;ROUNDUP(Tabla2[[#This Row],[mes]]/3,0)</f>
        <v>T2</v>
      </c>
      <c r="G2119" t="s">
        <v>13</v>
      </c>
      <c r="H2119" t="s">
        <v>14</v>
      </c>
      <c r="I2119" s="8" t="str">
        <f>IF(Tabla2[[#This Row],[precio_unitario]]&lt;=30,"Económico",IF(Tabla2[[#This Row],[precio_unitario]]&lt;=58.49,"Accesible","Caro"))</f>
        <v>Caro</v>
      </c>
      <c r="J2119" t="s">
        <v>8</v>
      </c>
      <c r="K2119">
        <v>3</v>
      </c>
      <c r="L2119" s="19">
        <v>172.79</v>
      </c>
      <c r="M2119" s="19">
        <v>112.06</v>
      </c>
      <c r="N2119" s="11">
        <v>0</v>
      </c>
      <c r="O2119" s="17">
        <f t="shared" si="135"/>
        <v>518.37</v>
      </c>
      <c r="P2119" s="17">
        <f t="shared" si="132"/>
        <v>336.18</v>
      </c>
      <c r="Q2119" s="17">
        <f t="shared" si="133"/>
        <v>182.19</v>
      </c>
      <c r="R2119" s="24">
        <f t="shared" si="134"/>
        <v>0.35146709879043925</v>
      </c>
      <c r="S2119" t="s">
        <v>96</v>
      </c>
      <c r="T2119" t="s">
        <v>60</v>
      </c>
    </row>
    <row r="2120" spans="1:20" hidden="1">
      <c r="A2120" t="s">
        <v>2187</v>
      </c>
      <c r="B2120" s="5">
        <v>45625</v>
      </c>
      <c r="C2120" s="8">
        <f>YEAR(Tabla2[[#This Row],[fecha]])</f>
        <v>2024</v>
      </c>
      <c r="D2120" s="8">
        <f>MONTH(Tabla2[[#This Row],[fecha]])</f>
        <v>11</v>
      </c>
      <c r="E2120" s="8" t="str">
        <f>TEXT(Tabla2[[#This Row],[fecha]], "mmmm")</f>
        <v>noviembre</v>
      </c>
      <c r="F2120" s="8" t="str">
        <f>"T"&amp;ROUNDUP(Tabla2[[#This Row],[mes]]/3,0)</f>
        <v>T4</v>
      </c>
      <c r="G2120" t="s">
        <v>45</v>
      </c>
      <c r="H2120" t="s">
        <v>46</v>
      </c>
      <c r="I2120" s="8" t="str">
        <f>IF(Tabla2[[#This Row],[precio_unitario]]&lt;=30,"Económico",IF(Tabla2[[#This Row],[precio_unitario]]&lt;=58.49,"Accesible","Caro"))</f>
        <v>Accesible</v>
      </c>
      <c r="J2120" t="s">
        <v>44</v>
      </c>
      <c r="K2120">
        <v>5</v>
      </c>
      <c r="L2120" s="19">
        <v>32.299999999999997</v>
      </c>
      <c r="M2120" s="19">
        <v>16.64</v>
      </c>
      <c r="N2120" s="11">
        <v>0.19</v>
      </c>
      <c r="O2120" s="17">
        <f t="shared" si="135"/>
        <v>130.815</v>
      </c>
      <c r="P2120" s="17">
        <f t="shared" si="132"/>
        <v>83.2</v>
      </c>
      <c r="Q2120" s="17">
        <f t="shared" si="133"/>
        <v>47.614999999999995</v>
      </c>
      <c r="R2120" s="24">
        <f t="shared" si="134"/>
        <v>0.3639873103237396</v>
      </c>
      <c r="S2120" t="s">
        <v>96</v>
      </c>
      <c r="T2120" t="s">
        <v>64</v>
      </c>
    </row>
    <row r="2121" spans="1:20">
      <c r="A2121" t="s">
        <v>2188</v>
      </c>
      <c r="B2121" s="5">
        <v>45865</v>
      </c>
      <c r="C2121" s="8">
        <f>YEAR(Tabla2[[#This Row],[fecha]])</f>
        <v>2025</v>
      </c>
      <c r="D2121" s="8">
        <f>MONTH(Tabla2[[#This Row],[fecha]])</f>
        <v>7</v>
      </c>
      <c r="E2121" s="8" t="str">
        <f>TEXT(Tabla2[[#This Row],[fecha]], "mmmm")</f>
        <v>julio</v>
      </c>
      <c r="F2121" s="8" t="str">
        <f>"T"&amp;ROUNDUP(Tabla2[[#This Row],[mes]]/3,0)</f>
        <v>T3</v>
      </c>
      <c r="G2121" t="s">
        <v>13</v>
      </c>
      <c r="H2121" t="s">
        <v>14</v>
      </c>
      <c r="I2121" s="8" t="str">
        <f>IF(Tabla2[[#This Row],[precio_unitario]]&lt;=30,"Económico",IF(Tabla2[[#This Row],[precio_unitario]]&lt;=58.49,"Accesible","Caro"))</f>
        <v>Caro</v>
      </c>
      <c r="J2121" t="s">
        <v>8</v>
      </c>
      <c r="K2121">
        <v>1</v>
      </c>
      <c r="L2121" s="19">
        <v>158.97999999999999</v>
      </c>
      <c r="M2121" s="19">
        <v>108.62</v>
      </c>
      <c r="N2121" s="11">
        <v>0</v>
      </c>
      <c r="O2121" s="17">
        <f t="shared" si="135"/>
        <v>158.97999999999999</v>
      </c>
      <c r="P2121" s="17">
        <f t="shared" si="132"/>
        <v>108.62</v>
      </c>
      <c r="Q2121" s="17">
        <f t="shared" si="133"/>
        <v>50.359999999999985</v>
      </c>
      <c r="R2121" s="24">
        <f t="shared" si="134"/>
        <v>0.31676940495659822</v>
      </c>
      <c r="S2121" t="s">
        <v>67</v>
      </c>
      <c r="T2121" t="s">
        <v>60</v>
      </c>
    </row>
    <row r="2122" spans="1:20" hidden="1">
      <c r="A2122" t="s">
        <v>2189</v>
      </c>
      <c r="B2122" s="5">
        <v>45383</v>
      </c>
      <c r="C2122" s="8">
        <f>YEAR(Tabla2[[#This Row],[fecha]])</f>
        <v>2024</v>
      </c>
      <c r="D2122" s="8">
        <f>MONTH(Tabla2[[#This Row],[fecha]])</f>
        <v>4</v>
      </c>
      <c r="E2122" s="8" t="str">
        <f>TEXT(Tabla2[[#This Row],[fecha]], "mmmm")</f>
        <v>abril</v>
      </c>
      <c r="F2122" s="8" t="str">
        <f>"T"&amp;ROUNDUP(Tabla2[[#This Row],[mes]]/3,0)</f>
        <v>T2</v>
      </c>
      <c r="G2122" t="s">
        <v>27</v>
      </c>
      <c r="H2122" t="s">
        <v>28</v>
      </c>
      <c r="I2122" s="8" t="str">
        <f>IF(Tabla2[[#This Row],[precio_unitario]]&lt;=30,"Económico",IF(Tabla2[[#This Row],[precio_unitario]]&lt;=58.49,"Accesible","Caro"))</f>
        <v>Económico</v>
      </c>
      <c r="J2122" t="s">
        <v>26</v>
      </c>
      <c r="K2122">
        <v>1</v>
      </c>
      <c r="L2122" s="19">
        <v>15.61</v>
      </c>
      <c r="M2122" s="19">
        <v>11.1</v>
      </c>
      <c r="N2122" s="11">
        <v>0</v>
      </c>
      <c r="O2122" s="17">
        <f t="shared" si="135"/>
        <v>15.61</v>
      </c>
      <c r="P2122" s="17">
        <f t="shared" si="132"/>
        <v>11.1</v>
      </c>
      <c r="Q2122" s="17">
        <f t="shared" si="133"/>
        <v>4.51</v>
      </c>
      <c r="R2122" s="24">
        <f t="shared" si="134"/>
        <v>0.28891736066623958</v>
      </c>
      <c r="S2122" t="s">
        <v>540</v>
      </c>
      <c r="T2122" t="s">
        <v>60</v>
      </c>
    </row>
    <row r="2123" spans="1:20" hidden="1">
      <c r="A2123" t="s">
        <v>2190</v>
      </c>
      <c r="B2123" s="5">
        <v>45876</v>
      </c>
      <c r="C2123" s="8">
        <f>YEAR(Tabla2[[#This Row],[fecha]])</f>
        <v>2025</v>
      </c>
      <c r="D2123" s="8">
        <f>MONTH(Tabla2[[#This Row],[fecha]])</f>
        <v>8</v>
      </c>
      <c r="E2123" s="8" t="str">
        <f>TEXT(Tabla2[[#This Row],[fecha]], "mmmm")</f>
        <v>agosto</v>
      </c>
      <c r="F2123" s="8" t="str">
        <f>"T"&amp;ROUNDUP(Tabla2[[#This Row],[mes]]/3,0)</f>
        <v>T3</v>
      </c>
      <c r="G2123" t="s">
        <v>29</v>
      </c>
      <c r="H2123" t="s">
        <v>30</v>
      </c>
      <c r="I2123" s="8" t="str">
        <f>IF(Tabla2[[#This Row],[precio_unitario]]&lt;=30,"Económico",IF(Tabla2[[#This Row],[precio_unitario]]&lt;=58.49,"Accesible","Caro"))</f>
        <v>Económico</v>
      </c>
      <c r="J2123" t="s">
        <v>26</v>
      </c>
      <c r="K2123">
        <v>2</v>
      </c>
      <c r="L2123" s="19">
        <v>22.48</v>
      </c>
      <c r="M2123" s="19">
        <v>11.75</v>
      </c>
      <c r="N2123" s="11">
        <v>0</v>
      </c>
      <c r="O2123" s="17">
        <f t="shared" si="135"/>
        <v>44.96</v>
      </c>
      <c r="P2123" s="17">
        <f t="shared" si="132"/>
        <v>23.5</v>
      </c>
      <c r="Q2123" s="17">
        <f t="shared" si="133"/>
        <v>21.46</v>
      </c>
      <c r="R2123" s="24">
        <f t="shared" si="134"/>
        <v>0.47731316725978651</v>
      </c>
      <c r="S2123" t="s">
        <v>540</v>
      </c>
      <c r="T2123" t="s">
        <v>64</v>
      </c>
    </row>
    <row r="2124" spans="1:20">
      <c r="A2124" t="s">
        <v>2191</v>
      </c>
      <c r="B2124" s="5">
        <v>45888</v>
      </c>
      <c r="C2124" s="8">
        <f>YEAR(Tabla2[[#This Row],[fecha]])</f>
        <v>2025</v>
      </c>
      <c r="D2124" s="8">
        <f>MONTH(Tabla2[[#This Row],[fecha]])</f>
        <v>8</v>
      </c>
      <c r="E2124" s="8" t="str">
        <f>TEXT(Tabla2[[#This Row],[fecha]], "mmmm")</f>
        <v>agosto</v>
      </c>
      <c r="F2124" s="8" t="str">
        <f>"T"&amp;ROUNDUP(Tabla2[[#This Row],[mes]]/3,0)</f>
        <v>T3</v>
      </c>
      <c r="G2124" t="s">
        <v>33</v>
      </c>
      <c r="H2124" t="s">
        <v>34</v>
      </c>
      <c r="I2124" s="8" t="str">
        <f>IF(Tabla2[[#This Row],[precio_unitario]]&lt;=30,"Económico",IF(Tabla2[[#This Row],[precio_unitario]]&lt;=58.49,"Accesible","Caro"))</f>
        <v>Caro</v>
      </c>
      <c r="J2124" t="s">
        <v>35</v>
      </c>
      <c r="K2124">
        <v>2</v>
      </c>
      <c r="L2124" s="19">
        <v>71.63</v>
      </c>
      <c r="M2124" s="19">
        <v>45.61</v>
      </c>
      <c r="N2124" s="11">
        <v>0</v>
      </c>
      <c r="O2124" s="17">
        <f t="shared" si="135"/>
        <v>143.26</v>
      </c>
      <c r="P2124" s="17">
        <f t="shared" si="132"/>
        <v>91.22</v>
      </c>
      <c r="Q2124" s="17">
        <f t="shared" si="133"/>
        <v>52.039999999999992</v>
      </c>
      <c r="R2124" s="24">
        <f t="shared" si="134"/>
        <v>0.36325561915398574</v>
      </c>
      <c r="S2124" t="s">
        <v>67</v>
      </c>
      <c r="T2124" t="s">
        <v>64</v>
      </c>
    </row>
    <row r="2125" spans="1:20" hidden="1">
      <c r="A2125" t="s">
        <v>2192</v>
      </c>
      <c r="B2125" s="5">
        <v>45354</v>
      </c>
      <c r="C2125" s="8">
        <f>YEAR(Tabla2[[#This Row],[fecha]])</f>
        <v>2024</v>
      </c>
      <c r="D2125" s="8">
        <f>MONTH(Tabla2[[#This Row],[fecha]])</f>
        <v>3</v>
      </c>
      <c r="E2125" s="8" t="str">
        <f>TEXT(Tabla2[[#This Row],[fecha]], "mmmm")</f>
        <v>marzo</v>
      </c>
      <c r="F2125" s="8" t="str">
        <f>"T"&amp;ROUNDUP(Tabla2[[#This Row],[mes]]/3,0)</f>
        <v>T1</v>
      </c>
      <c r="G2125" t="s">
        <v>36</v>
      </c>
      <c r="H2125" t="s">
        <v>37</v>
      </c>
      <c r="I2125" s="8" t="str">
        <f>IF(Tabla2[[#This Row],[precio_unitario]]&lt;=30,"Económico",IF(Tabla2[[#This Row],[precio_unitario]]&lt;=58.49,"Accesible","Caro"))</f>
        <v>Económico</v>
      </c>
      <c r="J2125" t="s">
        <v>35</v>
      </c>
      <c r="K2125">
        <v>4</v>
      </c>
      <c r="L2125" s="19">
        <v>14.79</v>
      </c>
      <c r="M2125" s="19">
        <v>9.51</v>
      </c>
      <c r="N2125" s="11">
        <v>0</v>
      </c>
      <c r="O2125" s="17">
        <f t="shared" si="135"/>
        <v>59.16</v>
      </c>
      <c r="P2125" s="17">
        <f t="shared" si="132"/>
        <v>38.04</v>
      </c>
      <c r="Q2125" s="17">
        <f t="shared" si="133"/>
        <v>21.119999999999997</v>
      </c>
      <c r="R2125" s="24">
        <f t="shared" si="134"/>
        <v>0.35699797160243407</v>
      </c>
      <c r="S2125" t="s">
        <v>83</v>
      </c>
      <c r="T2125" t="s">
        <v>60</v>
      </c>
    </row>
    <row r="2126" spans="1:20" hidden="1">
      <c r="A2126" t="s">
        <v>2193</v>
      </c>
      <c r="B2126" s="5">
        <v>45378</v>
      </c>
      <c r="C2126" s="8">
        <f>YEAR(Tabla2[[#This Row],[fecha]])</f>
        <v>2024</v>
      </c>
      <c r="D2126" s="8">
        <f>MONTH(Tabla2[[#This Row],[fecha]])</f>
        <v>3</v>
      </c>
      <c r="E2126" s="8" t="str">
        <f>TEXT(Tabla2[[#This Row],[fecha]], "mmmm")</f>
        <v>marzo</v>
      </c>
      <c r="F2126" s="8" t="str">
        <f>"T"&amp;ROUNDUP(Tabla2[[#This Row],[mes]]/3,0)</f>
        <v>T1</v>
      </c>
      <c r="G2126" t="s">
        <v>15</v>
      </c>
      <c r="H2126" t="s">
        <v>16</v>
      </c>
      <c r="I2126" s="8" t="str">
        <f>IF(Tabla2[[#This Row],[precio_unitario]]&lt;=30,"Económico",IF(Tabla2[[#This Row],[precio_unitario]]&lt;=58.49,"Accesible","Caro"))</f>
        <v>Accesible</v>
      </c>
      <c r="J2126" t="s">
        <v>17</v>
      </c>
      <c r="K2126">
        <v>2</v>
      </c>
      <c r="L2126" s="19">
        <v>57.61</v>
      </c>
      <c r="M2126" s="19">
        <v>41.69</v>
      </c>
      <c r="N2126" s="11">
        <v>0.26</v>
      </c>
      <c r="O2126" s="17">
        <f t="shared" si="135"/>
        <v>85.262799999999999</v>
      </c>
      <c r="P2126" s="17">
        <f t="shared" si="132"/>
        <v>83.38</v>
      </c>
      <c r="Q2126" s="17">
        <f t="shared" si="133"/>
        <v>1.8828000000000031</v>
      </c>
      <c r="R2126" s="24">
        <f t="shared" si="134"/>
        <v>2.2082314913420661E-2</v>
      </c>
      <c r="S2126" t="s">
        <v>83</v>
      </c>
      <c r="T2126" t="s">
        <v>64</v>
      </c>
    </row>
    <row r="2127" spans="1:20" hidden="1">
      <c r="A2127" t="s">
        <v>2194</v>
      </c>
      <c r="B2127" s="5">
        <v>45713</v>
      </c>
      <c r="C2127" s="8">
        <f>YEAR(Tabla2[[#This Row],[fecha]])</f>
        <v>2025</v>
      </c>
      <c r="D2127" s="8">
        <f>MONTH(Tabla2[[#This Row],[fecha]])</f>
        <v>2</v>
      </c>
      <c r="E2127" s="8" t="str">
        <f>TEXT(Tabla2[[#This Row],[fecha]], "mmmm")</f>
        <v>febrero</v>
      </c>
      <c r="F2127" s="8" t="str">
        <f>"T"&amp;ROUNDUP(Tabla2[[#This Row],[mes]]/3,0)</f>
        <v>T1</v>
      </c>
      <c r="G2127" t="s">
        <v>40</v>
      </c>
      <c r="H2127" t="s">
        <v>41</v>
      </c>
      <c r="I2127" s="8" t="str">
        <f>IF(Tabla2[[#This Row],[precio_unitario]]&lt;=30,"Económico",IF(Tabla2[[#This Row],[precio_unitario]]&lt;=58.49,"Accesible","Caro"))</f>
        <v>Caro</v>
      </c>
      <c r="J2127" t="s">
        <v>35</v>
      </c>
      <c r="K2127">
        <v>4</v>
      </c>
      <c r="L2127" s="19">
        <v>74.75</v>
      </c>
      <c r="M2127" s="19">
        <v>39.619999999999997</v>
      </c>
      <c r="N2127" s="11">
        <v>0</v>
      </c>
      <c r="O2127" s="17">
        <f t="shared" si="135"/>
        <v>299</v>
      </c>
      <c r="P2127" s="17">
        <f t="shared" si="132"/>
        <v>158.47999999999999</v>
      </c>
      <c r="Q2127" s="17">
        <f t="shared" si="133"/>
        <v>140.52000000000001</v>
      </c>
      <c r="R2127" s="24">
        <f t="shared" si="134"/>
        <v>0.46996655518394653</v>
      </c>
      <c r="S2127" t="s">
        <v>63</v>
      </c>
      <c r="T2127" t="s">
        <v>64</v>
      </c>
    </row>
    <row r="2128" spans="1:20" hidden="1">
      <c r="A2128" t="s">
        <v>2195</v>
      </c>
      <c r="B2128" s="5">
        <v>45640</v>
      </c>
      <c r="C2128" s="8">
        <f>YEAR(Tabla2[[#This Row],[fecha]])</f>
        <v>2024</v>
      </c>
      <c r="D2128" s="8">
        <f>MONTH(Tabla2[[#This Row],[fecha]])</f>
        <v>12</v>
      </c>
      <c r="E2128" s="8" t="str">
        <f>TEXT(Tabla2[[#This Row],[fecha]], "mmmm")</f>
        <v>diciembre</v>
      </c>
      <c r="F2128" s="8" t="str">
        <f>"T"&amp;ROUNDUP(Tabla2[[#This Row],[mes]]/3,0)</f>
        <v>T4</v>
      </c>
      <c r="G2128" t="s">
        <v>13</v>
      </c>
      <c r="H2128" t="s">
        <v>14</v>
      </c>
      <c r="I2128" s="8" t="str">
        <f>IF(Tabla2[[#This Row],[precio_unitario]]&lt;=30,"Económico",IF(Tabla2[[#This Row],[precio_unitario]]&lt;=58.49,"Accesible","Caro"))</f>
        <v>Caro</v>
      </c>
      <c r="J2128" t="s">
        <v>8</v>
      </c>
      <c r="K2128">
        <v>5</v>
      </c>
      <c r="L2128" s="19">
        <v>153.69999999999999</v>
      </c>
      <c r="M2128" s="19">
        <v>112.91</v>
      </c>
      <c r="N2128" s="11">
        <v>0</v>
      </c>
      <c r="O2128" s="17">
        <f t="shared" si="135"/>
        <v>768.5</v>
      </c>
      <c r="P2128" s="17">
        <f t="shared" si="132"/>
        <v>564.54999999999995</v>
      </c>
      <c r="Q2128" s="17">
        <f t="shared" si="133"/>
        <v>203.95000000000005</v>
      </c>
      <c r="R2128" s="24">
        <f t="shared" si="134"/>
        <v>0.26538711776187385</v>
      </c>
      <c r="S2128" t="s">
        <v>540</v>
      </c>
      <c r="T2128" t="s">
        <v>60</v>
      </c>
    </row>
    <row r="2129" spans="1:20" hidden="1">
      <c r="A2129" t="s">
        <v>2196</v>
      </c>
      <c r="B2129" s="5">
        <v>45627</v>
      </c>
      <c r="C2129" s="8">
        <f>YEAR(Tabla2[[#This Row],[fecha]])</f>
        <v>2024</v>
      </c>
      <c r="D2129" s="8">
        <f>MONTH(Tabla2[[#This Row],[fecha]])</f>
        <v>12</v>
      </c>
      <c r="E2129" s="8" t="str">
        <f>TEXT(Tabla2[[#This Row],[fecha]], "mmmm")</f>
        <v>diciembre</v>
      </c>
      <c r="F2129" s="8" t="str">
        <f>"T"&amp;ROUNDUP(Tabla2[[#This Row],[mes]]/3,0)</f>
        <v>T4</v>
      </c>
      <c r="G2129" t="s">
        <v>33</v>
      </c>
      <c r="H2129" t="s">
        <v>34</v>
      </c>
      <c r="I2129" s="8" t="str">
        <f>IF(Tabla2[[#This Row],[precio_unitario]]&lt;=30,"Económico",IF(Tabla2[[#This Row],[precio_unitario]]&lt;=58.49,"Accesible","Caro"))</f>
        <v>Caro</v>
      </c>
      <c r="J2129" t="s">
        <v>35</v>
      </c>
      <c r="K2129">
        <v>1</v>
      </c>
      <c r="L2129" s="19">
        <v>81.569999999999993</v>
      </c>
      <c r="M2129" s="19">
        <v>49.54</v>
      </c>
      <c r="N2129" s="13">
        <v>0</v>
      </c>
      <c r="O2129" s="17">
        <f t="shared" si="135"/>
        <v>81.569999999999993</v>
      </c>
      <c r="P2129" s="17">
        <f t="shared" si="132"/>
        <v>49.54</v>
      </c>
      <c r="Q2129" s="17">
        <f t="shared" si="133"/>
        <v>32.029999999999994</v>
      </c>
      <c r="R2129" s="24">
        <f t="shared" si="134"/>
        <v>0.39266887336030398</v>
      </c>
      <c r="S2129" t="s">
        <v>540</v>
      </c>
      <c r="T2129" t="s">
        <v>64</v>
      </c>
    </row>
    <row r="2130" spans="1:20" hidden="1">
      <c r="A2130" t="s">
        <v>2197</v>
      </c>
      <c r="B2130" s="5">
        <v>45417</v>
      </c>
      <c r="C2130" s="8">
        <f>YEAR(Tabla2[[#This Row],[fecha]])</f>
        <v>2024</v>
      </c>
      <c r="D2130" s="8">
        <f>MONTH(Tabla2[[#This Row],[fecha]])</f>
        <v>5</v>
      </c>
      <c r="E2130" s="8" t="str">
        <f>TEXT(Tabla2[[#This Row],[fecha]], "mmmm")</f>
        <v>mayo</v>
      </c>
      <c r="F2130" s="8" t="str">
        <f>"T"&amp;ROUNDUP(Tabla2[[#This Row],[mes]]/3,0)</f>
        <v>T2</v>
      </c>
      <c r="G2130" t="s">
        <v>38</v>
      </c>
      <c r="H2130" t="s">
        <v>39</v>
      </c>
      <c r="I2130" s="8" t="str">
        <f>IF(Tabla2[[#This Row],[precio_unitario]]&lt;=30,"Económico",IF(Tabla2[[#This Row],[precio_unitario]]&lt;=58.49,"Accesible","Caro"))</f>
        <v>Caro</v>
      </c>
      <c r="J2130" t="s">
        <v>35</v>
      </c>
      <c r="K2130">
        <v>6</v>
      </c>
      <c r="L2130" s="19">
        <v>83.96</v>
      </c>
      <c r="M2130" s="19">
        <v>43.87</v>
      </c>
      <c r="N2130" s="11">
        <v>0</v>
      </c>
      <c r="O2130" s="17">
        <f t="shared" si="135"/>
        <v>503.76</v>
      </c>
      <c r="P2130" s="17">
        <f t="shared" si="132"/>
        <v>263.21999999999997</v>
      </c>
      <c r="Q2130" s="17">
        <f t="shared" si="133"/>
        <v>240.54000000000002</v>
      </c>
      <c r="R2130" s="24">
        <f t="shared" si="134"/>
        <v>0.47748928060981427</v>
      </c>
      <c r="S2130" t="s">
        <v>67</v>
      </c>
      <c r="T2130" t="s">
        <v>64</v>
      </c>
    </row>
    <row r="2131" spans="1:20" hidden="1">
      <c r="A2131" t="s">
        <v>2198</v>
      </c>
      <c r="B2131" s="5">
        <v>45628</v>
      </c>
      <c r="C2131" s="8">
        <f>YEAR(Tabla2[[#This Row],[fecha]])</f>
        <v>2024</v>
      </c>
      <c r="D2131" s="8">
        <f>MONTH(Tabla2[[#This Row],[fecha]])</f>
        <v>12</v>
      </c>
      <c r="E2131" s="8" t="str">
        <f>TEXT(Tabla2[[#This Row],[fecha]], "mmmm")</f>
        <v>diciembre</v>
      </c>
      <c r="F2131" s="8" t="str">
        <f>"T"&amp;ROUNDUP(Tabla2[[#This Row],[mes]]/3,0)</f>
        <v>T4</v>
      </c>
      <c r="G2131" t="s">
        <v>45</v>
      </c>
      <c r="H2131" t="s">
        <v>46</v>
      </c>
      <c r="I2131" s="8" t="str">
        <f>IF(Tabla2[[#This Row],[precio_unitario]]&lt;=30,"Económico",IF(Tabla2[[#This Row],[precio_unitario]]&lt;=58.49,"Accesible","Caro"))</f>
        <v>Accesible</v>
      </c>
      <c r="J2131" t="s">
        <v>44</v>
      </c>
      <c r="K2131">
        <v>1</v>
      </c>
      <c r="L2131" s="19">
        <v>30.06</v>
      </c>
      <c r="M2131" s="19">
        <v>16.87</v>
      </c>
      <c r="N2131" s="13">
        <v>0</v>
      </c>
      <c r="O2131" s="17">
        <f t="shared" si="135"/>
        <v>30.06</v>
      </c>
      <c r="P2131" s="17">
        <f t="shared" si="132"/>
        <v>16.87</v>
      </c>
      <c r="Q2131" s="17">
        <f t="shared" si="133"/>
        <v>13.189999999999998</v>
      </c>
      <c r="R2131" s="24">
        <f t="shared" si="134"/>
        <v>0.43878908848968723</v>
      </c>
      <c r="S2131" t="s">
        <v>67</v>
      </c>
      <c r="T2131" t="s">
        <v>64</v>
      </c>
    </row>
    <row r="2132" spans="1:20" hidden="1">
      <c r="A2132" t="s">
        <v>2199</v>
      </c>
      <c r="B2132" s="5">
        <v>45470</v>
      </c>
      <c r="C2132" s="8">
        <f>YEAR(Tabla2[[#This Row],[fecha]])</f>
        <v>2024</v>
      </c>
      <c r="D2132" s="8">
        <f>MONTH(Tabla2[[#This Row],[fecha]])</f>
        <v>6</v>
      </c>
      <c r="E2132" s="8" t="str">
        <f>TEXT(Tabla2[[#This Row],[fecha]], "mmmm")</f>
        <v>junio</v>
      </c>
      <c r="F2132" s="8" t="str">
        <f>"T"&amp;ROUNDUP(Tabla2[[#This Row],[mes]]/3,0)</f>
        <v>T2</v>
      </c>
      <c r="G2132" t="s">
        <v>24</v>
      </c>
      <c r="H2132" t="s">
        <v>25</v>
      </c>
      <c r="I2132" s="8" t="str">
        <f>IF(Tabla2[[#This Row],[precio_unitario]]&lt;=30,"Económico",IF(Tabla2[[#This Row],[precio_unitario]]&lt;=58.49,"Accesible","Caro"))</f>
        <v>Económico</v>
      </c>
      <c r="J2132" t="s">
        <v>26</v>
      </c>
      <c r="K2132">
        <v>1</v>
      </c>
      <c r="L2132" s="19">
        <v>7.98</v>
      </c>
      <c r="M2132" s="19">
        <v>4.46</v>
      </c>
      <c r="N2132" s="11">
        <v>0.25</v>
      </c>
      <c r="O2132" s="17">
        <f t="shared" si="135"/>
        <v>5.9850000000000003</v>
      </c>
      <c r="P2132" s="17">
        <f t="shared" si="132"/>
        <v>4.46</v>
      </c>
      <c r="Q2132" s="17">
        <f t="shared" si="133"/>
        <v>1.5250000000000004</v>
      </c>
      <c r="R2132" s="24">
        <f t="shared" si="134"/>
        <v>0.25480367585630748</v>
      </c>
      <c r="S2132" t="s">
        <v>67</v>
      </c>
      <c r="T2132" t="s">
        <v>64</v>
      </c>
    </row>
    <row r="2133" spans="1:20" hidden="1">
      <c r="A2133" t="s">
        <v>2200</v>
      </c>
      <c r="B2133" s="5">
        <v>45656</v>
      </c>
      <c r="C2133" s="8">
        <f>YEAR(Tabla2[[#This Row],[fecha]])</f>
        <v>2024</v>
      </c>
      <c r="D2133" s="8">
        <f>MONTH(Tabla2[[#This Row],[fecha]])</f>
        <v>12</v>
      </c>
      <c r="E2133" s="8" t="str">
        <f>TEXT(Tabla2[[#This Row],[fecha]], "mmmm")</f>
        <v>diciembre</v>
      </c>
      <c r="F2133" s="8" t="str">
        <f>"T"&amp;ROUNDUP(Tabla2[[#This Row],[mes]]/3,0)</f>
        <v>T4</v>
      </c>
      <c r="G2133" t="s">
        <v>13</v>
      </c>
      <c r="H2133" t="s">
        <v>14</v>
      </c>
      <c r="I2133" s="8" t="str">
        <f>IF(Tabla2[[#This Row],[precio_unitario]]&lt;=30,"Económico",IF(Tabla2[[#This Row],[precio_unitario]]&lt;=58.49,"Accesible","Caro"))</f>
        <v>Caro</v>
      </c>
      <c r="J2133" t="s">
        <v>8</v>
      </c>
      <c r="K2133">
        <v>1</v>
      </c>
      <c r="L2133" s="19">
        <v>161.72</v>
      </c>
      <c r="M2133" s="19">
        <v>112.62</v>
      </c>
      <c r="N2133" s="11">
        <v>0</v>
      </c>
      <c r="O2133" s="17">
        <f t="shared" si="135"/>
        <v>161.72</v>
      </c>
      <c r="P2133" s="17">
        <f t="shared" si="132"/>
        <v>112.62</v>
      </c>
      <c r="Q2133" s="17">
        <f t="shared" si="133"/>
        <v>49.099999999999994</v>
      </c>
      <c r="R2133" s="24">
        <f t="shared" si="134"/>
        <v>0.30361117981696756</v>
      </c>
      <c r="S2133" t="s">
        <v>540</v>
      </c>
      <c r="T2133" t="s">
        <v>64</v>
      </c>
    </row>
    <row r="2134" spans="1:20">
      <c r="A2134" t="s">
        <v>2201</v>
      </c>
      <c r="B2134" s="5">
        <v>45914</v>
      </c>
      <c r="C2134" s="8">
        <f>YEAR(Tabla2[[#This Row],[fecha]])</f>
        <v>2025</v>
      </c>
      <c r="D2134" s="8">
        <f>MONTH(Tabla2[[#This Row],[fecha]])</f>
        <v>9</v>
      </c>
      <c r="E2134" s="8" t="str">
        <f>TEXT(Tabla2[[#This Row],[fecha]], "mmmm")</f>
        <v>septiembre</v>
      </c>
      <c r="F2134" s="8" t="str">
        <f>"T"&amp;ROUNDUP(Tabla2[[#This Row],[mes]]/3,0)</f>
        <v>T3</v>
      </c>
      <c r="G2134" t="s">
        <v>6</v>
      </c>
      <c r="H2134" t="s">
        <v>7</v>
      </c>
      <c r="I2134" s="8" t="str">
        <f>IF(Tabla2[[#This Row],[precio_unitario]]&lt;=30,"Económico",IF(Tabla2[[#This Row],[precio_unitario]]&lt;=58.49,"Accesible","Caro"))</f>
        <v>Caro</v>
      </c>
      <c r="J2134" t="s">
        <v>8</v>
      </c>
      <c r="K2134">
        <v>1</v>
      </c>
      <c r="L2134" s="19">
        <v>127.21</v>
      </c>
      <c r="M2134" s="19">
        <v>84.89</v>
      </c>
      <c r="N2134" s="11">
        <v>0</v>
      </c>
      <c r="O2134" s="17">
        <f t="shared" si="135"/>
        <v>127.21</v>
      </c>
      <c r="P2134" s="17">
        <f t="shared" si="132"/>
        <v>84.89</v>
      </c>
      <c r="Q2134" s="17">
        <f t="shared" si="133"/>
        <v>42.319999999999993</v>
      </c>
      <c r="R2134" s="24">
        <f t="shared" si="134"/>
        <v>0.33267824856536432</v>
      </c>
      <c r="S2134" t="s">
        <v>67</v>
      </c>
      <c r="T2134" t="s">
        <v>60</v>
      </c>
    </row>
    <row r="2135" spans="1:20" hidden="1">
      <c r="A2135" t="s">
        <v>2202</v>
      </c>
      <c r="B2135" s="5">
        <v>45599</v>
      </c>
      <c r="C2135" s="8">
        <f>YEAR(Tabla2[[#This Row],[fecha]])</f>
        <v>2024</v>
      </c>
      <c r="D2135" s="8">
        <f>MONTH(Tabla2[[#This Row],[fecha]])</f>
        <v>11</v>
      </c>
      <c r="E2135" s="8" t="str">
        <f>TEXT(Tabla2[[#This Row],[fecha]], "mmmm")</f>
        <v>noviembre</v>
      </c>
      <c r="F2135" s="8" t="str">
        <f>"T"&amp;ROUNDUP(Tabla2[[#This Row],[mes]]/3,0)</f>
        <v>T4</v>
      </c>
      <c r="G2135" t="s">
        <v>29</v>
      </c>
      <c r="H2135" t="s">
        <v>30</v>
      </c>
      <c r="I2135" s="8" t="str">
        <f>IF(Tabla2[[#This Row],[precio_unitario]]&lt;=30,"Económico",IF(Tabla2[[#This Row],[precio_unitario]]&lt;=58.49,"Accesible","Caro"))</f>
        <v>Económico</v>
      </c>
      <c r="J2135" t="s">
        <v>26</v>
      </c>
      <c r="K2135">
        <v>1</v>
      </c>
      <c r="L2135" s="19">
        <v>22.92</v>
      </c>
      <c r="M2135" s="19">
        <v>11.31</v>
      </c>
      <c r="N2135" s="13">
        <v>0</v>
      </c>
      <c r="O2135" s="17">
        <f t="shared" si="135"/>
        <v>22.92</v>
      </c>
      <c r="P2135" s="17">
        <f t="shared" si="132"/>
        <v>11.31</v>
      </c>
      <c r="Q2135" s="17">
        <f t="shared" si="133"/>
        <v>11.610000000000001</v>
      </c>
      <c r="R2135" s="24">
        <f t="shared" si="134"/>
        <v>0.50654450261780104</v>
      </c>
      <c r="S2135" t="s">
        <v>540</v>
      </c>
      <c r="T2135" t="s">
        <v>64</v>
      </c>
    </row>
    <row r="2136" spans="1:20" hidden="1">
      <c r="A2136" t="s">
        <v>1415</v>
      </c>
      <c r="B2136" s="5">
        <v>45868</v>
      </c>
      <c r="C2136" s="8">
        <f>YEAR(Tabla2[[#This Row],[fecha]])</f>
        <v>2025</v>
      </c>
      <c r="D2136" s="8">
        <f>MONTH(Tabla2[[#This Row],[fecha]])</f>
        <v>7</v>
      </c>
      <c r="E2136" s="8" t="str">
        <f>TEXT(Tabla2[[#This Row],[fecha]], "mmmm")</f>
        <v>julio</v>
      </c>
      <c r="F2136" s="8" t="str">
        <f>"T"&amp;ROUNDUP(Tabla2[[#This Row],[mes]]/3,0)</f>
        <v>T3</v>
      </c>
      <c r="G2136" t="s">
        <v>27</v>
      </c>
      <c r="H2136" t="s">
        <v>28</v>
      </c>
      <c r="I2136" s="8" t="str">
        <f>IF(Tabla2[[#This Row],[precio_unitario]]&lt;=30,"Económico",IF(Tabla2[[#This Row],[precio_unitario]]&lt;=58.49,"Accesible","Caro"))</f>
        <v>Económico</v>
      </c>
      <c r="J2136" t="s">
        <v>26</v>
      </c>
      <c r="K2136">
        <v>8</v>
      </c>
      <c r="L2136" s="19">
        <v>16.22</v>
      </c>
      <c r="M2136" s="19">
        <v>11.61</v>
      </c>
      <c r="N2136" s="11">
        <v>0</v>
      </c>
      <c r="O2136" s="17">
        <f t="shared" si="135"/>
        <v>129.76</v>
      </c>
      <c r="P2136" s="17">
        <f t="shared" si="132"/>
        <v>92.88</v>
      </c>
      <c r="Q2136" s="17">
        <f t="shared" si="133"/>
        <v>36.879999999999995</v>
      </c>
      <c r="R2136" s="24">
        <f t="shared" si="134"/>
        <v>0.28421701602959309</v>
      </c>
      <c r="S2136" t="s">
        <v>63</v>
      </c>
      <c r="T2136" t="s">
        <v>60</v>
      </c>
    </row>
    <row r="2137" spans="1:20" hidden="1">
      <c r="A2137" t="s">
        <v>2203</v>
      </c>
      <c r="B2137" s="5">
        <v>45969</v>
      </c>
      <c r="C2137" s="8">
        <f>YEAR(Tabla2[[#This Row],[fecha]])</f>
        <v>2025</v>
      </c>
      <c r="D2137" s="8">
        <f>MONTH(Tabla2[[#This Row],[fecha]])</f>
        <v>11</v>
      </c>
      <c r="E2137" s="8" t="str">
        <f>TEXT(Tabla2[[#This Row],[fecha]], "mmmm")</f>
        <v>noviembre</v>
      </c>
      <c r="F2137" s="8" t="str">
        <f>"T"&amp;ROUNDUP(Tabla2[[#This Row],[mes]]/3,0)</f>
        <v>T4</v>
      </c>
      <c r="G2137" t="s">
        <v>47</v>
      </c>
      <c r="H2137" t="s">
        <v>48</v>
      </c>
      <c r="I2137" s="8" t="str">
        <f>IF(Tabla2[[#This Row],[precio_unitario]]&lt;=30,"Económico",IF(Tabla2[[#This Row],[precio_unitario]]&lt;=58.49,"Accesible","Caro"))</f>
        <v>Accesible</v>
      </c>
      <c r="J2137" t="s">
        <v>44</v>
      </c>
      <c r="K2137">
        <v>1</v>
      </c>
      <c r="L2137" s="19">
        <v>56.08</v>
      </c>
      <c r="M2137" s="19">
        <v>31.91</v>
      </c>
      <c r="N2137" s="11">
        <v>0.06</v>
      </c>
      <c r="O2137" s="17">
        <f t="shared" si="135"/>
        <v>52.715199999999996</v>
      </c>
      <c r="P2137" s="17">
        <f t="shared" si="132"/>
        <v>31.91</v>
      </c>
      <c r="Q2137" s="17">
        <f t="shared" si="133"/>
        <v>20.805199999999996</v>
      </c>
      <c r="R2137" s="24">
        <f t="shared" si="134"/>
        <v>0.39467174553070078</v>
      </c>
      <c r="S2137" t="s">
        <v>63</v>
      </c>
      <c r="T2137" t="s">
        <v>60</v>
      </c>
    </row>
    <row r="2138" spans="1:20" hidden="1">
      <c r="A2138" t="s">
        <v>2204</v>
      </c>
      <c r="B2138" s="5">
        <v>45431</v>
      </c>
      <c r="C2138" s="8">
        <f>YEAR(Tabla2[[#This Row],[fecha]])</f>
        <v>2024</v>
      </c>
      <c r="D2138" s="8">
        <f>MONTH(Tabla2[[#This Row],[fecha]])</f>
        <v>5</v>
      </c>
      <c r="E2138" s="8" t="str">
        <f>TEXT(Tabla2[[#This Row],[fecha]], "mmmm")</f>
        <v>mayo</v>
      </c>
      <c r="F2138" s="8" t="str">
        <f>"T"&amp;ROUNDUP(Tabla2[[#This Row],[mes]]/3,0)</f>
        <v>T2</v>
      </c>
      <c r="G2138" t="s">
        <v>45</v>
      </c>
      <c r="H2138" t="s">
        <v>46</v>
      </c>
      <c r="I2138" s="8" t="str">
        <f>IF(Tabla2[[#This Row],[precio_unitario]]&lt;=30,"Económico",IF(Tabla2[[#This Row],[precio_unitario]]&lt;=58.49,"Accesible","Caro"))</f>
        <v>Económico</v>
      </c>
      <c r="J2138" t="s">
        <v>44</v>
      </c>
      <c r="K2138">
        <v>3</v>
      </c>
      <c r="L2138" s="19">
        <v>29.13</v>
      </c>
      <c r="M2138" s="19">
        <v>17.809999999999999</v>
      </c>
      <c r="N2138" s="11">
        <v>0</v>
      </c>
      <c r="O2138" s="17">
        <f t="shared" si="135"/>
        <v>87.39</v>
      </c>
      <c r="P2138" s="17">
        <f t="shared" si="132"/>
        <v>53.429999999999993</v>
      </c>
      <c r="Q2138" s="17">
        <f t="shared" si="133"/>
        <v>33.960000000000008</v>
      </c>
      <c r="R2138" s="24">
        <f t="shared" si="134"/>
        <v>0.38860281496738769</v>
      </c>
      <c r="S2138" t="s">
        <v>63</v>
      </c>
      <c r="T2138" t="s">
        <v>60</v>
      </c>
    </row>
    <row r="2139" spans="1:20">
      <c r="A2139" t="s">
        <v>2205</v>
      </c>
      <c r="B2139" s="5">
        <v>45823</v>
      </c>
      <c r="C2139" s="8">
        <f>YEAR(Tabla2[[#This Row],[fecha]])</f>
        <v>2025</v>
      </c>
      <c r="D2139" s="8">
        <f>MONTH(Tabla2[[#This Row],[fecha]])</f>
        <v>6</v>
      </c>
      <c r="E2139" s="8" t="str">
        <f>TEXT(Tabla2[[#This Row],[fecha]], "mmmm")</f>
        <v>junio</v>
      </c>
      <c r="F2139" s="8" t="str">
        <f>"T"&amp;ROUNDUP(Tabla2[[#This Row],[mes]]/3,0)</f>
        <v>T2</v>
      </c>
      <c r="G2139" t="s">
        <v>38</v>
      </c>
      <c r="H2139" t="s">
        <v>39</v>
      </c>
      <c r="I2139" s="8" t="str">
        <f>IF(Tabla2[[#This Row],[precio_unitario]]&lt;=30,"Económico",IF(Tabla2[[#This Row],[precio_unitario]]&lt;=58.49,"Accesible","Caro"))</f>
        <v>Caro</v>
      </c>
      <c r="J2139" t="s">
        <v>35</v>
      </c>
      <c r="K2139">
        <v>2</v>
      </c>
      <c r="L2139" s="19">
        <v>76.88</v>
      </c>
      <c r="M2139" s="19">
        <v>42.65</v>
      </c>
      <c r="N2139" s="11">
        <v>0</v>
      </c>
      <c r="O2139" s="17">
        <f t="shared" si="135"/>
        <v>153.76</v>
      </c>
      <c r="P2139" s="17">
        <f t="shared" si="132"/>
        <v>85.3</v>
      </c>
      <c r="Q2139" s="17">
        <f t="shared" si="133"/>
        <v>68.459999999999994</v>
      </c>
      <c r="R2139" s="24">
        <f t="shared" si="134"/>
        <v>0.44523933402705512</v>
      </c>
      <c r="S2139" t="s">
        <v>67</v>
      </c>
      <c r="T2139" t="s">
        <v>64</v>
      </c>
    </row>
    <row r="2140" spans="1:20" hidden="1">
      <c r="A2140" t="s">
        <v>2206</v>
      </c>
      <c r="B2140" s="5">
        <v>45740</v>
      </c>
      <c r="C2140" s="8">
        <f>YEAR(Tabla2[[#This Row],[fecha]])</f>
        <v>2025</v>
      </c>
      <c r="D2140" s="8">
        <f>MONTH(Tabla2[[#This Row],[fecha]])</f>
        <v>3</v>
      </c>
      <c r="E2140" s="8" t="str">
        <f>TEXT(Tabla2[[#This Row],[fecha]], "mmmm")</f>
        <v>marzo</v>
      </c>
      <c r="F2140" s="8" t="str">
        <f>"T"&amp;ROUNDUP(Tabla2[[#This Row],[mes]]/3,0)</f>
        <v>T1</v>
      </c>
      <c r="G2140" t="s">
        <v>31</v>
      </c>
      <c r="H2140" t="s">
        <v>32</v>
      </c>
      <c r="I2140" s="8" t="str">
        <f>IF(Tabla2[[#This Row],[precio_unitario]]&lt;=30,"Económico",IF(Tabla2[[#This Row],[precio_unitario]]&lt;=58.49,"Accesible","Caro"))</f>
        <v>Económico</v>
      </c>
      <c r="J2140" t="s">
        <v>26</v>
      </c>
      <c r="K2140">
        <v>1</v>
      </c>
      <c r="L2140" s="19">
        <v>8.07</v>
      </c>
      <c r="M2140" s="19">
        <v>5.8</v>
      </c>
      <c r="N2140" s="11">
        <v>0</v>
      </c>
      <c r="O2140" s="17">
        <f t="shared" si="135"/>
        <v>8.07</v>
      </c>
      <c r="P2140" s="17">
        <f t="shared" si="132"/>
        <v>5.8</v>
      </c>
      <c r="Q2140" s="17">
        <f t="shared" si="133"/>
        <v>2.2700000000000005</v>
      </c>
      <c r="R2140" s="24">
        <f t="shared" si="134"/>
        <v>0.28128872366790586</v>
      </c>
      <c r="S2140" t="s">
        <v>96</v>
      </c>
      <c r="T2140" t="s">
        <v>64</v>
      </c>
    </row>
    <row r="2141" spans="1:20">
      <c r="A2141" t="s">
        <v>2207</v>
      </c>
      <c r="B2141" s="5">
        <v>45774</v>
      </c>
      <c r="C2141" s="8">
        <f>YEAR(Tabla2[[#This Row],[fecha]])</f>
        <v>2025</v>
      </c>
      <c r="D2141" s="8">
        <f>MONTH(Tabla2[[#This Row],[fecha]])</f>
        <v>4</v>
      </c>
      <c r="E2141" s="8" t="str">
        <f>TEXT(Tabla2[[#This Row],[fecha]], "mmmm")</f>
        <v>abril</v>
      </c>
      <c r="F2141" s="8" t="str">
        <f>"T"&amp;ROUNDUP(Tabla2[[#This Row],[mes]]/3,0)</f>
        <v>T2</v>
      </c>
      <c r="G2141" t="s">
        <v>24</v>
      </c>
      <c r="H2141" t="s">
        <v>25</v>
      </c>
      <c r="I2141" s="8" t="str">
        <f>IF(Tabla2[[#This Row],[precio_unitario]]&lt;=30,"Económico",IF(Tabla2[[#This Row],[precio_unitario]]&lt;=58.49,"Accesible","Caro"))</f>
        <v>Económico</v>
      </c>
      <c r="J2141" t="s">
        <v>26</v>
      </c>
      <c r="K2141">
        <v>1</v>
      </c>
      <c r="L2141" s="19">
        <v>7.6</v>
      </c>
      <c r="M2141" s="19">
        <v>4.4800000000000004</v>
      </c>
      <c r="N2141" s="11">
        <v>0</v>
      </c>
      <c r="O2141" s="17">
        <f t="shared" si="135"/>
        <v>7.6</v>
      </c>
      <c r="P2141" s="17">
        <f t="shared" si="132"/>
        <v>4.4800000000000004</v>
      </c>
      <c r="Q2141" s="17">
        <f t="shared" si="133"/>
        <v>3.1199999999999992</v>
      </c>
      <c r="R2141" s="24">
        <f t="shared" si="134"/>
        <v>0.41052631578947363</v>
      </c>
      <c r="S2141" t="s">
        <v>67</v>
      </c>
      <c r="T2141" t="s">
        <v>60</v>
      </c>
    </row>
    <row r="2142" spans="1:20" hidden="1">
      <c r="A2142" t="s">
        <v>2208</v>
      </c>
      <c r="B2142" s="5">
        <v>45426</v>
      </c>
      <c r="C2142" s="8">
        <f>YEAR(Tabla2[[#This Row],[fecha]])</f>
        <v>2024</v>
      </c>
      <c r="D2142" s="8">
        <f>MONTH(Tabla2[[#This Row],[fecha]])</f>
        <v>5</v>
      </c>
      <c r="E2142" s="8" t="str">
        <f>TEXT(Tabla2[[#This Row],[fecha]], "mmmm")</f>
        <v>mayo</v>
      </c>
      <c r="F2142" s="8" t="str">
        <f>"T"&amp;ROUNDUP(Tabla2[[#This Row],[mes]]/3,0)</f>
        <v>T2</v>
      </c>
      <c r="G2142" t="s">
        <v>33</v>
      </c>
      <c r="H2142" t="s">
        <v>34</v>
      </c>
      <c r="I2142" s="8" t="str">
        <f>IF(Tabla2[[#This Row],[precio_unitario]]&lt;=30,"Económico",IF(Tabla2[[#This Row],[precio_unitario]]&lt;=58.49,"Accesible","Caro"))</f>
        <v>Caro</v>
      </c>
      <c r="J2142" t="s">
        <v>35</v>
      </c>
      <c r="K2142">
        <v>1</v>
      </c>
      <c r="L2142" s="19">
        <v>76.81</v>
      </c>
      <c r="M2142" s="19">
        <v>48.89</v>
      </c>
      <c r="N2142" s="13">
        <v>0</v>
      </c>
      <c r="O2142" s="17">
        <f t="shared" si="135"/>
        <v>76.81</v>
      </c>
      <c r="P2142" s="17">
        <f t="shared" si="132"/>
        <v>48.89</v>
      </c>
      <c r="Q2142" s="17">
        <f t="shared" si="133"/>
        <v>27.92</v>
      </c>
      <c r="R2142" s="24">
        <f t="shared" si="134"/>
        <v>0.36349433667491216</v>
      </c>
      <c r="S2142" t="s">
        <v>67</v>
      </c>
      <c r="T2142" t="s">
        <v>60</v>
      </c>
    </row>
    <row r="2143" spans="1:20" hidden="1">
      <c r="A2143" t="s">
        <v>2209</v>
      </c>
      <c r="B2143" s="5">
        <v>45537</v>
      </c>
      <c r="C2143" s="8">
        <f>YEAR(Tabla2[[#This Row],[fecha]])</f>
        <v>2024</v>
      </c>
      <c r="D2143" s="8">
        <f>MONTH(Tabla2[[#This Row],[fecha]])</f>
        <v>9</v>
      </c>
      <c r="E2143" s="8" t="str">
        <f>TEXT(Tabla2[[#This Row],[fecha]], "mmmm")</f>
        <v>septiembre</v>
      </c>
      <c r="F2143" s="8" t="str">
        <f>"T"&amp;ROUNDUP(Tabla2[[#This Row],[mes]]/3,0)</f>
        <v>T3</v>
      </c>
      <c r="G2143" t="s">
        <v>29</v>
      </c>
      <c r="H2143" t="s">
        <v>30</v>
      </c>
      <c r="I2143" s="8" t="str">
        <f>IF(Tabla2[[#This Row],[precio_unitario]]&lt;=30,"Económico",IF(Tabla2[[#This Row],[precio_unitario]]&lt;=58.49,"Accesible","Caro"))</f>
        <v>Económico</v>
      </c>
      <c r="J2143" t="s">
        <v>26</v>
      </c>
      <c r="K2143">
        <v>1</v>
      </c>
      <c r="L2143" s="19">
        <v>21.57</v>
      </c>
      <c r="M2143" s="19">
        <v>11.3</v>
      </c>
      <c r="N2143" s="11">
        <v>0</v>
      </c>
      <c r="O2143" s="17">
        <f t="shared" si="135"/>
        <v>21.57</v>
      </c>
      <c r="P2143" s="17">
        <f t="shared" si="132"/>
        <v>11.3</v>
      </c>
      <c r="Q2143" s="17">
        <f t="shared" si="133"/>
        <v>10.27</v>
      </c>
      <c r="R2143" s="24">
        <f t="shared" si="134"/>
        <v>0.47612424663885022</v>
      </c>
      <c r="S2143" t="s">
        <v>83</v>
      </c>
      <c r="T2143" t="s">
        <v>60</v>
      </c>
    </row>
    <row r="2144" spans="1:20" hidden="1">
      <c r="A2144" t="s">
        <v>2210</v>
      </c>
      <c r="B2144" s="5">
        <v>45666</v>
      </c>
      <c r="C2144" s="8">
        <f>YEAR(Tabla2[[#This Row],[fecha]])</f>
        <v>2025</v>
      </c>
      <c r="D2144" s="8">
        <f>MONTH(Tabla2[[#This Row],[fecha]])</f>
        <v>1</v>
      </c>
      <c r="E2144" s="8" t="str">
        <f>TEXT(Tabla2[[#This Row],[fecha]], "mmmm")</f>
        <v>enero</v>
      </c>
      <c r="F2144" s="8" t="str">
        <f>"T"&amp;ROUNDUP(Tabla2[[#This Row],[mes]]/3,0)</f>
        <v>T1</v>
      </c>
      <c r="G2144" t="s">
        <v>24</v>
      </c>
      <c r="H2144" t="s">
        <v>25</v>
      </c>
      <c r="I2144" s="8" t="str">
        <f>IF(Tabla2[[#This Row],[precio_unitario]]&lt;=30,"Económico",IF(Tabla2[[#This Row],[precio_unitario]]&lt;=58.49,"Accesible","Caro"))</f>
        <v>Económico</v>
      </c>
      <c r="J2144" t="s">
        <v>26</v>
      </c>
      <c r="K2144">
        <v>2</v>
      </c>
      <c r="L2144" s="19">
        <v>7.47</v>
      </c>
      <c r="M2144" s="19">
        <v>4.34</v>
      </c>
      <c r="N2144" s="13">
        <v>0</v>
      </c>
      <c r="O2144" s="17">
        <f t="shared" si="135"/>
        <v>14.94</v>
      </c>
      <c r="P2144" s="17">
        <f t="shared" si="132"/>
        <v>8.68</v>
      </c>
      <c r="Q2144" s="17">
        <f t="shared" si="133"/>
        <v>6.26</v>
      </c>
      <c r="R2144" s="24">
        <f t="shared" si="134"/>
        <v>0.41900937081659972</v>
      </c>
      <c r="S2144" t="s">
        <v>63</v>
      </c>
      <c r="T2144" t="s">
        <v>60</v>
      </c>
    </row>
    <row r="2145" spans="1:20" hidden="1">
      <c r="A2145" t="s">
        <v>2211</v>
      </c>
      <c r="B2145" s="5">
        <v>45704</v>
      </c>
      <c r="C2145" s="8">
        <f>YEAR(Tabla2[[#This Row],[fecha]])</f>
        <v>2025</v>
      </c>
      <c r="D2145" s="8">
        <f>MONTH(Tabla2[[#This Row],[fecha]])</f>
        <v>2</v>
      </c>
      <c r="E2145" s="8" t="str">
        <f>TEXT(Tabla2[[#This Row],[fecha]], "mmmm")</f>
        <v>febrero</v>
      </c>
      <c r="F2145" s="8" t="str">
        <f>"T"&amp;ROUNDUP(Tabla2[[#This Row],[mes]]/3,0)</f>
        <v>T1</v>
      </c>
      <c r="G2145" t="s">
        <v>18</v>
      </c>
      <c r="H2145" t="s">
        <v>19</v>
      </c>
      <c r="I2145" s="8" t="str">
        <f>IF(Tabla2[[#This Row],[precio_unitario]]&lt;=30,"Económico",IF(Tabla2[[#This Row],[precio_unitario]]&lt;=58.49,"Accesible","Caro"))</f>
        <v>Accesible</v>
      </c>
      <c r="J2145" t="s">
        <v>17</v>
      </c>
      <c r="K2145">
        <v>2</v>
      </c>
      <c r="L2145" s="19">
        <v>48.97</v>
      </c>
      <c r="M2145" s="19">
        <v>26.64</v>
      </c>
      <c r="N2145" s="13">
        <v>0</v>
      </c>
      <c r="O2145" s="17">
        <f t="shared" si="135"/>
        <v>97.94</v>
      </c>
      <c r="P2145" s="17">
        <f t="shared" si="132"/>
        <v>53.28</v>
      </c>
      <c r="Q2145" s="17">
        <f t="shared" si="133"/>
        <v>44.66</v>
      </c>
      <c r="R2145" s="24">
        <f t="shared" si="134"/>
        <v>0.45599346538697161</v>
      </c>
      <c r="S2145" t="s">
        <v>96</v>
      </c>
      <c r="T2145" t="s">
        <v>64</v>
      </c>
    </row>
    <row r="2146" spans="1:20" hidden="1">
      <c r="A2146" t="s">
        <v>2212</v>
      </c>
      <c r="B2146" s="5">
        <v>45485</v>
      </c>
      <c r="C2146" s="8">
        <f>YEAR(Tabla2[[#This Row],[fecha]])</f>
        <v>2024</v>
      </c>
      <c r="D2146" s="8">
        <f>MONTH(Tabla2[[#This Row],[fecha]])</f>
        <v>7</v>
      </c>
      <c r="E2146" s="8" t="str">
        <f>TEXT(Tabla2[[#This Row],[fecha]], "mmmm")</f>
        <v>julio</v>
      </c>
      <c r="F2146" s="8" t="str">
        <f>"T"&amp;ROUNDUP(Tabla2[[#This Row],[mes]]/3,0)</f>
        <v>T3</v>
      </c>
      <c r="G2146" t="s">
        <v>15</v>
      </c>
      <c r="H2146" t="s">
        <v>16</v>
      </c>
      <c r="I2146" s="8" t="str">
        <f>IF(Tabla2[[#This Row],[precio_unitario]]&lt;=30,"Económico",IF(Tabla2[[#This Row],[precio_unitario]]&lt;=58.49,"Accesible","Caro"))</f>
        <v>Caro</v>
      </c>
      <c r="J2146" t="s">
        <v>17</v>
      </c>
      <c r="K2146">
        <v>4</v>
      </c>
      <c r="L2146" s="19">
        <v>62.34</v>
      </c>
      <c r="M2146" s="19">
        <v>41.33</v>
      </c>
      <c r="N2146" s="11">
        <v>0</v>
      </c>
      <c r="O2146" s="17">
        <f t="shared" si="135"/>
        <v>249.36</v>
      </c>
      <c r="P2146" s="17">
        <f t="shared" si="132"/>
        <v>165.32</v>
      </c>
      <c r="Q2146" s="17">
        <f t="shared" si="133"/>
        <v>84.04000000000002</v>
      </c>
      <c r="R2146" s="24">
        <f t="shared" si="134"/>
        <v>0.33702277831248001</v>
      </c>
      <c r="S2146" t="s">
        <v>63</v>
      </c>
      <c r="T2146" t="s">
        <v>60</v>
      </c>
    </row>
    <row r="2147" spans="1:20" hidden="1">
      <c r="A2147" t="s">
        <v>2213</v>
      </c>
      <c r="B2147" s="5">
        <v>45643</v>
      </c>
      <c r="C2147" s="8">
        <f>YEAR(Tabla2[[#This Row],[fecha]])</f>
        <v>2024</v>
      </c>
      <c r="D2147" s="8">
        <f>MONTH(Tabla2[[#This Row],[fecha]])</f>
        <v>12</v>
      </c>
      <c r="E2147" s="8" t="str">
        <f>TEXT(Tabla2[[#This Row],[fecha]], "mmmm")</f>
        <v>diciembre</v>
      </c>
      <c r="F2147" s="8" t="str">
        <f>"T"&amp;ROUNDUP(Tabla2[[#This Row],[mes]]/3,0)</f>
        <v>T4</v>
      </c>
      <c r="G2147" t="s">
        <v>22</v>
      </c>
      <c r="H2147" t="s">
        <v>23</v>
      </c>
      <c r="I2147" s="8" t="str">
        <f>IF(Tabla2[[#This Row],[precio_unitario]]&lt;=30,"Económico",IF(Tabla2[[#This Row],[precio_unitario]]&lt;=58.49,"Accesible","Caro"))</f>
        <v>Caro</v>
      </c>
      <c r="J2147" t="s">
        <v>17</v>
      </c>
      <c r="K2147">
        <v>2</v>
      </c>
      <c r="L2147" s="19">
        <v>110.69</v>
      </c>
      <c r="M2147" s="19">
        <v>57.5</v>
      </c>
      <c r="N2147" s="11">
        <v>0</v>
      </c>
      <c r="O2147" s="17">
        <f t="shared" si="135"/>
        <v>221.38</v>
      </c>
      <c r="P2147" s="17">
        <f t="shared" si="132"/>
        <v>115</v>
      </c>
      <c r="Q2147" s="17">
        <f t="shared" si="133"/>
        <v>106.38</v>
      </c>
      <c r="R2147" s="24">
        <f t="shared" si="134"/>
        <v>0.48053121329840093</v>
      </c>
      <c r="S2147" t="s">
        <v>540</v>
      </c>
      <c r="T2147" t="s">
        <v>64</v>
      </c>
    </row>
    <row r="2148" spans="1:20" hidden="1">
      <c r="A2148" t="s">
        <v>2214</v>
      </c>
      <c r="B2148" s="5">
        <v>45881</v>
      </c>
      <c r="C2148" s="8">
        <f>YEAR(Tabla2[[#This Row],[fecha]])</f>
        <v>2025</v>
      </c>
      <c r="D2148" s="8">
        <f>MONTH(Tabla2[[#This Row],[fecha]])</f>
        <v>8</v>
      </c>
      <c r="E2148" s="8" t="str">
        <f>TEXT(Tabla2[[#This Row],[fecha]], "mmmm")</f>
        <v>agosto</v>
      </c>
      <c r="F2148" s="8" t="str">
        <f>"T"&amp;ROUNDUP(Tabla2[[#This Row],[mes]]/3,0)</f>
        <v>T3</v>
      </c>
      <c r="G2148" t="s">
        <v>15</v>
      </c>
      <c r="H2148" t="s">
        <v>16</v>
      </c>
      <c r="I2148" s="8" t="str">
        <f>IF(Tabla2[[#This Row],[precio_unitario]]&lt;=30,"Económico",IF(Tabla2[[#This Row],[precio_unitario]]&lt;=58.49,"Accesible","Caro"))</f>
        <v>Caro</v>
      </c>
      <c r="J2148" t="s">
        <v>17</v>
      </c>
      <c r="K2148">
        <v>1</v>
      </c>
      <c r="L2148" s="19">
        <v>59.23</v>
      </c>
      <c r="M2148" s="19">
        <v>39.799999999999997</v>
      </c>
      <c r="N2148" s="11">
        <v>0</v>
      </c>
      <c r="O2148" s="17">
        <f t="shared" si="135"/>
        <v>59.23</v>
      </c>
      <c r="P2148" s="17">
        <f t="shared" si="132"/>
        <v>39.799999999999997</v>
      </c>
      <c r="Q2148" s="17">
        <f t="shared" si="133"/>
        <v>19.43</v>
      </c>
      <c r="R2148" s="24">
        <f t="shared" si="134"/>
        <v>0.32804322134053693</v>
      </c>
      <c r="S2148" t="s">
        <v>540</v>
      </c>
      <c r="T2148" t="s">
        <v>64</v>
      </c>
    </row>
    <row r="2149" spans="1:20" hidden="1">
      <c r="A2149" t="s">
        <v>2215</v>
      </c>
      <c r="B2149" s="5">
        <v>45778</v>
      </c>
      <c r="C2149" s="8">
        <f>YEAR(Tabla2[[#This Row],[fecha]])</f>
        <v>2025</v>
      </c>
      <c r="D2149" s="8">
        <f>MONTH(Tabla2[[#This Row],[fecha]])</f>
        <v>5</v>
      </c>
      <c r="E2149" s="8" t="str">
        <f>TEXT(Tabla2[[#This Row],[fecha]], "mmmm")</f>
        <v>mayo</v>
      </c>
      <c r="F2149" s="8" t="str">
        <f>"T"&amp;ROUNDUP(Tabla2[[#This Row],[mes]]/3,0)</f>
        <v>T2</v>
      </c>
      <c r="G2149" t="s">
        <v>11</v>
      </c>
      <c r="H2149" t="s">
        <v>12</v>
      </c>
      <c r="I2149" s="8" t="str">
        <f>IF(Tabla2[[#This Row],[precio_unitario]]&lt;=30,"Económico",IF(Tabla2[[#This Row],[precio_unitario]]&lt;=58.49,"Accesible","Caro"))</f>
        <v>Caro</v>
      </c>
      <c r="J2149" t="s">
        <v>8</v>
      </c>
      <c r="K2149">
        <v>5</v>
      </c>
      <c r="L2149" s="21">
        <v>163.95</v>
      </c>
      <c r="M2149" s="19">
        <v>95.94</v>
      </c>
      <c r="N2149" s="11">
        <v>0</v>
      </c>
      <c r="O2149" s="17">
        <f t="shared" si="135"/>
        <v>819.75</v>
      </c>
      <c r="P2149" s="17">
        <f t="shared" si="132"/>
        <v>479.7</v>
      </c>
      <c r="Q2149" s="17">
        <f t="shared" si="133"/>
        <v>340.05</v>
      </c>
      <c r="R2149" s="24">
        <f t="shared" si="134"/>
        <v>0.41482159194876489</v>
      </c>
      <c r="S2149" t="s">
        <v>83</v>
      </c>
      <c r="T2149" t="s">
        <v>60</v>
      </c>
    </row>
    <row r="2150" spans="1:20" hidden="1">
      <c r="A2150" t="s">
        <v>2216</v>
      </c>
      <c r="B2150" s="5">
        <v>45921</v>
      </c>
      <c r="C2150" s="8">
        <f>YEAR(Tabla2[[#This Row],[fecha]])</f>
        <v>2025</v>
      </c>
      <c r="D2150" s="8">
        <f>MONTH(Tabla2[[#This Row],[fecha]])</f>
        <v>9</v>
      </c>
      <c r="E2150" s="8" t="str">
        <f>TEXT(Tabla2[[#This Row],[fecha]], "mmmm")</f>
        <v>septiembre</v>
      </c>
      <c r="F2150" s="8" t="str">
        <f>"T"&amp;ROUNDUP(Tabla2[[#This Row],[mes]]/3,0)</f>
        <v>T3</v>
      </c>
      <c r="G2150" t="s">
        <v>31</v>
      </c>
      <c r="H2150" t="s">
        <v>32</v>
      </c>
      <c r="I2150" s="8" t="str">
        <f>IF(Tabla2[[#This Row],[precio_unitario]]&lt;=30,"Económico",IF(Tabla2[[#This Row],[precio_unitario]]&lt;=58.49,"Accesible","Caro"))</f>
        <v>Económico</v>
      </c>
      <c r="J2150" t="s">
        <v>26</v>
      </c>
      <c r="K2150">
        <v>1</v>
      </c>
      <c r="L2150" s="19">
        <v>8.5500000000000007</v>
      </c>
      <c r="M2150" s="19">
        <v>5.94</v>
      </c>
      <c r="N2150" s="11">
        <v>0</v>
      </c>
      <c r="O2150" s="17">
        <f t="shared" si="135"/>
        <v>8.5500000000000007</v>
      </c>
      <c r="P2150" s="17">
        <f t="shared" si="132"/>
        <v>5.94</v>
      </c>
      <c r="Q2150" s="17">
        <f t="shared" si="133"/>
        <v>2.6100000000000003</v>
      </c>
      <c r="R2150" s="24">
        <f t="shared" si="134"/>
        <v>0.30526315789473685</v>
      </c>
      <c r="S2150" t="s">
        <v>101</v>
      </c>
      <c r="T2150" t="s">
        <v>60</v>
      </c>
    </row>
    <row r="2151" spans="1:20" hidden="1">
      <c r="A2151" t="s">
        <v>2217</v>
      </c>
      <c r="B2151" s="5">
        <v>45565</v>
      </c>
      <c r="C2151" s="8">
        <f>YEAR(Tabla2[[#This Row],[fecha]])</f>
        <v>2024</v>
      </c>
      <c r="D2151" s="8">
        <f>MONTH(Tabla2[[#This Row],[fecha]])</f>
        <v>9</v>
      </c>
      <c r="E2151" s="8" t="str">
        <f>TEXT(Tabla2[[#This Row],[fecha]], "mmmm")</f>
        <v>septiembre</v>
      </c>
      <c r="F2151" s="8" t="str">
        <f>"T"&amp;ROUNDUP(Tabla2[[#This Row],[mes]]/3,0)</f>
        <v>T3</v>
      </c>
      <c r="G2151" t="s">
        <v>47</v>
      </c>
      <c r="H2151" t="s">
        <v>48</v>
      </c>
      <c r="I2151" s="8" t="str">
        <f>IF(Tabla2[[#This Row],[precio_unitario]]&lt;=30,"Económico",IF(Tabla2[[#This Row],[precio_unitario]]&lt;=58.49,"Accesible","Caro"))</f>
        <v>Accesible</v>
      </c>
      <c r="J2151" t="s">
        <v>44</v>
      </c>
      <c r="K2151">
        <v>3</v>
      </c>
      <c r="L2151" s="19">
        <v>56.3</v>
      </c>
      <c r="M2151" s="19">
        <v>34.200000000000003</v>
      </c>
      <c r="N2151" s="11">
        <v>0</v>
      </c>
      <c r="O2151" s="17">
        <f t="shared" si="135"/>
        <v>168.89999999999998</v>
      </c>
      <c r="P2151" s="17">
        <f t="shared" si="132"/>
        <v>102.60000000000001</v>
      </c>
      <c r="Q2151" s="17">
        <f t="shared" si="133"/>
        <v>66.299999999999969</v>
      </c>
      <c r="R2151" s="24">
        <f t="shared" si="134"/>
        <v>0.39253996447602119</v>
      </c>
      <c r="S2151" t="s">
        <v>101</v>
      </c>
      <c r="T2151" t="s">
        <v>60</v>
      </c>
    </row>
    <row r="2152" spans="1:20" hidden="1">
      <c r="A2152" t="s">
        <v>2218</v>
      </c>
      <c r="B2152" s="5">
        <v>45767</v>
      </c>
      <c r="C2152" s="8">
        <f>YEAR(Tabla2[[#This Row],[fecha]])</f>
        <v>2025</v>
      </c>
      <c r="D2152" s="8">
        <f>MONTH(Tabla2[[#This Row],[fecha]])</f>
        <v>4</v>
      </c>
      <c r="E2152" s="8" t="str">
        <f>TEXT(Tabla2[[#This Row],[fecha]], "mmmm")</f>
        <v>abril</v>
      </c>
      <c r="F2152" s="8" t="str">
        <f>"T"&amp;ROUNDUP(Tabla2[[#This Row],[mes]]/3,0)</f>
        <v>T2</v>
      </c>
      <c r="G2152" t="s">
        <v>6</v>
      </c>
      <c r="H2152" t="s">
        <v>7</v>
      </c>
      <c r="I2152" s="8" t="str">
        <f>IF(Tabla2[[#This Row],[precio_unitario]]&lt;=30,"Económico",IF(Tabla2[[#This Row],[precio_unitario]]&lt;=58.49,"Accesible","Caro"))</f>
        <v>Caro</v>
      </c>
      <c r="J2152" t="s">
        <v>8</v>
      </c>
      <c r="K2152">
        <v>1</v>
      </c>
      <c r="L2152" s="19">
        <v>127</v>
      </c>
      <c r="M2152" s="19">
        <v>81.12</v>
      </c>
      <c r="N2152" s="11">
        <v>0</v>
      </c>
      <c r="O2152" s="17">
        <f t="shared" si="135"/>
        <v>127</v>
      </c>
      <c r="P2152" s="17">
        <f t="shared" si="132"/>
        <v>81.12</v>
      </c>
      <c r="Q2152" s="17">
        <f t="shared" si="133"/>
        <v>45.879999999999995</v>
      </c>
      <c r="R2152" s="24">
        <f t="shared" si="134"/>
        <v>0.36125984251968501</v>
      </c>
      <c r="S2152" t="s">
        <v>101</v>
      </c>
      <c r="T2152" t="s">
        <v>60</v>
      </c>
    </row>
    <row r="2153" spans="1:20" hidden="1">
      <c r="A2153" t="s">
        <v>2219</v>
      </c>
      <c r="B2153" s="5">
        <v>46011</v>
      </c>
      <c r="C2153" s="8">
        <f>YEAR(Tabla2[[#This Row],[fecha]])</f>
        <v>2025</v>
      </c>
      <c r="D2153" s="8">
        <f>MONTH(Tabla2[[#This Row],[fecha]])</f>
        <v>12</v>
      </c>
      <c r="E2153" s="8" t="str">
        <f>TEXT(Tabla2[[#This Row],[fecha]], "mmmm")</f>
        <v>diciembre</v>
      </c>
      <c r="F2153" s="8" t="str">
        <f>"T"&amp;ROUNDUP(Tabla2[[#This Row],[mes]]/3,0)</f>
        <v>T4</v>
      </c>
      <c r="G2153" t="s">
        <v>47</v>
      </c>
      <c r="H2153" t="s">
        <v>48</v>
      </c>
      <c r="I2153" s="8" t="str">
        <f>IF(Tabla2[[#This Row],[precio_unitario]]&lt;=30,"Económico",IF(Tabla2[[#This Row],[precio_unitario]]&lt;=58.49,"Accesible","Caro"))</f>
        <v>Accesible</v>
      </c>
      <c r="J2153" t="s">
        <v>44</v>
      </c>
      <c r="K2153">
        <v>1</v>
      </c>
      <c r="L2153" s="19">
        <v>55.57</v>
      </c>
      <c r="M2153" s="19">
        <v>31.1</v>
      </c>
      <c r="N2153" s="11">
        <v>0</v>
      </c>
      <c r="O2153" s="17">
        <f t="shared" si="135"/>
        <v>55.57</v>
      </c>
      <c r="P2153" s="17">
        <f t="shared" si="132"/>
        <v>31.1</v>
      </c>
      <c r="Q2153" s="17">
        <f t="shared" si="133"/>
        <v>24.47</v>
      </c>
      <c r="R2153" s="24">
        <f t="shared" si="134"/>
        <v>0.44034551016735646</v>
      </c>
      <c r="S2153" t="s">
        <v>63</v>
      </c>
      <c r="T2153" t="s">
        <v>60</v>
      </c>
    </row>
    <row r="2154" spans="1:20">
      <c r="A2154" t="s">
        <v>2220</v>
      </c>
      <c r="B2154" s="5">
        <v>45838</v>
      </c>
      <c r="C2154" s="8">
        <f>YEAR(Tabla2[[#This Row],[fecha]])</f>
        <v>2025</v>
      </c>
      <c r="D2154" s="8">
        <f>MONTH(Tabla2[[#This Row],[fecha]])</f>
        <v>6</v>
      </c>
      <c r="E2154" s="8" t="str">
        <f>TEXT(Tabla2[[#This Row],[fecha]], "mmmm")</f>
        <v>junio</v>
      </c>
      <c r="F2154" s="8" t="str">
        <f>"T"&amp;ROUNDUP(Tabla2[[#This Row],[mes]]/3,0)</f>
        <v>T2</v>
      </c>
      <c r="G2154" t="s">
        <v>45</v>
      </c>
      <c r="H2154" t="s">
        <v>46</v>
      </c>
      <c r="I2154" s="8" t="str">
        <f>IF(Tabla2[[#This Row],[precio_unitario]]&lt;=30,"Económico",IF(Tabla2[[#This Row],[precio_unitario]]&lt;=58.49,"Accesible","Caro"))</f>
        <v>Económico</v>
      </c>
      <c r="J2154" t="s">
        <v>44</v>
      </c>
      <c r="K2154">
        <v>6</v>
      </c>
      <c r="L2154" s="19">
        <v>29.75</v>
      </c>
      <c r="M2154" s="19">
        <v>16.989999999999998</v>
      </c>
      <c r="N2154" s="11">
        <v>0</v>
      </c>
      <c r="O2154" s="17">
        <f t="shared" si="135"/>
        <v>178.5</v>
      </c>
      <c r="P2154" s="17">
        <f t="shared" si="132"/>
        <v>101.94</v>
      </c>
      <c r="Q2154" s="17">
        <f t="shared" si="133"/>
        <v>76.56</v>
      </c>
      <c r="R2154" s="24">
        <f t="shared" si="134"/>
        <v>0.4289075630252101</v>
      </c>
      <c r="S2154" t="s">
        <v>67</v>
      </c>
      <c r="T2154" t="s">
        <v>60</v>
      </c>
    </row>
    <row r="2155" spans="1:20">
      <c r="A2155" t="s">
        <v>2221</v>
      </c>
      <c r="B2155" s="5">
        <v>45915</v>
      </c>
      <c r="C2155" s="8">
        <f>YEAR(Tabla2[[#This Row],[fecha]])</f>
        <v>2025</v>
      </c>
      <c r="D2155" s="8">
        <f>MONTH(Tabla2[[#This Row],[fecha]])</f>
        <v>9</v>
      </c>
      <c r="E2155" s="8" t="str">
        <f>TEXT(Tabla2[[#This Row],[fecha]], "mmmm")</f>
        <v>septiembre</v>
      </c>
      <c r="F2155" s="8" t="str">
        <f>"T"&amp;ROUNDUP(Tabla2[[#This Row],[mes]]/3,0)</f>
        <v>T3</v>
      </c>
      <c r="G2155" t="s">
        <v>22</v>
      </c>
      <c r="H2155" t="s">
        <v>23</v>
      </c>
      <c r="I2155" s="8" t="str">
        <f>IF(Tabla2[[#This Row],[precio_unitario]]&lt;=30,"Económico",IF(Tabla2[[#This Row],[precio_unitario]]&lt;=58.49,"Accesible","Caro"))</f>
        <v>Caro</v>
      </c>
      <c r="J2155" t="s">
        <v>17</v>
      </c>
      <c r="K2155">
        <v>2</v>
      </c>
      <c r="L2155" s="19">
        <v>94.44</v>
      </c>
      <c r="M2155" s="19">
        <v>58.04</v>
      </c>
      <c r="N2155" s="11">
        <v>0</v>
      </c>
      <c r="O2155" s="17">
        <f t="shared" si="135"/>
        <v>188.88</v>
      </c>
      <c r="P2155" s="17">
        <f t="shared" si="132"/>
        <v>116.08</v>
      </c>
      <c r="Q2155" s="17">
        <f t="shared" si="133"/>
        <v>72.8</v>
      </c>
      <c r="R2155" s="24">
        <f t="shared" si="134"/>
        <v>0.38542990258365101</v>
      </c>
      <c r="S2155" t="s">
        <v>67</v>
      </c>
      <c r="T2155" t="s">
        <v>60</v>
      </c>
    </row>
    <row r="2156" spans="1:20" hidden="1">
      <c r="A2156" t="s">
        <v>2222</v>
      </c>
      <c r="B2156" s="5">
        <v>45725</v>
      </c>
      <c r="C2156" s="8">
        <f>YEAR(Tabla2[[#This Row],[fecha]])</f>
        <v>2025</v>
      </c>
      <c r="D2156" s="8">
        <f>MONTH(Tabla2[[#This Row],[fecha]])</f>
        <v>3</v>
      </c>
      <c r="E2156" s="8" t="str">
        <f>TEXT(Tabla2[[#This Row],[fecha]], "mmmm")</f>
        <v>marzo</v>
      </c>
      <c r="F2156" s="8" t="str">
        <f>"T"&amp;ROUNDUP(Tabla2[[#This Row],[mes]]/3,0)</f>
        <v>T1</v>
      </c>
      <c r="G2156" t="s">
        <v>38</v>
      </c>
      <c r="H2156" t="s">
        <v>39</v>
      </c>
      <c r="I2156" s="8" t="str">
        <f>IF(Tabla2[[#This Row],[precio_unitario]]&lt;=30,"Económico",IF(Tabla2[[#This Row],[precio_unitario]]&lt;=58.49,"Accesible","Caro"))</f>
        <v>Caro</v>
      </c>
      <c r="J2156" t="s">
        <v>35</v>
      </c>
      <c r="K2156">
        <v>2</v>
      </c>
      <c r="L2156" s="19">
        <v>76.34</v>
      </c>
      <c r="M2156" s="19">
        <v>41.51</v>
      </c>
      <c r="N2156" s="11">
        <v>0</v>
      </c>
      <c r="O2156" s="17">
        <f t="shared" si="135"/>
        <v>152.68</v>
      </c>
      <c r="P2156" s="17">
        <f t="shared" si="132"/>
        <v>83.02</v>
      </c>
      <c r="Q2156" s="17">
        <f t="shared" si="133"/>
        <v>69.660000000000011</v>
      </c>
      <c r="R2156" s="24">
        <f t="shared" si="134"/>
        <v>0.45624836258842028</v>
      </c>
      <c r="S2156" s="10" t="s">
        <v>2377</v>
      </c>
      <c r="T2156" t="s">
        <v>60</v>
      </c>
    </row>
    <row r="2157" spans="1:20" hidden="1">
      <c r="A2157" t="s">
        <v>2223</v>
      </c>
      <c r="B2157" s="5">
        <v>45442</v>
      </c>
      <c r="C2157" s="8">
        <f>YEAR(Tabla2[[#This Row],[fecha]])</f>
        <v>2024</v>
      </c>
      <c r="D2157" s="8">
        <f>MONTH(Tabla2[[#This Row],[fecha]])</f>
        <v>5</v>
      </c>
      <c r="E2157" s="8" t="str">
        <f>TEXT(Tabla2[[#This Row],[fecha]], "mmmm")</f>
        <v>mayo</v>
      </c>
      <c r="F2157" s="8" t="str">
        <f>"T"&amp;ROUNDUP(Tabla2[[#This Row],[mes]]/3,0)</f>
        <v>T2</v>
      </c>
      <c r="G2157" t="s">
        <v>6</v>
      </c>
      <c r="H2157" t="s">
        <v>7</v>
      </c>
      <c r="I2157" s="8" t="str">
        <f>IF(Tabla2[[#This Row],[precio_unitario]]&lt;=30,"Económico",IF(Tabla2[[#This Row],[precio_unitario]]&lt;=58.49,"Accesible","Caro"))</f>
        <v>Caro</v>
      </c>
      <c r="J2157" t="s">
        <v>8</v>
      </c>
      <c r="K2157">
        <v>1</v>
      </c>
      <c r="L2157" s="19">
        <v>121.16</v>
      </c>
      <c r="M2157" s="19">
        <v>81.83</v>
      </c>
      <c r="N2157" s="11">
        <v>0</v>
      </c>
      <c r="O2157" s="17">
        <f t="shared" si="135"/>
        <v>121.16</v>
      </c>
      <c r="P2157" s="17">
        <f t="shared" si="132"/>
        <v>81.83</v>
      </c>
      <c r="Q2157" s="17">
        <f t="shared" si="133"/>
        <v>39.33</v>
      </c>
      <c r="R2157" s="24">
        <f t="shared" si="134"/>
        <v>0.32461208319577417</v>
      </c>
      <c r="S2157" t="s">
        <v>83</v>
      </c>
      <c r="T2157" t="s">
        <v>64</v>
      </c>
    </row>
    <row r="2158" spans="1:20" hidden="1">
      <c r="A2158" t="s">
        <v>2224</v>
      </c>
      <c r="B2158" s="5">
        <v>45592</v>
      </c>
      <c r="C2158" s="8">
        <f>YEAR(Tabla2[[#This Row],[fecha]])</f>
        <v>2024</v>
      </c>
      <c r="D2158" s="8">
        <f>MONTH(Tabla2[[#This Row],[fecha]])</f>
        <v>10</v>
      </c>
      <c r="E2158" s="8" t="str">
        <f>TEXT(Tabla2[[#This Row],[fecha]], "mmmm")</f>
        <v>octubre</v>
      </c>
      <c r="F2158" s="8" t="str">
        <f>"T"&amp;ROUNDUP(Tabla2[[#This Row],[mes]]/3,0)</f>
        <v>T4</v>
      </c>
      <c r="G2158" t="s">
        <v>40</v>
      </c>
      <c r="H2158" t="s">
        <v>41</v>
      </c>
      <c r="I2158" s="8" t="str">
        <f>IF(Tabla2[[#This Row],[precio_unitario]]&lt;=30,"Económico",IF(Tabla2[[#This Row],[precio_unitario]]&lt;=58.49,"Accesible","Caro"))</f>
        <v>Caro</v>
      </c>
      <c r="J2158" t="s">
        <v>35</v>
      </c>
      <c r="K2158">
        <v>4</v>
      </c>
      <c r="L2158" s="19">
        <v>84.21</v>
      </c>
      <c r="M2158" s="19">
        <v>42.77</v>
      </c>
      <c r="N2158" s="11">
        <v>0</v>
      </c>
      <c r="O2158" s="17">
        <f t="shared" si="135"/>
        <v>336.84</v>
      </c>
      <c r="P2158" s="17">
        <f t="shared" si="132"/>
        <v>171.08</v>
      </c>
      <c r="Q2158" s="17">
        <f t="shared" si="133"/>
        <v>165.75999999999996</v>
      </c>
      <c r="R2158" s="24">
        <f t="shared" si="134"/>
        <v>0.49210307564422268</v>
      </c>
      <c r="S2158" t="s">
        <v>67</v>
      </c>
      <c r="T2158" t="s">
        <v>60</v>
      </c>
    </row>
    <row r="2159" spans="1:20" hidden="1">
      <c r="A2159" t="s">
        <v>2225</v>
      </c>
      <c r="B2159" s="5">
        <v>45512</v>
      </c>
      <c r="C2159" s="8">
        <f>YEAR(Tabla2[[#This Row],[fecha]])</f>
        <v>2024</v>
      </c>
      <c r="D2159" s="8">
        <f>MONTH(Tabla2[[#This Row],[fecha]])</f>
        <v>8</v>
      </c>
      <c r="E2159" s="8" t="str">
        <f>TEXT(Tabla2[[#This Row],[fecha]], "mmmm")</f>
        <v>agosto</v>
      </c>
      <c r="F2159" s="8" t="str">
        <f>"T"&amp;ROUNDUP(Tabla2[[#This Row],[mes]]/3,0)</f>
        <v>T3</v>
      </c>
      <c r="G2159" t="s">
        <v>33</v>
      </c>
      <c r="H2159" t="s">
        <v>34</v>
      </c>
      <c r="I2159" s="8" t="str">
        <f>IF(Tabla2[[#This Row],[precio_unitario]]&lt;=30,"Económico",IF(Tabla2[[#This Row],[precio_unitario]]&lt;=58.49,"Accesible","Caro"))</f>
        <v>Caro</v>
      </c>
      <c r="J2159" t="s">
        <v>35</v>
      </c>
      <c r="K2159">
        <v>5</v>
      </c>
      <c r="L2159" s="19">
        <v>73.52</v>
      </c>
      <c r="M2159" s="19">
        <v>49.04</v>
      </c>
      <c r="N2159" s="13">
        <v>0</v>
      </c>
      <c r="O2159" s="17">
        <f t="shared" si="135"/>
        <v>367.59999999999997</v>
      </c>
      <c r="P2159" s="17">
        <f t="shared" si="132"/>
        <v>245.2</v>
      </c>
      <c r="Q2159" s="17">
        <f t="shared" si="133"/>
        <v>122.39999999999998</v>
      </c>
      <c r="R2159" s="24">
        <f t="shared" si="134"/>
        <v>0.33297062023939061</v>
      </c>
      <c r="S2159" t="s">
        <v>83</v>
      </c>
      <c r="T2159" t="s">
        <v>60</v>
      </c>
    </row>
    <row r="2160" spans="1:20" hidden="1">
      <c r="A2160" t="s">
        <v>2226</v>
      </c>
      <c r="B2160" s="5">
        <v>45582</v>
      </c>
      <c r="C2160" s="8">
        <f>YEAR(Tabla2[[#This Row],[fecha]])</f>
        <v>2024</v>
      </c>
      <c r="D2160" s="8">
        <f>MONTH(Tabla2[[#This Row],[fecha]])</f>
        <v>10</v>
      </c>
      <c r="E2160" s="8" t="str">
        <f>TEXT(Tabla2[[#This Row],[fecha]], "mmmm")</f>
        <v>octubre</v>
      </c>
      <c r="F2160" s="8" t="str">
        <f>"T"&amp;ROUNDUP(Tabla2[[#This Row],[mes]]/3,0)</f>
        <v>T4</v>
      </c>
      <c r="G2160" t="s">
        <v>9</v>
      </c>
      <c r="H2160" t="s">
        <v>10</v>
      </c>
      <c r="I2160" s="8" t="str">
        <f>IF(Tabla2[[#This Row],[precio_unitario]]&lt;=30,"Económico",IF(Tabla2[[#This Row],[precio_unitario]]&lt;=58.49,"Accesible","Caro"))</f>
        <v>Caro</v>
      </c>
      <c r="J2160" t="s">
        <v>8</v>
      </c>
      <c r="K2160">
        <v>1</v>
      </c>
      <c r="L2160" s="19">
        <v>70.34</v>
      </c>
      <c r="M2160" s="19">
        <v>45.2</v>
      </c>
      <c r="N2160" s="11">
        <v>0</v>
      </c>
      <c r="O2160" s="17">
        <f t="shared" si="135"/>
        <v>70.34</v>
      </c>
      <c r="P2160" s="17">
        <f t="shared" si="132"/>
        <v>45.2</v>
      </c>
      <c r="Q2160" s="17">
        <f t="shared" si="133"/>
        <v>25.14</v>
      </c>
      <c r="R2160" s="24">
        <f t="shared" si="134"/>
        <v>0.35740688086437306</v>
      </c>
      <c r="S2160" t="s">
        <v>67</v>
      </c>
      <c r="T2160" t="s">
        <v>64</v>
      </c>
    </row>
    <row r="2161" spans="1:20" hidden="1">
      <c r="A2161" t="s">
        <v>2227</v>
      </c>
      <c r="B2161" s="5">
        <v>45356</v>
      </c>
      <c r="C2161" s="8">
        <f>YEAR(Tabla2[[#This Row],[fecha]])</f>
        <v>2024</v>
      </c>
      <c r="D2161" s="8">
        <f>MONTH(Tabla2[[#This Row],[fecha]])</f>
        <v>3</v>
      </c>
      <c r="E2161" s="8" t="str">
        <f>TEXT(Tabla2[[#This Row],[fecha]], "mmmm")</f>
        <v>marzo</v>
      </c>
      <c r="F2161" s="8" t="str">
        <f>"T"&amp;ROUNDUP(Tabla2[[#This Row],[mes]]/3,0)</f>
        <v>T1</v>
      </c>
      <c r="G2161" t="s">
        <v>31</v>
      </c>
      <c r="H2161" t="s">
        <v>32</v>
      </c>
      <c r="I2161" s="8" t="str">
        <f>IF(Tabla2[[#This Row],[precio_unitario]]&lt;=30,"Económico",IF(Tabla2[[#This Row],[precio_unitario]]&lt;=58.49,"Accesible","Caro"))</f>
        <v>Económico</v>
      </c>
      <c r="J2161" t="s">
        <v>26</v>
      </c>
      <c r="K2161">
        <v>3</v>
      </c>
      <c r="L2161" s="19">
        <v>8.44</v>
      </c>
      <c r="M2161" s="19">
        <v>5.8</v>
      </c>
      <c r="N2161" s="13">
        <v>0</v>
      </c>
      <c r="O2161" s="17">
        <f t="shared" si="135"/>
        <v>25.32</v>
      </c>
      <c r="P2161" s="17">
        <f t="shared" si="132"/>
        <v>17.399999999999999</v>
      </c>
      <c r="Q2161" s="17">
        <f t="shared" si="133"/>
        <v>7.9200000000000017</v>
      </c>
      <c r="R2161" s="24">
        <f t="shared" si="134"/>
        <v>0.31279620853080575</v>
      </c>
      <c r="S2161" t="s">
        <v>63</v>
      </c>
      <c r="T2161" t="s">
        <v>60</v>
      </c>
    </row>
    <row r="2162" spans="1:20" hidden="1">
      <c r="A2162" t="s">
        <v>2228</v>
      </c>
      <c r="B2162" s="5">
        <v>45452</v>
      </c>
      <c r="C2162" s="8">
        <f>YEAR(Tabla2[[#This Row],[fecha]])</f>
        <v>2024</v>
      </c>
      <c r="D2162" s="8">
        <f>MONTH(Tabla2[[#This Row],[fecha]])</f>
        <v>6</v>
      </c>
      <c r="E2162" s="8" t="str">
        <f>TEXT(Tabla2[[#This Row],[fecha]], "mmmm")</f>
        <v>junio</v>
      </c>
      <c r="F2162" s="8" t="str">
        <f>"T"&amp;ROUNDUP(Tabla2[[#This Row],[mes]]/3,0)</f>
        <v>T2</v>
      </c>
      <c r="G2162" t="s">
        <v>42</v>
      </c>
      <c r="H2162" t="s">
        <v>43</v>
      </c>
      <c r="I2162" s="8" t="str">
        <f>IF(Tabla2[[#This Row],[precio_unitario]]&lt;=30,"Económico",IF(Tabla2[[#This Row],[precio_unitario]]&lt;=58.49,"Accesible","Caro"))</f>
        <v>Accesible</v>
      </c>
      <c r="J2162" t="s">
        <v>44</v>
      </c>
      <c r="K2162">
        <v>4</v>
      </c>
      <c r="L2162" s="19">
        <v>49.65</v>
      </c>
      <c r="M2162" s="19">
        <v>22.71</v>
      </c>
      <c r="N2162" s="11">
        <v>0</v>
      </c>
      <c r="O2162" s="17">
        <f t="shared" si="135"/>
        <v>198.6</v>
      </c>
      <c r="P2162" s="17">
        <f t="shared" si="132"/>
        <v>90.84</v>
      </c>
      <c r="Q2162" s="17">
        <f t="shared" si="133"/>
        <v>107.75999999999999</v>
      </c>
      <c r="R2162" s="24">
        <f t="shared" si="134"/>
        <v>0.54259818731117826</v>
      </c>
      <c r="S2162" t="s">
        <v>67</v>
      </c>
      <c r="T2162" t="s">
        <v>60</v>
      </c>
    </row>
    <row r="2163" spans="1:20" hidden="1">
      <c r="A2163" t="s">
        <v>2229</v>
      </c>
      <c r="B2163" s="5">
        <v>45588</v>
      </c>
      <c r="C2163" s="8">
        <f>YEAR(Tabla2[[#This Row],[fecha]])</f>
        <v>2024</v>
      </c>
      <c r="D2163" s="8">
        <f>MONTH(Tabla2[[#This Row],[fecha]])</f>
        <v>10</v>
      </c>
      <c r="E2163" s="8" t="str">
        <f>TEXT(Tabla2[[#This Row],[fecha]], "mmmm")</f>
        <v>octubre</v>
      </c>
      <c r="F2163" s="8" t="str">
        <f>"T"&amp;ROUNDUP(Tabla2[[#This Row],[mes]]/3,0)</f>
        <v>T4</v>
      </c>
      <c r="G2163" t="s">
        <v>27</v>
      </c>
      <c r="H2163" t="s">
        <v>28</v>
      </c>
      <c r="I2163" s="8" t="str">
        <f>IF(Tabla2[[#This Row],[precio_unitario]]&lt;=30,"Económico",IF(Tabla2[[#This Row],[precio_unitario]]&lt;=58.49,"Accesible","Caro"))</f>
        <v>Económico</v>
      </c>
      <c r="J2163" t="s">
        <v>26</v>
      </c>
      <c r="K2163">
        <v>3</v>
      </c>
      <c r="L2163" s="19">
        <v>17.16</v>
      </c>
      <c r="M2163" s="19">
        <v>11.02</v>
      </c>
      <c r="N2163" s="11">
        <v>0</v>
      </c>
      <c r="O2163" s="17">
        <f t="shared" si="135"/>
        <v>51.480000000000004</v>
      </c>
      <c r="P2163" s="17">
        <f t="shared" si="132"/>
        <v>33.06</v>
      </c>
      <c r="Q2163" s="17">
        <f t="shared" si="133"/>
        <v>18.420000000000002</v>
      </c>
      <c r="R2163" s="24">
        <f t="shared" si="134"/>
        <v>0.35780885780885779</v>
      </c>
      <c r="S2163" t="s">
        <v>83</v>
      </c>
      <c r="T2163" t="s">
        <v>64</v>
      </c>
    </row>
    <row r="2164" spans="1:20" hidden="1">
      <c r="A2164" t="s">
        <v>2230</v>
      </c>
      <c r="B2164" s="5">
        <v>45964</v>
      </c>
      <c r="C2164" s="8">
        <f>YEAR(Tabla2[[#This Row],[fecha]])</f>
        <v>2025</v>
      </c>
      <c r="D2164" s="8">
        <f>MONTH(Tabla2[[#This Row],[fecha]])</f>
        <v>11</v>
      </c>
      <c r="E2164" s="8" t="str">
        <f>TEXT(Tabla2[[#This Row],[fecha]], "mmmm")</f>
        <v>noviembre</v>
      </c>
      <c r="F2164" s="8" t="str">
        <f>"T"&amp;ROUNDUP(Tabla2[[#This Row],[mes]]/3,0)</f>
        <v>T4</v>
      </c>
      <c r="G2164" t="s">
        <v>38</v>
      </c>
      <c r="H2164" t="s">
        <v>39</v>
      </c>
      <c r="I2164" s="8" t="str">
        <f>IF(Tabla2[[#This Row],[precio_unitario]]&lt;=30,"Económico",IF(Tabla2[[#This Row],[precio_unitario]]&lt;=58.49,"Accesible","Caro"))</f>
        <v>Caro</v>
      </c>
      <c r="J2164" t="s">
        <v>35</v>
      </c>
      <c r="K2164">
        <v>2</v>
      </c>
      <c r="L2164" s="19">
        <v>76.05</v>
      </c>
      <c r="M2164" s="19">
        <v>44.38</v>
      </c>
      <c r="N2164" s="11">
        <v>0.1</v>
      </c>
      <c r="O2164" s="17">
        <f t="shared" si="135"/>
        <v>136.88999999999999</v>
      </c>
      <c r="P2164" s="17">
        <f t="shared" si="132"/>
        <v>88.76</v>
      </c>
      <c r="Q2164" s="17">
        <f t="shared" si="133"/>
        <v>48.129999999999981</v>
      </c>
      <c r="R2164" s="24">
        <f t="shared" si="134"/>
        <v>0.35159617210899252</v>
      </c>
      <c r="S2164" t="s">
        <v>96</v>
      </c>
      <c r="T2164" t="s">
        <v>60</v>
      </c>
    </row>
    <row r="2165" spans="1:20">
      <c r="A2165" t="s">
        <v>2231</v>
      </c>
      <c r="B2165" s="5">
        <v>45791</v>
      </c>
      <c r="C2165" s="8">
        <f>YEAR(Tabla2[[#This Row],[fecha]])</f>
        <v>2025</v>
      </c>
      <c r="D2165" s="8">
        <f>MONTH(Tabla2[[#This Row],[fecha]])</f>
        <v>5</v>
      </c>
      <c r="E2165" s="8" t="str">
        <f>TEXT(Tabla2[[#This Row],[fecha]], "mmmm")</f>
        <v>mayo</v>
      </c>
      <c r="F2165" s="8" t="str">
        <f>"T"&amp;ROUNDUP(Tabla2[[#This Row],[mes]]/3,0)</f>
        <v>T2</v>
      </c>
      <c r="G2165" t="s">
        <v>36</v>
      </c>
      <c r="H2165" t="s">
        <v>37</v>
      </c>
      <c r="I2165" s="8" t="str">
        <f>IF(Tabla2[[#This Row],[precio_unitario]]&lt;=30,"Económico",IF(Tabla2[[#This Row],[precio_unitario]]&lt;=58.49,"Accesible","Caro"))</f>
        <v>Económico</v>
      </c>
      <c r="J2165" t="s">
        <v>35</v>
      </c>
      <c r="K2165">
        <v>4</v>
      </c>
      <c r="L2165" s="19">
        <v>15.15</v>
      </c>
      <c r="M2165" s="19">
        <v>9.67</v>
      </c>
      <c r="N2165" s="11">
        <v>0.22</v>
      </c>
      <c r="O2165" s="17">
        <f t="shared" si="135"/>
        <v>47.268000000000001</v>
      </c>
      <c r="P2165" s="17">
        <f t="shared" si="132"/>
        <v>38.68</v>
      </c>
      <c r="Q2165" s="17">
        <f t="shared" si="133"/>
        <v>8.588000000000001</v>
      </c>
      <c r="R2165" s="24">
        <f t="shared" si="134"/>
        <v>0.1816873995091817</v>
      </c>
      <c r="S2165" t="s">
        <v>67</v>
      </c>
      <c r="T2165" t="s">
        <v>64</v>
      </c>
    </row>
    <row r="2166" spans="1:20">
      <c r="A2166" t="s">
        <v>2232</v>
      </c>
      <c r="B2166" s="5">
        <v>45668</v>
      </c>
      <c r="C2166" s="8">
        <f>YEAR(Tabla2[[#This Row],[fecha]])</f>
        <v>2025</v>
      </c>
      <c r="D2166" s="8">
        <f>MONTH(Tabla2[[#This Row],[fecha]])</f>
        <v>1</v>
      </c>
      <c r="E2166" s="8" t="str">
        <f>TEXT(Tabla2[[#This Row],[fecha]], "mmmm")</f>
        <v>enero</v>
      </c>
      <c r="F2166" s="8" t="str">
        <f>"T"&amp;ROUNDUP(Tabla2[[#This Row],[mes]]/3,0)</f>
        <v>T1</v>
      </c>
      <c r="G2166" t="s">
        <v>47</v>
      </c>
      <c r="H2166" t="s">
        <v>48</v>
      </c>
      <c r="I2166" s="8" t="str">
        <f>IF(Tabla2[[#This Row],[precio_unitario]]&lt;=30,"Económico",IF(Tabla2[[#This Row],[precio_unitario]]&lt;=58.49,"Accesible","Caro"))</f>
        <v>Accesible</v>
      </c>
      <c r="J2166" t="s">
        <v>44</v>
      </c>
      <c r="K2166">
        <v>2</v>
      </c>
      <c r="L2166" s="19">
        <v>57.62</v>
      </c>
      <c r="M2166" s="19">
        <v>32.97</v>
      </c>
      <c r="N2166" s="11">
        <v>0.15</v>
      </c>
      <c r="O2166" s="17">
        <f t="shared" si="135"/>
        <v>97.953999999999994</v>
      </c>
      <c r="P2166" s="17">
        <f t="shared" si="132"/>
        <v>65.94</v>
      </c>
      <c r="Q2166" s="17">
        <f t="shared" si="133"/>
        <v>32.013999999999996</v>
      </c>
      <c r="R2166" s="24">
        <f t="shared" si="134"/>
        <v>0.32682687792229004</v>
      </c>
      <c r="S2166" t="s">
        <v>67</v>
      </c>
      <c r="T2166" t="s">
        <v>60</v>
      </c>
    </row>
    <row r="2167" spans="1:20" hidden="1">
      <c r="A2167" t="s">
        <v>2233</v>
      </c>
      <c r="B2167" s="5">
        <v>45628</v>
      </c>
      <c r="C2167" s="8">
        <f>YEAR(Tabla2[[#This Row],[fecha]])</f>
        <v>2024</v>
      </c>
      <c r="D2167" s="8">
        <f>MONTH(Tabla2[[#This Row],[fecha]])</f>
        <v>12</v>
      </c>
      <c r="E2167" s="8" t="str">
        <f>TEXT(Tabla2[[#This Row],[fecha]], "mmmm")</f>
        <v>diciembre</v>
      </c>
      <c r="F2167" s="8" t="str">
        <f>"T"&amp;ROUNDUP(Tabla2[[#This Row],[mes]]/3,0)</f>
        <v>T4</v>
      </c>
      <c r="G2167" t="s">
        <v>31</v>
      </c>
      <c r="H2167" t="s">
        <v>32</v>
      </c>
      <c r="I2167" s="8" t="str">
        <f>IF(Tabla2[[#This Row],[precio_unitario]]&lt;=30,"Económico",IF(Tabla2[[#This Row],[precio_unitario]]&lt;=58.49,"Accesible","Caro"))</f>
        <v>Económico</v>
      </c>
      <c r="J2167" t="s">
        <v>26</v>
      </c>
      <c r="K2167">
        <v>1</v>
      </c>
      <c r="L2167" s="19">
        <v>8.07</v>
      </c>
      <c r="M2167" s="19">
        <v>5.78</v>
      </c>
      <c r="N2167" s="11">
        <v>0</v>
      </c>
      <c r="O2167" s="17">
        <f t="shared" si="135"/>
        <v>8.07</v>
      </c>
      <c r="P2167" s="17">
        <f t="shared" si="132"/>
        <v>5.78</v>
      </c>
      <c r="Q2167" s="17">
        <f t="shared" si="133"/>
        <v>2.29</v>
      </c>
      <c r="R2167" s="24">
        <f t="shared" si="134"/>
        <v>0.28376703841387857</v>
      </c>
      <c r="S2167" t="s">
        <v>67</v>
      </c>
      <c r="T2167" t="s">
        <v>60</v>
      </c>
    </row>
    <row r="2168" spans="1:20" hidden="1">
      <c r="A2168" t="s">
        <v>2234</v>
      </c>
      <c r="B2168" s="5">
        <v>45454</v>
      </c>
      <c r="C2168" s="8">
        <f>YEAR(Tabla2[[#This Row],[fecha]])</f>
        <v>2024</v>
      </c>
      <c r="D2168" s="8">
        <f>MONTH(Tabla2[[#This Row],[fecha]])</f>
        <v>6</v>
      </c>
      <c r="E2168" s="8" t="str">
        <f>TEXT(Tabla2[[#This Row],[fecha]], "mmmm")</f>
        <v>junio</v>
      </c>
      <c r="F2168" s="8" t="str">
        <f>"T"&amp;ROUNDUP(Tabla2[[#This Row],[mes]]/3,0)</f>
        <v>T2</v>
      </c>
      <c r="G2168" t="s">
        <v>29</v>
      </c>
      <c r="H2168" t="s">
        <v>30</v>
      </c>
      <c r="I2168" s="8" t="str">
        <f>IF(Tabla2[[#This Row],[precio_unitario]]&lt;=30,"Económico",IF(Tabla2[[#This Row],[precio_unitario]]&lt;=58.49,"Accesible","Caro"))</f>
        <v>Económico</v>
      </c>
      <c r="J2168" t="s">
        <v>26</v>
      </c>
      <c r="K2168">
        <v>1</v>
      </c>
      <c r="L2168" s="19">
        <v>20.47</v>
      </c>
      <c r="M2168" s="19">
        <v>11.84</v>
      </c>
      <c r="N2168" s="11">
        <v>0</v>
      </c>
      <c r="O2168" s="17">
        <f t="shared" si="135"/>
        <v>20.47</v>
      </c>
      <c r="P2168" s="17">
        <f t="shared" si="132"/>
        <v>11.84</v>
      </c>
      <c r="Q2168" s="17">
        <f t="shared" si="133"/>
        <v>8.629999999999999</v>
      </c>
      <c r="R2168" s="24">
        <f t="shared" si="134"/>
        <v>0.42159257449926718</v>
      </c>
      <c r="S2168" t="s">
        <v>83</v>
      </c>
      <c r="T2168" t="s">
        <v>60</v>
      </c>
    </row>
    <row r="2169" spans="1:20">
      <c r="A2169" t="s">
        <v>2235</v>
      </c>
      <c r="B2169" s="5">
        <v>45954</v>
      </c>
      <c r="C2169" s="8">
        <f>YEAR(Tabla2[[#This Row],[fecha]])</f>
        <v>2025</v>
      </c>
      <c r="D2169" s="8">
        <f>MONTH(Tabla2[[#This Row],[fecha]])</f>
        <v>10</v>
      </c>
      <c r="E2169" s="8" t="str">
        <f>TEXT(Tabla2[[#This Row],[fecha]], "mmmm")</f>
        <v>octubre</v>
      </c>
      <c r="F2169" s="8" t="str">
        <f>"T"&amp;ROUNDUP(Tabla2[[#This Row],[mes]]/3,0)</f>
        <v>T4</v>
      </c>
      <c r="G2169" t="s">
        <v>11</v>
      </c>
      <c r="H2169" t="s">
        <v>12</v>
      </c>
      <c r="I2169" s="8" t="str">
        <f>IF(Tabla2[[#This Row],[precio_unitario]]&lt;=30,"Económico",IF(Tabla2[[#This Row],[precio_unitario]]&lt;=58.49,"Accesible","Caro"))</f>
        <v>Caro</v>
      </c>
      <c r="J2169" t="s">
        <v>8</v>
      </c>
      <c r="K2169">
        <v>4</v>
      </c>
      <c r="L2169" s="20">
        <f>INDEX(Tabla3[precio_venta_recomendado], MATCH(Tabla2[[#This Row],[id_producto]], Tabla3[id_producto], 0))</f>
        <v>177.72</v>
      </c>
      <c r="M2169" s="19">
        <v>96.56</v>
      </c>
      <c r="N2169" s="11">
        <v>0.21</v>
      </c>
      <c r="O2169" s="17">
        <f t="shared" si="135"/>
        <v>561.59519999999998</v>
      </c>
      <c r="P2169" s="17">
        <f t="shared" si="132"/>
        <v>386.24</v>
      </c>
      <c r="Q2169" s="17">
        <f t="shared" si="133"/>
        <v>175.35519999999997</v>
      </c>
      <c r="R2169" s="24">
        <f t="shared" si="134"/>
        <v>0.31224483400143016</v>
      </c>
      <c r="S2169" t="s">
        <v>67</v>
      </c>
      <c r="T2169" t="s">
        <v>60</v>
      </c>
    </row>
    <row r="2170" spans="1:20" hidden="1">
      <c r="A2170" t="s">
        <v>2236</v>
      </c>
      <c r="B2170" s="5">
        <v>45686</v>
      </c>
      <c r="C2170" s="8">
        <f>YEAR(Tabla2[[#This Row],[fecha]])</f>
        <v>2025</v>
      </c>
      <c r="D2170" s="8">
        <f>MONTH(Tabla2[[#This Row],[fecha]])</f>
        <v>1</v>
      </c>
      <c r="E2170" s="8" t="str">
        <f>TEXT(Tabla2[[#This Row],[fecha]], "mmmm")</f>
        <v>enero</v>
      </c>
      <c r="F2170" s="8" t="str">
        <f>"T"&amp;ROUNDUP(Tabla2[[#This Row],[mes]]/3,0)</f>
        <v>T1</v>
      </c>
      <c r="G2170" t="s">
        <v>29</v>
      </c>
      <c r="H2170" t="s">
        <v>30</v>
      </c>
      <c r="I2170" s="8" t="str">
        <f>IF(Tabla2[[#This Row],[precio_unitario]]&lt;=30,"Económico",IF(Tabla2[[#This Row],[precio_unitario]]&lt;=58.49,"Accesible","Caro"))</f>
        <v>Económico</v>
      </c>
      <c r="J2170" t="s">
        <v>26</v>
      </c>
      <c r="K2170">
        <v>5</v>
      </c>
      <c r="L2170" s="19">
        <v>22.28</v>
      </c>
      <c r="M2170" s="19">
        <v>11</v>
      </c>
      <c r="N2170" s="11">
        <v>0</v>
      </c>
      <c r="O2170" s="17">
        <f t="shared" si="135"/>
        <v>111.4</v>
      </c>
      <c r="P2170" s="17">
        <f t="shared" si="132"/>
        <v>55</v>
      </c>
      <c r="Q2170" s="17">
        <f t="shared" si="133"/>
        <v>56.400000000000006</v>
      </c>
      <c r="R2170" s="24">
        <f t="shared" si="134"/>
        <v>0.5062836624775584</v>
      </c>
      <c r="S2170" t="s">
        <v>540</v>
      </c>
      <c r="T2170" t="s">
        <v>64</v>
      </c>
    </row>
    <row r="2171" spans="1:20" hidden="1">
      <c r="A2171" t="s">
        <v>2237</v>
      </c>
      <c r="B2171" s="5">
        <v>45881</v>
      </c>
      <c r="C2171" s="8">
        <f>YEAR(Tabla2[[#This Row],[fecha]])</f>
        <v>2025</v>
      </c>
      <c r="D2171" s="8">
        <f>MONTH(Tabla2[[#This Row],[fecha]])</f>
        <v>8</v>
      </c>
      <c r="E2171" s="8" t="str">
        <f>TEXT(Tabla2[[#This Row],[fecha]], "mmmm")</f>
        <v>agosto</v>
      </c>
      <c r="F2171" s="8" t="str">
        <f>"T"&amp;ROUNDUP(Tabla2[[#This Row],[mes]]/3,0)</f>
        <v>T3</v>
      </c>
      <c r="G2171" t="s">
        <v>6</v>
      </c>
      <c r="H2171" t="s">
        <v>7</v>
      </c>
      <c r="I2171" s="8" t="str">
        <f>IF(Tabla2[[#This Row],[precio_unitario]]&lt;=30,"Económico",IF(Tabla2[[#This Row],[precio_unitario]]&lt;=58.49,"Accesible","Caro"))</f>
        <v>Caro</v>
      </c>
      <c r="J2171" t="s">
        <v>8</v>
      </c>
      <c r="K2171">
        <v>2</v>
      </c>
      <c r="L2171" s="19">
        <v>129.1</v>
      </c>
      <c r="M2171" s="19">
        <v>88.13</v>
      </c>
      <c r="N2171" s="11">
        <v>0</v>
      </c>
      <c r="O2171" s="17">
        <f t="shared" si="135"/>
        <v>258.2</v>
      </c>
      <c r="P2171" s="17">
        <f t="shared" si="132"/>
        <v>176.26</v>
      </c>
      <c r="Q2171" s="17">
        <f t="shared" si="133"/>
        <v>81.94</v>
      </c>
      <c r="R2171" s="24">
        <f t="shared" si="134"/>
        <v>0.3173508907823393</v>
      </c>
      <c r="S2171" t="s">
        <v>540</v>
      </c>
      <c r="T2171" t="s">
        <v>60</v>
      </c>
    </row>
    <row r="2172" spans="1:20" hidden="1">
      <c r="A2172" t="s">
        <v>2238</v>
      </c>
      <c r="B2172" s="5">
        <v>45381</v>
      </c>
      <c r="C2172" s="8">
        <f>YEAR(Tabla2[[#This Row],[fecha]])</f>
        <v>2024</v>
      </c>
      <c r="D2172" s="8">
        <f>MONTH(Tabla2[[#This Row],[fecha]])</f>
        <v>3</v>
      </c>
      <c r="E2172" s="8" t="str">
        <f>TEXT(Tabla2[[#This Row],[fecha]], "mmmm")</f>
        <v>marzo</v>
      </c>
      <c r="F2172" s="8" t="str">
        <f>"T"&amp;ROUNDUP(Tabla2[[#This Row],[mes]]/3,0)</f>
        <v>T1</v>
      </c>
      <c r="G2172" t="s">
        <v>38</v>
      </c>
      <c r="H2172" t="s">
        <v>39</v>
      </c>
      <c r="I2172" s="8" t="str">
        <f>IF(Tabla2[[#This Row],[precio_unitario]]&lt;=30,"Económico",IF(Tabla2[[#This Row],[precio_unitario]]&lt;=58.49,"Accesible","Caro"))</f>
        <v>Caro</v>
      </c>
      <c r="J2172" t="s">
        <v>35</v>
      </c>
      <c r="K2172">
        <v>5</v>
      </c>
      <c r="L2172" s="19">
        <v>75.19</v>
      </c>
      <c r="M2172" s="19">
        <v>41.93</v>
      </c>
      <c r="N2172" s="11">
        <v>0.23</v>
      </c>
      <c r="O2172" s="17">
        <f t="shared" si="135"/>
        <v>289.48149999999998</v>
      </c>
      <c r="P2172" s="17">
        <f t="shared" si="132"/>
        <v>209.65</v>
      </c>
      <c r="Q2172" s="17">
        <f t="shared" si="133"/>
        <v>79.831499999999977</v>
      </c>
      <c r="R2172" s="24">
        <f t="shared" si="134"/>
        <v>0.27577409955385745</v>
      </c>
      <c r="S2172" t="s">
        <v>63</v>
      </c>
      <c r="T2172" t="s">
        <v>64</v>
      </c>
    </row>
    <row r="2173" spans="1:20" hidden="1">
      <c r="A2173" t="s">
        <v>2239</v>
      </c>
      <c r="B2173" s="5">
        <v>45879</v>
      </c>
      <c r="C2173" s="8">
        <f>YEAR(Tabla2[[#This Row],[fecha]])</f>
        <v>2025</v>
      </c>
      <c r="D2173" s="8">
        <f>MONTH(Tabla2[[#This Row],[fecha]])</f>
        <v>8</v>
      </c>
      <c r="E2173" s="8" t="str">
        <f>TEXT(Tabla2[[#This Row],[fecha]], "mmmm")</f>
        <v>agosto</v>
      </c>
      <c r="F2173" s="8" t="str">
        <f>"T"&amp;ROUNDUP(Tabla2[[#This Row],[mes]]/3,0)</f>
        <v>T3</v>
      </c>
      <c r="G2173" t="s">
        <v>13</v>
      </c>
      <c r="H2173" t="s">
        <v>14</v>
      </c>
      <c r="I2173" s="8" t="str">
        <f>IF(Tabla2[[#This Row],[precio_unitario]]&lt;=30,"Económico",IF(Tabla2[[#This Row],[precio_unitario]]&lt;=58.49,"Accesible","Caro"))</f>
        <v>Caro</v>
      </c>
      <c r="J2173" t="s">
        <v>8</v>
      </c>
      <c r="K2173">
        <v>1</v>
      </c>
      <c r="L2173" s="19">
        <v>172.69</v>
      </c>
      <c r="M2173" s="19">
        <v>106.5</v>
      </c>
      <c r="N2173" s="11">
        <v>0</v>
      </c>
      <c r="O2173" s="17">
        <f t="shared" si="135"/>
        <v>172.69</v>
      </c>
      <c r="P2173" s="17">
        <f t="shared" si="132"/>
        <v>106.5</v>
      </c>
      <c r="Q2173" s="17">
        <f t="shared" si="133"/>
        <v>66.19</v>
      </c>
      <c r="R2173" s="24">
        <f t="shared" si="134"/>
        <v>0.38328797266778619</v>
      </c>
      <c r="S2173" t="s">
        <v>83</v>
      </c>
      <c r="T2173" t="s">
        <v>60</v>
      </c>
    </row>
    <row r="2174" spans="1:20" hidden="1">
      <c r="A2174" t="s">
        <v>2240</v>
      </c>
      <c r="B2174" s="5">
        <v>45584</v>
      </c>
      <c r="C2174" s="8">
        <f>YEAR(Tabla2[[#This Row],[fecha]])</f>
        <v>2024</v>
      </c>
      <c r="D2174" s="8">
        <f>MONTH(Tabla2[[#This Row],[fecha]])</f>
        <v>10</v>
      </c>
      <c r="E2174" s="8" t="str">
        <f>TEXT(Tabla2[[#This Row],[fecha]], "mmmm")</f>
        <v>octubre</v>
      </c>
      <c r="F2174" s="8" t="str">
        <f>"T"&amp;ROUNDUP(Tabla2[[#This Row],[mes]]/3,0)</f>
        <v>T4</v>
      </c>
      <c r="G2174" t="s">
        <v>38</v>
      </c>
      <c r="H2174" t="s">
        <v>39</v>
      </c>
      <c r="I2174" s="8" t="str">
        <f>IF(Tabla2[[#This Row],[precio_unitario]]&lt;=30,"Económico",IF(Tabla2[[#This Row],[precio_unitario]]&lt;=58.49,"Accesible","Caro"))</f>
        <v>Caro</v>
      </c>
      <c r="J2174" t="s">
        <v>35</v>
      </c>
      <c r="K2174">
        <v>1</v>
      </c>
      <c r="L2174" s="19">
        <v>81.97</v>
      </c>
      <c r="M2174" s="19">
        <v>44.7</v>
      </c>
      <c r="N2174" s="11">
        <v>0.25</v>
      </c>
      <c r="O2174" s="17">
        <f t="shared" si="135"/>
        <v>61.477499999999999</v>
      </c>
      <c r="P2174" s="17">
        <f t="shared" si="132"/>
        <v>44.7</v>
      </c>
      <c r="Q2174" s="17">
        <f t="shared" si="133"/>
        <v>16.777499999999996</v>
      </c>
      <c r="R2174" s="24">
        <f t="shared" si="134"/>
        <v>0.27290472123947779</v>
      </c>
      <c r="S2174" t="s">
        <v>67</v>
      </c>
      <c r="T2174" t="s">
        <v>60</v>
      </c>
    </row>
    <row r="2175" spans="1:20" hidden="1">
      <c r="A2175" t="s">
        <v>2241</v>
      </c>
      <c r="B2175" s="5">
        <v>45559</v>
      </c>
      <c r="C2175" s="8">
        <f>YEAR(Tabla2[[#This Row],[fecha]])</f>
        <v>2024</v>
      </c>
      <c r="D2175" s="8">
        <f>MONTH(Tabla2[[#This Row],[fecha]])</f>
        <v>9</v>
      </c>
      <c r="E2175" s="8" t="str">
        <f>TEXT(Tabla2[[#This Row],[fecha]], "mmmm")</f>
        <v>septiembre</v>
      </c>
      <c r="F2175" s="8" t="str">
        <f>"T"&amp;ROUNDUP(Tabla2[[#This Row],[mes]]/3,0)</f>
        <v>T3</v>
      </c>
      <c r="G2175" t="s">
        <v>18</v>
      </c>
      <c r="H2175" t="s">
        <v>19</v>
      </c>
      <c r="I2175" s="8" t="str">
        <f>IF(Tabla2[[#This Row],[precio_unitario]]&lt;=30,"Económico",IF(Tabla2[[#This Row],[precio_unitario]]&lt;=58.49,"Accesible","Caro"))</f>
        <v>Accesible</v>
      </c>
      <c r="J2175" t="s">
        <v>17</v>
      </c>
      <c r="K2175">
        <v>1</v>
      </c>
      <c r="L2175" s="19">
        <v>43.23</v>
      </c>
      <c r="M2175" s="19">
        <v>27.92</v>
      </c>
      <c r="N2175" s="11">
        <v>0</v>
      </c>
      <c r="O2175" s="17">
        <f t="shared" si="135"/>
        <v>43.23</v>
      </c>
      <c r="P2175" s="17">
        <f t="shared" si="132"/>
        <v>27.92</v>
      </c>
      <c r="Q2175" s="17">
        <f t="shared" si="133"/>
        <v>15.309999999999995</v>
      </c>
      <c r="R2175" s="24">
        <f t="shared" si="134"/>
        <v>0.35415220911404111</v>
      </c>
      <c r="S2175" t="s">
        <v>63</v>
      </c>
      <c r="T2175" t="s">
        <v>60</v>
      </c>
    </row>
    <row r="2176" spans="1:20" hidden="1">
      <c r="A2176" t="s">
        <v>2242</v>
      </c>
      <c r="B2176" s="5">
        <v>45685</v>
      </c>
      <c r="C2176" s="8">
        <f>YEAR(Tabla2[[#This Row],[fecha]])</f>
        <v>2025</v>
      </c>
      <c r="D2176" s="8">
        <f>MONTH(Tabla2[[#This Row],[fecha]])</f>
        <v>1</v>
      </c>
      <c r="E2176" s="8" t="str">
        <f>TEXT(Tabla2[[#This Row],[fecha]], "mmmm")</f>
        <v>enero</v>
      </c>
      <c r="F2176" s="8" t="str">
        <f>"T"&amp;ROUNDUP(Tabla2[[#This Row],[mes]]/3,0)</f>
        <v>T1</v>
      </c>
      <c r="G2176" t="s">
        <v>31</v>
      </c>
      <c r="H2176" t="s">
        <v>32</v>
      </c>
      <c r="I2176" s="8" t="str">
        <f>IF(Tabla2[[#This Row],[precio_unitario]]&lt;=30,"Económico",IF(Tabla2[[#This Row],[precio_unitario]]&lt;=58.49,"Accesible","Caro"))</f>
        <v>Económico</v>
      </c>
      <c r="J2176" t="s">
        <v>26</v>
      </c>
      <c r="K2176">
        <v>3</v>
      </c>
      <c r="L2176" s="19">
        <v>8.1</v>
      </c>
      <c r="M2176" s="19">
        <v>6.01</v>
      </c>
      <c r="N2176" s="11">
        <v>0</v>
      </c>
      <c r="O2176" s="17">
        <f t="shared" si="135"/>
        <v>24.299999999999997</v>
      </c>
      <c r="P2176" s="17">
        <f t="shared" si="132"/>
        <v>18.03</v>
      </c>
      <c r="Q2176" s="17">
        <f t="shared" si="133"/>
        <v>6.269999999999996</v>
      </c>
      <c r="R2176" s="24">
        <f t="shared" si="134"/>
        <v>0.25802469135802458</v>
      </c>
      <c r="S2176" t="s">
        <v>540</v>
      </c>
      <c r="T2176" t="s">
        <v>64</v>
      </c>
    </row>
    <row r="2177" spans="1:20" hidden="1">
      <c r="A2177" t="s">
        <v>2243</v>
      </c>
      <c r="B2177" s="5">
        <v>45328</v>
      </c>
      <c r="C2177" s="8">
        <f>YEAR(Tabla2[[#This Row],[fecha]])</f>
        <v>2024</v>
      </c>
      <c r="D2177" s="8">
        <f>MONTH(Tabla2[[#This Row],[fecha]])</f>
        <v>2</v>
      </c>
      <c r="E2177" s="8" t="str">
        <f>TEXT(Tabla2[[#This Row],[fecha]], "mmmm")</f>
        <v>febrero</v>
      </c>
      <c r="F2177" s="8" t="str">
        <f>"T"&amp;ROUNDUP(Tabla2[[#This Row],[mes]]/3,0)</f>
        <v>T1</v>
      </c>
      <c r="G2177" t="s">
        <v>42</v>
      </c>
      <c r="H2177" t="s">
        <v>43</v>
      </c>
      <c r="I2177" s="8" t="str">
        <f>IF(Tabla2[[#This Row],[precio_unitario]]&lt;=30,"Económico",IF(Tabla2[[#This Row],[precio_unitario]]&lt;=58.49,"Accesible","Caro"))</f>
        <v>Accesible</v>
      </c>
      <c r="J2177" t="s">
        <v>44</v>
      </c>
      <c r="K2177">
        <v>1</v>
      </c>
      <c r="L2177" s="19">
        <v>47.74</v>
      </c>
      <c r="M2177" s="21">
        <f>INDEX(Tabla3[coste_objetivo], MATCH(Tabla2[[#This Row],[id_producto]], Tabla3[id_producto],0))</f>
        <v>22.69</v>
      </c>
      <c r="N2177" s="11">
        <v>0</v>
      </c>
      <c r="O2177" s="17">
        <f t="shared" si="135"/>
        <v>47.74</v>
      </c>
      <c r="P2177" s="17">
        <f t="shared" si="132"/>
        <v>22.69</v>
      </c>
      <c r="Q2177" s="17">
        <f t="shared" si="133"/>
        <v>25.05</v>
      </c>
      <c r="R2177" s="24">
        <f t="shared" si="134"/>
        <v>0.52471721826560536</v>
      </c>
      <c r="S2177" t="s">
        <v>101</v>
      </c>
      <c r="T2177" t="s">
        <v>64</v>
      </c>
    </row>
    <row r="2178" spans="1:20" hidden="1">
      <c r="A2178" t="s">
        <v>2244</v>
      </c>
      <c r="B2178" s="5">
        <v>45837</v>
      </c>
      <c r="C2178" s="8">
        <f>YEAR(Tabla2[[#This Row],[fecha]])</f>
        <v>2025</v>
      </c>
      <c r="D2178" s="8">
        <f>MONTH(Tabla2[[#This Row],[fecha]])</f>
        <v>6</v>
      </c>
      <c r="E2178" s="8" t="str">
        <f>TEXT(Tabla2[[#This Row],[fecha]], "mmmm")</f>
        <v>junio</v>
      </c>
      <c r="F2178" s="8" t="str">
        <f>"T"&amp;ROUNDUP(Tabla2[[#This Row],[mes]]/3,0)</f>
        <v>T2</v>
      </c>
      <c r="G2178" t="s">
        <v>29</v>
      </c>
      <c r="H2178" t="s">
        <v>30</v>
      </c>
      <c r="I2178" s="8" t="str">
        <f>IF(Tabla2[[#This Row],[precio_unitario]]&lt;=30,"Económico",IF(Tabla2[[#This Row],[precio_unitario]]&lt;=58.49,"Accesible","Caro"))</f>
        <v>Económico</v>
      </c>
      <c r="J2178" t="s">
        <v>26</v>
      </c>
      <c r="K2178">
        <v>6</v>
      </c>
      <c r="L2178" s="19">
        <v>21.01</v>
      </c>
      <c r="M2178" s="19">
        <v>11.83</v>
      </c>
      <c r="N2178" s="11">
        <v>0</v>
      </c>
      <c r="O2178" s="17">
        <f t="shared" si="135"/>
        <v>126.06</v>
      </c>
      <c r="P2178" s="17">
        <f t="shared" ref="P2178:P2241" si="136">M2178*K2178</f>
        <v>70.98</v>
      </c>
      <c r="Q2178" s="17">
        <f t="shared" ref="Q2178:Q2241" si="137">O2178-P2178</f>
        <v>55.08</v>
      </c>
      <c r="R2178" s="24">
        <f t="shared" ref="R2178:R2241" si="138">IFERROR(Q2178/O2178,0)</f>
        <v>0.43693479295573534</v>
      </c>
      <c r="S2178" t="s">
        <v>540</v>
      </c>
      <c r="T2178" t="s">
        <v>64</v>
      </c>
    </row>
    <row r="2179" spans="1:20" hidden="1">
      <c r="A2179" t="s">
        <v>2245</v>
      </c>
      <c r="B2179" s="5">
        <v>45502</v>
      </c>
      <c r="C2179" s="8">
        <f>YEAR(Tabla2[[#This Row],[fecha]])</f>
        <v>2024</v>
      </c>
      <c r="D2179" s="8">
        <f>MONTH(Tabla2[[#This Row],[fecha]])</f>
        <v>7</v>
      </c>
      <c r="E2179" s="8" t="str">
        <f>TEXT(Tabla2[[#This Row],[fecha]], "mmmm")</f>
        <v>julio</v>
      </c>
      <c r="F2179" s="8" t="str">
        <f>"T"&amp;ROUNDUP(Tabla2[[#This Row],[mes]]/3,0)</f>
        <v>T3</v>
      </c>
      <c r="G2179" t="s">
        <v>18</v>
      </c>
      <c r="H2179" t="s">
        <v>19</v>
      </c>
      <c r="I2179" s="8" t="str">
        <f>IF(Tabla2[[#This Row],[precio_unitario]]&lt;=30,"Económico",IF(Tabla2[[#This Row],[precio_unitario]]&lt;=58.49,"Accesible","Caro"))</f>
        <v>Accesible</v>
      </c>
      <c r="J2179" t="s">
        <v>17</v>
      </c>
      <c r="K2179">
        <v>2</v>
      </c>
      <c r="L2179" s="19">
        <v>47.68</v>
      </c>
      <c r="M2179" s="19">
        <v>26.12</v>
      </c>
      <c r="N2179" s="13">
        <v>0</v>
      </c>
      <c r="O2179" s="17">
        <f t="shared" ref="O2179:O2242" si="139">K2179*L2179*(1-N2179)</f>
        <v>95.36</v>
      </c>
      <c r="P2179" s="17">
        <f t="shared" si="136"/>
        <v>52.24</v>
      </c>
      <c r="Q2179" s="17">
        <f t="shared" si="137"/>
        <v>43.12</v>
      </c>
      <c r="R2179" s="24">
        <f t="shared" si="138"/>
        <v>0.45218120805369127</v>
      </c>
      <c r="S2179" t="s">
        <v>83</v>
      </c>
      <c r="T2179" t="s">
        <v>64</v>
      </c>
    </row>
    <row r="2180" spans="1:20">
      <c r="A2180" t="s">
        <v>2246</v>
      </c>
      <c r="B2180" s="5">
        <v>45978</v>
      </c>
      <c r="C2180" s="8">
        <f>YEAR(Tabla2[[#This Row],[fecha]])</f>
        <v>2025</v>
      </c>
      <c r="D2180" s="8">
        <f>MONTH(Tabla2[[#This Row],[fecha]])</f>
        <v>11</v>
      </c>
      <c r="E2180" s="8" t="str">
        <f>TEXT(Tabla2[[#This Row],[fecha]], "mmmm")</f>
        <v>noviembre</v>
      </c>
      <c r="F2180" s="8" t="str">
        <f>"T"&amp;ROUNDUP(Tabla2[[#This Row],[mes]]/3,0)</f>
        <v>T4</v>
      </c>
      <c r="G2180" t="s">
        <v>13</v>
      </c>
      <c r="H2180" t="s">
        <v>14</v>
      </c>
      <c r="I2180" s="8" t="str">
        <f>IF(Tabla2[[#This Row],[precio_unitario]]&lt;=30,"Económico",IF(Tabla2[[#This Row],[precio_unitario]]&lt;=58.49,"Accesible","Caro"))</f>
        <v>Caro</v>
      </c>
      <c r="J2180" t="s">
        <v>8</v>
      </c>
      <c r="K2180">
        <v>3</v>
      </c>
      <c r="L2180" s="19">
        <v>151.66999999999999</v>
      </c>
      <c r="M2180" s="19">
        <v>108.3</v>
      </c>
      <c r="N2180" s="11">
        <v>7.0000000000000007E-2</v>
      </c>
      <c r="O2180" s="17">
        <f t="shared" si="139"/>
        <v>423.15929999999997</v>
      </c>
      <c r="P2180" s="17">
        <f t="shared" si="136"/>
        <v>324.89999999999998</v>
      </c>
      <c r="Q2180" s="17">
        <f t="shared" si="137"/>
        <v>98.259299999999996</v>
      </c>
      <c r="R2180" s="24">
        <f t="shared" si="138"/>
        <v>0.23220404230747144</v>
      </c>
      <c r="S2180" t="s">
        <v>67</v>
      </c>
      <c r="T2180" t="s">
        <v>60</v>
      </c>
    </row>
    <row r="2181" spans="1:20" hidden="1">
      <c r="A2181" t="s">
        <v>2247</v>
      </c>
      <c r="B2181" s="5">
        <v>45827</v>
      </c>
      <c r="C2181" s="8">
        <f>YEAR(Tabla2[[#This Row],[fecha]])</f>
        <v>2025</v>
      </c>
      <c r="D2181" s="8">
        <f>MONTH(Tabla2[[#This Row],[fecha]])</f>
        <v>6</v>
      </c>
      <c r="E2181" s="8" t="str">
        <f>TEXT(Tabla2[[#This Row],[fecha]], "mmmm")</f>
        <v>junio</v>
      </c>
      <c r="F2181" s="8" t="str">
        <f>"T"&amp;ROUNDUP(Tabla2[[#This Row],[mes]]/3,0)</f>
        <v>T2</v>
      </c>
      <c r="G2181" t="s">
        <v>38</v>
      </c>
      <c r="H2181" t="s">
        <v>39</v>
      </c>
      <c r="I2181" s="8" t="str">
        <f>IF(Tabla2[[#This Row],[precio_unitario]]&lt;=30,"Económico",IF(Tabla2[[#This Row],[precio_unitario]]&lt;=58.49,"Accesible","Caro"))</f>
        <v>Caro</v>
      </c>
      <c r="J2181" t="s">
        <v>35</v>
      </c>
      <c r="K2181">
        <v>6</v>
      </c>
      <c r="L2181" s="19">
        <v>72.28</v>
      </c>
      <c r="M2181" s="19">
        <v>41.62</v>
      </c>
      <c r="N2181" s="11">
        <v>0.15</v>
      </c>
      <c r="O2181" s="17">
        <f t="shared" si="139"/>
        <v>368.62799999999999</v>
      </c>
      <c r="P2181" s="17">
        <f t="shared" si="136"/>
        <v>249.71999999999997</v>
      </c>
      <c r="Q2181" s="17">
        <f t="shared" si="137"/>
        <v>118.90800000000002</v>
      </c>
      <c r="R2181" s="24">
        <f t="shared" si="138"/>
        <v>0.32256909404603018</v>
      </c>
      <c r="S2181" t="s">
        <v>63</v>
      </c>
      <c r="T2181" t="s">
        <v>64</v>
      </c>
    </row>
    <row r="2182" spans="1:20" hidden="1">
      <c r="A2182" t="s">
        <v>2248</v>
      </c>
      <c r="B2182" s="5">
        <v>45530</v>
      </c>
      <c r="C2182" s="8">
        <f>YEAR(Tabla2[[#This Row],[fecha]])</f>
        <v>2024</v>
      </c>
      <c r="D2182" s="8">
        <f>MONTH(Tabla2[[#This Row],[fecha]])</f>
        <v>8</v>
      </c>
      <c r="E2182" s="8" t="str">
        <f>TEXT(Tabla2[[#This Row],[fecha]], "mmmm")</f>
        <v>agosto</v>
      </c>
      <c r="F2182" s="8" t="str">
        <f>"T"&amp;ROUNDUP(Tabla2[[#This Row],[mes]]/3,0)</f>
        <v>T3</v>
      </c>
      <c r="G2182" t="s">
        <v>22</v>
      </c>
      <c r="H2182" t="s">
        <v>23</v>
      </c>
      <c r="I2182" s="8" t="str">
        <f>IF(Tabla2[[#This Row],[precio_unitario]]&lt;=30,"Económico",IF(Tabla2[[#This Row],[precio_unitario]]&lt;=58.49,"Accesible","Caro"))</f>
        <v>Caro</v>
      </c>
      <c r="J2182" t="s">
        <v>17</v>
      </c>
      <c r="K2182">
        <v>2</v>
      </c>
      <c r="L2182" s="19">
        <v>105.72</v>
      </c>
      <c r="M2182" s="19">
        <v>57.56</v>
      </c>
      <c r="N2182" s="11">
        <v>0</v>
      </c>
      <c r="O2182" s="17">
        <f t="shared" si="139"/>
        <v>211.44</v>
      </c>
      <c r="P2182" s="17">
        <f t="shared" si="136"/>
        <v>115.12</v>
      </c>
      <c r="Q2182" s="17">
        <f t="shared" si="137"/>
        <v>96.32</v>
      </c>
      <c r="R2182" s="24">
        <f t="shared" si="138"/>
        <v>0.45554294362466891</v>
      </c>
      <c r="S2182" t="s">
        <v>96</v>
      </c>
      <c r="T2182" t="s">
        <v>64</v>
      </c>
    </row>
    <row r="2183" spans="1:20" hidden="1">
      <c r="A2183" t="s">
        <v>2249</v>
      </c>
      <c r="B2183" s="5">
        <v>45817</v>
      </c>
      <c r="C2183" s="8">
        <f>YEAR(Tabla2[[#This Row],[fecha]])</f>
        <v>2025</v>
      </c>
      <c r="D2183" s="8">
        <f>MONTH(Tabla2[[#This Row],[fecha]])</f>
        <v>6</v>
      </c>
      <c r="E2183" s="8" t="str">
        <f>TEXT(Tabla2[[#This Row],[fecha]], "mmmm")</f>
        <v>junio</v>
      </c>
      <c r="F2183" s="8" t="str">
        <f>"T"&amp;ROUNDUP(Tabla2[[#This Row],[mes]]/3,0)</f>
        <v>T2</v>
      </c>
      <c r="G2183" t="s">
        <v>6</v>
      </c>
      <c r="H2183" t="s">
        <v>7</v>
      </c>
      <c r="I2183" s="8" t="str">
        <f>IF(Tabla2[[#This Row],[precio_unitario]]&lt;=30,"Económico",IF(Tabla2[[#This Row],[precio_unitario]]&lt;=58.49,"Accesible","Caro"))</f>
        <v>Caro</v>
      </c>
      <c r="J2183" t="s">
        <v>8</v>
      </c>
      <c r="K2183">
        <v>3</v>
      </c>
      <c r="L2183" s="19">
        <v>116.72</v>
      </c>
      <c r="M2183" s="19">
        <v>86.07</v>
      </c>
      <c r="N2183" s="11">
        <v>0</v>
      </c>
      <c r="O2183" s="17">
        <f t="shared" si="139"/>
        <v>350.15999999999997</v>
      </c>
      <c r="P2183" s="17">
        <f t="shared" si="136"/>
        <v>258.20999999999998</v>
      </c>
      <c r="Q2183" s="17">
        <f t="shared" si="137"/>
        <v>91.949999999999989</v>
      </c>
      <c r="R2183" s="24">
        <f t="shared" si="138"/>
        <v>0.2625942426319397</v>
      </c>
      <c r="S2183" t="s">
        <v>540</v>
      </c>
      <c r="T2183" t="s">
        <v>64</v>
      </c>
    </row>
    <row r="2184" spans="1:20">
      <c r="A2184" t="s">
        <v>2250</v>
      </c>
      <c r="B2184" s="5">
        <v>45915</v>
      </c>
      <c r="C2184" s="8">
        <f>YEAR(Tabla2[[#This Row],[fecha]])</f>
        <v>2025</v>
      </c>
      <c r="D2184" s="8">
        <f>MONTH(Tabla2[[#This Row],[fecha]])</f>
        <v>9</v>
      </c>
      <c r="E2184" s="8" t="str">
        <f>TEXT(Tabla2[[#This Row],[fecha]], "mmmm")</f>
        <v>septiembre</v>
      </c>
      <c r="F2184" s="8" t="str">
        <f>"T"&amp;ROUNDUP(Tabla2[[#This Row],[mes]]/3,0)</f>
        <v>T3</v>
      </c>
      <c r="G2184" t="s">
        <v>13</v>
      </c>
      <c r="H2184" t="s">
        <v>14</v>
      </c>
      <c r="I2184" s="8" t="str">
        <f>IF(Tabla2[[#This Row],[precio_unitario]]&lt;=30,"Económico",IF(Tabla2[[#This Row],[precio_unitario]]&lt;=58.49,"Accesible","Caro"))</f>
        <v>Caro</v>
      </c>
      <c r="J2184" t="s">
        <v>8</v>
      </c>
      <c r="K2184">
        <v>5</v>
      </c>
      <c r="L2184" s="19">
        <v>169.15</v>
      </c>
      <c r="M2184" s="19">
        <v>112.37</v>
      </c>
      <c r="N2184" s="13">
        <v>0</v>
      </c>
      <c r="O2184" s="17">
        <f t="shared" si="139"/>
        <v>845.75</v>
      </c>
      <c r="P2184" s="17">
        <f t="shared" si="136"/>
        <v>561.85</v>
      </c>
      <c r="Q2184" s="17">
        <f t="shared" si="137"/>
        <v>283.89999999999998</v>
      </c>
      <c r="R2184" s="24">
        <f t="shared" si="138"/>
        <v>0.33567839195979898</v>
      </c>
      <c r="S2184" t="s">
        <v>67</v>
      </c>
      <c r="T2184" t="s">
        <v>60</v>
      </c>
    </row>
    <row r="2185" spans="1:20" hidden="1">
      <c r="A2185" t="s">
        <v>2251</v>
      </c>
      <c r="B2185" s="5">
        <v>45405</v>
      </c>
      <c r="C2185" s="8">
        <f>YEAR(Tabla2[[#This Row],[fecha]])</f>
        <v>2024</v>
      </c>
      <c r="D2185" s="8">
        <f>MONTH(Tabla2[[#This Row],[fecha]])</f>
        <v>4</v>
      </c>
      <c r="E2185" s="8" t="str">
        <f>TEXT(Tabla2[[#This Row],[fecha]], "mmmm")</f>
        <v>abril</v>
      </c>
      <c r="F2185" s="8" t="str">
        <f>"T"&amp;ROUNDUP(Tabla2[[#This Row],[mes]]/3,0)</f>
        <v>T2</v>
      </c>
      <c r="G2185" t="s">
        <v>20</v>
      </c>
      <c r="H2185" t="s">
        <v>21</v>
      </c>
      <c r="I2185" s="8" t="str">
        <f>IF(Tabla2[[#This Row],[precio_unitario]]&lt;=30,"Económico",IF(Tabla2[[#This Row],[precio_unitario]]&lt;=58.49,"Accesible","Caro"))</f>
        <v>Económico</v>
      </c>
      <c r="J2185" t="s">
        <v>17</v>
      </c>
      <c r="K2185">
        <v>1</v>
      </c>
      <c r="L2185" s="19">
        <v>20.59</v>
      </c>
      <c r="M2185" s="19">
        <v>12.77</v>
      </c>
      <c r="N2185" s="11">
        <v>0</v>
      </c>
      <c r="O2185" s="17">
        <f t="shared" si="139"/>
        <v>20.59</v>
      </c>
      <c r="P2185" s="17">
        <f t="shared" si="136"/>
        <v>12.77</v>
      </c>
      <c r="Q2185" s="17">
        <f t="shared" si="137"/>
        <v>7.82</v>
      </c>
      <c r="R2185" s="24">
        <f t="shared" si="138"/>
        <v>0.37979601748421565</v>
      </c>
      <c r="S2185" t="s">
        <v>83</v>
      </c>
      <c r="T2185" t="s">
        <v>60</v>
      </c>
    </row>
    <row r="2186" spans="1:20" hidden="1">
      <c r="A2186" t="s">
        <v>2252</v>
      </c>
      <c r="B2186" s="5">
        <v>45518</v>
      </c>
      <c r="C2186" s="8">
        <f>YEAR(Tabla2[[#This Row],[fecha]])</f>
        <v>2024</v>
      </c>
      <c r="D2186" s="8">
        <f>MONTH(Tabla2[[#This Row],[fecha]])</f>
        <v>8</v>
      </c>
      <c r="E2186" s="8" t="str">
        <f>TEXT(Tabla2[[#This Row],[fecha]], "mmmm")</f>
        <v>agosto</v>
      </c>
      <c r="F2186" s="8" t="str">
        <f>"T"&amp;ROUNDUP(Tabla2[[#This Row],[mes]]/3,0)</f>
        <v>T3</v>
      </c>
      <c r="G2186" t="s">
        <v>13</v>
      </c>
      <c r="H2186" t="s">
        <v>14</v>
      </c>
      <c r="I2186" s="8" t="str">
        <f>IF(Tabla2[[#This Row],[precio_unitario]]&lt;=30,"Económico",IF(Tabla2[[#This Row],[precio_unitario]]&lt;=58.49,"Accesible","Caro"))</f>
        <v>Caro</v>
      </c>
      <c r="J2186" t="s">
        <v>8</v>
      </c>
      <c r="K2186">
        <v>4</v>
      </c>
      <c r="L2186" s="19">
        <v>173.72</v>
      </c>
      <c r="M2186" s="19">
        <v>108.48</v>
      </c>
      <c r="N2186" s="11">
        <v>0</v>
      </c>
      <c r="O2186" s="17">
        <f t="shared" si="139"/>
        <v>694.88</v>
      </c>
      <c r="P2186" s="17">
        <f t="shared" si="136"/>
        <v>433.92</v>
      </c>
      <c r="Q2186" s="17">
        <f t="shared" si="137"/>
        <v>260.95999999999998</v>
      </c>
      <c r="R2186" s="24">
        <f t="shared" si="138"/>
        <v>0.37554685701128249</v>
      </c>
      <c r="S2186" t="s">
        <v>101</v>
      </c>
      <c r="T2186" t="s">
        <v>60</v>
      </c>
    </row>
    <row r="2187" spans="1:20" hidden="1">
      <c r="A2187" t="s">
        <v>2253</v>
      </c>
      <c r="B2187" s="5">
        <v>45678</v>
      </c>
      <c r="C2187" s="8">
        <f>YEAR(Tabla2[[#This Row],[fecha]])</f>
        <v>2025</v>
      </c>
      <c r="D2187" s="8">
        <f>MONTH(Tabla2[[#This Row],[fecha]])</f>
        <v>1</v>
      </c>
      <c r="E2187" s="8" t="str">
        <f>TEXT(Tabla2[[#This Row],[fecha]], "mmmm")</f>
        <v>enero</v>
      </c>
      <c r="F2187" s="8" t="str">
        <f>"T"&amp;ROUNDUP(Tabla2[[#This Row],[mes]]/3,0)</f>
        <v>T1</v>
      </c>
      <c r="G2187" t="s">
        <v>38</v>
      </c>
      <c r="H2187" t="s">
        <v>39</v>
      </c>
      <c r="I2187" s="8" t="str">
        <f>IF(Tabla2[[#This Row],[precio_unitario]]&lt;=30,"Económico",IF(Tabla2[[#This Row],[precio_unitario]]&lt;=58.49,"Accesible","Caro"))</f>
        <v>Caro</v>
      </c>
      <c r="J2187" t="s">
        <v>35</v>
      </c>
      <c r="K2187">
        <v>1</v>
      </c>
      <c r="L2187" s="19">
        <v>71.709999999999994</v>
      </c>
      <c r="M2187" s="19">
        <v>42.76</v>
      </c>
      <c r="N2187" s="11">
        <v>0</v>
      </c>
      <c r="O2187" s="17">
        <f t="shared" si="139"/>
        <v>71.709999999999994</v>
      </c>
      <c r="P2187" s="17">
        <f t="shared" si="136"/>
        <v>42.76</v>
      </c>
      <c r="Q2187" s="17">
        <f t="shared" si="137"/>
        <v>28.949999999999996</v>
      </c>
      <c r="R2187" s="24">
        <f t="shared" si="138"/>
        <v>0.40370938502300929</v>
      </c>
      <c r="S2187" t="s">
        <v>63</v>
      </c>
      <c r="T2187" t="s">
        <v>64</v>
      </c>
    </row>
    <row r="2188" spans="1:20" hidden="1">
      <c r="A2188" t="s">
        <v>2254</v>
      </c>
      <c r="B2188" s="5">
        <v>45476</v>
      </c>
      <c r="C2188" s="8">
        <f>YEAR(Tabla2[[#This Row],[fecha]])</f>
        <v>2024</v>
      </c>
      <c r="D2188" s="8">
        <f>MONTH(Tabla2[[#This Row],[fecha]])</f>
        <v>7</v>
      </c>
      <c r="E2188" s="8" t="str">
        <f>TEXT(Tabla2[[#This Row],[fecha]], "mmmm")</f>
        <v>julio</v>
      </c>
      <c r="F2188" s="8" t="str">
        <f>"T"&amp;ROUNDUP(Tabla2[[#This Row],[mes]]/3,0)</f>
        <v>T3</v>
      </c>
      <c r="G2188" t="s">
        <v>13</v>
      </c>
      <c r="H2188" t="s">
        <v>14</v>
      </c>
      <c r="I2188" s="8" t="str">
        <f>IF(Tabla2[[#This Row],[precio_unitario]]&lt;=30,"Económico",IF(Tabla2[[#This Row],[precio_unitario]]&lt;=58.49,"Accesible","Caro"))</f>
        <v>Caro</v>
      </c>
      <c r="J2188" t="s">
        <v>8</v>
      </c>
      <c r="K2188">
        <v>8</v>
      </c>
      <c r="L2188" s="19">
        <v>148.93</v>
      </c>
      <c r="M2188" s="21">
        <f>INDEX(Tabla3[coste_objetivo], MATCH(Tabla2[[#This Row],[id_producto]], Tabla3[id_producto],0))</f>
        <v>110.03</v>
      </c>
      <c r="N2188" s="11">
        <v>0</v>
      </c>
      <c r="O2188" s="17">
        <f t="shared" si="139"/>
        <v>1191.44</v>
      </c>
      <c r="P2188" s="17">
        <f t="shared" si="136"/>
        <v>880.24</v>
      </c>
      <c r="Q2188" s="17">
        <f t="shared" si="137"/>
        <v>311.20000000000005</v>
      </c>
      <c r="R2188" s="24">
        <f t="shared" si="138"/>
        <v>0.26119653528503328</v>
      </c>
      <c r="S2188" t="s">
        <v>96</v>
      </c>
      <c r="T2188" t="s">
        <v>64</v>
      </c>
    </row>
    <row r="2189" spans="1:20" hidden="1">
      <c r="A2189" t="s">
        <v>2255</v>
      </c>
      <c r="B2189" s="5">
        <v>45681</v>
      </c>
      <c r="C2189" s="8">
        <f>YEAR(Tabla2[[#This Row],[fecha]])</f>
        <v>2025</v>
      </c>
      <c r="D2189" s="8">
        <f>MONTH(Tabla2[[#This Row],[fecha]])</f>
        <v>1</v>
      </c>
      <c r="E2189" s="8" t="str">
        <f>TEXT(Tabla2[[#This Row],[fecha]], "mmmm")</f>
        <v>enero</v>
      </c>
      <c r="F2189" s="8" t="str">
        <f>"T"&amp;ROUNDUP(Tabla2[[#This Row],[mes]]/3,0)</f>
        <v>T1</v>
      </c>
      <c r="G2189" t="s">
        <v>45</v>
      </c>
      <c r="H2189" t="s">
        <v>46</v>
      </c>
      <c r="I2189" s="8" t="str">
        <f>IF(Tabla2[[#This Row],[precio_unitario]]&lt;=30,"Económico",IF(Tabla2[[#This Row],[precio_unitario]]&lt;=58.49,"Accesible","Caro"))</f>
        <v>Económico</v>
      </c>
      <c r="J2189" t="s">
        <v>44</v>
      </c>
      <c r="K2189">
        <v>3</v>
      </c>
      <c r="L2189" s="19">
        <v>29.6</v>
      </c>
      <c r="M2189" s="19">
        <v>17.63</v>
      </c>
      <c r="N2189" s="11">
        <v>0</v>
      </c>
      <c r="O2189" s="17">
        <f t="shared" si="139"/>
        <v>88.800000000000011</v>
      </c>
      <c r="P2189" s="17">
        <f t="shared" si="136"/>
        <v>52.89</v>
      </c>
      <c r="Q2189" s="17">
        <f t="shared" si="137"/>
        <v>35.910000000000011</v>
      </c>
      <c r="R2189" s="24">
        <f t="shared" si="138"/>
        <v>0.40439189189189195</v>
      </c>
      <c r="S2189" t="s">
        <v>101</v>
      </c>
      <c r="T2189" t="s">
        <v>64</v>
      </c>
    </row>
    <row r="2190" spans="1:20" hidden="1">
      <c r="A2190" t="s">
        <v>2256</v>
      </c>
      <c r="B2190" s="5">
        <v>45484</v>
      </c>
      <c r="C2190" s="8">
        <f>YEAR(Tabla2[[#This Row],[fecha]])</f>
        <v>2024</v>
      </c>
      <c r="D2190" s="8">
        <f>MONTH(Tabla2[[#This Row],[fecha]])</f>
        <v>7</v>
      </c>
      <c r="E2190" s="8" t="str">
        <f>TEXT(Tabla2[[#This Row],[fecha]], "mmmm")</f>
        <v>julio</v>
      </c>
      <c r="F2190" s="8" t="str">
        <f>"T"&amp;ROUNDUP(Tabla2[[#This Row],[mes]]/3,0)</f>
        <v>T3</v>
      </c>
      <c r="G2190" t="s">
        <v>36</v>
      </c>
      <c r="H2190" t="s">
        <v>37</v>
      </c>
      <c r="I2190" s="8" t="str">
        <f>IF(Tabla2[[#This Row],[precio_unitario]]&lt;=30,"Económico",IF(Tabla2[[#This Row],[precio_unitario]]&lt;=58.49,"Accesible","Caro"))</f>
        <v>Económico</v>
      </c>
      <c r="J2190" t="s">
        <v>35</v>
      </c>
      <c r="K2190">
        <v>1</v>
      </c>
      <c r="L2190" s="19">
        <v>14.36</v>
      </c>
      <c r="M2190" s="21">
        <f>INDEX(Tabla3[coste_objetivo], MATCH(Tabla2[[#This Row],[id_producto]], Tabla3[id_producto],0))</f>
        <v>9.58</v>
      </c>
      <c r="N2190" s="11">
        <v>0</v>
      </c>
      <c r="O2190" s="17">
        <f t="shared" si="139"/>
        <v>14.36</v>
      </c>
      <c r="P2190" s="17">
        <f t="shared" si="136"/>
        <v>9.58</v>
      </c>
      <c r="Q2190" s="17">
        <f t="shared" si="137"/>
        <v>4.7799999999999994</v>
      </c>
      <c r="R2190" s="24">
        <f t="shared" si="138"/>
        <v>0.33286908077994426</v>
      </c>
      <c r="S2190" t="s">
        <v>96</v>
      </c>
      <c r="T2190" t="s">
        <v>60</v>
      </c>
    </row>
    <row r="2191" spans="1:20" hidden="1">
      <c r="A2191" t="s">
        <v>2257</v>
      </c>
      <c r="B2191" s="5">
        <v>45804</v>
      </c>
      <c r="C2191" s="8">
        <f>YEAR(Tabla2[[#This Row],[fecha]])</f>
        <v>2025</v>
      </c>
      <c r="D2191" s="8">
        <f>MONTH(Tabla2[[#This Row],[fecha]])</f>
        <v>5</v>
      </c>
      <c r="E2191" s="8" t="str">
        <f>TEXT(Tabla2[[#This Row],[fecha]], "mmmm")</f>
        <v>mayo</v>
      </c>
      <c r="F2191" s="8" t="str">
        <f>"T"&amp;ROUNDUP(Tabla2[[#This Row],[mes]]/3,0)</f>
        <v>T2</v>
      </c>
      <c r="G2191" t="s">
        <v>11</v>
      </c>
      <c r="H2191" t="s">
        <v>12</v>
      </c>
      <c r="I2191" s="8" t="str">
        <f>IF(Tabla2[[#This Row],[precio_unitario]]&lt;=30,"Económico",IF(Tabla2[[#This Row],[precio_unitario]]&lt;=58.49,"Accesible","Caro"))</f>
        <v>Caro</v>
      </c>
      <c r="J2191" t="s">
        <v>8</v>
      </c>
      <c r="K2191">
        <v>1</v>
      </c>
      <c r="L2191" s="19">
        <v>165.66</v>
      </c>
      <c r="M2191" s="19">
        <v>95.18</v>
      </c>
      <c r="N2191" s="11">
        <v>0</v>
      </c>
      <c r="O2191" s="17">
        <f t="shared" si="139"/>
        <v>165.66</v>
      </c>
      <c r="P2191" s="17">
        <f t="shared" si="136"/>
        <v>95.18</v>
      </c>
      <c r="Q2191" s="17">
        <f t="shared" si="137"/>
        <v>70.47999999999999</v>
      </c>
      <c r="R2191" s="24">
        <f t="shared" si="138"/>
        <v>0.42544971628636963</v>
      </c>
      <c r="S2191" t="s">
        <v>63</v>
      </c>
      <c r="T2191" t="s">
        <v>60</v>
      </c>
    </row>
    <row r="2192" spans="1:20">
      <c r="A2192" t="s">
        <v>2258</v>
      </c>
      <c r="B2192" s="5">
        <v>45773</v>
      </c>
      <c r="C2192" s="8">
        <f>YEAR(Tabla2[[#This Row],[fecha]])</f>
        <v>2025</v>
      </c>
      <c r="D2192" s="8">
        <f>MONTH(Tabla2[[#This Row],[fecha]])</f>
        <v>4</v>
      </c>
      <c r="E2192" s="8" t="str">
        <f>TEXT(Tabla2[[#This Row],[fecha]], "mmmm")</f>
        <v>abril</v>
      </c>
      <c r="F2192" s="8" t="str">
        <f>"T"&amp;ROUNDUP(Tabla2[[#This Row],[mes]]/3,0)</f>
        <v>T2</v>
      </c>
      <c r="G2192" t="s">
        <v>45</v>
      </c>
      <c r="H2192" t="s">
        <v>46</v>
      </c>
      <c r="I2192" s="8" t="str">
        <f>IF(Tabla2[[#This Row],[precio_unitario]]&lt;=30,"Económico",IF(Tabla2[[#This Row],[precio_unitario]]&lt;=58.49,"Accesible","Caro"))</f>
        <v>Accesible</v>
      </c>
      <c r="J2192" t="s">
        <v>44</v>
      </c>
      <c r="K2192">
        <v>3</v>
      </c>
      <c r="L2192" s="19">
        <v>32.56</v>
      </c>
      <c r="M2192" s="19">
        <v>17.11</v>
      </c>
      <c r="N2192" s="13">
        <v>0</v>
      </c>
      <c r="O2192" s="17">
        <f t="shared" si="139"/>
        <v>97.68</v>
      </c>
      <c r="P2192" s="17">
        <f t="shared" si="136"/>
        <v>51.33</v>
      </c>
      <c r="Q2192" s="17">
        <f t="shared" si="137"/>
        <v>46.350000000000009</v>
      </c>
      <c r="R2192" s="24">
        <f t="shared" si="138"/>
        <v>0.47450859950859958</v>
      </c>
      <c r="S2192" t="s">
        <v>67</v>
      </c>
      <c r="T2192" t="s">
        <v>64</v>
      </c>
    </row>
    <row r="2193" spans="1:20" hidden="1">
      <c r="A2193" t="s">
        <v>2259</v>
      </c>
      <c r="B2193" s="5">
        <v>45359</v>
      </c>
      <c r="C2193" s="8">
        <f>YEAR(Tabla2[[#This Row],[fecha]])</f>
        <v>2024</v>
      </c>
      <c r="D2193" s="8">
        <f>MONTH(Tabla2[[#This Row],[fecha]])</f>
        <v>3</v>
      </c>
      <c r="E2193" s="8" t="str">
        <f>TEXT(Tabla2[[#This Row],[fecha]], "mmmm")</f>
        <v>marzo</v>
      </c>
      <c r="F2193" s="8" t="str">
        <f>"T"&amp;ROUNDUP(Tabla2[[#This Row],[mes]]/3,0)</f>
        <v>T1</v>
      </c>
      <c r="G2193" t="s">
        <v>33</v>
      </c>
      <c r="H2193" t="s">
        <v>34</v>
      </c>
      <c r="I2193" s="8" t="str">
        <f>IF(Tabla2[[#This Row],[precio_unitario]]&lt;=30,"Económico",IF(Tabla2[[#This Row],[precio_unitario]]&lt;=58.49,"Accesible","Caro"))</f>
        <v>Caro</v>
      </c>
      <c r="J2193" t="s">
        <v>35</v>
      </c>
      <c r="K2193">
        <v>1</v>
      </c>
      <c r="L2193" s="19">
        <v>79.459999999999994</v>
      </c>
      <c r="M2193" s="19">
        <v>47.95</v>
      </c>
      <c r="N2193" s="11">
        <v>0</v>
      </c>
      <c r="O2193" s="17">
        <f t="shared" si="139"/>
        <v>79.459999999999994</v>
      </c>
      <c r="P2193" s="17">
        <f t="shared" si="136"/>
        <v>47.95</v>
      </c>
      <c r="Q2193" s="17">
        <f t="shared" si="137"/>
        <v>31.509999999999991</v>
      </c>
      <c r="R2193" s="24">
        <f t="shared" si="138"/>
        <v>0.39655172413793094</v>
      </c>
      <c r="S2193" t="s">
        <v>63</v>
      </c>
      <c r="T2193" t="s">
        <v>64</v>
      </c>
    </row>
    <row r="2194" spans="1:20">
      <c r="A2194" t="s">
        <v>2260</v>
      </c>
      <c r="B2194" s="5">
        <v>45883</v>
      </c>
      <c r="C2194" s="8">
        <f>YEAR(Tabla2[[#This Row],[fecha]])</f>
        <v>2025</v>
      </c>
      <c r="D2194" s="8">
        <f>MONTH(Tabla2[[#This Row],[fecha]])</f>
        <v>8</v>
      </c>
      <c r="E2194" s="8" t="str">
        <f>TEXT(Tabla2[[#This Row],[fecha]], "mmmm")</f>
        <v>agosto</v>
      </c>
      <c r="F2194" s="8" t="str">
        <f>"T"&amp;ROUNDUP(Tabla2[[#This Row],[mes]]/3,0)</f>
        <v>T3</v>
      </c>
      <c r="G2194" t="s">
        <v>47</v>
      </c>
      <c r="H2194" t="s">
        <v>48</v>
      </c>
      <c r="I2194" s="8" t="str">
        <f>IF(Tabla2[[#This Row],[precio_unitario]]&lt;=30,"Económico",IF(Tabla2[[#This Row],[precio_unitario]]&lt;=58.49,"Accesible","Caro"))</f>
        <v>Caro</v>
      </c>
      <c r="J2194" t="s">
        <v>44</v>
      </c>
      <c r="K2194">
        <v>3</v>
      </c>
      <c r="L2194" s="19">
        <v>61.52</v>
      </c>
      <c r="M2194" s="19">
        <v>33.58</v>
      </c>
      <c r="N2194" s="11">
        <v>0</v>
      </c>
      <c r="O2194" s="17">
        <f t="shared" si="139"/>
        <v>184.56</v>
      </c>
      <c r="P2194" s="17">
        <f t="shared" si="136"/>
        <v>100.74</v>
      </c>
      <c r="Q2194" s="17">
        <f t="shared" si="137"/>
        <v>83.820000000000007</v>
      </c>
      <c r="R2194" s="24">
        <f t="shared" si="138"/>
        <v>0.45416124837451238</v>
      </c>
      <c r="S2194" t="s">
        <v>67</v>
      </c>
      <c r="T2194" t="s">
        <v>60</v>
      </c>
    </row>
    <row r="2195" spans="1:20" hidden="1">
      <c r="A2195" t="s">
        <v>2261</v>
      </c>
      <c r="B2195" s="5">
        <v>45381</v>
      </c>
      <c r="C2195" s="8">
        <f>YEAR(Tabla2[[#This Row],[fecha]])</f>
        <v>2024</v>
      </c>
      <c r="D2195" s="8">
        <f>MONTH(Tabla2[[#This Row],[fecha]])</f>
        <v>3</v>
      </c>
      <c r="E2195" s="8" t="str">
        <f>TEXT(Tabla2[[#This Row],[fecha]], "mmmm")</f>
        <v>marzo</v>
      </c>
      <c r="F2195" s="8" t="str">
        <f>"T"&amp;ROUNDUP(Tabla2[[#This Row],[mes]]/3,0)</f>
        <v>T1</v>
      </c>
      <c r="G2195" t="s">
        <v>13</v>
      </c>
      <c r="H2195" t="s">
        <v>14</v>
      </c>
      <c r="I2195" s="8" t="str">
        <f>IF(Tabla2[[#This Row],[precio_unitario]]&lt;=30,"Económico",IF(Tabla2[[#This Row],[precio_unitario]]&lt;=58.49,"Accesible","Caro"))</f>
        <v>Caro</v>
      </c>
      <c r="J2195" t="s">
        <v>8</v>
      </c>
      <c r="K2195">
        <v>4</v>
      </c>
      <c r="L2195" s="19">
        <v>159.51</v>
      </c>
      <c r="M2195" s="19">
        <v>109.99</v>
      </c>
      <c r="N2195" s="11">
        <v>0</v>
      </c>
      <c r="O2195" s="17">
        <f t="shared" si="139"/>
        <v>638.04</v>
      </c>
      <c r="P2195" s="17">
        <f t="shared" si="136"/>
        <v>439.96</v>
      </c>
      <c r="Q2195" s="17">
        <f t="shared" si="137"/>
        <v>198.07999999999998</v>
      </c>
      <c r="R2195" s="24">
        <f t="shared" si="138"/>
        <v>0.31045075543853051</v>
      </c>
      <c r="S2195" t="s">
        <v>63</v>
      </c>
      <c r="T2195" t="s">
        <v>60</v>
      </c>
    </row>
    <row r="2196" spans="1:20" hidden="1">
      <c r="A2196" t="s">
        <v>2262</v>
      </c>
      <c r="B2196" s="5">
        <v>45995</v>
      </c>
      <c r="C2196" s="8">
        <f>YEAR(Tabla2[[#This Row],[fecha]])</f>
        <v>2025</v>
      </c>
      <c r="D2196" s="8">
        <f>MONTH(Tabla2[[#This Row],[fecha]])</f>
        <v>12</v>
      </c>
      <c r="E2196" s="8" t="str">
        <f>TEXT(Tabla2[[#This Row],[fecha]], "mmmm")</f>
        <v>diciembre</v>
      </c>
      <c r="F2196" s="8" t="str">
        <f>"T"&amp;ROUNDUP(Tabla2[[#This Row],[mes]]/3,0)</f>
        <v>T4</v>
      </c>
      <c r="G2196" t="s">
        <v>20</v>
      </c>
      <c r="H2196" t="s">
        <v>21</v>
      </c>
      <c r="I2196" s="8" t="str">
        <f>IF(Tabla2[[#This Row],[precio_unitario]]&lt;=30,"Económico",IF(Tabla2[[#This Row],[precio_unitario]]&lt;=58.49,"Accesible","Caro"))</f>
        <v>Económico</v>
      </c>
      <c r="J2196" t="s">
        <v>17</v>
      </c>
      <c r="K2196">
        <v>4</v>
      </c>
      <c r="L2196" s="19">
        <v>18.77</v>
      </c>
      <c r="M2196" s="19">
        <v>12.64</v>
      </c>
      <c r="N2196" s="13">
        <v>0</v>
      </c>
      <c r="O2196" s="17">
        <f t="shared" si="139"/>
        <v>75.08</v>
      </c>
      <c r="P2196" s="17">
        <f t="shared" si="136"/>
        <v>50.56</v>
      </c>
      <c r="Q2196" s="17">
        <f t="shared" si="137"/>
        <v>24.519999999999996</v>
      </c>
      <c r="R2196" s="24">
        <f t="shared" si="138"/>
        <v>0.32658497602557268</v>
      </c>
      <c r="S2196" t="s">
        <v>540</v>
      </c>
      <c r="T2196" t="s">
        <v>64</v>
      </c>
    </row>
    <row r="2197" spans="1:20" hidden="1">
      <c r="A2197" t="s">
        <v>2263</v>
      </c>
      <c r="B2197" s="5">
        <v>45396</v>
      </c>
      <c r="C2197" s="8">
        <f>YEAR(Tabla2[[#This Row],[fecha]])</f>
        <v>2024</v>
      </c>
      <c r="D2197" s="8">
        <f>MONTH(Tabla2[[#This Row],[fecha]])</f>
        <v>4</v>
      </c>
      <c r="E2197" s="8" t="str">
        <f>TEXT(Tabla2[[#This Row],[fecha]], "mmmm")</f>
        <v>abril</v>
      </c>
      <c r="F2197" s="8" t="str">
        <f>"T"&amp;ROUNDUP(Tabla2[[#This Row],[mes]]/3,0)</f>
        <v>T2</v>
      </c>
      <c r="G2197" t="s">
        <v>18</v>
      </c>
      <c r="H2197" t="s">
        <v>19</v>
      </c>
      <c r="I2197" s="8" t="str">
        <f>IF(Tabla2[[#This Row],[precio_unitario]]&lt;=30,"Económico",IF(Tabla2[[#This Row],[precio_unitario]]&lt;=58.49,"Accesible","Caro"))</f>
        <v>Accesible</v>
      </c>
      <c r="J2197" t="s">
        <v>17</v>
      </c>
      <c r="K2197">
        <v>3</v>
      </c>
      <c r="L2197" s="19">
        <v>49.18</v>
      </c>
      <c r="M2197" s="19">
        <v>27.39</v>
      </c>
      <c r="N2197" s="11">
        <v>0</v>
      </c>
      <c r="O2197" s="17">
        <f t="shared" si="139"/>
        <v>147.54</v>
      </c>
      <c r="P2197" s="17">
        <f t="shared" si="136"/>
        <v>82.17</v>
      </c>
      <c r="Q2197" s="17">
        <f t="shared" si="137"/>
        <v>65.36999999999999</v>
      </c>
      <c r="R2197" s="24">
        <f t="shared" si="138"/>
        <v>0.4430662871085807</v>
      </c>
      <c r="S2197" t="s">
        <v>83</v>
      </c>
      <c r="T2197" t="s">
        <v>60</v>
      </c>
    </row>
    <row r="2198" spans="1:20" hidden="1">
      <c r="A2198" t="s">
        <v>2264</v>
      </c>
      <c r="B2198" s="5">
        <v>45925</v>
      </c>
      <c r="C2198" s="8">
        <f>YEAR(Tabla2[[#This Row],[fecha]])</f>
        <v>2025</v>
      </c>
      <c r="D2198" s="8">
        <f>MONTH(Tabla2[[#This Row],[fecha]])</f>
        <v>9</v>
      </c>
      <c r="E2198" s="8" t="str">
        <f>TEXT(Tabla2[[#This Row],[fecha]], "mmmm")</f>
        <v>septiembre</v>
      </c>
      <c r="F2198" s="8" t="str">
        <f>"T"&amp;ROUNDUP(Tabla2[[#This Row],[mes]]/3,0)</f>
        <v>T3</v>
      </c>
      <c r="G2198" t="s">
        <v>45</v>
      </c>
      <c r="H2198" t="s">
        <v>46</v>
      </c>
      <c r="I2198" s="8" t="str">
        <f>IF(Tabla2[[#This Row],[precio_unitario]]&lt;=30,"Económico",IF(Tabla2[[#This Row],[precio_unitario]]&lt;=58.49,"Accesible","Caro"))</f>
        <v>Económico</v>
      </c>
      <c r="J2198" t="s">
        <v>44</v>
      </c>
      <c r="K2198">
        <v>4</v>
      </c>
      <c r="L2198" s="19">
        <v>29.83</v>
      </c>
      <c r="M2198" s="19">
        <v>17.91</v>
      </c>
      <c r="N2198" s="13">
        <v>0</v>
      </c>
      <c r="O2198" s="17">
        <f t="shared" si="139"/>
        <v>119.32</v>
      </c>
      <c r="P2198" s="17">
        <f t="shared" si="136"/>
        <v>71.64</v>
      </c>
      <c r="Q2198" s="17">
        <f t="shared" si="137"/>
        <v>47.679999999999993</v>
      </c>
      <c r="R2198" s="24">
        <f t="shared" si="138"/>
        <v>0.39959772041568886</v>
      </c>
      <c r="S2198" t="s">
        <v>540</v>
      </c>
      <c r="T2198" t="s">
        <v>64</v>
      </c>
    </row>
    <row r="2199" spans="1:20" hidden="1">
      <c r="A2199" t="s">
        <v>2265</v>
      </c>
      <c r="B2199" s="5">
        <v>45518</v>
      </c>
      <c r="C2199" s="8">
        <f>YEAR(Tabla2[[#This Row],[fecha]])</f>
        <v>2024</v>
      </c>
      <c r="D2199" s="8">
        <f>MONTH(Tabla2[[#This Row],[fecha]])</f>
        <v>8</v>
      </c>
      <c r="E2199" s="8" t="str">
        <f>TEXT(Tabla2[[#This Row],[fecha]], "mmmm")</f>
        <v>agosto</v>
      </c>
      <c r="F2199" s="8" t="str">
        <f>"T"&amp;ROUNDUP(Tabla2[[#This Row],[mes]]/3,0)</f>
        <v>T3</v>
      </c>
      <c r="G2199" t="s">
        <v>36</v>
      </c>
      <c r="H2199" t="s">
        <v>37</v>
      </c>
      <c r="I2199" s="8" t="str">
        <f>IF(Tabla2[[#This Row],[precio_unitario]]&lt;=30,"Económico",IF(Tabla2[[#This Row],[precio_unitario]]&lt;=58.49,"Accesible","Caro"))</f>
        <v>Económico</v>
      </c>
      <c r="J2199" t="s">
        <v>35</v>
      </c>
      <c r="K2199">
        <v>10</v>
      </c>
      <c r="L2199" s="19">
        <v>13.59</v>
      </c>
      <c r="M2199" s="19">
        <v>9.1</v>
      </c>
      <c r="N2199" s="11">
        <v>0</v>
      </c>
      <c r="O2199" s="17">
        <f t="shared" si="139"/>
        <v>135.9</v>
      </c>
      <c r="P2199" s="17">
        <f t="shared" si="136"/>
        <v>91</v>
      </c>
      <c r="Q2199" s="17">
        <f t="shared" si="137"/>
        <v>44.900000000000006</v>
      </c>
      <c r="R2199" s="24">
        <f t="shared" si="138"/>
        <v>0.33038999264164831</v>
      </c>
      <c r="S2199" t="s">
        <v>67</v>
      </c>
      <c r="T2199" t="s">
        <v>64</v>
      </c>
    </row>
    <row r="2200" spans="1:20" hidden="1">
      <c r="A2200" t="s">
        <v>2266</v>
      </c>
      <c r="B2200" s="5">
        <v>45550</v>
      </c>
      <c r="C2200" s="8">
        <f>YEAR(Tabla2[[#This Row],[fecha]])</f>
        <v>2024</v>
      </c>
      <c r="D2200" s="8">
        <f>MONTH(Tabla2[[#This Row],[fecha]])</f>
        <v>9</v>
      </c>
      <c r="E2200" s="8" t="str">
        <f>TEXT(Tabla2[[#This Row],[fecha]], "mmmm")</f>
        <v>septiembre</v>
      </c>
      <c r="F2200" s="8" t="str">
        <f>"T"&amp;ROUNDUP(Tabla2[[#This Row],[mes]]/3,0)</f>
        <v>T3</v>
      </c>
      <c r="G2200" t="s">
        <v>36</v>
      </c>
      <c r="H2200" t="s">
        <v>37</v>
      </c>
      <c r="I2200" s="8" t="str">
        <f>IF(Tabla2[[#This Row],[precio_unitario]]&lt;=30,"Económico",IF(Tabla2[[#This Row],[precio_unitario]]&lt;=58.49,"Accesible","Caro"))</f>
        <v>Económico</v>
      </c>
      <c r="J2200" t="s">
        <v>35</v>
      </c>
      <c r="K2200">
        <v>1</v>
      </c>
      <c r="L2200" s="19">
        <v>13.05</v>
      </c>
      <c r="M2200" s="19">
        <v>9.1300000000000008</v>
      </c>
      <c r="N2200" s="13">
        <v>0</v>
      </c>
      <c r="O2200" s="17">
        <f t="shared" si="139"/>
        <v>13.05</v>
      </c>
      <c r="P2200" s="17">
        <f t="shared" si="136"/>
        <v>9.1300000000000008</v>
      </c>
      <c r="Q2200" s="17">
        <f t="shared" si="137"/>
        <v>3.92</v>
      </c>
      <c r="R2200" s="24">
        <f t="shared" si="138"/>
        <v>0.30038314176245207</v>
      </c>
      <c r="S2200" t="s">
        <v>96</v>
      </c>
      <c r="T2200" t="s">
        <v>64</v>
      </c>
    </row>
    <row r="2201" spans="1:20">
      <c r="A2201" t="s">
        <v>2267</v>
      </c>
      <c r="B2201" s="5">
        <v>45681</v>
      </c>
      <c r="C2201" s="8">
        <f>YEAR(Tabla2[[#This Row],[fecha]])</f>
        <v>2025</v>
      </c>
      <c r="D2201" s="8">
        <f>MONTH(Tabla2[[#This Row],[fecha]])</f>
        <v>1</v>
      </c>
      <c r="E2201" s="8" t="str">
        <f>TEXT(Tabla2[[#This Row],[fecha]], "mmmm")</f>
        <v>enero</v>
      </c>
      <c r="F2201" s="8" t="str">
        <f>"T"&amp;ROUNDUP(Tabla2[[#This Row],[mes]]/3,0)</f>
        <v>T1</v>
      </c>
      <c r="G2201" t="s">
        <v>20</v>
      </c>
      <c r="H2201" t="s">
        <v>21</v>
      </c>
      <c r="I2201" s="8" t="str">
        <f>IF(Tabla2[[#This Row],[precio_unitario]]&lt;=30,"Económico",IF(Tabla2[[#This Row],[precio_unitario]]&lt;=58.49,"Accesible","Caro"))</f>
        <v>Económico</v>
      </c>
      <c r="J2201" t="s">
        <v>17</v>
      </c>
      <c r="K2201">
        <v>1</v>
      </c>
      <c r="L2201" s="19">
        <v>20.14</v>
      </c>
      <c r="M2201" s="19">
        <v>12.42</v>
      </c>
      <c r="N2201" s="13">
        <v>0</v>
      </c>
      <c r="O2201" s="17">
        <f t="shared" si="139"/>
        <v>20.14</v>
      </c>
      <c r="P2201" s="17">
        <f t="shared" si="136"/>
        <v>12.42</v>
      </c>
      <c r="Q2201" s="17">
        <f t="shared" si="137"/>
        <v>7.7200000000000006</v>
      </c>
      <c r="R2201" s="24">
        <f t="shared" si="138"/>
        <v>0.38331678252234364</v>
      </c>
      <c r="S2201" t="s">
        <v>67</v>
      </c>
      <c r="T2201" t="s">
        <v>64</v>
      </c>
    </row>
    <row r="2202" spans="1:20" hidden="1">
      <c r="A2202" t="s">
        <v>2268</v>
      </c>
      <c r="B2202" s="5">
        <v>45771</v>
      </c>
      <c r="C2202" s="8">
        <f>YEAR(Tabla2[[#This Row],[fecha]])</f>
        <v>2025</v>
      </c>
      <c r="D2202" s="8">
        <f>MONTH(Tabla2[[#This Row],[fecha]])</f>
        <v>4</v>
      </c>
      <c r="E2202" s="8" t="str">
        <f>TEXT(Tabla2[[#This Row],[fecha]], "mmmm")</f>
        <v>abril</v>
      </c>
      <c r="F2202" s="8" t="str">
        <f>"T"&amp;ROUNDUP(Tabla2[[#This Row],[mes]]/3,0)</f>
        <v>T2</v>
      </c>
      <c r="G2202" t="s">
        <v>11</v>
      </c>
      <c r="H2202" t="s">
        <v>12</v>
      </c>
      <c r="I2202" s="8" t="str">
        <f>IF(Tabla2[[#This Row],[precio_unitario]]&lt;=30,"Económico",IF(Tabla2[[#This Row],[precio_unitario]]&lt;=58.49,"Accesible","Caro"))</f>
        <v>Caro</v>
      </c>
      <c r="J2202" t="s">
        <v>8</v>
      </c>
      <c r="K2202">
        <v>3</v>
      </c>
      <c r="L2202" s="21">
        <v>175.33</v>
      </c>
      <c r="M2202" s="19">
        <v>92.96</v>
      </c>
      <c r="N2202" s="11">
        <v>0</v>
      </c>
      <c r="O2202" s="17">
        <f t="shared" si="139"/>
        <v>525.99</v>
      </c>
      <c r="P2202" s="17">
        <f t="shared" si="136"/>
        <v>278.88</v>
      </c>
      <c r="Q2202" s="17">
        <f t="shared" si="137"/>
        <v>247.11</v>
      </c>
      <c r="R2202" s="24">
        <f t="shared" si="138"/>
        <v>0.46979980607996352</v>
      </c>
      <c r="S2202" t="s">
        <v>63</v>
      </c>
      <c r="T2202" t="s">
        <v>60</v>
      </c>
    </row>
    <row r="2203" spans="1:20">
      <c r="A2203" t="s">
        <v>2269</v>
      </c>
      <c r="B2203" s="5">
        <v>45915</v>
      </c>
      <c r="C2203" s="8">
        <f>YEAR(Tabla2[[#This Row],[fecha]])</f>
        <v>2025</v>
      </c>
      <c r="D2203" s="8">
        <f>MONTH(Tabla2[[#This Row],[fecha]])</f>
        <v>9</v>
      </c>
      <c r="E2203" s="8" t="str">
        <f>TEXT(Tabla2[[#This Row],[fecha]], "mmmm")</f>
        <v>septiembre</v>
      </c>
      <c r="F2203" s="8" t="str">
        <f>"T"&amp;ROUNDUP(Tabla2[[#This Row],[mes]]/3,0)</f>
        <v>T3</v>
      </c>
      <c r="G2203" t="s">
        <v>45</v>
      </c>
      <c r="H2203" t="s">
        <v>46</v>
      </c>
      <c r="I2203" s="8" t="str">
        <f>IF(Tabla2[[#This Row],[precio_unitario]]&lt;=30,"Económico",IF(Tabla2[[#This Row],[precio_unitario]]&lt;=58.49,"Accesible","Caro"))</f>
        <v>Accesible</v>
      </c>
      <c r="J2203" t="s">
        <v>44</v>
      </c>
      <c r="K2203">
        <v>2</v>
      </c>
      <c r="L2203" s="19">
        <v>33.18</v>
      </c>
      <c r="M2203" s="19">
        <v>43.13</v>
      </c>
      <c r="N2203" s="11">
        <v>0.11</v>
      </c>
      <c r="O2203" s="17">
        <f t="shared" si="139"/>
        <v>59.060400000000001</v>
      </c>
      <c r="P2203" s="17">
        <f t="shared" si="136"/>
        <v>86.26</v>
      </c>
      <c r="Q2203" s="17">
        <f t="shared" si="137"/>
        <v>-27.199600000000004</v>
      </c>
      <c r="R2203" s="24">
        <f t="shared" si="138"/>
        <v>-0.46053870275175929</v>
      </c>
      <c r="S2203" t="s">
        <v>67</v>
      </c>
      <c r="T2203" t="s">
        <v>60</v>
      </c>
    </row>
    <row r="2204" spans="1:20" hidden="1">
      <c r="A2204" t="s">
        <v>2270</v>
      </c>
      <c r="B2204" s="5">
        <v>46016</v>
      </c>
      <c r="C2204" s="8">
        <f>YEAR(Tabla2[[#This Row],[fecha]])</f>
        <v>2025</v>
      </c>
      <c r="D2204" s="8">
        <f>MONTH(Tabla2[[#This Row],[fecha]])</f>
        <v>12</v>
      </c>
      <c r="E2204" s="8" t="str">
        <f>TEXT(Tabla2[[#This Row],[fecha]], "mmmm")</f>
        <v>diciembre</v>
      </c>
      <c r="F2204" s="8" t="str">
        <f>"T"&amp;ROUNDUP(Tabla2[[#This Row],[mes]]/3,0)</f>
        <v>T4</v>
      </c>
      <c r="G2204" t="s">
        <v>36</v>
      </c>
      <c r="H2204" t="s">
        <v>37</v>
      </c>
      <c r="I2204" s="8" t="str">
        <f>IF(Tabla2[[#This Row],[precio_unitario]]&lt;=30,"Económico",IF(Tabla2[[#This Row],[precio_unitario]]&lt;=58.49,"Accesible","Caro"))</f>
        <v>Económico</v>
      </c>
      <c r="J2204" t="s">
        <v>35</v>
      </c>
      <c r="K2204">
        <v>1</v>
      </c>
      <c r="L2204" s="19">
        <v>13.41</v>
      </c>
      <c r="M2204" s="19">
        <v>9.5299999999999994</v>
      </c>
      <c r="N2204" s="11">
        <v>0</v>
      </c>
      <c r="O2204" s="17">
        <f t="shared" si="139"/>
        <v>13.41</v>
      </c>
      <c r="P2204" s="17">
        <f t="shared" si="136"/>
        <v>9.5299999999999994</v>
      </c>
      <c r="Q2204" s="17">
        <f t="shared" si="137"/>
        <v>3.8800000000000008</v>
      </c>
      <c r="R2204" s="24">
        <f t="shared" si="138"/>
        <v>0.28933631618195382</v>
      </c>
      <c r="S2204" t="s">
        <v>63</v>
      </c>
      <c r="T2204" t="s">
        <v>64</v>
      </c>
    </row>
    <row r="2205" spans="1:20" hidden="1">
      <c r="A2205" t="s">
        <v>2271</v>
      </c>
      <c r="B2205" s="5">
        <v>45426</v>
      </c>
      <c r="C2205" s="8">
        <f>YEAR(Tabla2[[#This Row],[fecha]])</f>
        <v>2024</v>
      </c>
      <c r="D2205" s="8">
        <f>MONTH(Tabla2[[#This Row],[fecha]])</f>
        <v>5</v>
      </c>
      <c r="E2205" s="8" t="str">
        <f>TEXT(Tabla2[[#This Row],[fecha]], "mmmm")</f>
        <v>mayo</v>
      </c>
      <c r="F2205" s="8" t="str">
        <f>"T"&amp;ROUNDUP(Tabla2[[#This Row],[mes]]/3,0)</f>
        <v>T2</v>
      </c>
      <c r="G2205" t="s">
        <v>6</v>
      </c>
      <c r="H2205" t="s">
        <v>7</v>
      </c>
      <c r="I2205" s="8" t="str">
        <f>IF(Tabla2[[#This Row],[precio_unitario]]&lt;=30,"Económico",IF(Tabla2[[#This Row],[precio_unitario]]&lt;=58.49,"Accesible","Caro"))</f>
        <v>Caro</v>
      </c>
      <c r="J2205" t="s">
        <v>8</v>
      </c>
      <c r="K2205">
        <v>1</v>
      </c>
      <c r="L2205" s="19">
        <v>115.82</v>
      </c>
      <c r="M2205" s="19">
        <v>80.540000000000006</v>
      </c>
      <c r="N2205" s="11">
        <v>0</v>
      </c>
      <c r="O2205" s="17">
        <f t="shared" si="139"/>
        <v>115.82</v>
      </c>
      <c r="P2205" s="17">
        <f t="shared" si="136"/>
        <v>80.540000000000006</v>
      </c>
      <c r="Q2205" s="17">
        <f t="shared" si="137"/>
        <v>35.279999999999987</v>
      </c>
      <c r="R2205" s="24">
        <f t="shared" si="138"/>
        <v>0.30461060265929879</v>
      </c>
      <c r="S2205" t="s">
        <v>67</v>
      </c>
      <c r="T2205" t="s">
        <v>64</v>
      </c>
    </row>
    <row r="2206" spans="1:20" hidden="1">
      <c r="A2206" t="s">
        <v>2272</v>
      </c>
      <c r="B2206" s="5">
        <v>45714</v>
      </c>
      <c r="C2206" s="8">
        <f>YEAR(Tabla2[[#This Row],[fecha]])</f>
        <v>2025</v>
      </c>
      <c r="D2206" s="8">
        <f>MONTH(Tabla2[[#This Row],[fecha]])</f>
        <v>2</v>
      </c>
      <c r="E2206" s="8" t="str">
        <f>TEXT(Tabla2[[#This Row],[fecha]], "mmmm")</f>
        <v>febrero</v>
      </c>
      <c r="F2206" s="8" t="str">
        <f>"T"&amp;ROUNDUP(Tabla2[[#This Row],[mes]]/3,0)</f>
        <v>T1</v>
      </c>
      <c r="G2206" t="s">
        <v>29</v>
      </c>
      <c r="H2206" t="s">
        <v>30</v>
      </c>
      <c r="I2206" s="8" t="str">
        <f>IF(Tabla2[[#This Row],[precio_unitario]]&lt;=30,"Económico",IF(Tabla2[[#This Row],[precio_unitario]]&lt;=58.49,"Accesible","Caro"))</f>
        <v>Económico</v>
      </c>
      <c r="J2206" t="s">
        <v>26</v>
      </c>
      <c r="K2206">
        <v>1</v>
      </c>
      <c r="L2206" s="19">
        <v>20.64</v>
      </c>
      <c r="M2206" s="19">
        <v>10.94</v>
      </c>
      <c r="N2206" s="13">
        <v>0</v>
      </c>
      <c r="O2206" s="17">
        <f t="shared" si="139"/>
        <v>20.64</v>
      </c>
      <c r="P2206" s="17">
        <f t="shared" si="136"/>
        <v>10.94</v>
      </c>
      <c r="Q2206" s="17">
        <f t="shared" si="137"/>
        <v>9.7000000000000011</v>
      </c>
      <c r="R2206" s="24">
        <f t="shared" si="138"/>
        <v>0.46996124031007758</v>
      </c>
      <c r="S2206" t="s">
        <v>101</v>
      </c>
      <c r="T2206" t="s">
        <v>64</v>
      </c>
    </row>
    <row r="2207" spans="1:20">
      <c r="A2207" t="s">
        <v>2273</v>
      </c>
      <c r="B2207" s="5">
        <v>45791</v>
      </c>
      <c r="C2207" s="8">
        <f>YEAR(Tabla2[[#This Row],[fecha]])</f>
        <v>2025</v>
      </c>
      <c r="D2207" s="8">
        <f>MONTH(Tabla2[[#This Row],[fecha]])</f>
        <v>5</v>
      </c>
      <c r="E2207" s="8" t="str">
        <f>TEXT(Tabla2[[#This Row],[fecha]], "mmmm")</f>
        <v>mayo</v>
      </c>
      <c r="F2207" s="8" t="str">
        <f>"T"&amp;ROUNDUP(Tabla2[[#This Row],[mes]]/3,0)</f>
        <v>T2</v>
      </c>
      <c r="G2207" t="s">
        <v>24</v>
      </c>
      <c r="H2207" t="s">
        <v>25</v>
      </c>
      <c r="I2207" s="8" t="str">
        <f>IF(Tabla2[[#This Row],[precio_unitario]]&lt;=30,"Económico",IF(Tabla2[[#This Row],[precio_unitario]]&lt;=58.49,"Accesible","Caro"))</f>
        <v>Económico</v>
      </c>
      <c r="J2207" t="s">
        <v>26</v>
      </c>
      <c r="K2207">
        <v>1</v>
      </c>
      <c r="L2207" s="19">
        <v>8.2200000000000006</v>
      </c>
      <c r="M2207" s="19">
        <v>4.12</v>
      </c>
      <c r="N2207" s="11">
        <v>0</v>
      </c>
      <c r="O2207" s="17">
        <f t="shared" si="139"/>
        <v>8.2200000000000006</v>
      </c>
      <c r="P2207" s="17">
        <f t="shared" si="136"/>
        <v>4.12</v>
      </c>
      <c r="Q2207" s="17">
        <f t="shared" si="137"/>
        <v>4.1000000000000005</v>
      </c>
      <c r="R2207" s="24">
        <f t="shared" si="138"/>
        <v>0.49878345498783455</v>
      </c>
      <c r="S2207" t="s">
        <v>67</v>
      </c>
      <c r="T2207" t="s">
        <v>60</v>
      </c>
    </row>
    <row r="2208" spans="1:20" hidden="1">
      <c r="A2208" t="s">
        <v>2274</v>
      </c>
      <c r="B2208" s="5">
        <v>46021</v>
      </c>
      <c r="C2208" s="8">
        <f>YEAR(Tabla2[[#This Row],[fecha]])</f>
        <v>2025</v>
      </c>
      <c r="D2208" s="8">
        <f>MONTH(Tabla2[[#This Row],[fecha]])</f>
        <v>12</v>
      </c>
      <c r="E2208" s="8" t="str">
        <f>TEXT(Tabla2[[#This Row],[fecha]], "mmmm")</f>
        <v>diciembre</v>
      </c>
      <c r="F2208" s="8" t="str">
        <f>"T"&amp;ROUNDUP(Tabla2[[#This Row],[mes]]/3,0)</f>
        <v>T4</v>
      </c>
      <c r="G2208" t="s">
        <v>45</v>
      </c>
      <c r="H2208" t="s">
        <v>46</v>
      </c>
      <c r="I2208" s="8" t="str">
        <f>IF(Tabla2[[#This Row],[precio_unitario]]&lt;=30,"Económico",IF(Tabla2[[#This Row],[precio_unitario]]&lt;=58.49,"Accesible","Caro"))</f>
        <v>Económico</v>
      </c>
      <c r="J2208" t="s">
        <v>44</v>
      </c>
      <c r="K2208">
        <v>1</v>
      </c>
      <c r="L2208" s="19">
        <v>28.82</v>
      </c>
      <c r="M2208" s="19">
        <v>17.86</v>
      </c>
      <c r="N2208" s="11">
        <v>0</v>
      </c>
      <c r="O2208" s="17">
        <f t="shared" si="139"/>
        <v>28.82</v>
      </c>
      <c r="P2208" s="17">
        <f t="shared" si="136"/>
        <v>17.86</v>
      </c>
      <c r="Q2208" s="17">
        <f t="shared" si="137"/>
        <v>10.96</v>
      </c>
      <c r="R2208" s="24">
        <f t="shared" si="138"/>
        <v>0.38029146426092991</v>
      </c>
      <c r="S2208" t="s">
        <v>83</v>
      </c>
      <c r="T2208" t="s">
        <v>64</v>
      </c>
    </row>
    <row r="2209" spans="1:20" hidden="1">
      <c r="A2209" t="s">
        <v>2275</v>
      </c>
      <c r="B2209" s="5">
        <v>46007</v>
      </c>
      <c r="C2209" s="8">
        <f>YEAR(Tabla2[[#This Row],[fecha]])</f>
        <v>2025</v>
      </c>
      <c r="D2209" s="8">
        <f>MONTH(Tabla2[[#This Row],[fecha]])</f>
        <v>12</v>
      </c>
      <c r="E2209" s="8" t="str">
        <f>TEXT(Tabla2[[#This Row],[fecha]], "mmmm")</f>
        <v>diciembre</v>
      </c>
      <c r="F2209" s="8" t="str">
        <f>"T"&amp;ROUNDUP(Tabla2[[#This Row],[mes]]/3,0)</f>
        <v>T4</v>
      </c>
      <c r="G2209" t="s">
        <v>22</v>
      </c>
      <c r="H2209" t="s">
        <v>23</v>
      </c>
      <c r="I2209" s="8" t="str">
        <f>IF(Tabla2[[#This Row],[precio_unitario]]&lt;=30,"Económico",IF(Tabla2[[#This Row],[precio_unitario]]&lt;=58.49,"Accesible","Caro"))</f>
        <v>Caro</v>
      </c>
      <c r="J2209" t="s">
        <v>17</v>
      </c>
      <c r="K2209">
        <v>4</v>
      </c>
      <c r="L2209" s="19">
        <v>109.69</v>
      </c>
      <c r="M2209" s="19">
        <v>56.79</v>
      </c>
      <c r="N2209" s="11">
        <v>0</v>
      </c>
      <c r="O2209" s="17">
        <f t="shared" si="139"/>
        <v>438.76</v>
      </c>
      <c r="P2209" s="17">
        <f t="shared" si="136"/>
        <v>227.16</v>
      </c>
      <c r="Q2209" s="17">
        <f t="shared" si="137"/>
        <v>211.6</v>
      </c>
      <c r="R2209" s="24">
        <f t="shared" si="138"/>
        <v>0.48226821041115869</v>
      </c>
      <c r="S2209" t="s">
        <v>101</v>
      </c>
      <c r="T2209" t="s">
        <v>60</v>
      </c>
    </row>
    <row r="2210" spans="1:20" hidden="1">
      <c r="A2210" t="s">
        <v>2276</v>
      </c>
      <c r="B2210" s="5">
        <v>45443</v>
      </c>
      <c r="C2210" s="8">
        <f>YEAR(Tabla2[[#This Row],[fecha]])</f>
        <v>2024</v>
      </c>
      <c r="D2210" s="8">
        <f>MONTH(Tabla2[[#This Row],[fecha]])</f>
        <v>5</v>
      </c>
      <c r="E2210" s="8" t="str">
        <f>TEXT(Tabla2[[#This Row],[fecha]], "mmmm")</f>
        <v>mayo</v>
      </c>
      <c r="F2210" s="8" t="str">
        <f>"T"&amp;ROUNDUP(Tabla2[[#This Row],[mes]]/3,0)</f>
        <v>T2</v>
      </c>
      <c r="G2210" t="s">
        <v>38</v>
      </c>
      <c r="H2210" t="s">
        <v>39</v>
      </c>
      <c r="I2210" s="8" t="str">
        <f>IF(Tabla2[[#This Row],[precio_unitario]]&lt;=30,"Económico",IF(Tabla2[[#This Row],[precio_unitario]]&lt;=58.49,"Accesible","Caro"))</f>
        <v>Caro</v>
      </c>
      <c r="J2210" t="s">
        <v>35</v>
      </c>
      <c r="K2210">
        <v>1</v>
      </c>
      <c r="L2210" s="19">
        <v>80.319999999999993</v>
      </c>
      <c r="M2210" s="19">
        <v>44.77</v>
      </c>
      <c r="N2210" s="11">
        <v>0</v>
      </c>
      <c r="O2210" s="17">
        <f t="shared" si="139"/>
        <v>80.319999999999993</v>
      </c>
      <c r="P2210" s="17">
        <f t="shared" si="136"/>
        <v>44.77</v>
      </c>
      <c r="Q2210" s="17">
        <f t="shared" si="137"/>
        <v>35.54999999999999</v>
      </c>
      <c r="R2210" s="24">
        <f t="shared" si="138"/>
        <v>0.44260458167330669</v>
      </c>
      <c r="S2210" t="s">
        <v>540</v>
      </c>
      <c r="T2210" t="s">
        <v>60</v>
      </c>
    </row>
    <row r="2211" spans="1:20" hidden="1">
      <c r="A2211" t="s">
        <v>2277</v>
      </c>
      <c r="B2211" s="5">
        <v>45553</v>
      </c>
      <c r="C2211" s="8">
        <f>YEAR(Tabla2[[#This Row],[fecha]])</f>
        <v>2024</v>
      </c>
      <c r="D2211" s="8">
        <f>MONTH(Tabla2[[#This Row],[fecha]])</f>
        <v>9</v>
      </c>
      <c r="E2211" s="8" t="str">
        <f>TEXT(Tabla2[[#This Row],[fecha]], "mmmm")</f>
        <v>septiembre</v>
      </c>
      <c r="F2211" s="8" t="str">
        <f>"T"&amp;ROUNDUP(Tabla2[[#This Row],[mes]]/3,0)</f>
        <v>T3</v>
      </c>
      <c r="G2211" t="s">
        <v>11</v>
      </c>
      <c r="H2211" t="s">
        <v>12</v>
      </c>
      <c r="I2211" s="8" t="str">
        <f>IF(Tabla2[[#This Row],[precio_unitario]]&lt;=30,"Económico",IF(Tabla2[[#This Row],[precio_unitario]]&lt;=58.49,"Accesible","Caro"))</f>
        <v>Caro</v>
      </c>
      <c r="J2211" t="s">
        <v>8</v>
      </c>
      <c r="K2211">
        <v>1</v>
      </c>
      <c r="L2211" s="19">
        <v>163.53</v>
      </c>
      <c r="M2211" s="19">
        <v>93.67</v>
      </c>
      <c r="N2211" s="11">
        <v>0.14000000000000001</v>
      </c>
      <c r="O2211" s="17">
        <f t="shared" si="139"/>
        <v>140.63579999999999</v>
      </c>
      <c r="P2211" s="17">
        <f t="shared" si="136"/>
        <v>93.67</v>
      </c>
      <c r="Q2211" s="17">
        <f t="shared" si="137"/>
        <v>46.965799999999987</v>
      </c>
      <c r="R2211" s="24">
        <f t="shared" si="138"/>
        <v>0.33395337460305263</v>
      </c>
      <c r="S2211" t="s">
        <v>540</v>
      </c>
      <c r="T2211" t="s">
        <v>64</v>
      </c>
    </row>
    <row r="2212" spans="1:20" hidden="1">
      <c r="A2212" t="s">
        <v>2278</v>
      </c>
      <c r="B2212" s="5">
        <v>45977</v>
      </c>
      <c r="C2212" s="8">
        <f>YEAR(Tabla2[[#This Row],[fecha]])</f>
        <v>2025</v>
      </c>
      <c r="D2212" s="8">
        <f>MONTH(Tabla2[[#This Row],[fecha]])</f>
        <v>11</v>
      </c>
      <c r="E2212" s="8" t="str">
        <f>TEXT(Tabla2[[#This Row],[fecha]], "mmmm")</f>
        <v>noviembre</v>
      </c>
      <c r="F2212" s="8" t="str">
        <f>"T"&amp;ROUNDUP(Tabla2[[#This Row],[mes]]/3,0)</f>
        <v>T4</v>
      </c>
      <c r="G2212" t="s">
        <v>36</v>
      </c>
      <c r="H2212" t="s">
        <v>37</v>
      </c>
      <c r="I2212" s="8" t="str">
        <f>IF(Tabla2[[#This Row],[precio_unitario]]&lt;=30,"Económico",IF(Tabla2[[#This Row],[precio_unitario]]&lt;=58.49,"Accesible","Caro"))</f>
        <v>Económico</v>
      </c>
      <c r="J2212" t="s">
        <v>35</v>
      </c>
      <c r="K2212">
        <v>1</v>
      </c>
      <c r="L2212" s="19">
        <v>13.21</v>
      </c>
      <c r="M2212" s="19">
        <v>9.94</v>
      </c>
      <c r="N2212" s="13">
        <v>0</v>
      </c>
      <c r="O2212" s="17">
        <f t="shared" si="139"/>
        <v>13.21</v>
      </c>
      <c r="P2212" s="17">
        <f t="shared" si="136"/>
        <v>9.94</v>
      </c>
      <c r="Q2212" s="17">
        <f t="shared" si="137"/>
        <v>3.2700000000000014</v>
      </c>
      <c r="R2212" s="24">
        <f t="shared" si="138"/>
        <v>0.24753974261922795</v>
      </c>
      <c r="S2212" t="s">
        <v>96</v>
      </c>
      <c r="T2212" t="s">
        <v>64</v>
      </c>
    </row>
    <row r="2213" spans="1:20" hidden="1">
      <c r="A2213" t="s">
        <v>2279</v>
      </c>
      <c r="B2213" s="5">
        <v>45375</v>
      </c>
      <c r="C2213" s="8">
        <f>YEAR(Tabla2[[#This Row],[fecha]])</f>
        <v>2024</v>
      </c>
      <c r="D2213" s="8">
        <f>MONTH(Tabla2[[#This Row],[fecha]])</f>
        <v>3</v>
      </c>
      <c r="E2213" s="8" t="str">
        <f>TEXT(Tabla2[[#This Row],[fecha]], "mmmm")</f>
        <v>marzo</v>
      </c>
      <c r="F2213" s="8" t="str">
        <f>"T"&amp;ROUNDUP(Tabla2[[#This Row],[mes]]/3,0)</f>
        <v>T1</v>
      </c>
      <c r="G2213" t="s">
        <v>6</v>
      </c>
      <c r="H2213" t="s">
        <v>7</v>
      </c>
      <c r="I2213" s="8" t="str">
        <f>IF(Tabla2[[#This Row],[precio_unitario]]&lt;=30,"Económico",IF(Tabla2[[#This Row],[precio_unitario]]&lt;=58.49,"Accesible","Caro"))</f>
        <v>Caro</v>
      </c>
      <c r="J2213" t="s">
        <v>8</v>
      </c>
      <c r="K2213">
        <v>3</v>
      </c>
      <c r="L2213" s="19">
        <v>127.41</v>
      </c>
      <c r="M2213" s="19">
        <v>83.61</v>
      </c>
      <c r="N2213" s="11">
        <v>0</v>
      </c>
      <c r="O2213" s="17">
        <f t="shared" si="139"/>
        <v>382.23</v>
      </c>
      <c r="P2213" s="17">
        <f t="shared" si="136"/>
        <v>250.82999999999998</v>
      </c>
      <c r="Q2213" s="17">
        <f t="shared" si="137"/>
        <v>131.40000000000003</v>
      </c>
      <c r="R2213" s="24">
        <f t="shared" si="138"/>
        <v>0.34377207440546276</v>
      </c>
      <c r="S2213" t="s">
        <v>67</v>
      </c>
      <c r="T2213" t="s">
        <v>64</v>
      </c>
    </row>
    <row r="2214" spans="1:20" hidden="1">
      <c r="A2214" t="s">
        <v>2280</v>
      </c>
      <c r="B2214" s="5">
        <v>45938</v>
      </c>
      <c r="C2214" s="8">
        <f>YEAR(Tabla2[[#This Row],[fecha]])</f>
        <v>2025</v>
      </c>
      <c r="D2214" s="8">
        <f>MONTH(Tabla2[[#This Row],[fecha]])</f>
        <v>10</v>
      </c>
      <c r="E2214" s="8" t="str">
        <f>TEXT(Tabla2[[#This Row],[fecha]], "mmmm")</f>
        <v>octubre</v>
      </c>
      <c r="F2214" s="8" t="str">
        <f>"T"&amp;ROUNDUP(Tabla2[[#This Row],[mes]]/3,0)</f>
        <v>T4</v>
      </c>
      <c r="G2214" t="s">
        <v>47</v>
      </c>
      <c r="H2214" t="s">
        <v>48</v>
      </c>
      <c r="I2214" s="8" t="str">
        <f>IF(Tabla2[[#This Row],[precio_unitario]]&lt;=30,"Económico",IF(Tabla2[[#This Row],[precio_unitario]]&lt;=58.49,"Accesible","Caro"))</f>
        <v>Caro</v>
      </c>
      <c r="J2214" t="s">
        <v>44</v>
      </c>
      <c r="K2214">
        <v>3</v>
      </c>
      <c r="L2214" s="19">
        <v>59.86</v>
      </c>
      <c r="M2214" s="19">
        <v>31.56</v>
      </c>
      <c r="N2214" s="11">
        <v>0</v>
      </c>
      <c r="O2214" s="17">
        <f t="shared" si="139"/>
        <v>179.57999999999998</v>
      </c>
      <c r="P2214" s="17">
        <f t="shared" si="136"/>
        <v>94.679999999999993</v>
      </c>
      <c r="Q2214" s="17">
        <f t="shared" si="137"/>
        <v>84.899999999999991</v>
      </c>
      <c r="R2214" s="24">
        <f t="shared" si="138"/>
        <v>0.47276979619111259</v>
      </c>
      <c r="S2214" s="10" t="s">
        <v>2377</v>
      </c>
      <c r="T2214" t="s">
        <v>60</v>
      </c>
    </row>
    <row r="2215" spans="1:20" hidden="1">
      <c r="A2215" t="s">
        <v>2281</v>
      </c>
      <c r="B2215" s="5">
        <v>45868</v>
      </c>
      <c r="C2215" s="8">
        <f>YEAR(Tabla2[[#This Row],[fecha]])</f>
        <v>2025</v>
      </c>
      <c r="D2215" s="8">
        <f>MONTH(Tabla2[[#This Row],[fecha]])</f>
        <v>7</v>
      </c>
      <c r="E2215" s="8" t="str">
        <f>TEXT(Tabla2[[#This Row],[fecha]], "mmmm")</f>
        <v>julio</v>
      </c>
      <c r="F2215" s="8" t="str">
        <f>"T"&amp;ROUNDUP(Tabla2[[#This Row],[mes]]/3,0)</f>
        <v>T3</v>
      </c>
      <c r="G2215" t="s">
        <v>31</v>
      </c>
      <c r="H2215" t="s">
        <v>32</v>
      </c>
      <c r="I2215" s="8" t="str">
        <f>IF(Tabla2[[#This Row],[precio_unitario]]&lt;=30,"Económico",IF(Tabla2[[#This Row],[precio_unitario]]&lt;=58.49,"Accesible","Caro"))</f>
        <v>Económico</v>
      </c>
      <c r="J2215" t="s">
        <v>26</v>
      </c>
      <c r="K2215">
        <v>2</v>
      </c>
      <c r="L2215" s="19">
        <v>9.24</v>
      </c>
      <c r="M2215" s="19">
        <v>5.85</v>
      </c>
      <c r="N2215" s="11">
        <v>0</v>
      </c>
      <c r="O2215" s="17">
        <f t="shared" si="139"/>
        <v>18.48</v>
      </c>
      <c r="P2215" s="17">
        <f t="shared" si="136"/>
        <v>11.7</v>
      </c>
      <c r="Q2215" s="17">
        <f t="shared" si="137"/>
        <v>6.7800000000000011</v>
      </c>
      <c r="R2215" s="24">
        <f t="shared" si="138"/>
        <v>0.36688311688311692</v>
      </c>
      <c r="S2215" t="s">
        <v>540</v>
      </c>
      <c r="T2215" t="s">
        <v>60</v>
      </c>
    </row>
    <row r="2216" spans="1:20">
      <c r="A2216" t="s">
        <v>2282</v>
      </c>
      <c r="B2216" s="5">
        <v>45684</v>
      </c>
      <c r="C2216" s="8">
        <f>YEAR(Tabla2[[#This Row],[fecha]])</f>
        <v>2025</v>
      </c>
      <c r="D2216" s="8">
        <f>MONTH(Tabla2[[#This Row],[fecha]])</f>
        <v>1</v>
      </c>
      <c r="E2216" s="8" t="str">
        <f>TEXT(Tabla2[[#This Row],[fecha]], "mmmm")</f>
        <v>enero</v>
      </c>
      <c r="F2216" s="8" t="str">
        <f>"T"&amp;ROUNDUP(Tabla2[[#This Row],[mes]]/3,0)</f>
        <v>T1</v>
      </c>
      <c r="G2216" t="s">
        <v>24</v>
      </c>
      <c r="H2216" t="s">
        <v>25</v>
      </c>
      <c r="I2216" s="8" t="str">
        <f>IF(Tabla2[[#This Row],[precio_unitario]]&lt;=30,"Económico",IF(Tabla2[[#This Row],[precio_unitario]]&lt;=58.49,"Accesible","Caro"))</f>
        <v>Económico</v>
      </c>
      <c r="J2216" t="s">
        <v>26</v>
      </c>
      <c r="K2216">
        <v>4</v>
      </c>
      <c r="L2216" s="19">
        <v>7.3</v>
      </c>
      <c r="M2216" s="19">
        <v>4.16</v>
      </c>
      <c r="N2216" s="11">
        <v>0</v>
      </c>
      <c r="O2216" s="17">
        <f t="shared" si="139"/>
        <v>29.2</v>
      </c>
      <c r="P2216" s="17">
        <f t="shared" si="136"/>
        <v>16.64</v>
      </c>
      <c r="Q2216" s="17">
        <f t="shared" si="137"/>
        <v>12.559999999999999</v>
      </c>
      <c r="R2216" s="24">
        <f t="shared" si="138"/>
        <v>0.43013698630136982</v>
      </c>
      <c r="S2216" t="s">
        <v>67</v>
      </c>
      <c r="T2216" t="s">
        <v>64</v>
      </c>
    </row>
    <row r="2217" spans="1:20" hidden="1">
      <c r="A2217" t="s">
        <v>2283</v>
      </c>
      <c r="B2217" s="5">
        <v>45389</v>
      </c>
      <c r="C2217" s="8">
        <f>YEAR(Tabla2[[#This Row],[fecha]])</f>
        <v>2024</v>
      </c>
      <c r="D2217" s="8">
        <f>MONTH(Tabla2[[#This Row],[fecha]])</f>
        <v>4</v>
      </c>
      <c r="E2217" s="8" t="str">
        <f>TEXT(Tabla2[[#This Row],[fecha]], "mmmm")</f>
        <v>abril</v>
      </c>
      <c r="F2217" s="8" t="str">
        <f>"T"&amp;ROUNDUP(Tabla2[[#This Row],[mes]]/3,0)</f>
        <v>T2</v>
      </c>
      <c r="G2217" t="s">
        <v>47</v>
      </c>
      <c r="H2217" t="s">
        <v>48</v>
      </c>
      <c r="I2217" s="8" t="str">
        <f>IF(Tabla2[[#This Row],[precio_unitario]]&lt;=30,"Económico",IF(Tabla2[[#This Row],[precio_unitario]]&lt;=58.49,"Accesible","Caro"))</f>
        <v>Accesible</v>
      </c>
      <c r="J2217" t="s">
        <v>44</v>
      </c>
      <c r="K2217">
        <v>5</v>
      </c>
      <c r="L2217" s="19">
        <v>55.41</v>
      </c>
      <c r="M2217" s="19">
        <v>31.23</v>
      </c>
      <c r="N2217" s="11">
        <v>0</v>
      </c>
      <c r="O2217" s="17">
        <f t="shared" si="139"/>
        <v>277.04999999999995</v>
      </c>
      <c r="P2217" s="17">
        <f t="shared" si="136"/>
        <v>156.15</v>
      </c>
      <c r="Q2217" s="17">
        <f t="shared" si="137"/>
        <v>120.89999999999995</v>
      </c>
      <c r="R2217" s="24">
        <f t="shared" si="138"/>
        <v>0.43638332430969129</v>
      </c>
      <c r="S2217" t="s">
        <v>83</v>
      </c>
      <c r="T2217" t="s">
        <v>60</v>
      </c>
    </row>
    <row r="2218" spans="1:20" hidden="1">
      <c r="A2218" t="s">
        <v>2284</v>
      </c>
      <c r="B2218" s="5">
        <v>45406</v>
      </c>
      <c r="C2218" s="8">
        <f>YEAR(Tabla2[[#This Row],[fecha]])</f>
        <v>2024</v>
      </c>
      <c r="D2218" s="8">
        <f>MONTH(Tabla2[[#This Row],[fecha]])</f>
        <v>4</v>
      </c>
      <c r="E2218" s="8" t="str">
        <f>TEXT(Tabla2[[#This Row],[fecha]], "mmmm")</f>
        <v>abril</v>
      </c>
      <c r="F2218" s="8" t="str">
        <f>"T"&amp;ROUNDUP(Tabla2[[#This Row],[mes]]/3,0)</f>
        <v>T2</v>
      </c>
      <c r="G2218" t="s">
        <v>27</v>
      </c>
      <c r="H2218" t="s">
        <v>28</v>
      </c>
      <c r="I2218" s="8" t="str">
        <f>IF(Tabla2[[#This Row],[precio_unitario]]&lt;=30,"Económico",IF(Tabla2[[#This Row],[precio_unitario]]&lt;=58.49,"Accesible","Caro"))</f>
        <v>Económico</v>
      </c>
      <c r="J2218" t="s">
        <v>26</v>
      </c>
      <c r="K2218">
        <v>1</v>
      </c>
      <c r="L2218" s="19">
        <v>16.87</v>
      </c>
      <c r="M2218" s="19">
        <v>11.99</v>
      </c>
      <c r="N2218" s="13">
        <v>0</v>
      </c>
      <c r="O2218" s="17">
        <f t="shared" si="139"/>
        <v>16.87</v>
      </c>
      <c r="P2218" s="17">
        <f t="shared" si="136"/>
        <v>11.99</v>
      </c>
      <c r="Q2218" s="17">
        <f t="shared" si="137"/>
        <v>4.8800000000000008</v>
      </c>
      <c r="R2218" s="24">
        <f t="shared" si="138"/>
        <v>0.28927089508002374</v>
      </c>
      <c r="S2218" t="s">
        <v>96</v>
      </c>
      <c r="T2218" t="s">
        <v>64</v>
      </c>
    </row>
    <row r="2219" spans="1:20" hidden="1">
      <c r="A2219" t="s">
        <v>2285</v>
      </c>
      <c r="B2219" s="5">
        <v>45648</v>
      </c>
      <c r="C2219" s="8">
        <f>YEAR(Tabla2[[#This Row],[fecha]])</f>
        <v>2024</v>
      </c>
      <c r="D2219" s="8">
        <f>MONTH(Tabla2[[#This Row],[fecha]])</f>
        <v>12</v>
      </c>
      <c r="E2219" s="8" t="str">
        <f>TEXT(Tabla2[[#This Row],[fecha]], "mmmm")</f>
        <v>diciembre</v>
      </c>
      <c r="F2219" s="8" t="str">
        <f>"T"&amp;ROUNDUP(Tabla2[[#This Row],[mes]]/3,0)</f>
        <v>T4</v>
      </c>
      <c r="G2219" t="s">
        <v>40</v>
      </c>
      <c r="H2219" t="s">
        <v>41</v>
      </c>
      <c r="I2219" s="8" t="str">
        <f>IF(Tabla2[[#This Row],[precio_unitario]]&lt;=30,"Económico",IF(Tabla2[[#This Row],[precio_unitario]]&lt;=58.49,"Accesible","Caro"))</f>
        <v>Caro</v>
      </c>
      <c r="J2219" t="s">
        <v>35</v>
      </c>
      <c r="K2219">
        <v>7</v>
      </c>
      <c r="L2219" s="19">
        <v>80.099999999999994</v>
      </c>
      <c r="M2219" s="19">
        <v>42.09</v>
      </c>
      <c r="N2219" s="11">
        <v>0</v>
      </c>
      <c r="O2219" s="17">
        <f t="shared" si="139"/>
        <v>560.69999999999993</v>
      </c>
      <c r="P2219" s="17">
        <f t="shared" si="136"/>
        <v>294.63</v>
      </c>
      <c r="Q2219" s="17">
        <f t="shared" si="137"/>
        <v>266.06999999999994</v>
      </c>
      <c r="R2219" s="24">
        <f t="shared" si="138"/>
        <v>0.47453183520599246</v>
      </c>
      <c r="S2219" t="s">
        <v>67</v>
      </c>
      <c r="T2219" t="s">
        <v>60</v>
      </c>
    </row>
    <row r="2220" spans="1:20" hidden="1">
      <c r="A2220" t="s">
        <v>2286</v>
      </c>
      <c r="B2220" s="5">
        <v>45357</v>
      </c>
      <c r="C2220" s="8">
        <f>YEAR(Tabla2[[#This Row],[fecha]])</f>
        <v>2024</v>
      </c>
      <c r="D2220" s="8">
        <f>MONTH(Tabla2[[#This Row],[fecha]])</f>
        <v>3</v>
      </c>
      <c r="E2220" s="8" t="str">
        <f>TEXT(Tabla2[[#This Row],[fecha]], "mmmm")</f>
        <v>marzo</v>
      </c>
      <c r="F2220" s="8" t="str">
        <f>"T"&amp;ROUNDUP(Tabla2[[#This Row],[mes]]/3,0)</f>
        <v>T1</v>
      </c>
      <c r="G2220" t="s">
        <v>20</v>
      </c>
      <c r="H2220" t="s">
        <v>21</v>
      </c>
      <c r="I2220" s="8" t="str">
        <f>IF(Tabla2[[#This Row],[precio_unitario]]&lt;=30,"Económico",IF(Tabla2[[#This Row],[precio_unitario]]&lt;=58.49,"Accesible","Caro"))</f>
        <v>Económico</v>
      </c>
      <c r="J2220" t="s">
        <v>17</v>
      </c>
      <c r="K2220">
        <v>2</v>
      </c>
      <c r="L2220" s="19">
        <v>20.91</v>
      </c>
      <c r="M2220" s="19">
        <v>12.76</v>
      </c>
      <c r="N2220" s="11">
        <v>0</v>
      </c>
      <c r="O2220" s="17">
        <f t="shared" si="139"/>
        <v>41.82</v>
      </c>
      <c r="P2220" s="17">
        <f t="shared" si="136"/>
        <v>25.52</v>
      </c>
      <c r="Q2220" s="17">
        <f t="shared" si="137"/>
        <v>16.3</v>
      </c>
      <c r="R2220" s="24">
        <f t="shared" si="138"/>
        <v>0.38976566236250598</v>
      </c>
      <c r="S2220" t="s">
        <v>540</v>
      </c>
      <c r="T2220" t="s">
        <v>60</v>
      </c>
    </row>
    <row r="2221" spans="1:20" hidden="1">
      <c r="A2221" t="s">
        <v>2287</v>
      </c>
      <c r="B2221" s="5">
        <v>45372</v>
      </c>
      <c r="C2221" s="8">
        <f>YEAR(Tabla2[[#This Row],[fecha]])</f>
        <v>2024</v>
      </c>
      <c r="D2221" s="8">
        <f>MONTH(Tabla2[[#This Row],[fecha]])</f>
        <v>3</v>
      </c>
      <c r="E2221" s="8" t="str">
        <f>TEXT(Tabla2[[#This Row],[fecha]], "mmmm")</f>
        <v>marzo</v>
      </c>
      <c r="F2221" s="8" t="str">
        <f>"T"&amp;ROUNDUP(Tabla2[[#This Row],[mes]]/3,0)</f>
        <v>T1</v>
      </c>
      <c r="G2221" t="s">
        <v>22</v>
      </c>
      <c r="H2221" t="s">
        <v>23</v>
      </c>
      <c r="I2221" s="8" t="str">
        <f>IF(Tabla2[[#This Row],[precio_unitario]]&lt;=30,"Económico",IF(Tabla2[[#This Row],[precio_unitario]]&lt;=58.49,"Accesible","Caro"))</f>
        <v>Caro</v>
      </c>
      <c r="J2221" t="s">
        <v>17</v>
      </c>
      <c r="K2221">
        <v>2</v>
      </c>
      <c r="L2221" s="19">
        <v>101.75</v>
      </c>
      <c r="M2221" s="19">
        <v>55.28</v>
      </c>
      <c r="N2221" s="11">
        <v>0</v>
      </c>
      <c r="O2221" s="17">
        <f t="shared" si="139"/>
        <v>203.5</v>
      </c>
      <c r="P2221" s="17">
        <f t="shared" si="136"/>
        <v>110.56</v>
      </c>
      <c r="Q2221" s="17">
        <f t="shared" si="137"/>
        <v>92.94</v>
      </c>
      <c r="R2221" s="24">
        <f t="shared" si="138"/>
        <v>0.45670761670761667</v>
      </c>
      <c r="S2221" t="s">
        <v>540</v>
      </c>
      <c r="T2221" t="s">
        <v>64</v>
      </c>
    </row>
    <row r="2222" spans="1:20">
      <c r="A2222" t="s">
        <v>2288</v>
      </c>
      <c r="B2222" s="5">
        <v>45765</v>
      </c>
      <c r="C2222" s="8">
        <f>YEAR(Tabla2[[#This Row],[fecha]])</f>
        <v>2025</v>
      </c>
      <c r="D2222" s="8">
        <f>MONTH(Tabla2[[#This Row],[fecha]])</f>
        <v>4</v>
      </c>
      <c r="E2222" s="8" t="str">
        <f>TEXT(Tabla2[[#This Row],[fecha]], "mmmm")</f>
        <v>abril</v>
      </c>
      <c r="F2222" s="8" t="str">
        <f>"T"&amp;ROUNDUP(Tabla2[[#This Row],[mes]]/3,0)</f>
        <v>T2</v>
      </c>
      <c r="G2222" t="s">
        <v>31</v>
      </c>
      <c r="H2222" t="s">
        <v>32</v>
      </c>
      <c r="I2222" s="8" t="str">
        <f>IF(Tabla2[[#This Row],[precio_unitario]]&lt;=30,"Económico",IF(Tabla2[[#This Row],[precio_unitario]]&lt;=58.49,"Accesible","Caro"))</f>
        <v>Económico</v>
      </c>
      <c r="J2222" t="s">
        <v>26</v>
      </c>
      <c r="K2222">
        <v>5</v>
      </c>
      <c r="L2222" s="19">
        <v>8.65</v>
      </c>
      <c r="M2222" s="19">
        <v>5.67</v>
      </c>
      <c r="N2222" s="11">
        <v>0</v>
      </c>
      <c r="O2222" s="17">
        <f t="shared" si="139"/>
        <v>43.25</v>
      </c>
      <c r="P2222" s="17">
        <f t="shared" si="136"/>
        <v>28.35</v>
      </c>
      <c r="Q2222" s="17">
        <f t="shared" si="137"/>
        <v>14.899999999999999</v>
      </c>
      <c r="R2222" s="24">
        <f t="shared" si="138"/>
        <v>0.34450867052023121</v>
      </c>
      <c r="S2222" t="s">
        <v>67</v>
      </c>
      <c r="T2222" t="s">
        <v>60</v>
      </c>
    </row>
    <row r="2223" spans="1:20" hidden="1">
      <c r="A2223" t="s">
        <v>2289</v>
      </c>
      <c r="B2223" s="5">
        <v>45965</v>
      </c>
      <c r="C2223" s="8">
        <f>YEAR(Tabla2[[#This Row],[fecha]])</f>
        <v>2025</v>
      </c>
      <c r="D2223" s="8">
        <f>MONTH(Tabla2[[#This Row],[fecha]])</f>
        <v>11</v>
      </c>
      <c r="E2223" s="8" t="str">
        <f>TEXT(Tabla2[[#This Row],[fecha]], "mmmm")</f>
        <v>noviembre</v>
      </c>
      <c r="F2223" s="8" t="str">
        <f>"T"&amp;ROUNDUP(Tabla2[[#This Row],[mes]]/3,0)</f>
        <v>T4</v>
      </c>
      <c r="G2223" t="s">
        <v>40</v>
      </c>
      <c r="H2223" t="s">
        <v>41</v>
      </c>
      <c r="I2223" s="8" t="str">
        <f>IF(Tabla2[[#This Row],[precio_unitario]]&lt;=30,"Económico",IF(Tabla2[[#This Row],[precio_unitario]]&lt;=58.49,"Accesible","Caro"))</f>
        <v>Caro</v>
      </c>
      <c r="J2223" t="s">
        <v>35</v>
      </c>
      <c r="K2223">
        <v>1</v>
      </c>
      <c r="L2223" s="19">
        <v>77.81</v>
      </c>
      <c r="M2223" s="19">
        <v>40.83</v>
      </c>
      <c r="N2223" s="13">
        <v>0</v>
      </c>
      <c r="O2223" s="17">
        <f t="shared" si="139"/>
        <v>77.81</v>
      </c>
      <c r="P2223" s="17">
        <f t="shared" si="136"/>
        <v>40.83</v>
      </c>
      <c r="Q2223" s="17">
        <f t="shared" si="137"/>
        <v>36.980000000000004</v>
      </c>
      <c r="R2223" s="24">
        <f t="shared" si="138"/>
        <v>0.47526024932527955</v>
      </c>
      <c r="S2223" t="s">
        <v>540</v>
      </c>
      <c r="T2223" t="s">
        <v>64</v>
      </c>
    </row>
    <row r="2224" spans="1:20" hidden="1">
      <c r="A2224" t="s">
        <v>2290</v>
      </c>
      <c r="B2224" s="5">
        <v>45389</v>
      </c>
      <c r="C2224" s="8">
        <f>YEAR(Tabla2[[#This Row],[fecha]])</f>
        <v>2024</v>
      </c>
      <c r="D2224" s="8">
        <f>MONTH(Tabla2[[#This Row],[fecha]])</f>
        <v>4</v>
      </c>
      <c r="E2224" s="8" t="str">
        <f>TEXT(Tabla2[[#This Row],[fecha]], "mmmm")</f>
        <v>abril</v>
      </c>
      <c r="F2224" s="8" t="str">
        <f>"T"&amp;ROUNDUP(Tabla2[[#This Row],[mes]]/3,0)</f>
        <v>T2</v>
      </c>
      <c r="G2224" t="s">
        <v>13</v>
      </c>
      <c r="H2224" t="s">
        <v>14</v>
      </c>
      <c r="I2224" s="8" t="str">
        <f>IF(Tabla2[[#This Row],[precio_unitario]]&lt;=30,"Económico",IF(Tabla2[[#This Row],[precio_unitario]]&lt;=58.49,"Accesible","Caro"))</f>
        <v>Caro</v>
      </c>
      <c r="J2224" t="s">
        <v>8</v>
      </c>
      <c r="K2224">
        <v>3</v>
      </c>
      <c r="L2224" s="19">
        <v>159.13999999999999</v>
      </c>
      <c r="M2224" s="19">
        <v>112.95</v>
      </c>
      <c r="N2224" s="11">
        <v>0.12</v>
      </c>
      <c r="O2224" s="17">
        <f t="shared" si="139"/>
        <v>420.12959999999998</v>
      </c>
      <c r="P2224" s="17">
        <f t="shared" si="136"/>
        <v>338.85</v>
      </c>
      <c r="Q2224" s="17">
        <f t="shared" si="137"/>
        <v>81.279599999999959</v>
      </c>
      <c r="R2224" s="24">
        <f t="shared" si="138"/>
        <v>0.19346315993921867</v>
      </c>
      <c r="S2224" t="s">
        <v>67</v>
      </c>
      <c r="T2224" t="s">
        <v>64</v>
      </c>
    </row>
    <row r="2225" spans="1:20" hidden="1">
      <c r="A2225" t="s">
        <v>2291</v>
      </c>
      <c r="B2225" s="5">
        <v>45518</v>
      </c>
      <c r="C2225" s="8">
        <f>YEAR(Tabla2[[#This Row],[fecha]])</f>
        <v>2024</v>
      </c>
      <c r="D2225" s="8">
        <f>MONTH(Tabla2[[#This Row],[fecha]])</f>
        <v>8</v>
      </c>
      <c r="E2225" s="8" t="str">
        <f>TEXT(Tabla2[[#This Row],[fecha]], "mmmm")</f>
        <v>agosto</v>
      </c>
      <c r="F2225" s="8" t="str">
        <f>"T"&amp;ROUNDUP(Tabla2[[#This Row],[mes]]/3,0)</f>
        <v>T3</v>
      </c>
      <c r="G2225" t="s">
        <v>27</v>
      </c>
      <c r="H2225" t="s">
        <v>28</v>
      </c>
      <c r="I2225" s="8" t="str">
        <f>IF(Tabla2[[#This Row],[precio_unitario]]&lt;=30,"Económico",IF(Tabla2[[#This Row],[precio_unitario]]&lt;=58.49,"Accesible","Caro"))</f>
        <v>Económico</v>
      </c>
      <c r="J2225" t="s">
        <v>26</v>
      </c>
      <c r="K2225">
        <v>1</v>
      </c>
      <c r="L2225" s="19">
        <v>16.63</v>
      </c>
      <c r="M2225" s="19">
        <v>11.32</v>
      </c>
      <c r="N2225" s="13">
        <v>0</v>
      </c>
      <c r="O2225" s="17">
        <f t="shared" si="139"/>
        <v>16.63</v>
      </c>
      <c r="P2225" s="17">
        <f t="shared" si="136"/>
        <v>11.32</v>
      </c>
      <c r="Q2225" s="17">
        <f t="shared" si="137"/>
        <v>5.3099999999999987</v>
      </c>
      <c r="R2225" s="24">
        <f t="shared" si="138"/>
        <v>0.31930246542393259</v>
      </c>
      <c r="S2225" t="s">
        <v>67</v>
      </c>
      <c r="T2225" t="s">
        <v>60</v>
      </c>
    </row>
    <row r="2226" spans="1:20" hidden="1">
      <c r="A2226" t="s">
        <v>2292</v>
      </c>
      <c r="B2226" s="5">
        <v>45623</v>
      </c>
      <c r="C2226" s="8">
        <f>YEAR(Tabla2[[#This Row],[fecha]])</f>
        <v>2024</v>
      </c>
      <c r="D2226" s="8">
        <f>MONTH(Tabla2[[#This Row],[fecha]])</f>
        <v>11</v>
      </c>
      <c r="E2226" s="8" t="str">
        <f>TEXT(Tabla2[[#This Row],[fecha]], "mmmm")</f>
        <v>noviembre</v>
      </c>
      <c r="F2226" s="8" t="str">
        <f>"T"&amp;ROUNDUP(Tabla2[[#This Row],[mes]]/3,0)</f>
        <v>T4</v>
      </c>
      <c r="G2226" t="s">
        <v>6</v>
      </c>
      <c r="H2226" t="s">
        <v>7</v>
      </c>
      <c r="I2226" s="8" t="str">
        <f>IF(Tabla2[[#This Row],[precio_unitario]]&lt;=30,"Económico",IF(Tabla2[[#This Row],[precio_unitario]]&lt;=58.49,"Accesible","Caro"))</f>
        <v>Caro</v>
      </c>
      <c r="J2226" t="s">
        <v>8</v>
      </c>
      <c r="K2226">
        <v>1</v>
      </c>
      <c r="L2226" s="19">
        <v>120.73</v>
      </c>
      <c r="M2226" s="19">
        <v>84.07</v>
      </c>
      <c r="N2226" s="11">
        <v>0</v>
      </c>
      <c r="O2226" s="17">
        <f t="shared" si="139"/>
        <v>120.73</v>
      </c>
      <c r="P2226" s="17">
        <f t="shared" si="136"/>
        <v>84.07</v>
      </c>
      <c r="Q2226" s="17">
        <f t="shared" si="137"/>
        <v>36.660000000000011</v>
      </c>
      <c r="R2226" s="24">
        <f t="shared" si="138"/>
        <v>0.30365277892818693</v>
      </c>
      <c r="S2226" t="s">
        <v>67</v>
      </c>
      <c r="T2226" t="s">
        <v>64</v>
      </c>
    </row>
    <row r="2227" spans="1:20" hidden="1">
      <c r="A2227" t="s">
        <v>2293</v>
      </c>
      <c r="B2227" s="5">
        <v>45798</v>
      </c>
      <c r="C2227" s="8">
        <f>YEAR(Tabla2[[#This Row],[fecha]])</f>
        <v>2025</v>
      </c>
      <c r="D2227" s="8">
        <f>MONTH(Tabla2[[#This Row],[fecha]])</f>
        <v>5</v>
      </c>
      <c r="E2227" s="8" t="str">
        <f>TEXT(Tabla2[[#This Row],[fecha]], "mmmm")</f>
        <v>mayo</v>
      </c>
      <c r="F2227" s="8" t="str">
        <f>"T"&amp;ROUNDUP(Tabla2[[#This Row],[mes]]/3,0)</f>
        <v>T2</v>
      </c>
      <c r="G2227" t="s">
        <v>33</v>
      </c>
      <c r="H2227" t="s">
        <v>34</v>
      </c>
      <c r="I2227" s="8" t="str">
        <f>IF(Tabla2[[#This Row],[precio_unitario]]&lt;=30,"Económico",IF(Tabla2[[#This Row],[precio_unitario]]&lt;=58.49,"Accesible","Caro"))</f>
        <v>Caro</v>
      </c>
      <c r="J2227" t="s">
        <v>35</v>
      </c>
      <c r="K2227">
        <v>5</v>
      </c>
      <c r="L2227" s="19">
        <v>81.239999999999995</v>
      </c>
      <c r="M2227" s="19">
        <v>49.46</v>
      </c>
      <c r="N2227" s="11">
        <v>0</v>
      </c>
      <c r="O2227" s="17">
        <f t="shared" si="139"/>
        <v>406.2</v>
      </c>
      <c r="P2227" s="17">
        <f t="shared" si="136"/>
        <v>247.3</v>
      </c>
      <c r="Q2227" s="17">
        <f t="shared" si="137"/>
        <v>158.89999999999998</v>
      </c>
      <c r="R2227" s="24">
        <f t="shared" si="138"/>
        <v>0.39118660758247165</v>
      </c>
      <c r="S2227" t="s">
        <v>540</v>
      </c>
      <c r="T2227" t="s">
        <v>60</v>
      </c>
    </row>
    <row r="2228" spans="1:20" hidden="1">
      <c r="A2228" t="s">
        <v>2294</v>
      </c>
      <c r="B2228" s="5">
        <v>45667</v>
      </c>
      <c r="C2228" s="8">
        <f>YEAR(Tabla2[[#This Row],[fecha]])</f>
        <v>2025</v>
      </c>
      <c r="D2228" s="8">
        <f>MONTH(Tabla2[[#This Row],[fecha]])</f>
        <v>1</v>
      </c>
      <c r="E2228" s="8" t="str">
        <f>TEXT(Tabla2[[#This Row],[fecha]], "mmmm")</f>
        <v>enero</v>
      </c>
      <c r="F2228" s="8" t="str">
        <f>"T"&amp;ROUNDUP(Tabla2[[#This Row],[mes]]/3,0)</f>
        <v>T1</v>
      </c>
      <c r="G2228" t="s">
        <v>38</v>
      </c>
      <c r="H2228" t="s">
        <v>39</v>
      </c>
      <c r="I2228" s="8" t="str">
        <f>IF(Tabla2[[#This Row],[precio_unitario]]&lt;=30,"Económico",IF(Tabla2[[#This Row],[precio_unitario]]&lt;=58.49,"Accesible","Caro"))</f>
        <v>Caro</v>
      </c>
      <c r="J2228" t="s">
        <v>35</v>
      </c>
      <c r="K2228">
        <v>2</v>
      </c>
      <c r="L2228" s="19">
        <v>76.72</v>
      </c>
      <c r="M2228" s="19">
        <v>42.58</v>
      </c>
      <c r="N2228" s="11">
        <v>0</v>
      </c>
      <c r="O2228" s="17">
        <f t="shared" si="139"/>
        <v>153.44</v>
      </c>
      <c r="P2228" s="17">
        <f t="shared" si="136"/>
        <v>85.16</v>
      </c>
      <c r="Q2228" s="17">
        <f t="shared" si="137"/>
        <v>68.28</v>
      </c>
      <c r="R2228" s="24">
        <f t="shared" si="138"/>
        <v>0.44499478623566219</v>
      </c>
      <c r="S2228" t="s">
        <v>540</v>
      </c>
      <c r="T2228" t="s">
        <v>64</v>
      </c>
    </row>
    <row r="2229" spans="1:20" hidden="1">
      <c r="A2229" t="s">
        <v>2295</v>
      </c>
      <c r="B2229" s="5">
        <v>45334</v>
      </c>
      <c r="C2229" s="8">
        <f>YEAR(Tabla2[[#This Row],[fecha]])</f>
        <v>2024</v>
      </c>
      <c r="D2229" s="8">
        <f>MONTH(Tabla2[[#This Row],[fecha]])</f>
        <v>2</v>
      </c>
      <c r="E2229" s="8" t="str">
        <f>TEXT(Tabla2[[#This Row],[fecha]], "mmmm")</f>
        <v>febrero</v>
      </c>
      <c r="F2229" s="8" t="str">
        <f>"T"&amp;ROUNDUP(Tabla2[[#This Row],[mes]]/3,0)</f>
        <v>T1</v>
      </c>
      <c r="G2229" t="s">
        <v>22</v>
      </c>
      <c r="H2229" t="s">
        <v>23</v>
      </c>
      <c r="I2229" s="8" t="str">
        <f>IF(Tabla2[[#This Row],[precio_unitario]]&lt;=30,"Económico",IF(Tabla2[[#This Row],[precio_unitario]]&lt;=58.49,"Accesible","Caro"))</f>
        <v>Caro</v>
      </c>
      <c r="J2229" t="s">
        <v>17</v>
      </c>
      <c r="K2229">
        <v>1</v>
      </c>
      <c r="L2229" s="19">
        <v>110.74</v>
      </c>
      <c r="M2229" s="19">
        <v>60.22</v>
      </c>
      <c r="N2229" s="13">
        <v>0</v>
      </c>
      <c r="O2229" s="17">
        <f t="shared" si="139"/>
        <v>110.74</v>
      </c>
      <c r="P2229" s="17">
        <f t="shared" si="136"/>
        <v>60.22</v>
      </c>
      <c r="Q2229" s="17">
        <f t="shared" si="137"/>
        <v>50.519999999999996</v>
      </c>
      <c r="R2229" s="24">
        <f t="shared" si="138"/>
        <v>0.45620372042622359</v>
      </c>
      <c r="S2229" t="s">
        <v>67</v>
      </c>
      <c r="T2229" t="s">
        <v>64</v>
      </c>
    </row>
    <row r="2230" spans="1:20" hidden="1">
      <c r="A2230" t="s">
        <v>2296</v>
      </c>
      <c r="B2230" s="5">
        <v>45677</v>
      </c>
      <c r="C2230" s="8">
        <f>YEAR(Tabla2[[#This Row],[fecha]])</f>
        <v>2025</v>
      </c>
      <c r="D2230" s="8">
        <f>MONTH(Tabla2[[#This Row],[fecha]])</f>
        <v>1</v>
      </c>
      <c r="E2230" s="8" t="str">
        <f>TEXT(Tabla2[[#This Row],[fecha]], "mmmm")</f>
        <v>enero</v>
      </c>
      <c r="F2230" s="8" t="str">
        <f>"T"&amp;ROUNDUP(Tabla2[[#This Row],[mes]]/3,0)</f>
        <v>T1</v>
      </c>
      <c r="G2230" t="s">
        <v>47</v>
      </c>
      <c r="H2230" t="s">
        <v>48</v>
      </c>
      <c r="I2230" s="8" t="str">
        <f>IF(Tabla2[[#This Row],[precio_unitario]]&lt;=30,"Económico",IF(Tabla2[[#This Row],[precio_unitario]]&lt;=58.49,"Accesible","Caro"))</f>
        <v>Accesible</v>
      </c>
      <c r="J2230" t="s">
        <v>44</v>
      </c>
      <c r="K2230">
        <v>1</v>
      </c>
      <c r="L2230" s="19">
        <v>56.09</v>
      </c>
      <c r="M2230" s="19">
        <v>32.450000000000003</v>
      </c>
      <c r="N2230" s="11">
        <v>0</v>
      </c>
      <c r="O2230" s="17">
        <f t="shared" si="139"/>
        <v>56.09</v>
      </c>
      <c r="P2230" s="17">
        <f t="shared" si="136"/>
        <v>32.450000000000003</v>
      </c>
      <c r="Q2230" s="17">
        <f t="shared" si="137"/>
        <v>23.64</v>
      </c>
      <c r="R2230" s="24">
        <f t="shared" si="138"/>
        <v>0.42146550187199144</v>
      </c>
      <c r="S2230" t="s">
        <v>96</v>
      </c>
      <c r="T2230" t="s">
        <v>60</v>
      </c>
    </row>
    <row r="2231" spans="1:20" hidden="1">
      <c r="A2231" t="s">
        <v>2297</v>
      </c>
      <c r="B2231" s="5">
        <v>45437</v>
      </c>
      <c r="C2231" s="8">
        <f>YEAR(Tabla2[[#This Row],[fecha]])</f>
        <v>2024</v>
      </c>
      <c r="D2231" s="8">
        <f>MONTH(Tabla2[[#This Row],[fecha]])</f>
        <v>5</v>
      </c>
      <c r="E2231" s="8" t="str">
        <f>TEXT(Tabla2[[#This Row],[fecha]], "mmmm")</f>
        <v>mayo</v>
      </c>
      <c r="F2231" s="8" t="str">
        <f>"T"&amp;ROUNDUP(Tabla2[[#This Row],[mes]]/3,0)</f>
        <v>T2</v>
      </c>
      <c r="G2231" t="s">
        <v>6</v>
      </c>
      <c r="H2231" t="s">
        <v>7</v>
      </c>
      <c r="I2231" s="8" t="str">
        <f>IF(Tabla2[[#This Row],[precio_unitario]]&lt;=30,"Económico",IF(Tabla2[[#This Row],[precio_unitario]]&lt;=58.49,"Accesible","Caro"))</f>
        <v>Caro</v>
      </c>
      <c r="J2231" t="s">
        <v>8</v>
      </c>
      <c r="K2231">
        <v>1</v>
      </c>
      <c r="L2231" s="19">
        <v>115.7</v>
      </c>
      <c r="M2231" s="19">
        <v>80.3</v>
      </c>
      <c r="N2231" s="11">
        <v>0</v>
      </c>
      <c r="O2231" s="17">
        <f t="shared" si="139"/>
        <v>115.7</v>
      </c>
      <c r="P2231" s="17">
        <f t="shared" si="136"/>
        <v>80.3</v>
      </c>
      <c r="Q2231" s="17">
        <f t="shared" si="137"/>
        <v>35.400000000000006</v>
      </c>
      <c r="R2231" s="24">
        <f t="shared" si="138"/>
        <v>0.30596369922212624</v>
      </c>
      <c r="S2231" t="s">
        <v>67</v>
      </c>
      <c r="T2231" t="s">
        <v>60</v>
      </c>
    </row>
    <row r="2232" spans="1:20" hidden="1">
      <c r="A2232" t="s">
        <v>2298</v>
      </c>
      <c r="B2232" s="5">
        <v>45424</v>
      </c>
      <c r="C2232" s="8">
        <f>YEAR(Tabla2[[#This Row],[fecha]])</f>
        <v>2024</v>
      </c>
      <c r="D2232" s="8">
        <f>MONTH(Tabla2[[#This Row],[fecha]])</f>
        <v>5</v>
      </c>
      <c r="E2232" s="8" t="str">
        <f>TEXT(Tabla2[[#This Row],[fecha]], "mmmm")</f>
        <v>mayo</v>
      </c>
      <c r="F2232" s="8" t="str">
        <f>"T"&amp;ROUNDUP(Tabla2[[#This Row],[mes]]/3,0)</f>
        <v>T2</v>
      </c>
      <c r="G2232" t="s">
        <v>20</v>
      </c>
      <c r="H2232" t="s">
        <v>21</v>
      </c>
      <c r="I2232" s="8" t="str">
        <f>IF(Tabla2[[#This Row],[precio_unitario]]&lt;=30,"Económico",IF(Tabla2[[#This Row],[precio_unitario]]&lt;=58.49,"Accesible","Caro"))</f>
        <v>Económico</v>
      </c>
      <c r="J2232" t="s">
        <v>17</v>
      </c>
      <c r="K2232">
        <v>3</v>
      </c>
      <c r="L2232" s="19">
        <v>18.350000000000001</v>
      </c>
      <c r="M2232" s="19">
        <v>12.55</v>
      </c>
      <c r="N2232" s="13">
        <v>0</v>
      </c>
      <c r="O2232" s="17">
        <f t="shared" si="139"/>
        <v>55.050000000000004</v>
      </c>
      <c r="P2232" s="17">
        <f t="shared" si="136"/>
        <v>37.650000000000006</v>
      </c>
      <c r="Q2232" s="17">
        <f t="shared" si="137"/>
        <v>17.399999999999999</v>
      </c>
      <c r="R2232" s="24">
        <f t="shared" si="138"/>
        <v>0.3160762942779291</v>
      </c>
      <c r="S2232" t="s">
        <v>540</v>
      </c>
      <c r="T2232" t="s">
        <v>64</v>
      </c>
    </row>
    <row r="2233" spans="1:20">
      <c r="A2233" t="s">
        <v>2299</v>
      </c>
      <c r="B2233" s="5">
        <v>45923</v>
      </c>
      <c r="C2233" s="8">
        <f>YEAR(Tabla2[[#This Row],[fecha]])</f>
        <v>2025</v>
      </c>
      <c r="D2233" s="8">
        <f>MONTH(Tabla2[[#This Row],[fecha]])</f>
        <v>9</v>
      </c>
      <c r="E2233" s="8" t="str">
        <f>TEXT(Tabla2[[#This Row],[fecha]], "mmmm")</f>
        <v>septiembre</v>
      </c>
      <c r="F2233" s="8" t="str">
        <f>"T"&amp;ROUNDUP(Tabla2[[#This Row],[mes]]/3,0)</f>
        <v>T3</v>
      </c>
      <c r="G2233" t="s">
        <v>33</v>
      </c>
      <c r="H2233" t="s">
        <v>34</v>
      </c>
      <c r="I2233" s="8" t="str">
        <f>IF(Tabla2[[#This Row],[precio_unitario]]&lt;=30,"Económico",IF(Tabla2[[#This Row],[precio_unitario]]&lt;=58.49,"Accesible","Caro"))</f>
        <v>Caro</v>
      </c>
      <c r="J2233" t="s">
        <v>35</v>
      </c>
      <c r="K2233">
        <v>2</v>
      </c>
      <c r="L2233" s="19">
        <v>74.55</v>
      </c>
      <c r="M2233" s="19">
        <v>46.31</v>
      </c>
      <c r="N2233" s="11">
        <v>0.15</v>
      </c>
      <c r="O2233" s="17">
        <f t="shared" si="139"/>
        <v>126.73499999999999</v>
      </c>
      <c r="P2233" s="17">
        <f t="shared" si="136"/>
        <v>92.62</v>
      </c>
      <c r="Q2233" s="17">
        <f t="shared" si="137"/>
        <v>34.114999999999981</v>
      </c>
      <c r="R2233" s="24">
        <f t="shared" si="138"/>
        <v>0.26918372982996003</v>
      </c>
      <c r="S2233" t="s">
        <v>67</v>
      </c>
      <c r="T2233" t="s">
        <v>64</v>
      </c>
    </row>
    <row r="2234" spans="1:20">
      <c r="A2234" t="s">
        <v>2300</v>
      </c>
      <c r="B2234" s="5">
        <v>45753</v>
      </c>
      <c r="C2234" s="8">
        <f>YEAR(Tabla2[[#This Row],[fecha]])</f>
        <v>2025</v>
      </c>
      <c r="D2234" s="8">
        <f>MONTH(Tabla2[[#This Row],[fecha]])</f>
        <v>4</v>
      </c>
      <c r="E2234" s="8" t="str">
        <f>TEXT(Tabla2[[#This Row],[fecha]], "mmmm")</f>
        <v>abril</v>
      </c>
      <c r="F2234" s="8" t="str">
        <f>"T"&amp;ROUNDUP(Tabla2[[#This Row],[mes]]/3,0)</f>
        <v>T2</v>
      </c>
      <c r="G2234" t="s">
        <v>36</v>
      </c>
      <c r="H2234" t="s">
        <v>37</v>
      </c>
      <c r="I2234" s="8" t="str">
        <f>IF(Tabla2[[#This Row],[precio_unitario]]&lt;=30,"Económico",IF(Tabla2[[#This Row],[precio_unitario]]&lt;=58.49,"Accesible","Caro"))</f>
        <v>Económico</v>
      </c>
      <c r="J2234" t="s">
        <v>35</v>
      </c>
      <c r="K2234">
        <v>4</v>
      </c>
      <c r="L2234" s="19">
        <v>14</v>
      </c>
      <c r="M2234" s="19">
        <v>9.43</v>
      </c>
      <c r="N2234" s="11">
        <v>0</v>
      </c>
      <c r="O2234" s="17">
        <f t="shared" si="139"/>
        <v>56</v>
      </c>
      <c r="P2234" s="17">
        <f t="shared" si="136"/>
        <v>37.72</v>
      </c>
      <c r="Q2234" s="17">
        <f t="shared" si="137"/>
        <v>18.28</v>
      </c>
      <c r="R2234" s="24">
        <f t="shared" si="138"/>
        <v>0.32642857142857146</v>
      </c>
      <c r="S2234" t="s">
        <v>67</v>
      </c>
      <c r="T2234" t="s">
        <v>60</v>
      </c>
    </row>
    <row r="2235" spans="1:20" hidden="1">
      <c r="A2235" t="s">
        <v>2301</v>
      </c>
      <c r="B2235" s="5">
        <v>45423</v>
      </c>
      <c r="C2235" s="8">
        <f>YEAR(Tabla2[[#This Row],[fecha]])</f>
        <v>2024</v>
      </c>
      <c r="D2235" s="8">
        <f>MONTH(Tabla2[[#This Row],[fecha]])</f>
        <v>5</v>
      </c>
      <c r="E2235" s="8" t="str">
        <f>TEXT(Tabla2[[#This Row],[fecha]], "mmmm")</f>
        <v>mayo</v>
      </c>
      <c r="F2235" s="8" t="str">
        <f>"T"&amp;ROUNDUP(Tabla2[[#This Row],[mes]]/3,0)</f>
        <v>T2</v>
      </c>
      <c r="G2235" t="s">
        <v>36</v>
      </c>
      <c r="H2235" t="s">
        <v>37</v>
      </c>
      <c r="I2235" s="8" t="str">
        <f>IF(Tabla2[[#This Row],[precio_unitario]]&lt;=30,"Económico",IF(Tabla2[[#This Row],[precio_unitario]]&lt;=58.49,"Accesible","Caro"))</f>
        <v>Económico</v>
      </c>
      <c r="J2235" t="s">
        <v>35</v>
      </c>
      <c r="K2235">
        <v>14</v>
      </c>
      <c r="L2235" s="19">
        <v>14.47</v>
      </c>
      <c r="M2235" s="19">
        <v>9.61</v>
      </c>
      <c r="N2235" s="11">
        <v>0</v>
      </c>
      <c r="O2235" s="17">
        <f t="shared" si="139"/>
        <v>202.58</v>
      </c>
      <c r="P2235" s="17">
        <f t="shared" si="136"/>
        <v>134.54</v>
      </c>
      <c r="Q2235" s="17">
        <f t="shared" si="137"/>
        <v>68.04000000000002</v>
      </c>
      <c r="R2235" s="24">
        <f t="shared" si="138"/>
        <v>0.33586731167933664</v>
      </c>
      <c r="S2235" t="s">
        <v>83</v>
      </c>
      <c r="T2235" t="s">
        <v>64</v>
      </c>
    </row>
    <row r="2236" spans="1:20" hidden="1">
      <c r="A2236" t="s">
        <v>2302</v>
      </c>
      <c r="B2236" s="5">
        <v>45937</v>
      </c>
      <c r="C2236" s="8">
        <f>YEAR(Tabla2[[#This Row],[fecha]])</f>
        <v>2025</v>
      </c>
      <c r="D2236" s="8">
        <f>MONTH(Tabla2[[#This Row],[fecha]])</f>
        <v>10</v>
      </c>
      <c r="E2236" s="8" t="str">
        <f>TEXT(Tabla2[[#This Row],[fecha]], "mmmm")</f>
        <v>octubre</v>
      </c>
      <c r="F2236" s="8" t="str">
        <f>"T"&amp;ROUNDUP(Tabla2[[#This Row],[mes]]/3,0)</f>
        <v>T4</v>
      </c>
      <c r="G2236" t="s">
        <v>47</v>
      </c>
      <c r="H2236" t="s">
        <v>48</v>
      </c>
      <c r="I2236" s="8" t="str">
        <f>IF(Tabla2[[#This Row],[precio_unitario]]&lt;=30,"Económico",IF(Tabla2[[#This Row],[precio_unitario]]&lt;=58.49,"Accesible","Caro"))</f>
        <v>Accesible</v>
      </c>
      <c r="J2236" t="s">
        <v>44</v>
      </c>
      <c r="K2236">
        <v>2</v>
      </c>
      <c r="L2236" s="19">
        <v>58.19</v>
      </c>
      <c r="M2236" s="19">
        <v>31.53</v>
      </c>
      <c r="N2236" s="11">
        <v>0</v>
      </c>
      <c r="O2236" s="17">
        <f t="shared" si="139"/>
        <v>116.38</v>
      </c>
      <c r="P2236" s="17">
        <f t="shared" si="136"/>
        <v>63.06</v>
      </c>
      <c r="Q2236" s="17">
        <f t="shared" si="137"/>
        <v>53.319999999999993</v>
      </c>
      <c r="R2236" s="24">
        <f t="shared" si="138"/>
        <v>0.4581543220484619</v>
      </c>
      <c r="S2236" t="s">
        <v>96</v>
      </c>
      <c r="T2236" t="s">
        <v>64</v>
      </c>
    </row>
    <row r="2237" spans="1:20" hidden="1">
      <c r="A2237" t="s">
        <v>2303</v>
      </c>
      <c r="B2237" s="5">
        <v>45881</v>
      </c>
      <c r="C2237" s="8">
        <f>YEAR(Tabla2[[#This Row],[fecha]])</f>
        <v>2025</v>
      </c>
      <c r="D2237" s="8">
        <f>MONTH(Tabla2[[#This Row],[fecha]])</f>
        <v>8</v>
      </c>
      <c r="E2237" s="8" t="str">
        <f>TEXT(Tabla2[[#This Row],[fecha]], "mmmm")</f>
        <v>agosto</v>
      </c>
      <c r="F2237" s="8" t="str">
        <f>"T"&amp;ROUNDUP(Tabla2[[#This Row],[mes]]/3,0)</f>
        <v>T3</v>
      </c>
      <c r="G2237" t="s">
        <v>22</v>
      </c>
      <c r="H2237" t="s">
        <v>23</v>
      </c>
      <c r="I2237" s="8" t="str">
        <f>IF(Tabla2[[#This Row],[precio_unitario]]&lt;=30,"Económico",IF(Tabla2[[#This Row],[precio_unitario]]&lt;=58.49,"Accesible","Caro"))</f>
        <v>Caro</v>
      </c>
      <c r="J2237" t="s">
        <v>17</v>
      </c>
      <c r="K2237">
        <v>2</v>
      </c>
      <c r="L2237" s="19">
        <v>108.29</v>
      </c>
      <c r="M2237" s="19">
        <v>55.61</v>
      </c>
      <c r="N2237" s="11">
        <v>0</v>
      </c>
      <c r="O2237" s="17">
        <f t="shared" si="139"/>
        <v>216.58</v>
      </c>
      <c r="P2237" s="17">
        <f t="shared" si="136"/>
        <v>111.22</v>
      </c>
      <c r="Q2237" s="17">
        <f t="shared" si="137"/>
        <v>105.36000000000001</v>
      </c>
      <c r="R2237" s="24">
        <f t="shared" si="138"/>
        <v>0.48647151168159575</v>
      </c>
      <c r="S2237" t="s">
        <v>96</v>
      </c>
      <c r="T2237" t="s">
        <v>64</v>
      </c>
    </row>
    <row r="2238" spans="1:20" hidden="1">
      <c r="A2238" t="s">
        <v>2304</v>
      </c>
      <c r="B2238" s="5">
        <v>45713</v>
      </c>
      <c r="C2238" s="8">
        <f>YEAR(Tabla2[[#This Row],[fecha]])</f>
        <v>2025</v>
      </c>
      <c r="D2238" s="8">
        <f>MONTH(Tabla2[[#This Row],[fecha]])</f>
        <v>2</v>
      </c>
      <c r="E2238" s="8" t="str">
        <f>TEXT(Tabla2[[#This Row],[fecha]], "mmmm")</f>
        <v>febrero</v>
      </c>
      <c r="F2238" s="8" t="str">
        <f>"T"&amp;ROUNDUP(Tabla2[[#This Row],[mes]]/3,0)</f>
        <v>T1</v>
      </c>
      <c r="G2238" t="s">
        <v>15</v>
      </c>
      <c r="H2238" t="s">
        <v>16</v>
      </c>
      <c r="I2238" s="8" t="str">
        <f>IF(Tabla2[[#This Row],[precio_unitario]]&lt;=30,"Económico",IF(Tabla2[[#This Row],[precio_unitario]]&lt;=58.49,"Accesible","Caro"))</f>
        <v>Accesible</v>
      </c>
      <c r="J2238" t="s">
        <v>17</v>
      </c>
      <c r="K2238">
        <v>1</v>
      </c>
      <c r="L2238" s="19">
        <v>56.23</v>
      </c>
      <c r="M2238" s="19">
        <v>39.619999999999997</v>
      </c>
      <c r="N2238" s="11">
        <v>0</v>
      </c>
      <c r="O2238" s="17">
        <f t="shared" si="139"/>
        <v>56.23</v>
      </c>
      <c r="P2238" s="17">
        <f t="shared" si="136"/>
        <v>39.619999999999997</v>
      </c>
      <c r="Q2238" s="17">
        <f t="shared" si="137"/>
        <v>16.61</v>
      </c>
      <c r="R2238" s="24">
        <f t="shared" si="138"/>
        <v>0.29539391783745333</v>
      </c>
      <c r="S2238" t="s">
        <v>83</v>
      </c>
      <c r="T2238" t="s">
        <v>64</v>
      </c>
    </row>
    <row r="2239" spans="1:20" hidden="1">
      <c r="A2239" t="s">
        <v>2305</v>
      </c>
      <c r="B2239" s="5">
        <v>45359</v>
      </c>
      <c r="C2239" s="8">
        <f>YEAR(Tabla2[[#This Row],[fecha]])</f>
        <v>2024</v>
      </c>
      <c r="D2239" s="8">
        <f>MONTH(Tabla2[[#This Row],[fecha]])</f>
        <v>3</v>
      </c>
      <c r="E2239" s="8" t="str">
        <f>TEXT(Tabla2[[#This Row],[fecha]], "mmmm")</f>
        <v>marzo</v>
      </c>
      <c r="F2239" s="8" t="str">
        <f>"T"&amp;ROUNDUP(Tabla2[[#This Row],[mes]]/3,0)</f>
        <v>T1</v>
      </c>
      <c r="G2239" t="s">
        <v>29</v>
      </c>
      <c r="H2239" t="s">
        <v>30</v>
      </c>
      <c r="I2239" s="8" t="str">
        <f>IF(Tabla2[[#This Row],[precio_unitario]]&lt;=30,"Económico",IF(Tabla2[[#This Row],[precio_unitario]]&lt;=58.49,"Accesible","Caro"))</f>
        <v>Económico</v>
      </c>
      <c r="J2239" t="s">
        <v>26</v>
      </c>
      <c r="K2239">
        <v>4</v>
      </c>
      <c r="L2239" s="19">
        <v>20.39</v>
      </c>
      <c r="M2239" s="19">
        <v>11.36</v>
      </c>
      <c r="N2239" s="11">
        <v>0</v>
      </c>
      <c r="O2239" s="17">
        <f t="shared" si="139"/>
        <v>81.56</v>
      </c>
      <c r="P2239" s="17">
        <f t="shared" si="136"/>
        <v>45.44</v>
      </c>
      <c r="Q2239" s="17">
        <f t="shared" si="137"/>
        <v>36.120000000000005</v>
      </c>
      <c r="R2239" s="24">
        <f t="shared" si="138"/>
        <v>0.44286414909269256</v>
      </c>
      <c r="S2239" t="s">
        <v>101</v>
      </c>
      <c r="T2239" t="s">
        <v>64</v>
      </c>
    </row>
    <row r="2240" spans="1:20" hidden="1">
      <c r="A2240" t="s">
        <v>2306</v>
      </c>
      <c r="B2240" s="5">
        <v>45667</v>
      </c>
      <c r="C2240" s="8">
        <f>YEAR(Tabla2[[#This Row],[fecha]])</f>
        <v>2025</v>
      </c>
      <c r="D2240" s="8">
        <f>MONTH(Tabla2[[#This Row],[fecha]])</f>
        <v>1</v>
      </c>
      <c r="E2240" s="8" t="str">
        <f>TEXT(Tabla2[[#This Row],[fecha]], "mmmm")</f>
        <v>enero</v>
      </c>
      <c r="F2240" s="8" t="str">
        <f>"T"&amp;ROUNDUP(Tabla2[[#This Row],[mes]]/3,0)</f>
        <v>T1</v>
      </c>
      <c r="G2240" t="s">
        <v>40</v>
      </c>
      <c r="H2240" t="s">
        <v>41</v>
      </c>
      <c r="I2240" s="8" t="str">
        <f>IF(Tabla2[[#This Row],[precio_unitario]]&lt;=30,"Económico",IF(Tabla2[[#This Row],[precio_unitario]]&lt;=58.49,"Accesible","Caro"))</f>
        <v>Caro</v>
      </c>
      <c r="J2240" t="s">
        <v>35</v>
      </c>
      <c r="K2240">
        <v>4</v>
      </c>
      <c r="L2240" s="19">
        <v>83.09</v>
      </c>
      <c r="M2240" s="19">
        <v>42.98</v>
      </c>
      <c r="N2240" s="11">
        <v>0</v>
      </c>
      <c r="O2240" s="17">
        <f t="shared" si="139"/>
        <v>332.36</v>
      </c>
      <c r="P2240" s="17">
        <f t="shared" si="136"/>
        <v>171.92</v>
      </c>
      <c r="Q2240" s="17">
        <f t="shared" si="137"/>
        <v>160.44000000000003</v>
      </c>
      <c r="R2240" s="24">
        <f t="shared" si="138"/>
        <v>0.48272957034540864</v>
      </c>
      <c r="S2240" t="s">
        <v>83</v>
      </c>
      <c r="T2240" t="s">
        <v>60</v>
      </c>
    </row>
    <row r="2241" spans="1:20">
      <c r="A2241" t="s">
        <v>2307</v>
      </c>
      <c r="B2241" s="5">
        <v>45800</v>
      </c>
      <c r="C2241" s="8">
        <f>YEAR(Tabla2[[#This Row],[fecha]])</f>
        <v>2025</v>
      </c>
      <c r="D2241" s="8">
        <f>MONTH(Tabla2[[#This Row],[fecha]])</f>
        <v>5</v>
      </c>
      <c r="E2241" s="8" t="str">
        <f>TEXT(Tabla2[[#This Row],[fecha]], "mmmm")</f>
        <v>mayo</v>
      </c>
      <c r="F2241" s="8" t="str">
        <f>"T"&amp;ROUNDUP(Tabla2[[#This Row],[mes]]/3,0)</f>
        <v>T2</v>
      </c>
      <c r="G2241" t="s">
        <v>15</v>
      </c>
      <c r="H2241" t="s">
        <v>16</v>
      </c>
      <c r="I2241" s="8" t="str">
        <f>IF(Tabla2[[#This Row],[precio_unitario]]&lt;=30,"Económico",IF(Tabla2[[#This Row],[precio_unitario]]&lt;=58.49,"Accesible","Caro"))</f>
        <v>Caro</v>
      </c>
      <c r="J2241" t="s">
        <v>17</v>
      </c>
      <c r="K2241">
        <v>2</v>
      </c>
      <c r="L2241" s="19">
        <v>63.79</v>
      </c>
      <c r="M2241" s="19">
        <v>41.06</v>
      </c>
      <c r="N2241" s="11">
        <v>0</v>
      </c>
      <c r="O2241" s="17">
        <f t="shared" si="139"/>
        <v>127.58</v>
      </c>
      <c r="P2241" s="17">
        <f t="shared" si="136"/>
        <v>82.12</v>
      </c>
      <c r="Q2241" s="17">
        <f t="shared" si="137"/>
        <v>45.459999999999994</v>
      </c>
      <c r="R2241" s="24">
        <f t="shared" si="138"/>
        <v>0.35632544285938228</v>
      </c>
      <c r="S2241" t="s">
        <v>67</v>
      </c>
      <c r="T2241" t="s">
        <v>60</v>
      </c>
    </row>
    <row r="2242" spans="1:20" hidden="1">
      <c r="A2242" t="s">
        <v>2308</v>
      </c>
      <c r="B2242" s="5">
        <v>45388</v>
      </c>
      <c r="C2242" s="8">
        <f>YEAR(Tabla2[[#This Row],[fecha]])</f>
        <v>2024</v>
      </c>
      <c r="D2242" s="8">
        <f>MONTH(Tabla2[[#This Row],[fecha]])</f>
        <v>4</v>
      </c>
      <c r="E2242" s="8" t="str">
        <f>TEXT(Tabla2[[#This Row],[fecha]], "mmmm")</f>
        <v>abril</v>
      </c>
      <c r="F2242" s="8" t="str">
        <f>"T"&amp;ROUNDUP(Tabla2[[#This Row],[mes]]/3,0)</f>
        <v>T2</v>
      </c>
      <c r="G2242" t="s">
        <v>47</v>
      </c>
      <c r="H2242" t="s">
        <v>48</v>
      </c>
      <c r="I2242" s="8" t="str">
        <f>IF(Tabla2[[#This Row],[precio_unitario]]&lt;=30,"Económico",IF(Tabla2[[#This Row],[precio_unitario]]&lt;=58.49,"Accesible","Caro"))</f>
        <v>Accesible</v>
      </c>
      <c r="J2242" t="s">
        <v>44</v>
      </c>
      <c r="K2242">
        <v>3</v>
      </c>
      <c r="L2242" s="19">
        <v>58.2</v>
      </c>
      <c r="M2242" s="19">
        <v>32.840000000000003</v>
      </c>
      <c r="N2242" s="11">
        <v>0.2</v>
      </c>
      <c r="O2242" s="17">
        <f t="shared" si="139"/>
        <v>139.68000000000004</v>
      </c>
      <c r="P2242" s="17">
        <f t="shared" ref="P2242:P2309" si="140">M2242*K2242</f>
        <v>98.52000000000001</v>
      </c>
      <c r="Q2242" s="17">
        <f t="shared" ref="Q2242:Q2305" si="141">O2242-P2242</f>
        <v>41.160000000000025</v>
      </c>
      <c r="R2242" s="24">
        <f t="shared" ref="R2242:R2305" si="142">IFERROR(Q2242/O2242,0)</f>
        <v>0.29467353951890046</v>
      </c>
      <c r="S2242" t="s">
        <v>540</v>
      </c>
      <c r="T2242" t="s">
        <v>64</v>
      </c>
    </row>
    <row r="2243" spans="1:20" hidden="1">
      <c r="A2243" t="s">
        <v>2309</v>
      </c>
      <c r="B2243" s="5">
        <v>45941</v>
      </c>
      <c r="C2243" s="8">
        <f>YEAR(Tabla2[[#This Row],[fecha]])</f>
        <v>2025</v>
      </c>
      <c r="D2243" s="8">
        <f>MONTH(Tabla2[[#This Row],[fecha]])</f>
        <v>10</v>
      </c>
      <c r="E2243" s="8" t="str">
        <f>TEXT(Tabla2[[#This Row],[fecha]], "mmmm")</f>
        <v>octubre</v>
      </c>
      <c r="F2243" s="8" t="str">
        <f>"T"&amp;ROUNDUP(Tabla2[[#This Row],[mes]]/3,0)</f>
        <v>T4</v>
      </c>
      <c r="G2243" t="s">
        <v>9</v>
      </c>
      <c r="H2243" t="s">
        <v>10</v>
      </c>
      <c r="I2243" s="8" t="str">
        <f>IF(Tabla2[[#This Row],[precio_unitario]]&lt;=30,"Económico",IF(Tabla2[[#This Row],[precio_unitario]]&lt;=58.49,"Accesible","Caro"))</f>
        <v>Caro</v>
      </c>
      <c r="J2243" t="s">
        <v>8</v>
      </c>
      <c r="K2243">
        <v>1</v>
      </c>
      <c r="L2243" s="19">
        <v>74.38</v>
      </c>
      <c r="M2243" s="19">
        <v>48.62</v>
      </c>
      <c r="N2243" s="11">
        <v>0.18</v>
      </c>
      <c r="O2243" s="17">
        <f t="shared" ref="O2243:O2306" si="143">K2243*L2243*(1-N2243)</f>
        <v>60.991599999999998</v>
      </c>
      <c r="P2243" s="17">
        <f t="shared" si="140"/>
        <v>48.62</v>
      </c>
      <c r="Q2243" s="17">
        <f t="shared" si="141"/>
        <v>12.371600000000001</v>
      </c>
      <c r="R2243" s="24">
        <f t="shared" si="142"/>
        <v>0.20284104696384422</v>
      </c>
      <c r="S2243" t="s">
        <v>101</v>
      </c>
      <c r="T2243" t="s">
        <v>64</v>
      </c>
    </row>
    <row r="2244" spans="1:20" hidden="1">
      <c r="A2244" t="s">
        <v>2310</v>
      </c>
      <c r="B2244" s="5">
        <v>45794</v>
      </c>
      <c r="C2244" s="8">
        <f>YEAR(Tabla2[[#This Row],[fecha]])</f>
        <v>2025</v>
      </c>
      <c r="D2244" s="8">
        <f>MONTH(Tabla2[[#This Row],[fecha]])</f>
        <v>5</v>
      </c>
      <c r="E2244" s="8" t="str">
        <f>TEXT(Tabla2[[#This Row],[fecha]], "mmmm")</f>
        <v>mayo</v>
      </c>
      <c r="F2244" s="8" t="str">
        <f>"T"&amp;ROUNDUP(Tabla2[[#This Row],[mes]]/3,0)</f>
        <v>T2</v>
      </c>
      <c r="G2244" t="s">
        <v>27</v>
      </c>
      <c r="H2244" t="s">
        <v>28</v>
      </c>
      <c r="I2244" s="8" t="str">
        <f>IF(Tabla2[[#This Row],[precio_unitario]]&lt;=30,"Económico",IF(Tabla2[[#This Row],[precio_unitario]]&lt;=58.49,"Accesible","Caro"))</f>
        <v>Económico</v>
      </c>
      <c r="J2244" t="s">
        <v>26</v>
      </c>
      <c r="K2244">
        <v>1</v>
      </c>
      <c r="L2244" s="19">
        <v>16.41</v>
      </c>
      <c r="M2244" s="19">
        <v>11.96</v>
      </c>
      <c r="N2244" s="11">
        <v>0</v>
      </c>
      <c r="O2244" s="17">
        <f t="shared" si="143"/>
        <v>16.41</v>
      </c>
      <c r="P2244" s="17">
        <f t="shared" si="140"/>
        <v>11.96</v>
      </c>
      <c r="Q2244" s="17">
        <f t="shared" si="141"/>
        <v>4.4499999999999993</v>
      </c>
      <c r="R2244" s="24">
        <f t="shared" si="142"/>
        <v>0.27117611212675191</v>
      </c>
      <c r="S2244" t="s">
        <v>63</v>
      </c>
      <c r="T2244" t="s">
        <v>64</v>
      </c>
    </row>
    <row r="2245" spans="1:20" hidden="1">
      <c r="A2245" t="s">
        <v>2311</v>
      </c>
      <c r="B2245" s="5">
        <v>45431</v>
      </c>
      <c r="C2245" s="8">
        <f>YEAR(Tabla2[[#This Row],[fecha]])</f>
        <v>2024</v>
      </c>
      <c r="D2245" s="8">
        <f>MONTH(Tabla2[[#This Row],[fecha]])</f>
        <v>5</v>
      </c>
      <c r="E2245" s="8" t="str">
        <f>TEXT(Tabla2[[#This Row],[fecha]], "mmmm")</f>
        <v>mayo</v>
      </c>
      <c r="F2245" s="8" t="str">
        <f>"T"&amp;ROUNDUP(Tabla2[[#This Row],[mes]]/3,0)</f>
        <v>T2</v>
      </c>
      <c r="G2245" t="s">
        <v>24</v>
      </c>
      <c r="H2245" t="s">
        <v>25</v>
      </c>
      <c r="I2245" s="8" t="str">
        <f>IF(Tabla2[[#This Row],[precio_unitario]]&lt;=30,"Económico",IF(Tabla2[[#This Row],[precio_unitario]]&lt;=58.49,"Accesible","Caro"))</f>
        <v>Económico</v>
      </c>
      <c r="J2245" t="s">
        <v>26</v>
      </c>
      <c r="K2245">
        <v>2</v>
      </c>
      <c r="L2245" s="19">
        <v>7.82</v>
      </c>
      <c r="M2245" s="19">
        <v>4.13</v>
      </c>
      <c r="N2245" s="11">
        <v>0</v>
      </c>
      <c r="O2245" s="17">
        <f t="shared" si="143"/>
        <v>15.64</v>
      </c>
      <c r="P2245" s="17">
        <f t="shared" si="140"/>
        <v>8.26</v>
      </c>
      <c r="Q2245" s="17">
        <f t="shared" si="141"/>
        <v>7.3800000000000008</v>
      </c>
      <c r="R2245" s="24">
        <f t="shared" si="142"/>
        <v>0.47186700767263429</v>
      </c>
      <c r="S2245" t="s">
        <v>67</v>
      </c>
      <c r="T2245" t="s">
        <v>64</v>
      </c>
    </row>
    <row r="2246" spans="1:20" hidden="1">
      <c r="A2246" t="s">
        <v>2312</v>
      </c>
      <c r="B2246" s="5">
        <v>45479</v>
      </c>
      <c r="C2246" s="8">
        <f>YEAR(Tabla2[[#This Row],[fecha]])</f>
        <v>2024</v>
      </c>
      <c r="D2246" s="8">
        <f>MONTH(Tabla2[[#This Row],[fecha]])</f>
        <v>7</v>
      </c>
      <c r="E2246" s="8" t="str">
        <f>TEXT(Tabla2[[#This Row],[fecha]], "mmmm")</f>
        <v>julio</v>
      </c>
      <c r="F2246" s="8" t="str">
        <f>"T"&amp;ROUNDUP(Tabla2[[#This Row],[mes]]/3,0)</f>
        <v>T3</v>
      </c>
      <c r="G2246" t="s">
        <v>45</v>
      </c>
      <c r="H2246" t="s">
        <v>46</v>
      </c>
      <c r="I2246" s="8" t="str">
        <f>IF(Tabla2[[#This Row],[precio_unitario]]&lt;=30,"Económico",IF(Tabla2[[#This Row],[precio_unitario]]&lt;=58.49,"Accesible","Caro"))</f>
        <v>Económico</v>
      </c>
      <c r="J2246" t="s">
        <v>44</v>
      </c>
      <c r="K2246">
        <v>4</v>
      </c>
      <c r="L2246" s="19">
        <v>29.54</v>
      </c>
      <c r="M2246" s="19">
        <v>17.95</v>
      </c>
      <c r="N2246" s="11">
        <v>0</v>
      </c>
      <c r="O2246" s="17">
        <f t="shared" si="143"/>
        <v>118.16</v>
      </c>
      <c r="P2246" s="17">
        <f t="shared" si="140"/>
        <v>71.8</v>
      </c>
      <c r="Q2246" s="17">
        <f t="shared" si="141"/>
        <v>46.36</v>
      </c>
      <c r="R2246" s="24">
        <f t="shared" si="142"/>
        <v>0.39234935680433314</v>
      </c>
      <c r="S2246" t="s">
        <v>101</v>
      </c>
      <c r="T2246" t="s">
        <v>64</v>
      </c>
    </row>
    <row r="2247" spans="1:20" hidden="1">
      <c r="A2247" t="s">
        <v>2313</v>
      </c>
      <c r="B2247" s="5">
        <v>45340</v>
      </c>
      <c r="C2247" s="8">
        <f>YEAR(Tabla2[[#This Row],[fecha]])</f>
        <v>2024</v>
      </c>
      <c r="D2247" s="8">
        <f>MONTH(Tabla2[[#This Row],[fecha]])</f>
        <v>2</v>
      </c>
      <c r="E2247" s="8" t="str">
        <f>TEXT(Tabla2[[#This Row],[fecha]], "mmmm")</f>
        <v>febrero</v>
      </c>
      <c r="F2247" s="8" t="str">
        <f>"T"&amp;ROUNDUP(Tabla2[[#This Row],[mes]]/3,0)</f>
        <v>T1</v>
      </c>
      <c r="G2247" t="s">
        <v>22</v>
      </c>
      <c r="H2247" t="s">
        <v>23</v>
      </c>
      <c r="I2247" s="8" t="str">
        <f>IF(Tabla2[[#This Row],[precio_unitario]]&lt;=30,"Económico",IF(Tabla2[[#This Row],[precio_unitario]]&lt;=58.49,"Accesible","Caro"))</f>
        <v>Caro</v>
      </c>
      <c r="J2247" t="s">
        <v>17</v>
      </c>
      <c r="K2247">
        <v>2</v>
      </c>
      <c r="L2247" s="19">
        <v>97.61</v>
      </c>
      <c r="M2247" s="19">
        <v>55.07</v>
      </c>
      <c r="N2247" s="11">
        <v>0</v>
      </c>
      <c r="O2247" s="17">
        <f t="shared" si="143"/>
        <v>195.22</v>
      </c>
      <c r="P2247" s="17">
        <f t="shared" si="140"/>
        <v>110.14</v>
      </c>
      <c r="Q2247" s="17">
        <f t="shared" si="141"/>
        <v>85.08</v>
      </c>
      <c r="R2247" s="24">
        <f t="shared" si="142"/>
        <v>0.43581600245876445</v>
      </c>
      <c r="S2247" t="s">
        <v>67</v>
      </c>
      <c r="T2247" t="s">
        <v>64</v>
      </c>
    </row>
    <row r="2248" spans="1:20" hidden="1">
      <c r="A2248" t="s">
        <v>2314</v>
      </c>
      <c r="B2248" s="5">
        <v>45770</v>
      </c>
      <c r="C2248" s="8">
        <f>YEAR(Tabla2[[#This Row],[fecha]])</f>
        <v>2025</v>
      </c>
      <c r="D2248" s="8">
        <f>MONTH(Tabla2[[#This Row],[fecha]])</f>
        <v>4</v>
      </c>
      <c r="E2248" s="8" t="str">
        <f>TEXT(Tabla2[[#This Row],[fecha]], "mmmm")</f>
        <v>abril</v>
      </c>
      <c r="F2248" s="8" t="str">
        <f>"T"&amp;ROUNDUP(Tabla2[[#This Row],[mes]]/3,0)</f>
        <v>T2</v>
      </c>
      <c r="G2248" t="s">
        <v>18</v>
      </c>
      <c r="H2248" t="s">
        <v>19</v>
      </c>
      <c r="I2248" s="8" t="str">
        <f>IF(Tabla2[[#This Row],[precio_unitario]]&lt;=30,"Económico",IF(Tabla2[[#This Row],[precio_unitario]]&lt;=58.49,"Accesible","Caro"))</f>
        <v>Accesible</v>
      </c>
      <c r="J2248" t="s">
        <v>17</v>
      </c>
      <c r="K2248">
        <v>3</v>
      </c>
      <c r="L2248" s="19">
        <v>47.41</v>
      </c>
      <c r="M2248" s="19">
        <v>27.06</v>
      </c>
      <c r="N2248" s="11">
        <v>0.16</v>
      </c>
      <c r="O2248" s="17">
        <f t="shared" si="143"/>
        <v>119.47319999999999</v>
      </c>
      <c r="P2248" s="17">
        <f t="shared" si="140"/>
        <v>81.179999999999993</v>
      </c>
      <c r="Q2248" s="17">
        <f t="shared" si="141"/>
        <v>38.293199999999999</v>
      </c>
      <c r="R2248" s="24">
        <f t="shared" si="142"/>
        <v>0.32051706993702356</v>
      </c>
      <c r="S2248" t="s">
        <v>96</v>
      </c>
      <c r="T2248" t="s">
        <v>64</v>
      </c>
    </row>
    <row r="2249" spans="1:20" hidden="1">
      <c r="A2249" t="s">
        <v>2315</v>
      </c>
      <c r="B2249" s="5">
        <v>45815</v>
      </c>
      <c r="C2249" s="8">
        <f>YEAR(Tabla2[[#This Row],[fecha]])</f>
        <v>2025</v>
      </c>
      <c r="D2249" s="8">
        <f>MONTH(Tabla2[[#This Row],[fecha]])</f>
        <v>6</v>
      </c>
      <c r="E2249" s="8" t="str">
        <f>TEXT(Tabla2[[#This Row],[fecha]], "mmmm")</f>
        <v>junio</v>
      </c>
      <c r="F2249" s="8" t="str">
        <f>"T"&amp;ROUNDUP(Tabla2[[#This Row],[mes]]/3,0)</f>
        <v>T2</v>
      </c>
      <c r="G2249" t="s">
        <v>27</v>
      </c>
      <c r="H2249" t="s">
        <v>28</v>
      </c>
      <c r="I2249" s="8" t="str">
        <f>IF(Tabla2[[#This Row],[precio_unitario]]&lt;=30,"Económico",IF(Tabla2[[#This Row],[precio_unitario]]&lt;=58.49,"Accesible","Caro"))</f>
        <v>Económico</v>
      </c>
      <c r="J2249" t="s">
        <v>26</v>
      </c>
      <c r="K2249">
        <v>5</v>
      </c>
      <c r="L2249" s="19">
        <v>17.309999999999999</v>
      </c>
      <c r="M2249" s="19">
        <v>11.49</v>
      </c>
      <c r="N2249" s="11">
        <v>0</v>
      </c>
      <c r="O2249" s="17">
        <f t="shared" si="143"/>
        <v>86.55</v>
      </c>
      <c r="P2249" s="17">
        <f t="shared" si="140"/>
        <v>57.45</v>
      </c>
      <c r="Q2249" s="17">
        <f t="shared" si="141"/>
        <v>29.099999999999994</v>
      </c>
      <c r="R2249" s="24">
        <f t="shared" si="142"/>
        <v>0.33622183708838815</v>
      </c>
      <c r="S2249" t="s">
        <v>83</v>
      </c>
      <c r="T2249" t="s">
        <v>64</v>
      </c>
    </row>
    <row r="2250" spans="1:20" hidden="1">
      <c r="A2250" t="s">
        <v>2316</v>
      </c>
      <c r="B2250" s="5">
        <v>45798</v>
      </c>
      <c r="C2250" s="8">
        <f>YEAR(Tabla2[[#This Row],[fecha]])</f>
        <v>2025</v>
      </c>
      <c r="D2250" s="8">
        <f>MONTH(Tabla2[[#This Row],[fecha]])</f>
        <v>5</v>
      </c>
      <c r="E2250" s="8" t="str">
        <f>TEXT(Tabla2[[#This Row],[fecha]], "mmmm")</f>
        <v>mayo</v>
      </c>
      <c r="F2250" s="8" t="str">
        <f>"T"&amp;ROUNDUP(Tabla2[[#This Row],[mes]]/3,0)</f>
        <v>T2</v>
      </c>
      <c r="G2250" t="s">
        <v>38</v>
      </c>
      <c r="H2250" t="s">
        <v>39</v>
      </c>
      <c r="I2250" s="8" t="str">
        <f>IF(Tabla2[[#This Row],[precio_unitario]]&lt;=30,"Económico",IF(Tabla2[[#This Row],[precio_unitario]]&lt;=58.49,"Accesible","Caro"))</f>
        <v>Caro</v>
      </c>
      <c r="J2250" t="s">
        <v>35</v>
      </c>
      <c r="K2250">
        <v>3</v>
      </c>
      <c r="L2250" s="19">
        <v>78.73</v>
      </c>
      <c r="M2250" s="19">
        <v>42.52</v>
      </c>
      <c r="N2250" s="11">
        <v>0</v>
      </c>
      <c r="O2250" s="17">
        <f t="shared" si="143"/>
        <v>236.19</v>
      </c>
      <c r="P2250" s="17">
        <f t="shared" si="140"/>
        <v>127.56</v>
      </c>
      <c r="Q2250" s="17">
        <f t="shared" si="141"/>
        <v>108.63</v>
      </c>
      <c r="R2250" s="24">
        <f t="shared" si="142"/>
        <v>0.45992633049663406</v>
      </c>
      <c r="S2250" t="s">
        <v>83</v>
      </c>
      <c r="T2250" t="s">
        <v>64</v>
      </c>
    </row>
    <row r="2251" spans="1:20" hidden="1">
      <c r="A2251" t="s">
        <v>2317</v>
      </c>
      <c r="B2251" s="5">
        <v>45512</v>
      </c>
      <c r="C2251" s="8">
        <f>YEAR(Tabla2[[#This Row],[fecha]])</f>
        <v>2024</v>
      </c>
      <c r="D2251" s="8">
        <f>MONTH(Tabla2[[#This Row],[fecha]])</f>
        <v>8</v>
      </c>
      <c r="E2251" s="8" t="str">
        <f>TEXT(Tabla2[[#This Row],[fecha]], "mmmm")</f>
        <v>agosto</v>
      </c>
      <c r="F2251" s="8" t="str">
        <f>"T"&amp;ROUNDUP(Tabla2[[#This Row],[mes]]/3,0)</f>
        <v>T3</v>
      </c>
      <c r="G2251" t="s">
        <v>47</v>
      </c>
      <c r="H2251" t="s">
        <v>48</v>
      </c>
      <c r="I2251" s="8" t="str">
        <f>IF(Tabla2[[#This Row],[precio_unitario]]&lt;=30,"Económico",IF(Tabla2[[#This Row],[precio_unitario]]&lt;=58.49,"Accesible","Caro"))</f>
        <v>Caro</v>
      </c>
      <c r="J2251" t="s">
        <v>44</v>
      </c>
      <c r="K2251">
        <v>6</v>
      </c>
      <c r="L2251" s="19">
        <v>60.78</v>
      </c>
      <c r="M2251" s="19">
        <v>31.24</v>
      </c>
      <c r="N2251" s="11">
        <v>0</v>
      </c>
      <c r="O2251" s="17">
        <f t="shared" si="143"/>
        <v>364.68</v>
      </c>
      <c r="P2251" s="17">
        <f t="shared" si="140"/>
        <v>187.44</v>
      </c>
      <c r="Q2251" s="17">
        <f t="shared" si="141"/>
        <v>177.24</v>
      </c>
      <c r="R2251" s="24">
        <f t="shared" si="142"/>
        <v>0.48601513655807832</v>
      </c>
      <c r="S2251" t="s">
        <v>67</v>
      </c>
      <c r="T2251" t="s">
        <v>60</v>
      </c>
    </row>
    <row r="2252" spans="1:20">
      <c r="A2252" t="s">
        <v>2318</v>
      </c>
      <c r="B2252" s="5">
        <v>45968</v>
      </c>
      <c r="C2252" s="8">
        <f>YEAR(Tabla2[[#This Row],[fecha]])</f>
        <v>2025</v>
      </c>
      <c r="D2252" s="8">
        <f>MONTH(Tabla2[[#This Row],[fecha]])</f>
        <v>11</v>
      </c>
      <c r="E2252" s="8" t="str">
        <f>TEXT(Tabla2[[#This Row],[fecha]], "mmmm")</f>
        <v>noviembre</v>
      </c>
      <c r="F2252" s="8" t="str">
        <f>"T"&amp;ROUNDUP(Tabla2[[#This Row],[mes]]/3,0)</f>
        <v>T4</v>
      </c>
      <c r="G2252" t="s">
        <v>33</v>
      </c>
      <c r="H2252" t="s">
        <v>34</v>
      </c>
      <c r="I2252" s="8" t="str">
        <f>IF(Tabla2[[#This Row],[precio_unitario]]&lt;=30,"Económico",IF(Tabla2[[#This Row],[precio_unitario]]&lt;=58.49,"Accesible","Caro"))</f>
        <v>Caro</v>
      </c>
      <c r="J2252" t="s">
        <v>35</v>
      </c>
      <c r="K2252">
        <v>1</v>
      </c>
      <c r="L2252" s="19">
        <v>80.459999999999994</v>
      </c>
      <c r="M2252" s="19">
        <v>49.28</v>
      </c>
      <c r="N2252" s="11">
        <v>0</v>
      </c>
      <c r="O2252" s="17">
        <f t="shared" si="143"/>
        <v>80.459999999999994</v>
      </c>
      <c r="P2252" s="17">
        <f t="shared" si="140"/>
        <v>49.28</v>
      </c>
      <c r="Q2252" s="17">
        <f t="shared" si="141"/>
        <v>31.179999999999993</v>
      </c>
      <c r="R2252" s="24">
        <f t="shared" si="142"/>
        <v>0.38752174993785726</v>
      </c>
      <c r="S2252" t="s">
        <v>67</v>
      </c>
      <c r="T2252" t="s">
        <v>60</v>
      </c>
    </row>
    <row r="2253" spans="1:20" hidden="1">
      <c r="A2253" t="s">
        <v>2214</v>
      </c>
      <c r="B2253" s="5">
        <v>45881</v>
      </c>
      <c r="C2253" s="8">
        <f>YEAR(Tabla2[[#This Row],[fecha]])</f>
        <v>2025</v>
      </c>
      <c r="D2253" s="8">
        <f>MONTH(Tabla2[[#This Row],[fecha]])</f>
        <v>8</v>
      </c>
      <c r="E2253" s="8" t="str">
        <f>TEXT(Tabla2[[#This Row],[fecha]], "mmmm")</f>
        <v>agosto</v>
      </c>
      <c r="F2253" s="8" t="str">
        <f>"T"&amp;ROUNDUP(Tabla2[[#This Row],[mes]]/3,0)</f>
        <v>T3</v>
      </c>
      <c r="G2253" t="s">
        <v>15</v>
      </c>
      <c r="H2253" t="s">
        <v>16</v>
      </c>
      <c r="I2253" s="8" t="str">
        <f>IF(Tabla2[[#This Row],[precio_unitario]]&lt;=30,"Económico",IF(Tabla2[[#This Row],[precio_unitario]]&lt;=58.49,"Accesible","Caro"))</f>
        <v>Caro</v>
      </c>
      <c r="J2253" t="s">
        <v>17</v>
      </c>
      <c r="K2253">
        <v>1</v>
      </c>
      <c r="L2253" s="19">
        <v>59.23</v>
      </c>
      <c r="M2253" s="19">
        <v>39.799999999999997</v>
      </c>
      <c r="N2253" s="11">
        <v>0</v>
      </c>
      <c r="O2253" s="17">
        <f t="shared" si="143"/>
        <v>59.23</v>
      </c>
      <c r="P2253" s="17">
        <f t="shared" si="140"/>
        <v>39.799999999999997</v>
      </c>
      <c r="Q2253" s="17">
        <f t="shared" si="141"/>
        <v>19.43</v>
      </c>
      <c r="R2253" s="24">
        <f t="shared" si="142"/>
        <v>0.32804322134053693</v>
      </c>
      <c r="S2253" t="s">
        <v>540</v>
      </c>
      <c r="T2253" t="s">
        <v>64</v>
      </c>
    </row>
    <row r="2254" spans="1:20" hidden="1">
      <c r="A2254" t="s">
        <v>2319</v>
      </c>
      <c r="B2254" s="5">
        <v>45976</v>
      </c>
      <c r="C2254" s="8">
        <f>YEAR(Tabla2[[#This Row],[fecha]])</f>
        <v>2025</v>
      </c>
      <c r="D2254" s="8">
        <f>MONTH(Tabla2[[#This Row],[fecha]])</f>
        <v>11</v>
      </c>
      <c r="E2254" s="8" t="str">
        <f>TEXT(Tabla2[[#This Row],[fecha]], "mmmm")</f>
        <v>noviembre</v>
      </c>
      <c r="F2254" s="8" t="str">
        <f>"T"&amp;ROUNDUP(Tabla2[[#This Row],[mes]]/3,0)</f>
        <v>T4</v>
      </c>
      <c r="G2254" t="s">
        <v>49</v>
      </c>
      <c r="H2254" t="s">
        <v>50</v>
      </c>
      <c r="I2254" s="8" t="str">
        <f>IF(Tabla2[[#This Row],[precio_unitario]]&lt;=30,"Económico",IF(Tabla2[[#This Row],[precio_unitario]]&lt;=58.49,"Accesible","Caro"))</f>
        <v>Caro</v>
      </c>
      <c r="J2254" t="s">
        <v>44</v>
      </c>
      <c r="K2254">
        <v>1</v>
      </c>
      <c r="L2254" s="19">
        <v>61.43</v>
      </c>
      <c r="M2254" s="19">
        <v>32.58</v>
      </c>
      <c r="N2254" s="11">
        <v>0</v>
      </c>
      <c r="O2254" s="17">
        <f t="shared" si="143"/>
        <v>61.43</v>
      </c>
      <c r="P2254" s="17">
        <f t="shared" si="140"/>
        <v>32.58</v>
      </c>
      <c r="Q2254" s="17">
        <f t="shared" si="141"/>
        <v>28.85</v>
      </c>
      <c r="R2254" s="24">
        <f t="shared" si="142"/>
        <v>0.46964024092462969</v>
      </c>
      <c r="S2254" t="s">
        <v>96</v>
      </c>
      <c r="T2254" t="s">
        <v>60</v>
      </c>
    </row>
    <row r="2255" spans="1:20" hidden="1">
      <c r="A2255" t="s">
        <v>2320</v>
      </c>
      <c r="B2255" s="5">
        <v>45748</v>
      </c>
      <c r="C2255" s="8">
        <f>YEAR(Tabla2[[#This Row],[fecha]])</f>
        <v>2025</v>
      </c>
      <c r="D2255" s="8">
        <f>MONTH(Tabla2[[#This Row],[fecha]])</f>
        <v>4</v>
      </c>
      <c r="E2255" s="8" t="str">
        <f>TEXT(Tabla2[[#This Row],[fecha]], "mmmm")</f>
        <v>abril</v>
      </c>
      <c r="F2255" s="8" t="str">
        <f>"T"&amp;ROUNDUP(Tabla2[[#This Row],[mes]]/3,0)</f>
        <v>T2</v>
      </c>
      <c r="G2255" t="s">
        <v>20</v>
      </c>
      <c r="H2255" t="s">
        <v>21</v>
      </c>
      <c r="I2255" s="8" t="str">
        <f>IF(Tabla2[[#This Row],[precio_unitario]]&lt;=30,"Económico",IF(Tabla2[[#This Row],[precio_unitario]]&lt;=58.49,"Accesible","Caro"))</f>
        <v>Económico</v>
      </c>
      <c r="J2255" t="s">
        <v>17</v>
      </c>
      <c r="K2255">
        <v>3</v>
      </c>
      <c r="L2255" s="19">
        <v>21.35</v>
      </c>
      <c r="M2255" s="19">
        <v>13.1</v>
      </c>
      <c r="N2255" s="11">
        <v>0</v>
      </c>
      <c r="O2255" s="17">
        <f t="shared" si="143"/>
        <v>64.050000000000011</v>
      </c>
      <c r="P2255" s="17">
        <f t="shared" si="140"/>
        <v>39.299999999999997</v>
      </c>
      <c r="Q2255" s="17">
        <f t="shared" si="141"/>
        <v>24.750000000000014</v>
      </c>
      <c r="R2255" s="24">
        <f t="shared" si="142"/>
        <v>0.38641686182669804</v>
      </c>
      <c r="S2255" t="s">
        <v>83</v>
      </c>
      <c r="T2255" t="s">
        <v>64</v>
      </c>
    </row>
    <row r="2256" spans="1:20">
      <c r="A2256" t="s">
        <v>2321</v>
      </c>
      <c r="B2256" s="5">
        <v>45882</v>
      </c>
      <c r="C2256" s="8">
        <f>YEAR(Tabla2[[#This Row],[fecha]])</f>
        <v>2025</v>
      </c>
      <c r="D2256" s="8">
        <f>MONTH(Tabla2[[#This Row],[fecha]])</f>
        <v>8</v>
      </c>
      <c r="E2256" s="8" t="str">
        <f>TEXT(Tabla2[[#This Row],[fecha]], "mmmm")</f>
        <v>agosto</v>
      </c>
      <c r="F2256" s="8" t="str">
        <f>"T"&amp;ROUNDUP(Tabla2[[#This Row],[mes]]/3,0)</f>
        <v>T3</v>
      </c>
      <c r="G2256" t="s">
        <v>22</v>
      </c>
      <c r="H2256" t="s">
        <v>23</v>
      </c>
      <c r="I2256" s="8" t="str">
        <f>IF(Tabla2[[#This Row],[precio_unitario]]&lt;=30,"Económico",IF(Tabla2[[#This Row],[precio_unitario]]&lt;=58.49,"Accesible","Caro"))</f>
        <v>Caro</v>
      </c>
      <c r="J2256" t="s">
        <v>17</v>
      </c>
      <c r="K2256">
        <v>3</v>
      </c>
      <c r="L2256" s="19">
        <v>101.11</v>
      </c>
      <c r="M2256" s="19">
        <v>59.61</v>
      </c>
      <c r="N2256" s="11">
        <v>0.13</v>
      </c>
      <c r="O2256" s="17">
        <f t="shared" si="143"/>
        <v>263.89709999999997</v>
      </c>
      <c r="P2256" s="17">
        <f t="shared" si="140"/>
        <v>178.82999999999998</v>
      </c>
      <c r="Q2256" s="17">
        <f t="shared" si="141"/>
        <v>85.067099999999982</v>
      </c>
      <c r="R2256" s="24">
        <f t="shared" si="142"/>
        <v>0.32234950668271833</v>
      </c>
      <c r="S2256" t="s">
        <v>67</v>
      </c>
      <c r="T2256" t="s">
        <v>64</v>
      </c>
    </row>
    <row r="2257" spans="1:20" hidden="1">
      <c r="A2257" t="s">
        <v>2322</v>
      </c>
      <c r="B2257" s="5">
        <v>45431</v>
      </c>
      <c r="C2257" s="8">
        <f>YEAR(Tabla2[[#This Row],[fecha]])</f>
        <v>2024</v>
      </c>
      <c r="D2257" s="8">
        <f>MONTH(Tabla2[[#This Row],[fecha]])</f>
        <v>5</v>
      </c>
      <c r="E2257" s="8" t="str">
        <f>TEXT(Tabla2[[#This Row],[fecha]], "mmmm")</f>
        <v>mayo</v>
      </c>
      <c r="F2257" s="8" t="str">
        <f>"T"&amp;ROUNDUP(Tabla2[[#This Row],[mes]]/3,0)</f>
        <v>T2</v>
      </c>
      <c r="G2257" t="s">
        <v>27</v>
      </c>
      <c r="H2257" t="s">
        <v>28</v>
      </c>
      <c r="I2257" s="8" t="str">
        <f>IF(Tabla2[[#This Row],[precio_unitario]]&lt;=30,"Económico",IF(Tabla2[[#This Row],[precio_unitario]]&lt;=58.49,"Accesible","Caro"))</f>
        <v>Económico</v>
      </c>
      <c r="J2257" t="s">
        <v>26</v>
      </c>
      <c r="K2257">
        <v>2</v>
      </c>
      <c r="L2257" s="19">
        <v>15.41</v>
      </c>
      <c r="M2257" s="19">
        <v>11.57</v>
      </c>
      <c r="N2257" s="13">
        <v>0</v>
      </c>
      <c r="O2257" s="17">
        <f t="shared" si="143"/>
        <v>30.82</v>
      </c>
      <c r="P2257" s="17">
        <f t="shared" si="140"/>
        <v>23.14</v>
      </c>
      <c r="Q2257" s="17">
        <f t="shared" si="141"/>
        <v>7.68</v>
      </c>
      <c r="R2257" s="24">
        <f t="shared" si="142"/>
        <v>0.24918883841661257</v>
      </c>
      <c r="S2257" t="s">
        <v>83</v>
      </c>
      <c r="T2257" t="s">
        <v>64</v>
      </c>
    </row>
    <row r="2258" spans="1:20" hidden="1">
      <c r="A2258" t="s">
        <v>2323</v>
      </c>
      <c r="B2258" s="5">
        <v>45394</v>
      </c>
      <c r="C2258" s="8">
        <f>YEAR(Tabla2[[#This Row],[fecha]])</f>
        <v>2024</v>
      </c>
      <c r="D2258" s="8">
        <f>MONTH(Tabla2[[#This Row],[fecha]])</f>
        <v>4</v>
      </c>
      <c r="E2258" s="8" t="str">
        <f>TEXT(Tabla2[[#This Row],[fecha]], "mmmm")</f>
        <v>abril</v>
      </c>
      <c r="F2258" s="8" t="str">
        <f>"T"&amp;ROUNDUP(Tabla2[[#This Row],[mes]]/3,0)</f>
        <v>T2</v>
      </c>
      <c r="G2258" t="s">
        <v>45</v>
      </c>
      <c r="H2258" t="s">
        <v>46</v>
      </c>
      <c r="I2258" s="8" t="str">
        <f>IF(Tabla2[[#This Row],[precio_unitario]]&lt;=30,"Económico",IF(Tabla2[[#This Row],[precio_unitario]]&lt;=58.49,"Accesible","Caro"))</f>
        <v>Accesible</v>
      </c>
      <c r="J2258" t="s">
        <v>44</v>
      </c>
      <c r="K2258">
        <v>7</v>
      </c>
      <c r="L2258" s="19">
        <v>32.65</v>
      </c>
      <c r="M2258" s="19">
        <v>16.809999999999999</v>
      </c>
      <c r="N2258" s="11">
        <v>0</v>
      </c>
      <c r="O2258" s="17">
        <f t="shared" si="143"/>
        <v>228.54999999999998</v>
      </c>
      <c r="P2258" s="17">
        <f t="shared" si="140"/>
        <v>117.66999999999999</v>
      </c>
      <c r="Q2258" s="17">
        <f t="shared" si="141"/>
        <v>110.88</v>
      </c>
      <c r="R2258" s="24">
        <f t="shared" si="142"/>
        <v>0.48514548238897398</v>
      </c>
      <c r="S2258" t="s">
        <v>83</v>
      </c>
      <c r="T2258" t="s">
        <v>64</v>
      </c>
    </row>
    <row r="2259" spans="1:20">
      <c r="A2259" t="s">
        <v>2324</v>
      </c>
      <c r="B2259" s="5">
        <v>45962</v>
      </c>
      <c r="C2259" s="8">
        <f>YEAR(Tabla2[[#This Row],[fecha]])</f>
        <v>2025</v>
      </c>
      <c r="D2259" s="8">
        <f>MONTH(Tabla2[[#This Row],[fecha]])</f>
        <v>11</v>
      </c>
      <c r="E2259" s="8" t="str">
        <f>TEXT(Tabla2[[#This Row],[fecha]], "mmmm")</f>
        <v>noviembre</v>
      </c>
      <c r="F2259" s="8" t="str">
        <f>"T"&amp;ROUNDUP(Tabla2[[#This Row],[mes]]/3,0)</f>
        <v>T4</v>
      </c>
      <c r="G2259" t="s">
        <v>24</v>
      </c>
      <c r="H2259" t="s">
        <v>25</v>
      </c>
      <c r="I2259" s="8" t="str">
        <f>IF(Tabla2[[#This Row],[precio_unitario]]&lt;=30,"Económico",IF(Tabla2[[#This Row],[precio_unitario]]&lt;=58.49,"Accesible","Caro"))</f>
        <v>Económico</v>
      </c>
      <c r="J2259" t="s">
        <v>26</v>
      </c>
      <c r="K2259">
        <v>6</v>
      </c>
      <c r="L2259" s="19">
        <v>7.36</v>
      </c>
      <c r="M2259" s="21">
        <f>INDEX(Tabla3[coste_objetivo], MATCH(Tabla2[[#This Row],[id_producto]], Tabla3[id_producto],0))</f>
        <v>4.32</v>
      </c>
      <c r="N2259" s="11">
        <v>0</v>
      </c>
      <c r="O2259" s="17">
        <f t="shared" si="143"/>
        <v>44.160000000000004</v>
      </c>
      <c r="P2259" s="17">
        <f t="shared" si="140"/>
        <v>25.92</v>
      </c>
      <c r="Q2259" s="17">
        <f t="shared" si="141"/>
        <v>18.240000000000002</v>
      </c>
      <c r="R2259" s="24">
        <f t="shared" si="142"/>
        <v>0.41304347826086957</v>
      </c>
      <c r="S2259" t="s">
        <v>67</v>
      </c>
      <c r="T2259" t="s">
        <v>60</v>
      </c>
    </row>
    <row r="2260" spans="1:20" hidden="1">
      <c r="A2260" t="s">
        <v>2325</v>
      </c>
      <c r="B2260" s="5">
        <v>45574</v>
      </c>
      <c r="C2260" s="8">
        <f>YEAR(Tabla2[[#This Row],[fecha]])</f>
        <v>2024</v>
      </c>
      <c r="D2260" s="8">
        <f>MONTH(Tabla2[[#This Row],[fecha]])</f>
        <v>10</v>
      </c>
      <c r="E2260" s="8" t="str">
        <f>TEXT(Tabla2[[#This Row],[fecha]], "mmmm")</f>
        <v>octubre</v>
      </c>
      <c r="F2260" s="8" t="str">
        <f>"T"&amp;ROUNDUP(Tabla2[[#This Row],[mes]]/3,0)</f>
        <v>T4</v>
      </c>
      <c r="G2260" t="s">
        <v>11</v>
      </c>
      <c r="H2260" t="s">
        <v>12</v>
      </c>
      <c r="I2260" s="8" t="str">
        <f>IF(Tabla2[[#This Row],[precio_unitario]]&lt;=30,"Económico",IF(Tabla2[[#This Row],[precio_unitario]]&lt;=58.49,"Accesible","Caro"))</f>
        <v>Caro</v>
      </c>
      <c r="J2260" t="s">
        <v>8</v>
      </c>
      <c r="K2260">
        <v>5</v>
      </c>
      <c r="L2260" s="19">
        <v>177.46</v>
      </c>
      <c r="M2260" s="19">
        <v>96.11</v>
      </c>
      <c r="N2260" s="13">
        <v>0</v>
      </c>
      <c r="O2260" s="17">
        <f t="shared" si="143"/>
        <v>887.30000000000007</v>
      </c>
      <c r="P2260" s="17">
        <f t="shared" si="140"/>
        <v>480.55</v>
      </c>
      <c r="Q2260" s="17">
        <f t="shared" si="141"/>
        <v>406.75000000000006</v>
      </c>
      <c r="R2260" s="24">
        <f t="shared" si="142"/>
        <v>0.45841316352980954</v>
      </c>
      <c r="S2260" t="s">
        <v>83</v>
      </c>
      <c r="T2260" t="s">
        <v>64</v>
      </c>
    </row>
    <row r="2261" spans="1:20" hidden="1">
      <c r="A2261" t="s">
        <v>2326</v>
      </c>
      <c r="B2261" s="5">
        <v>45410</v>
      </c>
      <c r="C2261" s="8">
        <f>YEAR(Tabla2[[#This Row],[fecha]])</f>
        <v>2024</v>
      </c>
      <c r="D2261" s="8">
        <f>MONTH(Tabla2[[#This Row],[fecha]])</f>
        <v>4</v>
      </c>
      <c r="E2261" s="8" t="str">
        <f>TEXT(Tabla2[[#This Row],[fecha]], "mmmm")</f>
        <v>abril</v>
      </c>
      <c r="F2261" s="8" t="str">
        <f>"T"&amp;ROUNDUP(Tabla2[[#This Row],[mes]]/3,0)</f>
        <v>T2</v>
      </c>
      <c r="G2261" t="s">
        <v>42</v>
      </c>
      <c r="H2261" t="s">
        <v>43</v>
      </c>
      <c r="I2261" s="8" t="str">
        <f>IF(Tabla2[[#This Row],[precio_unitario]]&lt;=30,"Económico",IF(Tabla2[[#This Row],[precio_unitario]]&lt;=58.49,"Accesible","Caro"))</f>
        <v>Accesible</v>
      </c>
      <c r="J2261" t="s">
        <v>44</v>
      </c>
      <c r="K2261">
        <v>1</v>
      </c>
      <c r="L2261" s="19">
        <v>45.4</v>
      </c>
      <c r="M2261" s="19">
        <v>23.66</v>
      </c>
      <c r="N2261" s="11">
        <v>0</v>
      </c>
      <c r="O2261" s="17">
        <f t="shared" si="143"/>
        <v>45.4</v>
      </c>
      <c r="P2261" s="17">
        <f t="shared" si="140"/>
        <v>23.66</v>
      </c>
      <c r="Q2261" s="17">
        <f t="shared" si="141"/>
        <v>21.74</v>
      </c>
      <c r="R2261" s="24">
        <f t="shared" si="142"/>
        <v>0.47885462555066077</v>
      </c>
      <c r="S2261" t="s">
        <v>540</v>
      </c>
      <c r="T2261" t="s">
        <v>64</v>
      </c>
    </row>
    <row r="2262" spans="1:20" hidden="1">
      <c r="A2262" t="s">
        <v>2327</v>
      </c>
      <c r="B2262" s="5">
        <v>45347</v>
      </c>
      <c r="C2262" s="8">
        <f>YEAR(Tabla2[[#This Row],[fecha]])</f>
        <v>2024</v>
      </c>
      <c r="D2262" s="8">
        <f>MONTH(Tabla2[[#This Row],[fecha]])</f>
        <v>2</v>
      </c>
      <c r="E2262" s="8" t="str">
        <f>TEXT(Tabla2[[#This Row],[fecha]], "mmmm")</f>
        <v>febrero</v>
      </c>
      <c r="F2262" s="8" t="str">
        <f>"T"&amp;ROUNDUP(Tabla2[[#This Row],[mes]]/3,0)</f>
        <v>T1</v>
      </c>
      <c r="G2262" t="s">
        <v>29</v>
      </c>
      <c r="H2262" t="s">
        <v>30</v>
      </c>
      <c r="I2262" s="8" t="str">
        <f>IF(Tabla2[[#This Row],[precio_unitario]]&lt;=30,"Económico",IF(Tabla2[[#This Row],[precio_unitario]]&lt;=58.49,"Accesible","Caro"))</f>
        <v>Económico</v>
      </c>
      <c r="J2262" t="s">
        <v>26</v>
      </c>
      <c r="K2262">
        <v>1</v>
      </c>
      <c r="L2262" s="19">
        <v>21.85</v>
      </c>
      <c r="M2262" s="19">
        <v>11.33</v>
      </c>
      <c r="N2262" s="11">
        <v>0.16</v>
      </c>
      <c r="O2262" s="17">
        <f t="shared" si="143"/>
        <v>18.353999999999999</v>
      </c>
      <c r="P2262" s="17">
        <f t="shared" si="140"/>
        <v>11.33</v>
      </c>
      <c r="Q2262" s="17">
        <f t="shared" si="141"/>
        <v>7.0239999999999991</v>
      </c>
      <c r="R2262" s="24">
        <f t="shared" si="142"/>
        <v>0.38269587011005773</v>
      </c>
      <c r="S2262" t="s">
        <v>63</v>
      </c>
      <c r="T2262" t="s">
        <v>64</v>
      </c>
    </row>
    <row r="2263" spans="1:20" hidden="1">
      <c r="A2263" t="s">
        <v>2328</v>
      </c>
      <c r="B2263" s="5">
        <v>45438</v>
      </c>
      <c r="C2263" s="8">
        <f>YEAR(Tabla2[[#This Row],[fecha]])</f>
        <v>2024</v>
      </c>
      <c r="D2263" s="8">
        <f>MONTH(Tabla2[[#This Row],[fecha]])</f>
        <v>5</v>
      </c>
      <c r="E2263" s="8" t="str">
        <f>TEXT(Tabla2[[#This Row],[fecha]], "mmmm")</f>
        <v>mayo</v>
      </c>
      <c r="F2263" s="8" t="str">
        <f>"T"&amp;ROUNDUP(Tabla2[[#This Row],[mes]]/3,0)</f>
        <v>T2</v>
      </c>
      <c r="G2263" t="s">
        <v>24</v>
      </c>
      <c r="H2263" t="s">
        <v>25</v>
      </c>
      <c r="I2263" s="8" t="str">
        <f>IF(Tabla2[[#This Row],[precio_unitario]]&lt;=30,"Económico",IF(Tabla2[[#This Row],[precio_unitario]]&lt;=58.49,"Accesible","Caro"))</f>
        <v>Económico</v>
      </c>
      <c r="J2263" t="s">
        <v>26</v>
      </c>
      <c r="K2263">
        <v>3</v>
      </c>
      <c r="L2263" s="19">
        <v>7.5</v>
      </c>
      <c r="M2263" s="19">
        <v>4.3099999999999996</v>
      </c>
      <c r="N2263" s="11">
        <v>0</v>
      </c>
      <c r="O2263" s="17">
        <f t="shared" si="143"/>
        <v>22.5</v>
      </c>
      <c r="P2263" s="17">
        <f t="shared" si="140"/>
        <v>12.93</v>
      </c>
      <c r="Q2263" s="17">
        <f t="shared" si="141"/>
        <v>9.57</v>
      </c>
      <c r="R2263" s="24">
        <f t="shared" si="142"/>
        <v>0.42533333333333334</v>
      </c>
      <c r="S2263" s="10" t="s">
        <v>2377</v>
      </c>
      <c r="T2263" t="s">
        <v>60</v>
      </c>
    </row>
    <row r="2264" spans="1:20">
      <c r="A2264" t="s">
        <v>2329</v>
      </c>
      <c r="B2264" s="5">
        <v>45859</v>
      </c>
      <c r="C2264" s="8">
        <f>YEAR(Tabla2[[#This Row],[fecha]])</f>
        <v>2025</v>
      </c>
      <c r="D2264" s="8">
        <f>MONTH(Tabla2[[#This Row],[fecha]])</f>
        <v>7</v>
      </c>
      <c r="E2264" s="8" t="str">
        <f>TEXT(Tabla2[[#This Row],[fecha]], "mmmm")</f>
        <v>julio</v>
      </c>
      <c r="F2264" s="8" t="str">
        <f>"T"&amp;ROUNDUP(Tabla2[[#This Row],[mes]]/3,0)</f>
        <v>T3</v>
      </c>
      <c r="G2264" t="s">
        <v>49</v>
      </c>
      <c r="H2264" t="s">
        <v>50</v>
      </c>
      <c r="I2264" s="8" t="str">
        <f>IF(Tabla2[[#This Row],[precio_unitario]]&lt;=30,"Económico",IF(Tabla2[[#This Row],[precio_unitario]]&lt;=58.49,"Accesible","Caro"))</f>
        <v>Caro</v>
      </c>
      <c r="J2264" t="s">
        <v>44</v>
      </c>
      <c r="K2264">
        <v>2</v>
      </c>
      <c r="L2264" s="19">
        <v>60.72</v>
      </c>
      <c r="M2264" s="19">
        <v>33.619999999999997</v>
      </c>
      <c r="N2264" s="11">
        <v>0</v>
      </c>
      <c r="O2264" s="17">
        <f t="shared" si="143"/>
        <v>121.44</v>
      </c>
      <c r="P2264" s="17">
        <f t="shared" si="140"/>
        <v>67.239999999999995</v>
      </c>
      <c r="Q2264" s="17">
        <f t="shared" si="141"/>
        <v>54.2</v>
      </c>
      <c r="R2264" s="24">
        <f t="shared" si="142"/>
        <v>0.44631093544137024</v>
      </c>
      <c r="S2264" t="s">
        <v>67</v>
      </c>
      <c r="T2264" t="s">
        <v>64</v>
      </c>
    </row>
    <row r="2265" spans="1:20" hidden="1">
      <c r="A2265" t="s">
        <v>2330</v>
      </c>
      <c r="B2265" s="5">
        <v>45773</v>
      </c>
      <c r="C2265" s="8">
        <f>YEAR(Tabla2[[#This Row],[fecha]])</f>
        <v>2025</v>
      </c>
      <c r="D2265" s="8">
        <f>MONTH(Tabla2[[#This Row],[fecha]])</f>
        <v>4</v>
      </c>
      <c r="E2265" s="8" t="str">
        <f>TEXT(Tabla2[[#This Row],[fecha]], "mmmm")</f>
        <v>abril</v>
      </c>
      <c r="F2265" s="8" t="str">
        <f>"T"&amp;ROUNDUP(Tabla2[[#This Row],[mes]]/3,0)</f>
        <v>T2</v>
      </c>
      <c r="G2265" t="s">
        <v>47</v>
      </c>
      <c r="H2265" t="s">
        <v>48</v>
      </c>
      <c r="I2265" s="8" t="str">
        <f>IF(Tabla2[[#This Row],[precio_unitario]]&lt;=30,"Económico",IF(Tabla2[[#This Row],[precio_unitario]]&lt;=58.49,"Accesible","Caro"))</f>
        <v>Caro</v>
      </c>
      <c r="J2265" t="s">
        <v>44</v>
      </c>
      <c r="K2265">
        <v>6</v>
      </c>
      <c r="L2265" s="19">
        <v>63.79</v>
      </c>
      <c r="M2265" s="19">
        <v>33.35</v>
      </c>
      <c r="N2265" s="11">
        <v>0</v>
      </c>
      <c r="O2265" s="17">
        <f t="shared" si="143"/>
        <v>382.74</v>
      </c>
      <c r="P2265" s="17">
        <f t="shared" si="140"/>
        <v>200.10000000000002</v>
      </c>
      <c r="Q2265" s="17">
        <f t="shared" si="141"/>
        <v>182.64</v>
      </c>
      <c r="R2265" s="24">
        <f t="shared" si="142"/>
        <v>0.47719078225427181</v>
      </c>
      <c r="S2265" t="s">
        <v>101</v>
      </c>
      <c r="T2265" t="s">
        <v>64</v>
      </c>
    </row>
    <row r="2266" spans="1:20" hidden="1">
      <c r="A2266" t="s">
        <v>2331</v>
      </c>
      <c r="B2266" s="15"/>
      <c r="C2266" s="8">
        <f>YEAR(Tabla2[[#This Row],[fecha]])</f>
        <v>1900</v>
      </c>
      <c r="D2266" s="8">
        <f>MONTH(Tabla2[[#This Row],[fecha]])</f>
        <v>1</v>
      </c>
      <c r="E2266" s="8" t="str">
        <f>TEXT(Tabla2[[#This Row],[fecha]], "mmmm")</f>
        <v>enero</v>
      </c>
      <c r="F2266" s="8" t="str">
        <f>"T"&amp;ROUNDUP(Tabla2[[#This Row],[mes]]/3,0)</f>
        <v>T1</v>
      </c>
      <c r="G2266" t="s">
        <v>42</v>
      </c>
      <c r="H2266" t="s">
        <v>43</v>
      </c>
      <c r="I2266" s="8" t="str">
        <f>IF(Tabla2[[#This Row],[precio_unitario]]&lt;=30,"Económico",IF(Tabla2[[#This Row],[precio_unitario]]&lt;=58.49,"Accesible","Caro"))</f>
        <v>Accesible</v>
      </c>
      <c r="J2266" t="s">
        <v>44</v>
      </c>
      <c r="K2266">
        <v>4</v>
      </c>
      <c r="L2266" s="19">
        <v>45.41</v>
      </c>
      <c r="M2266" s="19">
        <v>22.85</v>
      </c>
      <c r="N2266" s="11">
        <v>0</v>
      </c>
      <c r="O2266" s="17">
        <f t="shared" si="143"/>
        <v>181.64</v>
      </c>
      <c r="P2266" s="17">
        <f t="shared" si="140"/>
        <v>91.4</v>
      </c>
      <c r="Q2266" s="17">
        <f t="shared" si="141"/>
        <v>90.239999999999981</v>
      </c>
      <c r="R2266" s="24">
        <f t="shared" si="142"/>
        <v>0.49680687073331858</v>
      </c>
      <c r="S2266" s="10" t="s">
        <v>2377</v>
      </c>
      <c r="T2266" t="s">
        <v>60</v>
      </c>
    </row>
    <row r="2267" spans="1:20" hidden="1">
      <c r="A2267" t="s">
        <v>2332</v>
      </c>
      <c r="B2267" s="5">
        <v>45973</v>
      </c>
      <c r="C2267" s="8">
        <f>YEAR(Tabla2[[#This Row],[fecha]])</f>
        <v>2025</v>
      </c>
      <c r="D2267" s="8">
        <f>MONTH(Tabla2[[#This Row],[fecha]])</f>
        <v>11</v>
      </c>
      <c r="E2267" s="8" t="str">
        <f>TEXT(Tabla2[[#This Row],[fecha]], "mmmm")</f>
        <v>noviembre</v>
      </c>
      <c r="F2267" s="8" t="str">
        <f>"T"&amp;ROUNDUP(Tabla2[[#This Row],[mes]]/3,0)</f>
        <v>T4</v>
      </c>
      <c r="G2267" t="s">
        <v>11</v>
      </c>
      <c r="H2267" t="s">
        <v>12</v>
      </c>
      <c r="I2267" s="8" t="str">
        <f>IF(Tabla2[[#This Row],[precio_unitario]]&lt;=30,"Económico",IF(Tabla2[[#This Row],[precio_unitario]]&lt;=58.49,"Accesible","Caro"))</f>
        <v>Caro</v>
      </c>
      <c r="J2267" t="s">
        <v>8</v>
      </c>
      <c r="K2267">
        <v>2</v>
      </c>
      <c r="L2267" s="19">
        <v>173.83</v>
      </c>
      <c r="M2267" s="19">
        <v>95.39</v>
      </c>
      <c r="N2267" s="11">
        <v>0</v>
      </c>
      <c r="O2267" s="17">
        <f t="shared" si="143"/>
        <v>347.66</v>
      </c>
      <c r="P2267" s="17">
        <f t="shared" si="140"/>
        <v>190.78</v>
      </c>
      <c r="Q2267" s="17">
        <f t="shared" si="141"/>
        <v>156.88000000000002</v>
      </c>
      <c r="R2267" s="24">
        <f t="shared" si="142"/>
        <v>0.45124546971178742</v>
      </c>
      <c r="S2267" t="s">
        <v>540</v>
      </c>
      <c r="T2267" t="s">
        <v>64</v>
      </c>
    </row>
    <row r="2268" spans="1:20" hidden="1">
      <c r="A2268" t="s">
        <v>2333</v>
      </c>
      <c r="B2268" s="5">
        <v>45910</v>
      </c>
      <c r="C2268" s="8">
        <f>YEAR(Tabla2[[#This Row],[fecha]])</f>
        <v>2025</v>
      </c>
      <c r="D2268" s="8">
        <f>MONTH(Tabla2[[#This Row],[fecha]])</f>
        <v>9</v>
      </c>
      <c r="E2268" s="8" t="str">
        <f>TEXT(Tabla2[[#This Row],[fecha]], "mmmm")</f>
        <v>septiembre</v>
      </c>
      <c r="F2268" s="8" t="str">
        <f>"T"&amp;ROUNDUP(Tabla2[[#This Row],[mes]]/3,0)</f>
        <v>T3</v>
      </c>
      <c r="G2268" t="s">
        <v>24</v>
      </c>
      <c r="H2268" t="s">
        <v>25</v>
      </c>
      <c r="I2268" s="8" t="str">
        <f>IF(Tabla2[[#This Row],[precio_unitario]]&lt;=30,"Económico",IF(Tabla2[[#This Row],[precio_unitario]]&lt;=58.49,"Accesible","Caro"))</f>
        <v>Económico</v>
      </c>
      <c r="J2268" t="s">
        <v>26</v>
      </c>
      <c r="K2268">
        <v>1</v>
      </c>
      <c r="L2268" s="19">
        <v>7.72</v>
      </c>
      <c r="M2268" s="21">
        <f>INDEX(Tabla3[coste_objetivo], MATCH(Tabla2[[#This Row],[id_producto]], Tabla3[id_producto],0))</f>
        <v>4.32</v>
      </c>
      <c r="N2268" s="11">
        <v>0.18</v>
      </c>
      <c r="O2268" s="17">
        <f t="shared" si="143"/>
        <v>6.3304</v>
      </c>
      <c r="P2268" s="17">
        <f t="shared" si="140"/>
        <v>4.32</v>
      </c>
      <c r="Q2268" s="17">
        <f t="shared" si="141"/>
        <v>2.0103999999999997</v>
      </c>
      <c r="R2268" s="24">
        <f t="shared" si="142"/>
        <v>0.31757866801465939</v>
      </c>
      <c r="S2268" t="s">
        <v>63</v>
      </c>
      <c r="T2268" t="s">
        <v>60</v>
      </c>
    </row>
    <row r="2269" spans="1:20" hidden="1">
      <c r="A2269" t="s">
        <v>2334</v>
      </c>
      <c r="B2269" s="5">
        <v>45427</v>
      </c>
      <c r="C2269" s="8">
        <f>YEAR(Tabla2[[#This Row],[fecha]])</f>
        <v>2024</v>
      </c>
      <c r="D2269" s="8">
        <f>MONTH(Tabla2[[#This Row],[fecha]])</f>
        <v>5</v>
      </c>
      <c r="E2269" s="8" t="str">
        <f>TEXT(Tabla2[[#This Row],[fecha]], "mmmm")</f>
        <v>mayo</v>
      </c>
      <c r="F2269" s="8" t="str">
        <f>"T"&amp;ROUNDUP(Tabla2[[#This Row],[mes]]/3,0)</f>
        <v>T2</v>
      </c>
      <c r="G2269" t="s">
        <v>49</v>
      </c>
      <c r="H2269" t="s">
        <v>50</v>
      </c>
      <c r="I2269" s="8" t="str">
        <f>IF(Tabla2[[#This Row],[precio_unitario]]&lt;=30,"Económico",IF(Tabla2[[#This Row],[precio_unitario]]&lt;=58.49,"Accesible","Caro"))</f>
        <v>Caro</v>
      </c>
      <c r="J2269" t="s">
        <v>44</v>
      </c>
      <c r="K2269">
        <v>2</v>
      </c>
      <c r="L2269" s="19">
        <v>59.83</v>
      </c>
      <c r="M2269" s="19">
        <v>35.020000000000003</v>
      </c>
      <c r="N2269" s="11">
        <v>0</v>
      </c>
      <c r="O2269" s="17">
        <f t="shared" si="143"/>
        <v>119.66</v>
      </c>
      <c r="P2269" s="17">
        <f t="shared" si="140"/>
        <v>70.040000000000006</v>
      </c>
      <c r="Q2269" s="17">
        <f t="shared" si="141"/>
        <v>49.61999999999999</v>
      </c>
      <c r="R2269" s="24">
        <f t="shared" si="142"/>
        <v>0.41467491225137881</v>
      </c>
      <c r="S2269" t="s">
        <v>63</v>
      </c>
      <c r="T2269" t="s">
        <v>64</v>
      </c>
    </row>
    <row r="2270" spans="1:20" hidden="1">
      <c r="A2270" t="s">
        <v>2335</v>
      </c>
      <c r="B2270" s="5">
        <v>45871</v>
      </c>
      <c r="C2270" s="8">
        <f>YEAR(Tabla2[[#This Row],[fecha]])</f>
        <v>2025</v>
      </c>
      <c r="D2270" s="8">
        <f>MONTH(Tabla2[[#This Row],[fecha]])</f>
        <v>8</v>
      </c>
      <c r="E2270" s="8" t="str">
        <f>TEXT(Tabla2[[#This Row],[fecha]], "mmmm")</f>
        <v>agosto</v>
      </c>
      <c r="F2270" s="8" t="str">
        <f>"T"&amp;ROUNDUP(Tabla2[[#This Row],[mes]]/3,0)</f>
        <v>T3</v>
      </c>
      <c r="G2270" t="s">
        <v>6</v>
      </c>
      <c r="H2270" t="s">
        <v>7</v>
      </c>
      <c r="I2270" s="8" t="str">
        <f>IF(Tabla2[[#This Row],[precio_unitario]]&lt;=30,"Económico",IF(Tabla2[[#This Row],[precio_unitario]]&lt;=58.49,"Accesible","Caro"))</f>
        <v>Caro</v>
      </c>
      <c r="J2270" t="s">
        <v>8</v>
      </c>
      <c r="K2270">
        <v>5</v>
      </c>
      <c r="L2270" s="19">
        <v>130.07</v>
      </c>
      <c r="M2270" s="19">
        <v>86.63</v>
      </c>
      <c r="N2270" s="11">
        <v>0</v>
      </c>
      <c r="O2270" s="17">
        <f t="shared" si="143"/>
        <v>650.34999999999991</v>
      </c>
      <c r="P2270" s="17">
        <f t="shared" si="140"/>
        <v>433.15</v>
      </c>
      <c r="Q2270" s="17">
        <f t="shared" si="141"/>
        <v>217.19999999999993</v>
      </c>
      <c r="R2270" s="24">
        <f t="shared" si="142"/>
        <v>0.33397401399246551</v>
      </c>
      <c r="S2270" t="s">
        <v>96</v>
      </c>
      <c r="T2270" t="s">
        <v>64</v>
      </c>
    </row>
    <row r="2271" spans="1:20" hidden="1">
      <c r="A2271" t="s">
        <v>2336</v>
      </c>
      <c r="B2271" s="5">
        <v>45324</v>
      </c>
      <c r="C2271" s="8">
        <f>YEAR(Tabla2[[#This Row],[fecha]])</f>
        <v>2024</v>
      </c>
      <c r="D2271" s="8">
        <f>MONTH(Tabla2[[#This Row],[fecha]])</f>
        <v>2</v>
      </c>
      <c r="E2271" s="8" t="str">
        <f>TEXT(Tabla2[[#This Row],[fecha]], "mmmm")</f>
        <v>febrero</v>
      </c>
      <c r="F2271" s="8" t="str">
        <f>"T"&amp;ROUNDUP(Tabla2[[#This Row],[mes]]/3,0)</f>
        <v>T1</v>
      </c>
      <c r="G2271" t="s">
        <v>24</v>
      </c>
      <c r="H2271" t="s">
        <v>25</v>
      </c>
      <c r="I2271" s="8" t="str">
        <f>IF(Tabla2[[#This Row],[precio_unitario]]&lt;=30,"Económico",IF(Tabla2[[#This Row],[precio_unitario]]&lt;=58.49,"Accesible","Caro"))</f>
        <v>Económico</v>
      </c>
      <c r="J2271" t="s">
        <v>26</v>
      </c>
      <c r="K2271">
        <v>4</v>
      </c>
      <c r="L2271" s="19">
        <v>7.81</v>
      </c>
      <c r="M2271" s="19">
        <v>4.24</v>
      </c>
      <c r="N2271" s="11">
        <v>0</v>
      </c>
      <c r="O2271" s="17">
        <f t="shared" si="143"/>
        <v>31.24</v>
      </c>
      <c r="P2271" s="17">
        <f t="shared" si="140"/>
        <v>16.96</v>
      </c>
      <c r="Q2271" s="17">
        <f t="shared" si="141"/>
        <v>14.279999999999998</v>
      </c>
      <c r="R2271" s="24">
        <f t="shared" si="142"/>
        <v>0.45710627400768239</v>
      </c>
      <c r="S2271" t="s">
        <v>101</v>
      </c>
      <c r="T2271" t="s">
        <v>64</v>
      </c>
    </row>
    <row r="2272" spans="1:20" hidden="1">
      <c r="A2272" t="s">
        <v>2337</v>
      </c>
      <c r="B2272" s="5">
        <v>45532</v>
      </c>
      <c r="C2272" s="8">
        <f>YEAR(Tabla2[[#This Row],[fecha]])</f>
        <v>2024</v>
      </c>
      <c r="D2272" s="8">
        <f>MONTH(Tabla2[[#This Row],[fecha]])</f>
        <v>8</v>
      </c>
      <c r="E2272" s="8" t="str">
        <f>TEXT(Tabla2[[#This Row],[fecha]], "mmmm")</f>
        <v>agosto</v>
      </c>
      <c r="F2272" s="8" t="str">
        <f>"T"&amp;ROUNDUP(Tabla2[[#This Row],[mes]]/3,0)</f>
        <v>T3</v>
      </c>
      <c r="G2272" t="s">
        <v>20</v>
      </c>
      <c r="H2272" t="s">
        <v>21</v>
      </c>
      <c r="I2272" s="8" t="str">
        <f>IF(Tabla2[[#This Row],[precio_unitario]]&lt;=30,"Económico",IF(Tabla2[[#This Row],[precio_unitario]]&lt;=58.49,"Accesible","Caro"))</f>
        <v>Económico</v>
      </c>
      <c r="J2272" t="s">
        <v>17</v>
      </c>
      <c r="K2272">
        <v>3</v>
      </c>
      <c r="L2272" s="19">
        <v>20.04</v>
      </c>
      <c r="M2272" s="19">
        <v>13.16</v>
      </c>
      <c r="N2272" s="11">
        <v>0</v>
      </c>
      <c r="O2272" s="17">
        <f t="shared" si="143"/>
        <v>60.12</v>
      </c>
      <c r="P2272" s="17">
        <f t="shared" si="140"/>
        <v>39.480000000000004</v>
      </c>
      <c r="Q2272" s="17">
        <f t="shared" si="141"/>
        <v>20.639999999999993</v>
      </c>
      <c r="R2272" s="24">
        <f t="shared" si="142"/>
        <v>0.34331337325349293</v>
      </c>
      <c r="S2272" t="s">
        <v>83</v>
      </c>
      <c r="T2272" t="s">
        <v>64</v>
      </c>
    </row>
    <row r="2273" spans="1:20" hidden="1">
      <c r="A2273" t="s">
        <v>2338</v>
      </c>
      <c r="B2273" s="5">
        <v>45586</v>
      </c>
      <c r="C2273" s="8">
        <f>YEAR(Tabla2[[#This Row],[fecha]])</f>
        <v>2024</v>
      </c>
      <c r="D2273" s="8">
        <f>MONTH(Tabla2[[#This Row],[fecha]])</f>
        <v>10</v>
      </c>
      <c r="E2273" s="8" t="str">
        <f>TEXT(Tabla2[[#This Row],[fecha]], "mmmm")</f>
        <v>octubre</v>
      </c>
      <c r="F2273" s="8" t="str">
        <f>"T"&amp;ROUNDUP(Tabla2[[#This Row],[mes]]/3,0)</f>
        <v>T4</v>
      </c>
      <c r="G2273" t="s">
        <v>42</v>
      </c>
      <c r="H2273" t="s">
        <v>43</v>
      </c>
      <c r="I2273" s="8" t="str">
        <f>IF(Tabla2[[#This Row],[precio_unitario]]&lt;=30,"Económico",IF(Tabla2[[#This Row],[precio_unitario]]&lt;=58.49,"Accesible","Caro"))</f>
        <v>Accesible</v>
      </c>
      <c r="J2273" t="s">
        <v>44</v>
      </c>
      <c r="K2273">
        <v>5</v>
      </c>
      <c r="L2273" s="19">
        <v>49.6</v>
      </c>
      <c r="M2273" s="19">
        <v>22.96</v>
      </c>
      <c r="N2273" s="11">
        <v>0.28000000000000003</v>
      </c>
      <c r="O2273" s="17">
        <f t="shared" si="143"/>
        <v>178.56</v>
      </c>
      <c r="P2273" s="17">
        <f t="shared" si="140"/>
        <v>114.80000000000001</v>
      </c>
      <c r="Q2273" s="17">
        <f t="shared" si="141"/>
        <v>63.759999999999991</v>
      </c>
      <c r="R2273" s="24">
        <f t="shared" si="142"/>
        <v>0.35707885304659492</v>
      </c>
      <c r="S2273" t="s">
        <v>83</v>
      </c>
      <c r="T2273" t="s">
        <v>60</v>
      </c>
    </row>
    <row r="2274" spans="1:20">
      <c r="A2274" t="s">
        <v>2339</v>
      </c>
      <c r="B2274" s="5">
        <v>45711</v>
      </c>
      <c r="C2274" s="8">
        <f>YEAR(Tabla2[[#This Row],[fecha]])</f>
        <v>2025</v>
      </c>
      <c r="D2274" s="8">
        <f>MONTH(Tabla2[[#This Row],[fecha]])</f>
        <v>2</v>
      </c>
      <c r="E2274" s="8" t="str">
        <f>TEXT(Tabla2[[#This Row],[fecha]], "mmmm")</f>
        <v>febrero</v>
      </c>
      <c r="F2274" s="8" t="str">
        <f>"T"&amp;ROUNDUP(Tabla2[[#This Row],[mes]]/3,0)</f>
        <v>T1</v>
      </c>
      <c r="G2274" t="s">
        <v>22</v>
      </c>
      <c r="H2274" t="s">
        <v>23</v>
      </c>
      <c r="I2274" s="8" t="str">
        <f>IF(Tabla2[[#This Row],[precio_unitario]]&lt;=30,"Económico",IF(Tabla2[[#This Row],[precio_unitario]]&lt;=58.49,"Accesible","Caro"))</f>
        <v>Caro</v>
      </c>
      <c r="J2274" t="s">
        <v>17</v>
      </c>
      <c r="K2274">
        <v>1</v>
      </c>
      <c r="L2274" s="19">
        <v>95.27</v>
      </c>
      <c r="M2274" s="19">
        <v>58.36</v>
      </c>
      <c r="N2274" s="11">
        <v>0</v>
      </c>
      <c r="O2274" s="17">
        <f t="shared" si="143"/>
        <v>95.27</v>
      </c>
      <c r="P2274" s="17">
        <f t="shared" si="140"/>
        <v>58.36</v>
      </c>
      <c r="Q2274" s="17">
        <f t="shared" si="141"/>
        <v>36.909999999999997</v>
      </c>
      <c r="R2274" s="24">
        <f t="shared" si="142"/>
        <v>0.38742521255379447</v>
      </c>
      <c r="S2274" t="s">
        <v>67</v>
      </c>
      <c r="T2274" t="s">
        <v>64</v>
      </c>
    </row>
    <row r="2275" spans="1:20" hidden="1">
      <c r="A2275" t="s">
        <v>2340</v>
      </c>
      <c r="B2275" s="5">
        <v>45335</v>
      </c>
      <c r="C2275" s="8">
        <f>YEAR(Tabla2[[#This Row],[fecha]])</f>
        <v>2024</v>
      </c>
      <c r="D2275" s="8">
        <f>MONTH(Tabla2[[#This Row],[fecha]])</f>
        <v>2</v>
      </c>
      <c r="E2275" s="8" t="str">
        <f>TEXT(Tabla2[[#This Row],[fecha]], "mmmm")</f>
        <v>febrero</v>
      </c>
      <c r="F2275" s="8" t="str">
        <f>"T"&amp;ROUNDUP(Tabla2[[#This Row],[mes]]/3,0)</f>
        <v>T1</v>
      </c>
      <c r="G2275" t="s">
        <v>6</v>
      </c>
      <c r="H2275" t="s">
        <v>7</v>
      </c>
      <c r="I2275" s="8" t="str">
        <f>IF(Tabla2[[#This Row],[precio_unitario]]&lt;=30,"Económico",IF(Tabla2[[#This Row],[precio_unitario]]&lt;=58.49,"Accesible","Caro"))</f>
        <v>Caro</v>
      </c>
      <c r="J2275" t="s">
        <v>8</v>
      </c>
      <c r="K2275">
        <v>1</v>
      </c>
      <c r="L2275" s="19">
        <v>119.48</v>
      </c>
      <c r="M2275" s="19">
        <v>83.45</v>
      </c>
      <c r="N2275" s="11">
        <v>0</v>
      </c>
      <c r="O2275" s="17">
        <f t="shared" si="143"/>
        <v>119.48</v>
      </c>
      <c r="P2275" s="17">
        <f t="shared" si="140"/>
        <v>83.45</v>
      </c>
      <c r="Q2275" s="17">
        <f t="shared" si="141"/>
        <v>36.03</v>
      </c>
      <c r="R2275" s="24">
        <f t="shared" si="142"/>
        <v>0.3015567458988952</v>
      </c>
      <c r="S2275" t="s">
        <v>101</v>
      </c>
      <c r="T2275" t="s">
        <v>64</v>
      </c>
    </row>
    <row r="2276" spans="1:20" hidden="1">
      <c r="A2276" t="s">
        <v>2341</v>
      </c>
      <c r="B2276" s="5">
        <v>45703</v>
      </c>
      <c r="C2276" s="8">
        <f>YEAR(Tabla2[[#This Row],[fecha]])</f>
        <v>2025</v>
      </c>
      <c r="D2276" s="8">
        <f>MONTH(Tabla2[[#This Row],[fecha]])</f>
        <v>2</v>
      </c>
      <c r="E2276" s="8" t="str">
        <f>TEXT(Tabla2[[#This Row],[fecha]], "mmmm")</f>
        <v>febrero</v>
      </c>
      <c r="F2276" s="8" t="str">
        <f>"T"&amp;ROUNDUP(Tabla2[[#This Row],[mes]]/3,0)</f>
        <v>T1</v>
      </c>
      <c r="G2276" t="s">
        <v>29</v>
      </c>
      <c r="H2276" t="s">
        <v>30</v>
      </c>
      <c r="I2276" s="8" t="str">
        <f>IF(Tabla2[[#This Row],[precio_unitario]]&lt;=30,"Económico",IF(Tabla2[[#This Row],[precio_unitario]]&lt;=58.49,"Accesible","Caro"))</f>
        <v>Económico</v>
      </c>
      <c r="J2276" t="s">
        <v>26</v>
      </c>
      <c r="K2276">
        <v>3</v>
      </c>
      <c r="L2276" s="19">
        <v>20.100000000000001</v>
      </c>
      <c r="M2276" s="19">
        <v>11.95</v>
      </c>
      <c r="N2276" s="11">
        <v>0</v>
      </c>
      <c r="O2276" s="17">
        <f t="shared" si="143"/>
        <v>60.300000000000004</v>
      </c>
      <c r="P2276" s="17">
        <f t="shared" si="140"/>
        <v>35.849999999999994</v>
      </c>
      <c r="Q2276" s="17">
        <f t="shared" si="141"/>
        <v>24.45000000000001</v>
      </c>
      <c r="R2276" s="24">
        <f t="shared" si="142"/>
        <v>0.40547263681592055</v>
      </c>
      <c r="S2276" t="s">
        <v>83</v>
      </c>
      <c r="T2276" t="s">
        <v>64</v>
      </c>
    </row>
    <row r="2277" spans="1:20" hidden="1">
      <c r="A2277" t="s">
        <v>2342</v>
      </c>
      <c r="B2277" s="5">
        <v>45548</v>
      </c>
      <c r="C2277" s="8">
        <f>YEAR(Tabla2[[#This Row],[fecha]])</f>
        <v>2024</v>
      </c>
      <c r="D2277" s="8">
        <f>MONTH(Tabla2[[#This Row],[fecha]])</f>
        <v>9</v>
      </c>
      <c r="E2277" s="8" t="str">
        <f>TEXT(Tabla2[[#This Row],[fecha]], "mmmm")</f>
        <v>septiembre</v>
      </c>
      <c r="F2277" s="8" t="str">
        <f>"T"&amp;ROUNDUP(Tabla2[[#This Row],[mes]]/3,0)</f>
        <v>T3</v>
      </c>
      <c r="G2277" t="s">
        <v>36</v>
      </c>
      <c r="H2277" t="s">
        <v>37</v>
      </c>
      <c r="I2277" s="8" t="str">
        <f>IF(Tabla2[[#This Row],[precio_unitario]]&lt;=30,"Económico",IF(Tabla2[[#This Row],[precio_unitario]]&lt;=58.49,"Accesible","Caro"))</f>
        <v>Económico</v>
      </c>
      <c r="J2277" t="s">
        <v>35</v>
      </c>
      <c r="K2277">
        <v>3</v>
      </c>
      <c r="L2277" s="19">
        <v>15.15</v>
      </c>
      <c r="M2277" s="19">
        <v>9.34</v>
      </c>
      <c r="N2277" s="11">
        <v>0</v>
      </c>
      <c r="O2277" s="17">
        <f t="shared" si="143"/>
        <v>45.45</v>
      </c>
      <c r="P2277" s="17">
        <f t="shared" si="140"/>
        <v>28.02</v>
      </c>
      <c r="Q2277" s="17">
        <f t="shared" si="141"/>
        <v>17.430000000000003</v>
      </c>
      <c r="R2277" s="24">
        <f t="shared" si="142"/>
        <v>0.38349834983498354</v>
      </c>
      <c r="S2277" t="s">
        <v>63</v>
      </c>
      <c r="T2277" t="s">
        <v>64</v>
      </c>
    </row>
    <row r="2278" spans="1:20" hidden="1">
      <c r="A2278" t="s">
        <v>2343</v>
      </c>
      <c r="B2278" s="5">
        <v>45314</v>
      </c>
      <c r="C2278" s="8">
        <f>YEAR(Tabla2[[#This Row],[fecha]])</f>
        <v>2024</v>
      </c>
      <c r="D2278" s="8">
        <f>MONTH(Tabla2[[#This Row],[fecha]])</f>
        <v>1</v>
      </c>
      <c r="E2278" s="8" t="str">
        <f>TEXT(Tabla2[[#This Row],[fecha]], "mmmm")</f>
        <v>enero</v>
      </c>
      <c r="F2278" s="8" t="str">
        <f>"T"&amp;ROUNDUP(Tabla2[[#This Row],[mes]]/3,0)</f>
        <v>T1</v>
      </c>
      <c r="G2278" t="s">
        <v>22</v>
      </c>
      <c r="H2278" t="s">
        <v>23</v>
      </c>
      <c r="I2278" s="8" t="str">
        <f>IF(Tabla2[[#This Row],[precio_unitario]]&lt;=30,"Económico",IF(Tabla2[[#This Row],[precio_unitario]]&lt;=58.49,"Accesible","Caro"))</f>
        <v>Caro</v>
      </c>
      <c r="J2278" t="s">
        <v>17</v>
      </c>
      <c r="K2278">
        <v>2</v>
      </c>
      <c r="L2278" s="19">
        <v>105.78</v>
      </c>
      <c r="M2278" s="19">
        <v>58.45</v>
      </c>
      <c r="N2278" s="11">
        <v>0</v>
      </c>
      <c r="O2278" s="17">
        <f t="shared" si="143"/>
        <v>211.56</v>
      </c>
      <c r="P2278" s="17">
        <f t="shared" si="140"/>
        <v>116.9</v>
      </c>
      <c r="Q2278" s="17">
        <f t="shared" si="141"/>
        <v>94.66</v>
      </c>
      <c r="R2278" s="24">
        <f t="shared" si="142"/>
        <v>0.4474380790319531</v>
      </c>
      <c r="S2278" t="s">
        <v>67</v>
      </c>
      <c r="T2278" t="s">
        <v>60</v>
      </c>
    </row>
    <row r="2279" spans="1:20" hidden="1">
      <c r="A2279" t="s">
        <v>2344</v>
      </c>
      <c r="B2279" s="5">
        <v>45324</v>
      </c>
      <c r="C2279" s="8">
        <f>YEAR(Tabla2[[#This Row],[fecha]])</f>
        <v>2024</v>
      </c>
      <c r="D2279" s="8">
        <f>MONTH(Tabla2[[#This Row],[fecha]])</f>
        <v>2</v>
      </c>
      <c r="E2279" s="8" t="str">
        <f>TEXT(Tabla2[[#This Row],[fecha]], "mmmm")</f>
        <v>febrero</v>
      </c>
      <c r="F2279" s="8" t="str">
        <f>"T"&amp;ROUNDUP(Tabla2[[#This Row],[mes]]/3,0)</f>
        <v>T1</v>
      </c>
      <c r="G2279" t="s">
        <v>6</v>
      </c>
      <c r="H2279" t="s">
        <v>7</v>
      </c>
      <c r="I2279" s="8" t="str">
        <f>IF(Tabla2[[#This Row],[precio_unitario]]&lt;=30,"Económico",IF(Tabla2[[#This Row],[precio_unitario]]&lt;=58.49,"Accesible","Caro"))</f>
        <v>Caro</v>
      </c>
      <c r="J2279" t="s">
        <v>8</v>
      </c>
      <c r="K2279">
        <v>2</v>
      </c>
      <c r="L2279" s="19">
        <v>131.28</v>
      </c>
      <c r="M2279" s="19">
        <v>85.38</v>
      </c>
      <c r="N2279" s="11">
        <v>7.0000000000000007E-2</v>
      </c>
      <c r="O2279" s="17">
        <f t="shared" si="143"/>
        <v>244.18079999999998</v>
      </c>
      <c r="P2279" s="17">
        <f t="shared" si="140"/>
        <v>170.76</v>
      </c>
      <c r="Q2279" s="17">
        <f t="shared" si="141"/>
        <v>73.420799999999986</v>
      </c>
      <c r="R2279" s="24">
        <f t="shared" si="142"/>
        <v>0.30068211751292484</v>
      </c>
      <c r="S2279" t="s">
        <v>67</v>
      </c>
      <c r="T2279" t="s">
        <v>60</v>
      </c>
    </row>
    <row r="2280" spans="1:20" hidden="1">
      <c r="A2280" t="s">
        <v>2345</v>
      </c>
      <c r="B2280" s="5">
        <v>45433</v>
      </c>
      <c r="C2280" s="8">
        <f>YEAR(Tabla2[[#This Row],[fecha]])</f>
        <v>2024</v>
      </c>
      <c r="D2280" s="8">
        <f>MONTH(Tabla2[[#This Row],[fecha]])</f>
        <v>5</v>
      </c>
      <c r="E2280" s="8" t="str">
        <f>TEXT(Tabla2[[#This Row],[fecha]], "mmmm")</f>
        <v>mayo</v>
      </c>
      <c r="F2280" s="8" t="str">
        <f>"T"&amp;ROUNDUP(Tabla2[[#This Row],[mes]]/3,0)</f>
        <v>T2</v>
      </c>
      <c r="G2280" t="s">
        <v>49</v>
      </c>
      <c r="H2280" t="s">
        <v>50</v>
      </c>
      <c r="I2280" s="8" t="str">
        <f>IF(Tabla2[[#This Row],[precio_unitario]]&lt;=30,"Económico",IF(Tabla2[[#This Row],[precio_unitario]]&lt;=58.49,"Accesible","Caro"))</f>
        <v>Caro</v>
      </c>
      <c r="J2280" t="s">
        <v>44</v>
      </c>
      <c r="K2280">
        <v>3</v>
      </c>
      <c r="L2280" s="19">
        <v>64.37</v>
      </c>
      <c r="M2280" s="19">
        <v>35.229999999999997</v>
      </c>
      <c r="N2280" s="13">
        <v>0</v>
      </c>
      <c r="O2280" s="17">
        <f t="shared" si="143"/>
        <v>193.11</v>
      </c>
      <c r="P2280" s="17">
        <f t="shared" si="140"/>
        <v>105.69</v>
      </c>
      <c r="Q2280" s="17">
        <f t="shared" si="141"/>
        <v>87.420000000000016</v>
      </c>
      <c r="R2280" s="24">
        <f t="shared" si="142"/>
        <v>0.45269535497902758</v>
      </c>
      <c r="S2280" t="s">
        <v>83</v>
      </c>
      <c r="T2280" t="s">
        <v>64</v>
      </c>
    </row>
    <row r="2281" spans="1:20" hidden="1">
      <c r="A2281" t="s">
        <v>2346</v>
      </c>
      <c r="B2281" s="5">
        <v>45606</v>
      </c>
      <c r="C2281" s="8">
        <f>YEAR(Tabla2[[#This Row],[fecha]])</f>
        <v>2024</v>
      </c>
      <c r="D2281" s="8">
        <f>MONTH(Tabla2[[#This Row],[fecha]])</f>
        <v>11</v>
      </c>
      <c r="E2281" s="8" t="str">
        <f>TEXT(Tabla2[[#This Row],[fecha]], "mmmm")</f>
        <v>noviembre</v>
      </c>
      <c r="F2281" s="8" t="str">
        <f>"T"&amp;ROUNDUP(Tabla2[[#This Row],[mes]]/3,0)</f>
        <v>T4</v>
      </c>
      <c r="G2281" t="s">
        <v>18</v>
      </c>
      <c r="H2281" t="s">
        <v>19</v>
      </c>
      <c r="I2281" s="8" t="str">
        <f>IF(Tabla2[[#This Row],[precio_unitario]]&lt;=30,"Económico",IF(Tabla2[[#This Row],[precio_unitario]]&lt;=58.49,"Accesible","Caro"))</f>
        <v>Accesible</v>
      </c>
      <c r="J2281" t="s">
        <v>17</v>
      </c>
      <c r="K2281">
        <v>1</v>
      </c>
      <c r="L2281" s="19">
        <v>47.67</v>
      </c>
      <c r="M2281" s="19">
        <v>25.63</v>
      </c>
      <c r="N2281" s="11">
        <v>0</v>
      </c>
      <c r="O2281" s="17">
        <f t="shared" si="143"/>
        <v>47.67</v>
      </c>
      <c r="P2281" s="17">
        <f t="shared" si="140"/>
        <v>25.63</v>
      </c>
      <c r="Q2281" s="17">
        <f t="shared" si="141"/>
        <v>22.040000000000003</v>
      </c>
      <c r="R2281" s="24">
        <f t="shared" si="142"/>
        <v>0.46234529053912315</v>
      </c>
      <c r="S2281" t="s">
        <v>67</v>
      </c>
      <c r="T2281" t="s">
        <v>60</v>
      </c>
    </row>
    <row r="2282" spans="1:20" hidden="1">
      <c r="A2282" t="s">
        <v>2347</v>
      </c>
      <c r="B2282" s="5">
        <v>45406</v>
      </c>
      <c r="C2282" s="8">
        <f>YEAR(Tabla2[[#This Row],[fecha]])</f>
        <v>2024</v>
      </c>
      <c r="D2282" s="8">
        <f>MONTH(Tabla2[[#This Row],[fecha]])</f>
        <v>4</v>
      </c>
      <c r="E2282" s="8" t="str">
        <f>TEXT(Tabla2[[#This Row],[fecha]], "mmmm")</f>
        <v>abril</v>
      </c>
      <c r="F2282" s="8" t="str">
        <f>"T"&amp;ROUNDUP(Tabla2[[#This Row],[mes]]/3,0)</f>
        <v>T2</v>
      </c>
      <c r="G2282" t="s">
        <v>47</v>
      </c>
      <c r="H2282" t="s">
        <v>48</v>
      </c>
      <c r="I2282" s="8" t="str">
        <f>IF(Tabla2[[#This Row],[precio_unitario]]&lt;=30,"Económico",IF(Tabla2[[#This Row],[precio_unitario]]&lt;=58.49,"Accesible","Caro"))</f>
        <v>Accesible</v>
      </c>
      <c r="J2282" t="s">
        <v>44</v>
      </c>
      <c r="K2282">
        <v>4</v>
      </c>
      <c r="L2282" s="19">
        <v>56.98</v>
      </c>
      <c r="M2282" s="19">
        <v>32.619999999999997</v>
      </c>
      <c r="N2282" s="11">
        <v>0</v>
      </c>
      <c r="O2282" s="17">
        <f t="shared" si="143"/>
        <v>227.92</v>
      </c>
      <c r="P2282" s="17">
        <f t="shared" si="140"/>
        <v>130.47999999999999</v>
      </c>
      <c r="Q2282" s="17">
        <f t="shared" si="141"/>
        <v>97.44</v>
      </c>
      <c r="R2282" s="24">
        <f t="shared" si="142"/>
        <v>0.42751842751842756</v>
      </c>
      <c r="S2282" t="s">
        <v>63</v>
      </c>
      <c r="T2282" t="s">
        <v>60</v>
      </c>
    </row>
    <row r="2283" spans="1:20">
      <c r="A2283" t="s">
        <v>2348</v>
      </c>
      <c r="B2283" s="5">
        <v>45954</v>
      </c>
      <c r="C2283" s="8">
        <f>YEAR(Tabla2[[#This Row],[fecha]])</f>
        <v>2025</v>
      </c>
      <c r="D2283" s="8">
        <f>MONTH(Tabla2[[#This Row],[fecha]])</f>
        <v>10</v>
      </c>
      <c r="E2283" s="8" t="str">
        <f>TEXT(Tabla2[[#This Row],[fecha]], "mmmm")</f>
        <v>octubre</v>
      </c>
      <c r="F2283" s="8" t="str">
        <f>"T"&amp;ROUNDUP(Tabla2[[#This Row],[mes]]/3,0)</f>
        <v>T4</v>
      </c>
      <c r="G2283" t="s">
        <v>9</v>
      </c>
      <c r="H2283" t="s">
        <v>10</v>
      </c>
      <c r="I2283" s="8" t="str">
        <f>IF(Tabla2[[#This Row],[precio_unitario]]&lt;=30,"Económico",IF(Tabla2[[#This Row],[precio_unitario]]&lt;=58.49,"Accesible","Caro"))</f>
        <v>Caro</v>
      </c>
      <c r="J2283" t="s">
        <v>8</v>
      </c>
      <c r="K2283">
        <v>1</v>
      </c>
      <c r="L2283" s="19">
        <v>70.88</v>
      </c>
      <c r="M2283" s="19">
        <v>47.82</v>
      </c>
      <c r="N2283" s="11">
        <v>0</v>
      </c>
      <c r="O2283" s="17">
        <f t="shared" si="143"/>
        <v>70.88</v>
      </c>
      <c r="P2283" s="17">
        <f t="shared" si="140"/>
        <v>47.82</v>
      </c>
      <c r="Q2283" s="17">
        <f t="shared" si="141"/>
        <v>23.059999999999995</v>
      </c>
      <c r="R2283" s="24">
        <f t="shared" si="142"/>
        <v>0.32533860045146723</v>
      </c>
      <c r="S2283" t="s">
        <v>67</v>
      </c>
      <c r="T2283" t="s">
        <v>64</v>
      </c>
    </row>
    <row r="2284" spans="1:20">
      <c r="A2284" t="s">
        <v>2349</v>
      </c>
      <c r="B2284" s="5">
        <v>45939</v>
      </c>
      <c r="C2284" s="8">
        <f>YEAR(Tabla2[[#This Row],[fecha]])</f>
        <v>2025</v>
      </c>
      <c r="D2284" s="8">
        <f>MONTH(Tabla2[[#This Row],[fecha]])</f>
        <v>10</v>
      </c>
      <c r="E2284" s="8" t="str">
        <f>TEXT(Tabla2[[#This Row],[fecha]], "mmmm")</f>
        <v>octubre</v>
      </c>
      <c r="F2284" s="8" t="str">
        <f>"T"&amp;ROUNDUP(Tabla2[[#This Row],[mes]]/3,0)</f>
        <v>T4</v>
      </c>
      <c r="G2284" t="s">
        <v>31</v>
      </c>
      <c r="H2284" t="s">
        <v>32</v>
      </c>
      <c r="I2284" s="8" t="str">
        <f>IF(Tabla2[[#This Row],[precio_unitario]]&lt;=30,"Económico",IF(Tabla2[[#This Row],[precio_unitario]]&lt;=58.49,"Accesible","Caro"))</f>
        <v>Económico</v>
      </c>
      <c r="J2284" t="s">
        <v>26</v>
      </c>
      <c r="K2284">
        <v>1</v>
      </c>
      <c r="L2284" s="19">
        <v>8.7899999999999991</v>
      </c>
      <c r="M2284" s="19">
        <v>5.52</v>
      </c>
      <c r="N2284" s="11">
        <v>0.22</v>
      </c>
      <c r="O2284" s="17">
        <f t="shared" si="143"/>
        <v>6.8561999999999994</v>
      </c>
      <c r="P2284" s="17">
        <f t="shared" si="140"/>
        <v>5.52</v>
      </c>
      <c r="Q2284" s="17">
        <f t="shared" si="141"/>
        <v>1.3361999999999998</v>
      </c>
      <c r="R2284" s="24">
        <f t="shared" si="142"/>
        <v>0.19488929727837576</v>
      </c>
      <c r="S2284" t="s">
        <v>67</v>
      </c>
      <c r="T2284" t="s">
        <v>64</v>
      </c>
    </row>
    <row r="2285" spans="1:20" hidden="1">
      <c r="A2285" t="s">
        <v>2350</v>
      </c>
      <c r="B2285" s="5">
        <v>45740</v>
      </c>
      <c r="C2285" s="8">
        <f>YEAR(Tabla2[[#This Row],[fecha]])</f>
        <v>2025</v>
      </c>
      <c r="D2285" s="8">
        <f>MONTH(Tabla2[[#This Row],[fecha]])</f>
        <v>3</v>
      </c>
      <c r="E2285" s="8" t="str">
        <f>TEXT(Tabla2[[#This Row],[fecha]], "mmmm")</f>
        <v>marzo</v>
      </c>
      <c r="F2285" s="8" t="str">
        <f>"T"&amp;ROUNDUP(Tabla2[[#This Row],[mes]]/3,0)</f>
        <v>T1</v>
      </c>
      <c r="G2285" t="s">
        <v>13</v>
      </c>
      <c r="H2285" t="s">
        <v>14</v>
      </c>
      <c r="I2285" s="8" t="str">
        <f>IF(Tabla2[[#This Row],[precio_unitario]]&lt;=30,"Económico",IF(Tabla2[[#This Row],[precio_unitario]]&lt;=58.49,"Accesible","Caro"))</f>
        <v>Caro</v>
      </c>
      <c r="J2285" t="s">
        <v>8</v>
      </c>
      <c r="K2285">
        <v>3</v>
      </c>
      <c r="L2285" s="19">
        <v>163.05000000000001</v>
      </c>
      <c r="M2285" s="19">
        <v>112.77</v>
      </c>
      <c r="N2285" s="11">
        <v>0</v>
      </c>
      <c r="O2285" s="17">
        <f t="shared" si="143"/>
        <v>489.15000000000003</v>
      </c>
      <c r="P2285" s="17">
        <f t="shared" si="140"/>
        <v>338.31</v>
      </c>
      <c r="Q2285" s="17">
        <f t="shared" si="141"/>
        <v>150.84000000000003</v>
      </c>
      <c r="R2285" s="24">
        <f t="shared" si="142"/>
        <v>0.3083716651333947</v>
      </c>
      <c r="S2285" t="s">
        <v>63</v>
      </c>
      <c r="T2285" t="s">
        <v>64</v>
      </c>
    </row>
    <row r="2286" spans="1:20" hidden="1">
      <c r="A2286" t="s">
        <v>2351</v>
      </c>
      <c r="B2286" s="5">
        <v>45298</v>
      </c>
      <c r="C2286" s="8">
        <f>YEAR(Tabla2[[#This Row],[fecha]])</f>
        <v>2024</v>
      </c>
      <c r="D2286" s="8">
        <f>MONTH(Tabla2[[#This Row],[fecha]])</f>
        <v>1</v>
      </c>
      <c r="E2286" s="8" t="str">
        <f>TEXT(Tabla2[[#This Row],[fecha]], "mmmm")</f>
        <v>enero</v>
      </c>
      <c r="F2286" s="8" t="str">
        <f>"T"&amp;ROUNDUP(Tabla2[[#This Row],[mes]]/3,0)</f>
        <v>T1</v>
      </c>
      <c r="G2286" t="s">
        <v>40</v>
      </c>
      <c r="H2286" t="s">
        <v>41</v>
      </c>
      <c r="I2286" s="8" t="str">
        <f>IF(Tabla2[[#This Row],[precio_unitario]]&lt;=30,"Económico",IF(Tabla2[[#This Row],[precio_unitario]]&lt;=58.49,"Accesible","Caro"))</f>
        <v>Caro</v>
      </c>
      <c r="J2286" t="s">
        <v>35</v>
      </c>
      <c r="K2286">
        <v>5</v>
      </c>
      <c r="L2286" s="19">
        <v>84.3</v>
      </c>
      <c r="M2286" s="19">
        <v>39.54</v>
      </c>
      <c r="N2286" s="11">
        <v>0.27</v>
      </c>
      <c r="O2286" s="17">
        <f t="shared" si="143"/>
        <v>307.69499999999999</v>
      </c>
      <c r="P2286" s="17">
        <f t="shared" si="140"/>
        <v>197.7</v>
      </c>
      <c r="Q2286" s="17">
        <f t="shared" si="141"/>
        <v>109.995</v>
      </c>
      <c r="R2286" s="24">
        <f t="shared" si="142"/>
        <v>0.35748062204455711</v>
      </c>
      <c r="S2286" t="s">
        <v>67</v>
      </c>
      <c r="T2286" t="s">
        <v>60</v>
      </c>
    </row>
    <row r="2287" spans="1:20" hidden="1">
      <c r="A2287" t="s">
        <v>2352</v>
      </c>
      <c r="B2287" s="5">
        <v>45425</v>
      </c>
      <c r="C2287" s="8">
        <f>YEAR(Tabla2[[#This Row],[fecha]])</f>
        <v>2024</v>
      </c>
      <c r="D2287" s="8">
        <f>MONTH(Tabla2[[#This Row],[fecha]])</f>
        <v>5</v>
      </c>
      <c r="E2287" s="8" t="str">
        <f>TEXT(Tabla2[[#This Row],[fecha]], "mmmm")</f>
        <v>mayo</v>
      </c>
      <c r="F2287" s="8" t="str">
        <f>"T"&amp;ROUNDUP(Tabla2[[#This Row],[mes]]/3,0)</f>
        <v>T2</v>
      </c>
      <c r="G2287" t="s">
        <v>20</v>
      </c>
      <c r="H2287" t="s">
        <v>21</v>
      </c>
      <c r="I2287" s="8" t="str">
        <f>IF(Tabla2[[#This Row],[precio_unitario]]&lt;=30,"Económico",IF(Tabla2[[#This Row],[precio_unitario]]&lt;=58.49,"Accesible","Caro"))</f>
        <v>Económico</v>
      </c>
      <c r="J2287" t="s">
        <v>17</v>
      </c>
      <c r="K2287">
        <v>7</v>
      </c>
      <c r="L2287" s="19">
        <v>18.45</v>
      </c>
      <c r="M2287" s="19">
        <v>12.45</v>
      </c>
      <c r="N2287" s="11">
        <v>0</v>
      </c>
      <c r="O2287" s="17">
        <f t="shared" si="143"/>
        <v>129.15</v>
      </c>
      <c r="P2287" s="17">
        <f t="shared" si="140"/>
        <v>87.149999999999991</v>
      </c>
      <c r="Q2287" s="17">
        <f t="shared" si="141"/>
        <v>42.000000000000014</v>
      </c>
      <c r="R2287" s="24">
        <f t="shared" si="142"/>
        <v>0.32520325203252043</v>
      </c>
      <c r="S2287" t="s">
        <v>67</v>
      </c>
      <c r="T2287" t="s">
        <v>60</v>
      </c>
    </row>
    <row r="2288" spans="1:20">
      <c r="A2288" t="s">
        <v>2353</v>
      </c>
      <c r="B2288" s="5">
        <v>45877</v>
      </c>
      <c r="C2288" s="8">
        <f>YEAR(Tabla2[[#This Row],[fecha]])</f>
        <v>2025</v>
      </c>
      <c r="D2288" s="8">
        <f>MONTH(Tabla2[[#This Row],[fecha]])</f>
        <v>8</v>
      </c>
      <c r="E2288" s="8" t="str">
        <f>TEXT(Tabla2[[#This Row],[fecha]], "mmmm")</f>
        <v>agosto</v>
      </c>
      <c r="F2288" s="8" t="str">
        <f>"T"&amp;ROUNDUP(Tabla2[[#This Row],[mes]]/3,0)</f>
        <v>T3</v>
      </c>
      <c r="G2288" t="s">
        <v>11</v>
      </c>
      <c r="H2288" t="s">
        <v>12</v>
      </c>
      <c r="I2288" s="8" t="str">
        <f>IF(Tabla2[[#This Row],[precio_unitario]]&lt;=30,"Económico",IF(Tabla2[[#This Row],[precio_unitario]]&lt;=58.49,"Accesible","Caro"))</f>
        <v>Caro</v>
      </c>
      <c r="J2288" t="s">
        <v>8</v>
      </c>
      <c r="K2288">
        <v>7</v>
      </c>
      <c r="L2288" s="20">
        <f>INDEX(Tabla3[precio_venta_recomendado], MATCH(Tabla2[[#This Row],[id_producto]], Tabla3[id_producto], 0))</f>
        <v>177.72</v>
      </c>
      <c r="M2288" s="19">
        <v>90.13</v>
      </c>
      <c r="N2288" s="13">
        <v>0</v>
      </c>
      <c r="O2288" s="17">
        <f t="shared" si="143"/>
        <v>1244.04</v>
      </c>
      <c r="P2288" s="17">
        <f t="shared" si="140"/>
        <v>630.91</v>
      </c>
      <c r="Q2288" s="17">
        <f t="shared" si="141"/>
        <v>613.13</v>
      </c>
      <c r="R2288" s="24">
        <f t="shared" si="142"/>
        <v>0.49285392752644608</v>
      </c>
      <c r="S2288" t="s">
        <v>67</v>
      </c>
      <c r="T2288" t="s">
        <v>64</v>
      </c>
    </row>
    <row r="2289" spans="1:20" hidden="1">
      <c r="A2289" t="s">
        <v>2354</v>
      </c>
      <c r="B2289" s="5">
        <v>45476</v>
      </c>
      <c r="C2289" s="8">
        <f>YEAR(Tabla2[[#This Row],[fecha]])</f>
        <v>2024</v>
      </c>
      <c r="D2289" s="8">
        <f>MONTH(Tabla2[[#This Row],[fecha]])</f>
        <v>7</v>
      </c>
      <c r="E2289" s="8" t="str">
        <f>TEXT(Tabla2[[#This Row],[fecha]], "mmmm")</f>
        <v>julio</v>
      </c>
      <c r="F2289" s="8" t="str">
        <f>"T"&amp;ROUNDUP(Tabla2[[#This Row],[mes]]/3,0)</f>
        <v>T3</v>
      </c>
      <c r="G2289" t="s">
        <v>45</v>
      </c>
      <c r="H2289" t="s">
        <v>46</v>
      </c>
      <c r="I2289" s="8" t="str">
        <f>IF(Tabla2[[#This Row],[precio_unitario]]&lt;=30,"Económico",IF(Tabla2[[#This Row],[precio_unitario]]&lt;=58.49,"Accesible","Caro"))</f>
        <v>Accesible</v>
      </c>
      <c r="J2289" t="s">
        <v>44</v>
      </c>
      <c r="K2289">
        <v>1</v>
      </c>
      <c r="L2289" s="19">
        <v>32.590000000000003</v>
      </c>
      <c r="M2289" s="19">
        <v>17.45</v>
      </c>
      <c r="N2289" s="11">
        <v>0.18</v>
      </c>
      <c r="O2289" s="17">
        <f t="shared" si="143"/>
        <v>26.723800000000004</v>
      </c>
      <c r="P2289" s="17">
        <f t="shared" si="140"/>
        <v>17.45</v>
      </c>
      <c r="Q2289" s="17">
        <f t="shared" si="141"/>
        <v>9.2738000000000049</v>
      </c>
      <c r="R2289" s="24">
        <f t="shared" si="142"/>
        <v>0.34702400107769116</v>
      </c>
      <c r="S2289" t="s">
        <v>101</v>
      </c>
      <c r="T2289" t="s">
        <v>60</v>
      </c>
    </row>
    <row r="2290" spans="1:20" hidden="1">
      <c r="A2290" t="s">
        <v>2355</v>
      </c>
      <c r="B2290" s="5">
        <v>45324</v>
      </c>
      <c r="C2290" s="8">
        <f>YEAR(Tabla2[[#This Row],[fecha]])</f>
        <v>2024</v>
      </c>
      <c r="D2290" s="8">
        <f>MONTH(Tabla2[[#This Row],[fecha]])</f>
        <v>2</v>
      </c>
      <c r="E2290" s="8" t="str">
        <f>TEXT(Tabla2[[#This Row],[fecha]], "mmmm")</f>
        <v>febrero</v>
      </c>
      <c r="F2290" s="8" t="str">
        <f>"T"&amp;ROUNDUP(Tabla2[[#This Row],[mes]]/3,0)</f>
        <v>T1</v>
      </c>
      <c r="G2290" t="s">
        <v>22</v>
      </c>
      <c r="H2290" t="s">
        <v>23</v>
      </c>
      <c r="I2290" s="8" t="str">
        <f>IF(Tabla2[[#This Row],[precio_unitario]]&lt;=30,"Económico",IF(Tabla2[[#This Row],[precio_unitario]]&lt;=58.49,"Accesible","Caro"))</f>
        <v>Caro</v>
      </c>
      <c r="J2290" t="s">
        <v>17</v>
      </c>
      <c r="K2290">
        <v>1</v>
      </c>
      <c r="L2290" s="19">
        <v>101.29</v>
      </c>
      <c r="M2290" s="19">
        <v>56.97</v>
      </c>
      <c r="N2290" s="11">
        <v>0.18</v>
      </c>
      <c r="O2290" s="17">
        <f t="shared" si="143"/>
        <v>83.057800000000015</v>
      </c>
      <c r="P2290" s="17">
        <f t="shared" si="140"/>
        <v>56.97</v>
      </c>
      <c r="Q2290" s="17">
        <f t="shared" si="141"/>
        <v>26.087800000000016</v>
      </c>
      <c r="R2290" s="24">
        <f t="shared" si="142"/>
        <v>0.31409211416627952</v>
      </c>
      <c r="S2290" t="s">
        <v>83</v>
      </c>
      <c r="T2290" t="s">
        <v>64</v>
      </c>
    </row>
    <row r="2291" spans="1:20" hidden="1">
      <c r="A2291" t="s">
        <v>2356</v>
      </c>
      <c r="B2291" s="5">
        <v>45326</v>
      </c>
      <c r="C2291" s="8">
        <f>YEAR(Tabla2[[#This Row],[fecha]])</f>
        <v>2024</v>
      </c>
      <c r="D2291" s="8">
        <f>MONTH(Tabla2[[#This Row],[fecha]])</f>
        <v>2</v>
      </c>
      <c r="E2291" s="8" t="str">
        <f>TEXT(Tabla2[[#This Row],[fecha]], "mmmm")</f>
        <v>febrero</v>
      </c>
      <c r="F2291" s="8" t="str">
        <f>"T"&amp;ROUNDUP(Tabla2[[#This Row],[mes]]/3,0)</f>
        <v>T1</v>
      </c>
      <c r="G2291" t="s">
        <v>47</v>
      </c>
      <c r="H2291" t="s">
        <v>48</v>
      </c>
      <c r="I2291" s="8" t="str">
        <f>IF(Tabla2[[#This Row],[precio_unitario]]&lt;=30,"Económico",IF(Tabla2[[#This Row],[precio_unitario]]&lt;=58.49,"Accesible","Caro"))</f>
        <v>Accesible</v>
      </c>
      <c r="J2291" t="s">
        <v>44</v>
      </c>
      <c r="K2291">
        <v>2</v>
      </c>
      <c r="L2291" s="19">
        <v>56.18</v>
      </c>
      <c r="M2291" s="19">
        <v>32.6</v>
      </c>
      <c r="N2291" s="13">
        <v>0</v>
      </c>
      <c r="O2291" s="17">
        <f t="shared" si="143"/>
        <v>112.36</v>
      </c>
      <c r="P2291" s="17">
        <f t="shared" si="140"/>
        <v>65.2</v>
      </c>
      <c r="Q2291" s="17">
        <f t="shared" si="141"/>
        <v>47.16</v>
      </c>
      <c r="R2291" s="24">
        <f t="shared" si="142"/>
        <v>0.4197223211107155</v>
      </c>
      <c r="S2291" t="s">
        <v>67</v>
      </c>
      <c r="T2291" t="s">
        <v>60</v>
      </c>
    </row>
    <row r="2292" spans="1:20" hidden="1">
      <c r="A2292" t="s">
        <v>2357</v>
      </c>
      <c r="B2292" s="5">
        <v>45664</v>
      </c>
      <c r="C2292" s="8">
        <f>YEAR(Tabla2[[#This Row],[fecha]])</f>
        <v>2025</v>
      </c>
      <c r="D2292" s="8">
        <f>MONTH(Tabla2[[#This Row],[fecha]])</f>
        <v>1</v>
      </c>
      <c r="E2292" s="8" t="str">
        <f>TEXT(Tabla2[[#This Row],[fecha]], "mmmm")</f>
        <v>enero</v>
      </c>
      <c r="F2292" s="8" t="str">
        <f>"T"&amp;ROUNDUP(Tabla2[[#This Row],[mes]]/3,0)</f>
        <v>T1</v>
      </c>
      <c r="G2292" t="s">
        <v>49</v>
      </c>
      <c r="H2292" t="s">
        <v>50</v>
      </c>
      <c r="I2292" s="8" t="str">
        <f>IF(Tabla2[[#This Row],[precio_unitario]]&lt;=30,"Económico",IF(Tabla2[[#This Row],[precio_unitario]]&lt;=58.49,"Accesible","Caro"))</f>
        <v>Caro</v>
      </c>
      <c r="J2292" t="s">
        <v>44</v>
      </c>
      <c r="K2292">
        <v>6</v>
      </c>
      <c r="L2292" s="19">
        <v>61.71</v>
      </c>
      <c r="M2292" s="19">
        <v>32.81</v>
      </c>
      <c r="N2292" s="13">
        <v>0</v>
      </c>
      <c r="O2292" s="17">
        <f t="shared" si="143"/>
        <v>370.26</v>
      </c>
      <c r="P2292" s="17">
        <f t="shared" si="140"/>
        <v>196.86</v>
      </c>
      <c r="Q2292" s="17">
        <f t="shared" si="141"/>
        <v>173.39999999999998</v>
      </c>
      <c r="R2292" s="24">
        <f t="shared" si="142"/>
        <v>0.4683195592286501</v>
      </c>
      <c r="S2292" t="s">
        <v>96</v>
      </c>
      <c r="T2292" t="s">
        <v>64</v>
      </c>
    </row>
    <row r="2293" spans="1:20" hidden="1">
      <c r="A2293" t="s">
        <v>2358</v>
      </c>
      <c r="B2293" s="5">
        <v>45773</v>
      </c>
      <c r="C2293" s="8">
        <f>YEAR(Tabla2[[#This Row],[fecha]])</f>
        <v>2025</v>
      </c>
      <c r="D2293" s="8">
        <f>MONTH(Tabla2[[#This Row],[fecha]])</f>
        <v>4</v>
      </c>
      <c r="E2293" s="8" t="str">
        <f>TEXT(Tabla2[[#This Row],[fecha]], "mmmm")</f>
        <v>abril</v>
      </c>
      <c r="F2293" s="8" t="str">
        <f>"T"&amp;ROUNDUP(Tabla2[[#This Row],[mes]]/3,0)</f>
        <v>T2</v>
      </c>
      <c r="G2293" t="s">
        <v>31</v>
      </c>
      <c r="H2293" t="s">
        <v>32</v>
      </c>
      <c r="I2293" s="8" t="str">
        <f>IF(Tabla2[[#This Row],[precio_unitario]]&lt;=30,"Económico",IF(Tabla2[[#This Row],[precio_unitario]]&lt;=58.49,"Accesible","Caro"))</f>
        <v>Económico</v>
      </c>
      <c r="J2293" t="s">
        <v>26</v>
      </c>
      <c r="K2293">
        <v>1</v>
      </c>
      <c r="L2293" s="19">
        <v>8.4499999999999993</v>
      </c>
      <c r="M2293" s="19">
        <v>5.57</v>
      </c>
      <c r="N2293" s="11">
        <v>0</v>
      </c>
      <c r="O2293" s="17">
        <f t="shared" si="143"/>
        <v>8.4499999999999993</v>
      </c>
      <c r="P2293" s="17">
        <f t="shared" si="140"/>
        <v>5.57</v>
      </c>
      <c r="Q2293" s="17">
        <f t="shared" si="141"/>
        <v>2.879999999999999</v>
      </c>
      <c r="R2293" s="24">
        <f t="shared" si="142"/>
        <v>0.34082840236686379</v>
      </c>
      <c r="S2293" t="s">
        <v>101</v>
      </c>
      <c r="T2293" t="s">
        <v>60</v>
      </c>
    </row>
    <row r="2294" spans="1:20" hidden="1">
      <c r="A2294" t="s">
        <v>2359</v>
      </c>
      <c r="B2294" s="5">
        <v>45469</v>
      </c>
      <c r="C2294" s="8">
        <f>YEAR(Tabla2[[#This Row],[fecha]])</f>
        <v>2024</v>
      </c>
      <c r="D2294" s="8">
        <f>MONTH(Tabla2[[#This Row],[fecha]])</f>
        <v>6</v>
      </c>
      <c r="E2294" s="8" t="str">
        <f>TEXT(Tabla2[[#This Row],[fecha]], "mmmm")</f>
        <v>junio</v>
      </c>
      <c r="F2294" s="8" t="str">
        <f>"T"&amp;ROUNDUP(Tabla2[[#This Row],[mes]]/3,0)</f>
        <v>T2</v>
      </c>
      <c r="G2294" t="s">
        <v>18</v>
      </c>
      <c r="H2294" t="s">
        <v>19</v>
      </c>
      <c r="I2294" s="8" t="str">
        <f>IF(Tabla2[[#This Row],[precio_unitario]]&lt;=30,"Económico",IF(Tabla2[[#This Row],[precio_unitario]]&lt;=58.49,"Accesible","Caro"))</f>
        <v>Accesible</v>
      </c>
      <c r="J2294" t="s">
        <v>17</v>
      </c>
      <c r="K2294">
        <v>1</v>
      </c>
      <c r="L2294" s="19">
        <v>44.96</v>
      </c>
      <c r="M2294" s="19">
        <v>25.73</v>
      </c>
      <c r="N2294" s="11">
        <v>0</v>
      </c>
      <c r="O2294" s="17">
        <f t="shared" si="143"/>
        <v>44.96</v>
      </c>
      <c r="P2294" s="17">
        <f t="shared" si="140"/>
        <v>25.73</v>
      </c>
      <c r="Q2294" s="17">
        <f t="shared" si="141"/>
        <v>19.23</v>
      </c>
      <c r="R2294" s="24">
        <f t="shared" si="142"/>
        <v>0.4277135231316726</v>
      </c>
      <c r="S2294" t="s">
        <v>63</v>
      </c>
      <c r="T2294" t="s">
        <v>60</v>
      </c>
    </row>
    <row r="2295" spans="1:20" hidden="1">
      <c r="A2295" t="s">
        <v>2360</v>
      </c>
      <c r="B2295" s="14">
        <v>45390</v>
      </c>
      <c r="C2295" s="8">
        <f>YEAR(Tabla2[[#This Row],[fecha]])</f>
        <v>2024</v>
      </c>
      <c r="D2295" s="8">
        <f>MONTH(Tabla2[[#This Row],[fecha]])</f>
        <v>4</v>
      </c>
      <c r="E2295" s="8" t="str">
        <f>TEXT(Tabla2[[#This Row],[fecha]], "mmmm")</f>
        <v>abril</v>
      </c>
      <c r="F2295" s="8" t="str">
        <f>"T"&amp;ROUNDUP(Tabla2[[#This Row],[mes]]/3,0)</f>
        <v>T2</v>
      </c>
      <c r="G2295" t="s">
        <v>40</v>
      </c>
      <c r="H2295" t="s">
        <v>41</v>
      </c>
      <c r="I2295" s="8" t="str">
        <f>IF(Tabla2[[#This Row],[precio_unitario]]&lt;=30,"Económico",IF(Tabla2[[#This Row],[precio_unitario]]&lt;=58.49,"Accesible","Caro"))</f>
        <v>Caro</v>
      </c>
      <c r="J2295" t="s">
        <v>35</v>
      </c>
      <c r="K2295">
        <v>1</v>
      </c>
      <c r="L2295" s="19">
        <v>75.11</v>
      </c>
      <c r="M2295" s="19">
        <v>39.96</v>
      </c>
      <c r="N2295" s="13">
        <v>0</v>
      </c>
      <c r="O2295" s="17">
        <f t="shared" si="143"/>
        <v>75.11</v>
      </c>
      <c r="P2295" s="17">
        <f t="shared" si="140"/>
        <v>39.96</v>
      </c>
      <c r="Q2295" s="17">
        <f t="shared" si="141"/>
        <v>35.15</v>
      </c>
      <c r="R2295" s="24">
        <f t="shared" si="142"/>
        <v>0.46798029556650245</v>
      </c>
      <c r="S2295" t="s">
        <v>67</v>
      </c>
      <c r="T2295" t="s">
        <v>64</v>
      </c>
    </row>
    <row r="2296" spans="1:20" hidden="1">
      <c r="A2296" t="s">
        <v>2361</v>
      </c>
      <c r="B2296" s="5">
        <v>45798</v>
      </c>
      <c r="C2296" s="8">
        <f>YEAR(Tabla2[[#This Row],[fecha]])</f>
        <v>2025</v>
      </c>
      <c r="D2296" s="8">
        <f>MONTH(Tabla2[[#This Row],[fecha]])</f>
        <v>5</v>
      </c>
      <c r="E2296" s="8" t="str">
        <f>TEXT(Tabla2[[#This Row],[fecha]], "mmmm")</f>
        <v>mayo</v>
      </c>
      <c r="F2296" s="8" t="str">
        <f>"T"&amp;ROUNDUP(Tabla2[[#This Row],[mes]]/3,0)</f>
        <v>T2</v>
      </c>
      <c r="G2296" t="s">
        <v>24</v>
      </c>
      <c r="H2296" t="s">
        <v>25</v>
      </c>
      <c r="I2296" s="8" t="str">
        <f>IF(Tabla2[[#This Row],[precio_unitario]]&lt;=30,"Económico",IF(Tabla2[[#This Row],[precio_unitario]]&lt;=58.49,"Accesible","Caro"))</f>
        <v>Económico</v>
      </c>
      <c r="J2296" t="s">
        <v>26</v>
      </c>
      <c r="K2296">
        <v>3</v>
      </c>
      <c r="L2296" s="19">
        <v>7.93</v>
      </c>
      <c r="M2296" s="19">
        <v>4.1900000000000004</v>
      </c>
      <c r="N2296" s="11">
        <v>0.16</v>
      </c>
      <c r="O2296" s="17">
        <f t="shared" si="143"/>
        <v>19.983599999999999</v>
      </c>
      <c r="P2296" s="17">
        <f t="shared" si="140"/>
        <v>12.57</v>
      </c>
      <c r="Q2296" s="17">
        <f t="shared" si="141"/>
        <v>7.4135999999999989</v>
      </c>
      <c r="R2296" s="24">
        <f t="shared" si="142"/>
        <v>0.3709842070497808</v>
      </c>
      <c r="S2296" t="s">
        <v>540</v>
      </c>
      <c r="T2296" t="s">
        <v>64</v>
      </c>
    </row>
    <row r="2297" spans="1:20" hidden="1">
      <c r="A2297" t="s">
        <v>2362</v>
      </c>
      <c r="B2297" s="5">
        <v>45606</v>
      </c>
      <c r="C2297" s="8">
        <f>YEAR(Tabla2[[#This Row],[fecha]])</f>
        <v>2024</v>
      </c>
      <c r="D2297" s="8">
        <f>MONTH(Tabla2[[#This Row],[fecha]])</f>
        <v>11</v>
      </c>
      <c r="E2297" s="8" t="str">
        <f>TEXT(Tabla2[[#This Row],[fecha]], "mmmm")</f>
        <v>noviembre</v>
      </c>
      <c r="F2297" s="8" t="str">
        <f>"T"&amp;ROUNDUP(Tabla2[[#This Row],[mes]]/3,0)</f>
        <v>T4</v>
      </c>
      <c r="G2297" t="s">
        <v>13</v>
      </c>
      <c r="H2297" t="s">
        <v>14</v>
      </c>
      <c r="I2297" s="8" t="str">
        <f>IF(Tabla2[[#This Row],[precio_unitario]]&lt;=30,"Económico",IF(Tabla2[[#This Row],[precio_unitario]]&lt;=58.49,"Accesible","Caro"))</f>
        <v>Caro</v>
      </c>
      <c r="J2297" t="s">
        <v>8</v>
      </c>
      <c r="K2297">
        <v>1</v>
      </c>
      <c r="L2297" s="19">
        <v>160.84</v>
      </c>
      <c r="M2297" s="19">
        <v>109.37</v>
      </c>
      <c r="N2297" s="13">
        <v>0</v>
      </c>
      <c r="O2297" s="17">
        <f t="shared" si="143"/>
        <v>160.84</v>
      </c>
      <c r="P2297" s="17">
        <f t="shared" si="140"/>
        <v>109.37</v>
      </c>
      <c r="Q2297" s="17">
        <f t="shared" si="141"/>
        <v>51.47</v>
      </c>
      <c r="R2297" s="24">
        <f t="shared" si="142"/>
        <v>0.32000746083063913</v>
      </c>
      <c r="S2297" t="s">
        <v>83</v>
      </c>
      <c r="T2297" t="s">
        <v>60</v>
      </c>
    </row>
    <row r="2298" spans="1:20" hidden="1">
      <c r="A2298" t="s">
        <v>2363</v>
      </c>
      <c r="B2298" s="5">
        <v>45544</v>
      </c>
      <c r="C2298" s="8">
        <f>YEAR(Tabla2[[#This Row],[fecha]])</f>
        <v>2024</v>
      </c>
      <c r="D2298" s="8">
        <f>MONTH(Tabla2[[#This Row],[fecha]])</f>
        <v>9</v>
      </c>
      <c r="E2298" s="8" t="str">
        <f>TEXT(Tabla2[[#This Row],[fecha]], "mmmm")</f>
        <v>septiembre</v>
      </c>
      <c r="F2298" s="8" t="str">
        <f>"T"&amp;ROUNDUP(Tabla2[[#This Row],[mes]]/3,0)</f>
        <v>T3</v>
      </c>
      <c r="G2298" t="s">
        <v>45</v>
      </c>
      <c r="H2298" t="s">
        <v>46</v>
      </c>
      <c r="I2298" s="8" t="str">
        <f>IF(Tabla2[[#This Row],[precio_unitario]]&lt;=30,"Económico",IF(Tabla2[[#This Row],[precio_unitario]]&lt;=58.49,"Accesible","Caro"))</f>
        <v>Accesible</v>
      </c>
      <c r="J2298" t="s">
        <v>44</v>
      </c>
      <c r="K2298">
        <v>5</v>
      </c>
      <c r="L2298" s="19">
        <v>30.04</v>
      </c>
      <c r="M2298" s="19">
        <v>16.760000000000002</v>
      </c>
      <c r="N2298" s="11">
        <v>0</v>
      </c>
      <c r="O2298" s="17">
        <f t="shared" si="143"/>
        <v>150.19999999999999</v>
      </c>
      <c r="P2298" s="17">
        <f t="shared" si="140"/>
        <v>83.800000000000011</v>
      </c>
      <c r="Q2298" s="17">
        <f t="shared" si="141"/>
        <v>66.399999999999977</v>
      </c>
      <c r="R2298" s="24">
        <f t="shared" si="142"/>
        <v>0.44207723035952051</v>
      </c>
      <c r="S2298" t="s">
        <v>83</v>
      </c>
      <c r="T2298" t="s">
        <v>64</v>
      </c>
    </row>
    <row r="2299" spans="1:20" hidden="1">
      <c r="A2299" t="s">
        <v>2364</v>
      </c>
      <c r="B2299" s="5">
        <v>45604</v>
      </c>
      <c r="C2299" s="8">
        <f>YEAR(Tabla2[[#This Row],[fecha]])</f>
        <v>2024</v>
      </c>
      <c r="D2299" s="8">
        <f>MONTH(Tabla2[[#This Row],[fecha]])</f>
        <v>11</v>
      </c>
      <c r="E2299" s="8" t="str">
        <f>TEXT(Tabla2[[#This Row],[fecha]], "mmmm")</f>
        <v>noviembre</v>
      </c>
      <c r="F2299" s="8" t="str">
        <f>"T"&amp;ROUNDUP(Tabla2[[#This Row],[mes]]/3,0)</f>
        <v>T4</v>
      </c>
      <c r="G2299" t="s">
        <v>22</v>
      </c>
      <c r="H2299" t="s">
        <v>23</v>
      </c>
      <c r="I2299" s="8" t="str">
        <f>IF(Tabla2[[#This Row],[precio_unitario]]&lt;=30,"Económico",IF(Tabla2[[#This Row],[precio_unitario]]&lt;=58.49,"Accesible","Caro"))</f>
        <v>Caro</v>
      </c>
      <c r="J2299" t="s">
        <v>17</v>
      </c>
      <c r="K2299">
        <v>1</v>
      </c>
      <c r="L2299" s="19">
        <v>108.29</v>
      </c>
      <c r="M2299" s="19">
        <v>58.24</v>
      </c>
      <c r="N2299" s="11">
        <v>0.11</v>
      </c>
      <c r="O2299" s="17">
        <f t="shared" si="143"/>
        <v>96.378100000000003</v>
      </c>
      <c r="P2299" s="17">
        <f t="shared" si="140"/>
        <v>58.24</v>
      </c>
      <c r="Q2299" s="17">
        <f t="shared" si="141"/>
        <v>38.138100000000001</v>
      </c>
      <c r="R2299" s="24">
        <f t="shared" si="142"/>
        <v>0.39571334151638182</v>
      </c>
      <c r="S2299" t="s">
        <v>83</v>
      </c>
      <c r="T2299" t="s">
        <v>60</v>
      </c>
    </row>
    <row r="2300" spans="1:20" hidden="1">
      <c r="A2300" t="s">
        <v>2365</v>
      </c>
      <c r="B2300" s="5">
        <v>45570</v>
      </c>
      <c r="C2300" s="8">
        <f>YEAR(Tabla2[[#This Row],[fecha]])</f>
        <v>2024</v>
      </c>
      <c r="D2300" s="8">
        <f>MONTH(Tabla2[[#This Row],[fecha]])</f>
        <v>10</v>
      </c>
      <c r="E2300" s="8" t="str">
        <f>TEXT(Tabla2[[#This Row],[fecha]], "mmmm")</f>
        <v>octubre</v>
      </c>
      <c r="F2300" s="8" t="str">
        <f>"T"&amp;ROUNDUP(Tabla2[[#This Row],[mes]]/3,0)</f>
        <v>T4</v>
      </c>
      <c r="G2300" t="s">
        <v>38</v>
      </c>
      <c r="H2300" t="s">
        <v>39</v>
      </c>
      <c r="I2300" s="8" t="str">
        <f>IF(Tabla2[[#This Row],[precio_unitario]]&lt;=30,"Económico",IF(Tabla2[[#This Row],[precio_unitario]]&lt;=58.49,"Accesible","Caro"))</f>
        <v>Caro</v>
      </c>
      <c r="J2300" t="s">
        <v>35</v>
      </c>
      <c r="K2300">
        <v>3</v>
      </c>
      <c r="L2300" s="19">
        <v>82.61</v>
      </c>
      <c r="M2300" s="19">
        <v>41.36</v>
      </c>
      <c r="N2300" s="11">
        <v>0.23</v>
      </c>
      <c r="O2300" s="17">
        <f t="shared" si="143"/>
        <v>190.82909999999998</v>
      </c>
      <c r="P2300" s="17">
        <f t="shared" si="140"/>
        <v>124.08</v>
      </c>
      <c r="Q2300" s="17">
        <f t="shared" si="141"/>
        <v>66.749099999999984</v>
      </c>
      <c r="R2300" s="24">
        <f t="shared" si="142"/>
        <v>0.34978470264755213</v>
      </c>
      <c r="S2300" s="10" t="s">
        <v>2377</v>
      </c>
      <c r="T2300" t="s">
        <v>64</v>
      </c>
    </row>
    <row r="2301" spans="1:20" hidden="1">
      <c r="A2301" t="s">
        <v>2366</v>
      </c>
      <c r="B2301" s="5">
        <v>45559</v>
      </c>
      <c r="C2301" s="8">
        <f>YEAR(Tabla2[[#This Row],[fecha]])</f>
        <v>2024</v>
      </c>
      <c r="D2301" s="8">
        <f>MONTH(Tabla2[[#This Row],[fecha]])</f>
        <v>9</v>
      </c>
      <c r="E2301" s="8" t="str">
        <f>TEXT(Tabla2[[#This Row],[fecha]], "mmmm")</f>
        <v>septiembre</v>
      </c>
      <c r="F2301" s="8" t="str">
        <f>"T"&amp;ROUNDUP(Tabla2[[#This Row],[mes]]/3,0)</f>
        <v>T3</v>
      </c>
      <c r="G2301" t="s">
        <v>24</v>
      </c>
      <c r="H2301" t="s">
        <v>25</v>
      </c>
      <c r="I2301" s="8" t="str">
        <f>IF(Tabla2[[#This Row],[precio_unitario]]&lt;=30,"Económico",IF(Tabla2[[#This Row],[precio_unitario]]&lt;=58.49,"Accesible","Caro"))</f>
        <v>Económico</v>
      </c>
      <c r="J2301" t="s">
        <v>26</v>
      </c>
      <c r="K2301">
        <v>4</v>
      </c>
      <c r="L2301" s="19">
        <v>7.87</v>
      </c>
      <c r="M2301" s="19">
        <v>4.21</v>
      </c>
      <c r="N2301" s="11">
        <v>0.26</v>
      </c>
      <c r="O2301" s="17">
        <f t="shared" si="143"/>
        <v>23.295200000000001</v>
      </c>
      <c r="P2301" s="17">
        <f t="shared" si="140"/>
        <v>16.84</v>
      </c>
      <c r="Q2301" s="17">
        <f t="shared" si="141"/>
        <v>6.4552000000000014</v>
      </c>
      <c r="R2301" s="24">
        <f t="shared" si="142"/>
        <v>0.27710429616401666</v>
      </c>
      <c r="S2301" t="s">
        <v>83</v>
      </c>
      <c r="T2301" t="s">
        <v>64</v>
      </c>
    </row>
    <row r="2302" spans="1:20" hidden="1">
      <c r="A2302" t="s">
        <v>2367</v>
      </c>
      <c r="B2302" s="5">
        <v>45484</v>
      </c>
      <c r="C2302" s="8">
        <f>YEAR(Tabla2[[#This Row],[fecha]])</f>
        <v>2024</v>
      </c>
      <c r="D2302" s="8">
        <f>MONTH(Tabla2[[#This Row],[fecha]])</f>
        <v>7</v>
      </c>
      <c r="E2302" s="8" t="str">
        <f>TEXT(Tabla2[[#This Row],[fecha]], "mmmm")</f>
        <v>julio</v>
      </c>
      <c r="F2302" s="8" t="str">
        <f>"T"&amp;ROUNDUP(Tabla2[[#This Row],[mes]]/3,0)</f>
        <v>T3</v>
      </c>
      <c r="G2302" t="s">
        <v>11</v>
      </c>
      <c r="H2302" t="s">
        <v>12</v>
      </c>
      <c r="I2302" s="8" t="str">
        <f>IF(Tabla2[[#This Row],[precio_unitario]]&lt;=30,"Económico",IF(Tabla2[[#This Row],[precio_unitario]]&lt;=58.49,"Accesible","Caro"))</f>
        <v>Caro</v>
      </c>
      <c r="J2302" t="s">
        <v>8</v>
      </c>
      <c r="K2302">
        <v>4</v>
      </c>
      <c r="L2302" s="20">
        <f>INDEX(Tabla3[precio_venta_recomendado], MATCH(Tabla2[[#This Row],[id_producto]], Tabla3[id_producto], 0))</f>
        <v>177.72</v>
      </c>
      <c r="M2302" s="19">
        <v>94.25</v>
      </c>
      <c r="N2302" s="11">
        <v>0</v>
      </c>
      <c r="O2302" s="17">
        <f t="shared" si="143"/>
        <v>710.88</v>
      </c>
      <c r="P2302" s="17">
        <f t="shared" si="140"/>
        <v>377</v>
      </c>
      <c r="Q2302" s="17">
        <f t="shared" si="141"/>
        <v>333.88</v>
      </c>
      <c r="R2302" s="24">
        <f t="shared" si="142"/>
        <v>0.46967139320279089</v>
      </c>
      <c r="S2302" t="s">
        <v>67</v>
      </c>
      <c r="T2302" t="s">
        <v>60</v>
      </c>
    </row>
    <row r="2303" spans="1:20" hidden="1">
      <c r="A2303" t="s">
        <v>2368</v>
      </c>
      <c r="B2303" s="5">
        <v>45534</v>
      </c>
      <c r="C2303" s="8">
        <f>YEAR(Tabla2[[#This Row],[fecha]])</f>
        <v>2024</v>
      </c>
      <c r="D2303" s="8">
        <f>MONTH(Tabla2[[#This Row],[fecha]])</f>
        <v>8</v>
      </c>
      <c r="E2303" s="8" t="str">
        <f>TEXT(Tabla2[[#This Row],[fecha]], "mmmm")</f>
        <v>agosto</v>
      </c>
      <c r="F2303" s="8" t="str">
        <f>"T"&amp;ROUNDUP(Tabla2[[#This Row],[mes]]/3,0)</f>
        <v>T3</v>
      </c>
      <c r="G2303" t="s">
        <v>9</v>
      </c>
      <c r="H2303" t="s">
        <v>10</v>
      </c>
      <c r="I2303" s="8" t="str">
        <f>IF(Tabla2[[#This Row],[precio_unitario]]&lt;=30,"Económico",IF(Tabla2[[#This Row],[precio_unitario]]&lt;=58.49,"Accesible","Caro"))</f>
        <v>Caro</v>
      </c>
      <c r="J2303" t="s">
        <v>8</v>
      </c>
      <c r="K2303">
        <v>3</v>
      </c>
      <c r="L2303" s="19">
        <v>78.58</v>
      </c>
      <c r="M2303" s="19">
        <v>48.37</v>
      </c>
      <c r="N2303" s="13">
        <v>0</v>
      </c>
      <c r="O2303" s="17">
        <f t="shared" si="143"/>
        <v>235.74</v>
      </c>
      <c r="P2303" s="17">
        <f t="shared" si="140"/>
        <v>145.10999999999999</v>
      </c>
      <c r="Q2303" s="17">
        <f t="shared" si="141"/>
        <v>90.630000000000024</v>
      </c>
      <c r="R2303" s="24">
        <f t="shared" si="142"/>
        <v>0.38444896920335975</v>
      </c>
      <c r="S2303" t="s">
        <v>540</v>
      </c>
      <c r="T2303" t="s">
        <v>64</v>
      </c>
    </row>
    <row r="2304" spans="1:20" hidden="1">
      <c r="A2304" t="s">
        <v>2369</v>
      </c>
      <c r="B2304" s="5">
        <v>45815</v>
      </c>
      <c r="C2304" s="8">
        <f>YEAR(Tabla2[[#This Row],[fecha]])</f>
        <v>2025</v>
      </c>
      <c r="D2304" s="8">
        <f>MONTH(Tabla2[[#This Row],[fecha]])</f>
        <v>6</v>
      </c>
      <c r="E2304" s="8" t="str">
        <f>TEXT(Tabla2[[#This Row],[fecha]], "mmmm")</f>
        <v>junio</v>
      </c>
      <c r="F2304" s="8" t="str">
        <f>"T"&amp;ROUNDUP(Tabla2[[#This Row],[mes]]/3,0)</f>
        <v>T2</v>
      </c>
      <c r="G2304" t="s">
        <v>15</v>
      </c>
      <c r="H2304" t="s">
        <v>16</v>
      </c>
      <c r="I2304" s="8" t="str">
        <f>IF(Tabla2[[#This Row],[precio_unitario]]&lt;=30,"Económico",IF(Tabla2[[#This Row],[precio_unitario]]&lt;=58.49,"Accesible","Caro"))</f>
        <v>Caro</v>
      </c>
      <c r="J2304" t="s">
        <v>17</v>
      </c>
      <c r="K2304">
        <v>1</v>
      </c>
      <c r="L2304" s="19">
        <v>61.59</v>
      </c>
      <c r="M2304" s="19">
        <v>41.85</v>
      </c>
      <c r="N2304" s="11">
        <v>0</v>
      </c>
      <c r="O2304" s="17">
        <f t="shared" si="143"/>
        <v>61.59</v>
      </c>
      <c r="P2304" s="17">
        <f t="shared" si="140"/>
        <v>41.85</v>
      </c>
      <c r="Q2304" s="17">
        <f t="shared" si="141"/>
        <v>19.740000000000002</v>
      </c>
      <c r="R2304" s="24">
        <f t="shared" si="142"/>
        <v>0.32050657574281538</v>
      </c>
      <c r="S2304" s="10" t="s">
        <v>2377</v>
      </c>
      <c r="T2304" t="s">
        <v>60</v>
      </c>
    </row>
    <row r="2305" spans="1:20" hidden="1">
      <c r="A2305" t="s">
        <v>2370</v>
      </c>
      <c r="B2305" s="5">
        <v>45435</v>
      </c>
      <c r="C2305" s="8">
        <f>YEAR(Tabla2[[#This Row],[fecha]])</f>
        <v>2024</v>
      </c>
      <c r="D2305" s="8">
        <f>MONTH(Tabla2[[#This Row],[fecha]])</f>
        <v>5</v>
      </c>
      <c r="E2305" s="8" t="str">
        <f>TEXT(Tabla2[[#This Row],[fecha]], "mmmm")</f>
        <v>mayo</v>
      </c>
      <c r="F2305" s="8" t="str">
        <f>"T"&amp;ROUNDUP(Tabla2[[#This Row],[mes]]/3,0)</f>
        <v>T2</v>
      </c>
      <c r="G2305" t="s">
        <v>9</v>
      </c>
      <c r="H2305" t="s">
        <v>10</v>
      </c>
      <c r="I2305" s="8" t="str">
        <f>IF(Tabla2[[#This Row],[precio_unitario]]&lt;=30,"Económico",IF(Tabla2[[#This Row],[precio_unitario]]&lt;=58.49,"Accesible","Caro"))</f>
        <v>Caro</v>
      </c>
      <c r="J2305" t="s">
        <v>8</v>
      </c>
      <c r="K2305">
        <v>7</v>
      </c>
      <c r="L2305" s="19">
        <v>71.66</v>
      </c>
      <c r="M2305" s="19">
        <v>47.69</v>
      </c>
      <c r="N2305" s="11">
        <v>0</v>
      </c>
      <c r="O2305" s="17">
        <f t="shared" si="143"/>
        <v>501.62</v>
      </c>
      <c r="P2305" s="17">
        <f t="shared" si="140"/>
        <v>333.83</v>
      </c>
      <c r="Q2305" s="17">
        <f t="shared" si="141"/>
        <v>167.79000000000002</v>
      </c>
      <c r="R2305" s="24">
        <f t="shared" si="142"/>
        <v>0.33449623220764724</v>
      </c>
      <c r="S2305" t="s">
        <v>540</v>
      </c>
      <c r="T2305" t="s">
        <v>60</v>
      </c>
    </row>
    <row r="2306" spans="1:20">
      <c r="A2306" t="s">
        <v>2371</v>
      </c>
      <c r="B2306" s="5">
        <v>45892</v>
      </c>
      <c r="C2306" s="8">
        <f>YEAR(Tabla2[[#This Row],[fecha]])</f>
        <v>2025</v>
      </c>
      <c r="D2306" s="8">
        <f>MONTH(Tabla2[[#This Row],[fecha]])</f>
        <v>8</v>
      </c>
      <c r="E2306" s="8" t="str">
        <f>TEXT(Tabla2[[#This Row],[fecha]], "mmmm")</f>
        <v>agosto</v>
      </c>
      <c r="F2306" s="8" t="str">
        <f>"T"&amp;ROUNDUP(Tabla2[[#This Row],[mes]]/3,0)</f>
        <v>T3</v>
      </c>
      <c r="G2306" t="s">
        <v>6</v>
      </c>
      <c r="H2306" t="s">
        <v>7</v>
      </c>
      <c r="I2306" s="8" t="str">
        <f>IF(Tabla2[[#This Row],[precio_unitario]]&lt;=30,"Económico",IF(Tabla2[[#This Row],[precio_unitario]]&lt;=58.49,"Accesible","Caro"))</f>
        <v>Caro</v>
      </c>
      <c r="J2306" t="s">
        <v>8</v>
      </c>
      <c r="K2306">
        <v>1</v>
      </c>
      <c r="L2306" s="19">
        <v>115.5</v>
      </c>
      <c r="M2306" s="19">
        <v>81.91</v>
      </c>
      <c r="N2306" s="11">
        <v>0</v>
      </c>
      <c r="O2306" s="17">
        <f t="shared" si="143"/>
        <v>115.5</v>
      </c>
      <c r="P2306" s="17">
        <f t="shared" si="140"/>
        <v>81.91</v>
      </c>
      <c r="Q2306" s="17">
        <f>O2306-P2306</f>
        <v>33.590000000000003</v>
      </c>
      <c r="R2306" s="24">
        <f>IFERROR(Q2306/O2306,0)</f>
        <v>0.29082251082251087</v>
      </c>
      <c r="S2306" t="s">
        <v>67</v>
      </c>
      <c r="T2306" t="s">
        <v>64</v>
      </c>
    </row>
    <row r="2307" spans="1:20" hidden="1">
      <c r="A2307" t="s">
        <v>2372</v>
      </c>
      <c r="B2307" s="5">
        <v>45922</v>
      </c>
      <c r="C2307" s="8">
        <f>YEAR(Tabla2[[#This Row],[fecha]])</f>
        <v>2025</v>
      </c>
      <c r="D2307" s="8">
        <f>MONTH(Tabla2[[#This Row],[fecha]])</f>
        <v>9</v>
      </c>
      <c r="E2307" s="8" t="str">
        <f>TEXT(Tabla2[[#This Row],[fecha]], "mmmm")</f>
        <v>septiembre</v>
      </c>
      <c r="F2307" s="8" t="str">
        <f>"T"&amp;ROUNDUP(Tabla2[[#This Row],[mes]]/3,0)</f>
        <v>T3</v>
      </c>
      <c r="G2307" t="s">
        <v>20</v>
      </c>
      <c r="H2307" t="s">
        <v>21</v>
      </c>
      <c r="I2307" s="8" t="str">
        <f>IF(Tabla2[[#This Row],[precio_unitario]]&lt;=30,"Económico",IF(Tabla2[[#This Row],[precio_unitario]]&lt;=58.49,"Accesible","Caro"))</f>
        <v>Económico</v>
      </c>
      <c r="J2307" t="s">
        <v>17</v>
      </c>
      <c r="K2307">
        <v>2</v>
      </c>
      <c r="L2307" s="19">
        <v>20.29</v>
      </c>
      <c r="M2307" s="19">
        <v>12.27</v>
      </c>
      <c r="N2307" s="13">
        <v>0</v>
      </c>
      <c r="O2307" s="17">
        <f>K2307*L2307*(1-N2307)</f>
        <v>40.58</v>
      </c>
      <c r="P2307" s="17">
        <f t="shared" si="140"/>
        <v>24.54</v>
      </c>
      <c r="Q2307" s="17">
        <f>O2307-P2307</f>
        <v>16.04</v>
      </c>
      <c r="R2307" s="24">
        <f>IFERROR(Q2307/O2307,0)</f>
        <v>0.39526860522424839</v>
      </c>
      <c r="S2307" t="s">
        <v>101</v>
      </c>
      <c r="T2307" t="s">
        <v>60</v>
      </c>
    </row>
    <row r="2308" spans="1:20" hidden="1">
      <c r="A2308" t="s">
        <v>2373</v>
      </c>
      <c r="B2308" s="5">
        <v>45949</v>
      </c>
      <c r="C2308" s="8">
        <f>YEAR(Tabla2[[#This Row],[fecha]])</f>
        <v>2025</v>
      </c>
      <c r="D2308" s="8">
        <f>MONTH(Tabla2[[#This Row],[fecha]])</f>
        <v>10</v>
      </c>
      <c r="E2308" s="8" t="str">
        <f>TEXT(Tabla2[[#This Row],[fecha]], "mmmm")</f>
        <v>octubre</v>
      </c>
      <c r="F2308" s="8" t="str">
        <f>"T"&amp;ROUNDUP(Tabla2[[#This Row],[mes]]/3,0)</f>
        <v>T4</v>
      </c>
      <c r="G2308" t="s">
        <v>29</v>
      </c>
      <c r="H2308" t="s">
        <v>30</v>
      </c>
      <c r="I2308" s="8" t="str">
        <f>IF(Tabla2[[#This Row],[precio_unitario]]&lt;=30,"Económico",IF(Tabla2[[#This Row],[precio_unitario]]&lt;=58.49,"Accesible","Caro"))</f>
        <v>Económico</v>
      </c>
      <c r="J2308" t="s">
        <v>26</v>
      </c>
      <c r="K2308">
        <v>5</v>
      </c>
      <c r="L2308" s="19">
        <v>22.39</v>
      </c>
      <c r="M2308" s="19">
        <v>11.22</v>
      </c>
      <c r="N2308" s="11">
        <v>0</v>
      </c>
      <c r="O2308" s="17">
        <f>K2308*L2308*(1-N2308)</f>
        <v>111.95</v>
      </c>
      <c r="P2308" s="17">
        <f t="shared" si="140"/>
        <v>56.1</v>
      </c>
      <c r="Q2308" s="17">
        <f>O2308-P2308</f>
        <v>55.85</v>
      </c>
      <c r="R2308" s="24">
        <f>IFERROR(Q2308/O2308,0)</f>
        <v>0.49888343010272446</v>
      </c>
      <c r="S2308" t="s">
        <v>83</v>
      </c>
      <c r="T2308" t="s">
        <v>64</v>
      </c>
    </row>
    <row r="2309" spans="1:20" hidden="1">
      <c r="A2309" t="s">
        <v>2374</v>
      </c>
      <c r="B2309" s="5">
        <v>45343</v>
      </c>
      <c r="C2309" s="8">
        <f>YEAR(Tabla2[[#This Row],[fecha]])</f>
        <v>2024</v>
      </c>
      <c r="D2309" s="8">
        <f>MONTH(Tabla2[[#This Row],[fecha]])</f>
        <v>2</v>
      </c>
      <c r="E2309" s="8" t="str">
        <f>TEXT(Tabla2[[#This Row],[fecha]], "mmmm")</f>
        <v>febrero</v>
      </c>
      <c r="F2309" s="8" t="str">
        <f>"T"&amp;ROUNDUP(Tabla2[[#This Row],[mes]]/3,0)</f>
        <v>T1</v>
      </c>
      <c r="G2309" t="s">
        <v>9</v>
      </c>
      <c r="H2309" t="s">
        <v>10</v>
      </c>
      <c r="I2309" s="8" t="str">
        <f>IF(Tabla2[[#This Row],[precio_unitario]]&lt;=30,"Económico",IF(Tabla2[[#This Row],[precio_unitario]]&lt;=58.49,"Accesible","Caro"))</f>
        <v>Caro</v>
      </c>
      <c r="J2309" t="s">
        <v>8</v>
      </c>
      <c r="K2309">
        <v>8</v>
      </c>
      <c r="L2309" s="19">
        <v>71.27</v>
      </c>
      <c r="M2309" s="19">
        <v>44.91</v>
      </c>
      <c r="N2309" s="11">
        <v>0.08</v>
      </c>
      <c r="O2309" s="17">
        <f>K2309*L2309*(1-N2309)</f>
        <v>524.54719999999998</v>
      </c>
      <c r="P2309" s="17">
        <f t="shared" si="140"/>
        <v>359.28</v>
      </c>
      <c r="Q2309" s="17">
        <f>O2309-P2309</f>
        <v>165.2672</v>
      </c>
      <c r="R2309" s="24">
        <f>IFERROR(Q2309/O2309,0)</f>
        <v>0.31506640393848256</v>
      </c>
      <c r="S2309" t="s">
        <v>67</v>
      </c>
      <c r="T2309" t="s">
        <v>154</v>
      </c>
    </row>
  </sheetData>
  <conditionalFormatting sqref="A1:A1048576">
    <cfRule type="duplicateValues" priority="2"/>
  </conditionalFormatting>
  <conditionalFormatting sqref="G1:G1048576">
    <cfRule type="duplicateValues" priority="1"/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4" sqref="A4:B10"/>
    </sheetView>
  </sheetViews>
  <sheetFormatPr baseColWidth="10" defaultRowHeight="14.4"/>
  <cols>
    <col min="1" max="1" width="25.44140625" bestFit="1" customWidth="1"/>
    <col min="2" max="2" width="16.21875" bestFit="1" customWidth="1"/>
  </cols>
  <sheetData>
    <row r="1" spans="1:2">
      <c r="A1" s="25" t="s">
        <v>2375</v>
      </c>
      <c r="B1" s="26">
        <v>2025</v>
      </c>
    </row>
    <row r="2" spans="1:2">
      <c r="A2" s="25" t="s">
        <v>57</v>
      </c>
      <c r="B2" t="s">
        <v>67</v>
      </c>
    </row>
    <row r="4" spans="1:2">
      <c r="A4" s="25" t="s">
        <v>2383</v>
      </c>
      <c r="B4" t="s">
        <v>2385</v>
      </c>
    </row>
    <row r="5" spans="1:2">
      <c r="A5" s="35" t="s">
        <v>10</v>
      </c>
      <c r="B5" s="34">
        <v>80</v>
      </c>
    </row>
    <row r="6" spans="1:2">
      <c r="A6" s="26" t="s">
        <v>37</v>
      </c>
      <c r="B6" s="8">
        <v>76</v>
      </c>
    </row>
    <row r="7" spans="1:2">
      <c r="A7" s="26" t="s">
        <v>16</v>
      </c>
      <c r="B7" s="8">
        <v>71</v>
      </c>
    </row>
    <row r="8" spans="1:2">
      <c r="A8" s="26" t="s">
        <v>25</v>
      </c>
      <c r="B8" s="8">
        <v>70</v>
      </c>
    </row>
    <row r="9" spans="1:2">
      <c r="A9" s="26" t="s">
        <v>46</v>
      </c>
      <c r="B9" s="8">
        <v>69</v>
      </c>
    </row>
    <row r="10" spans="1:2">
      <c r="A10" s="26" t="s">
        <v>2384</v>
      </c>
      <c r="B10" s="8">
        <v>366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5" sqref="A5:B11"/>
    </sheetView>
  </sheetViews>
  <sheetFormatPr baseColWidth="10" defaultRowHeight="14.4"/>
  <cols>
    <col min="1" max="1" width="20.88671875" customWidth="1"/>
    <col min="2" max="2" width="15.6640625" bestFit="1" customWidth="1"/>
    <col min="3" max="3" width="14" bestFit="1" customWidth="1"/>
    <col min="4" max="4" width="20.109375" bestFit="1" customWidth="1"/>
    <col min="5" max="5" width="16.6640625" customWidth="1"/>
    <col min="6" max="6" width="14.5546875" bestFit="1" customWidth="1"/>
    <col min="7" max="7" width="16.21875" bestFit="1" customWidth="1"/>
    <col min="8" max="8" width="21.88671875" bestFit="1" customWidth="1"/>
    <col min="9" max="9" width="15.109375" bestFit="1" customWidth="1"/>
    <col min="10" max="10" width="17" bestFit="1" customWidth="1"/>
    <col min="11" max="11" width="18.21875" bestFit="1" customWidth="1"/>
    <col min="12" max="12" width="21.33203125" bestFit="1" customWidth="1"/>
    <col min="13" max="13" width="20.6640625" bestFit="1" customWidth="1"/>
    <col min="14" max="14" width="17.5546875" bestFit="1" customWidth="1"/>
    <col min="15" max="15" width="25.77734375" bestFit="1" customWidth="1"/>
    <col min="16" max="16" width="14.5546875" bestFit="1" customWidth="1"/>
    <col min="17" max="17" width="15.44140625" bestFit="1" customWidth="1"/>
    <col min="18" max="18" width="13.6640625" bestFit="1" customWidth="1"/>
    <col min="19" max="19" width="11.109375" customWidth="1"/>
    <col min="20" max="20" width="11" customWidth="1"/>
    <col min="21" max="21" width="15.88671875" bestFit="1" customWidth="1"/>
    <col min="22" max="22" width="12" bestFit="1" customWidth="1"/>
  </cols>
  <sheetData>
    <row r="1" spans="1:4">
      <c r="A1" s="25" t="s">
        <v>2375</v>
      </c>
      <c r="B1" s="26">
        <v>2025</v>
      </c>
    </row>
    <row r="2" spans="1:4">
      <c r="A2" s="25" t="s">
        <v>57</v>
      </c>
      <c r="B2" t="s">
        <v>67</v>
      </c>
    </row>
    <row r="4" spans="1:4">
      <c r="B4" s="25" t="s">
        <v>2386</v>
      </c>
    </row>
    <row r="5" spans="1:4">
      <c r="A5" s="25" t="s">
        <v>2383</v>
      </c>
      <c r="B5" t="s">
        <v>2387</v>
      </c>
      <c r="C5" t="s">
        <v>2401</v>
      </c>
      <c r="D5" t="s">
        <v>2402</v>
      </c>
    </row>
    <row r="6" spans="1:4">
      <c r="A6" s="35" t="s">
        <v>12</v>
      </c>
      <c r="B6" s="36">
        <v>10466.429</v>
      </c>
      <c r="C6" s="36">
        <v>5775.8</v>
      </c>
      <c r="D6" s="36">
        <v>223.36328571428567</v>
      </c>
    </row>
    <row r="7" spans="1:4">
      <c r="A7" s="26" t="s">
        <v>14</v>
      </c>
      <c r="B7" s="9">
        <v>8258.2093000000004</v>
      </c>
      <c r="C7" s="9">
        <v>5579.1299999999983</v>
      </c>
      <c r="D7" s="9">
        <v>148.83773888888891</v>
      </c>
    </row>
    <row r="8" spans="1:4">
      <c r="A8" s="26" t="s">
        <v>7</v>
      </c>
      <c r="B8" s="9">
        <v>8029.3124000000007</v>
      </c>
      <c r="C8" s="9">
        <v>5699.8</v>
      </c>
      <c r="D8" s="9">
        <v>116.47562000000001</v>
      </c>
    </row>
    <row r="9" spans="1:4">
      <c r="A9" s="26" t="s">
        <v>10</v>
      </c>
      <c r="B9" s="9">
        <v>5535.6745000000001</v>
      </c>
      <c r="C9" s="9">
        <v>3770.89</v>
      </c>
      <c r="D9" s="9">
        <v>65.362388888888901</v>
      </c>
    </row>
    <row r="10" spans="1:4">
      <c r="A10" s="26" t="s">
        <v>23</v>
      </c>
      <c r="B10" s="9">
        <v>5394.3361999999997</v>
      </c>
      <c r="C10" s="9">
        <v>3107.35</v>
      </c>
      <c r="D10" s="9">
        <v>91.479448000000005</v>
      </c>
    </row>
    <row r="11" spans="1:4">
      <c r="A11" s="26" t="s">
        <v>2384</v>
      </c>
      <c r="B11" s="9">
        <v>37683.9614</v>
      </c>
      <c r="C11" s="9">
        <v>23932.970000000008</v>
      </c>
      <c r="D11" s="9">
        <v>123.88280540540539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4" sqref="A4:B10"/>
    </sheetView>
  </sheetViews>
  <sheetFormatPr baseColWidth="10" defaultRowHeight="14.4"/>
  <cols>
    <col min="1" max="1" width="25.44140625" bestFit="1" customWidth="1"/>
    <col min="2" max="2" width="24.33203125" bestFit="1" customWidth="1"/>
    <col min="3" max="3" width="16.109375" customWidth="1"/>
    <col min="4" max="4" width="17.88671875" customWidth="1"/>
    <col min="5" max="5" width="21.6640625" customWidth="1"/>
    <col min="6" max="6" width="14.5546875" customWidth="1"/>
    <col min="7" max="7" width="16.21875" customWidth="1"/>
    <col min="8" max="8" width="21.88671875" customWidth="1"/>
    <col min="9" max="9" width="15.109375" customWidth="1"/>
    <col min="10" max="10" width="17" customWidth="1"/>
    <col min="11" max="11" width="18.21875" customWidth="1"/>
    <col min="12" max="12" width="21.33203125" customWidth="1"/>
    <col min="13" max="13" width="20.6640625" customWidth="1"/>
    <col min="14" max="14" width="17.5546875" customWidth="1"/>
    <col min="15" max="15" width="25.77734375" customWidth="1"/>
    <col min="16" max="16" width="14.5546875" customWidth="1"/>
    <col min="17" max="17" width="15.44140625" customWidth="1"/>
    <col min="18" max="18" width="13.6640625" customWidth="1"/>
    <col min="19" max="19" width="11.109375" customWidth="1"/>
    <col min="20" max="20" width="9.5546875" customWidth="1"/>
    <col min="21" max="21" width="15.88671875" bestFit="1" customWidth="1"/>
    <col min="22" max="22" width="11.88671875" bestFit="1" customWidth="1"/>
  </cols>
  <sheetData>
    <row r="1" spans="1:2">
      <c r="A1" s="25" t="s">
        <v>2375</v>
      </c>
      <c r="B1" s="26">
        <v>2025</v>
      </c>
    </row>
    <row r="2" spans="1:2">
      <c r="A2" s="25" t="s">
        <v>57</v>
      </c>
      <c r="B2" t="s">
        <v>67</v>
      </c>
    </row>
    <row r="4" spans="1:2">
      <c r="A4" s="25" t="s">
        <v>2383</v>
      </c>
      <c r="B4" s="31" t="s">
        <v>2388</v>
      </c>
    </row>
    <row r="5" spans="1:2">
      <c r="A5" s="35" t="s">
        <v>43</v>
      </c>
      <c r="B5" s="33">
        <v>0.52511543122681137</v>
      </c>
    </row>
    <row r="6" spans="1:2">
      <c r="A6" s="26" t="s">
        <v>41</v>
      </c>
      <c r="B6" s="31">
        <v>0.46525941745861787</v>
      </c>
    </row>
    <row r="7" spans="1:2">
      <c r="A7" s="35" t="s">
        <v>12</v>
      </c>
      <c r="B7" s="33">
        <v>0.43989436245626523</v>
      </c>
    </row>
    <row r="8" spans="1:2">
      <c r="A8" s="26" t="s">
        <v>30</v>
      </c>
      <c r="B8" s="31">
        <v>0.43801593953000872</v>
      </c>
    </row>
    <row r="9" spans="1:2">
      <c r="A9" s="26" t="s">
        <v>25</v>
      </c>
      <c r="B9" s="9">
        <v>0.43594402298397117</v>
      </c>
    </row>
    <row r="10" spans="1:2">
      <c r="A10" s="26" t="s">
        <v>2384</v>
      </c>
      <c r="B10" s="31">
        <v>0.45588213787580262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"/>
  <sheetViews>
    <sheetView topLeftCell="A3" workbookViewId="0">
      <selection activeCell="B16" sqref="B16"/>
    </sheetView>
  </sheetViews>
  <sheetFormatPr baseColWidth="10" defaultRowHeight="14.4"/>
  <cols>
    <col min="1" max="1" width="29.5546875" customWidth="1"/>
    <col min="2" max="2" width="25.21875" customWidth="1"/>
    <col min="3" max="3" width="16.109375" customWidth="1"/>
    <col min="4" max="4" width="17.88671875" customWidth="1"/>
    <col min="5" max="5" width="21.6640625" customWidth="1"/>
    <col min="6" max="6" width="14.5546875" bestFit="1" customWidth="1"/>
    <col min="7" max="7" width="16.21875" bestFit="1" customWidth="1"/>
    <col min="8" max="8" width="21.88671875" bestFit="1" customWidth="1"/>
    <col min="9" max="9" width="15.109375" bestFit="1" customWidth="1"/>
    <col min="10" max="10" width="17" bestFit="1" customWidth="1"/>
    <col min="11" max="11" width="18.21875" bestFit="1" customWidth="1"/>
    <col min="12" max="12" width="21.33203125" bestFit="1" customWidth="1"/>
    <col min="13" max="13" width="20.6640625" bestFit="1" customWidth="1"/>
    <col min="14" max="14" width="17.5546875" bestFit="1" customWidth="1"/>
    <col min="15" max="15" width="25.77734375" bestFit="1" customWidth="1"/>
    <col min="16" max="16" width="14.5546875" bestFit="1" customWidth="1"/>
    <col min="17" max="17" width="15.44140625" bestFit="1" customWidth="1"/>
    <col min="18" max="18" width="13.6640625" bestFit="1" customWidth="1"/>
    <col min="19" max="20" width="12" bestFit="1" customWidth="1"/>
    <col min="21" max="21" width="15.88671875" bestFit="1" customWidth="1"/>
    <col min="22" max="22" width="12" bestFit="1" customWidth="1"/>
  </cols>
  <sheetData>
    <row r="1" spans="1:2">
      <c r="A1" s="25" t="s">
        <v>2375</v>
      </c>
      <c r="B1" s="26">
        <v>2025</v>
      </c>
    </row>
    <row r="2" spans="1:2">
      <c r="A2" s="25" t="s">
        <v>57</v>
      </c>
      <c r="B2" t="s">
        <v>67</v>
      </c>
    </row>
    <row r="4" spans="1:2">
      <c r="A4" s="25" t="s">
        <v>2383</v>
      </c>
      <c r="B4" t="s">
        <v>2397</v>
      </c>
    </row>
    <row r="5" spans="1:2">
      <c r="A5" s="26" t="s">
        <v>2398</v>
      </c>
      <c r="B5" s="8"/>
    </row>
    <row r="6" spans="1:2">
      <c r="A6" s="27" t="s">
        <v>25</v>
      </c>
      <c r="B6" s="9">
        <v>7.8492592592592594</v>
      </c>
    </row>
    <row r="7" spans="1:2">
      <c r="A7" s="27" t="s">
        <v>21</v>
      </c>
      <c r="B7" s="9">
        <v>20.153809523809521</v>
      </c>
    </row>
    <row r="8" spans="1:2">
      <c r="A8" s="27" t="s">
        <v>30</v>
      </c>
      <c r="B8" s="9">
        <v>21.462307692307693</v>
      </c>
    </row>
    <row r="9" spans="1:2">
      <c r="A9" s="27" t="s">
        <v>28</v>
      </c>
      <c r="B9" s="9">
        <v>16.393571428571427</v>
      </c>
    </row>
    <row r="10" spans="1:2">
      <c r="A10" s="27" t="s">
        <v>37</v>
      </c>
      <c r="B10" s="9">
        <v>14.084642857142855</v>
      </c>
    </row>
    <row r="11" spans="1:2">
      <c r="A11" s="27" t="s">
        <v>32</v>
      </c>
      <c r="B11" s="9">
        <v>8.7820000000000018</v>
      </c>
    </row>
    <row r="12" spans="1:2">
      <c r="A12" s="27" t="s">
        <v>46</v>
      </c>
      <c r="B12" s="9">
        <v>29.713333333333328</v>
      </c>
    </row>
    <row r="13" spans="1:2">
      <c r="A13" s="26" t="s">
        <v>2399</v>
      </c>
      <c r="B13" s="8"/>
    </row>
    <row r="14" spans="1:2">
      <c r="A14" s="27" t="s">
        <v>48</v>
      </c>
      <c r="B14" s="9">
        <v>56.92444444444444</v>
      </c>
    </row>
    <row r="15" spans="1:2">
      <c r="A15" s="27" t="s">
        <v>46</v>
      </c>
      <c r="B15" s="9">
        <v>31.767307692307693</v>
      </c>
    </row>
    <row r="16" spans="1:2">
      <c r="A16" s="30" t="s">
        <v>43</v>
      </c>
      <c r="B16" s="9">
        <v>49.523846153846158</v>
      </c>
    </row>
    <row r="17" spans="1:2">
      <c r="A17" s="27" t="s">
        <v>16</v>
      </c>
      <c r="B17" s="9">
        <v>56.762</v>
      </c>
    </row>
    <row r="18" spans="1:2">
      <c r="A18" s="27" t="s">
        <v>50</v>
      </c>
      <c r="B18" s="8">
        <v>57.19</v>
      </c>
    </row>
    <row r="19" spans="1:2">
      <c r="A19" s="27" t="s">
        <v>19</v>
      </c>
      <c r="B19" s="9">
        <v>47.638823529411773</v>
      </c>
    </row>
    <row r="20" spans="1:2">
      <c r="A20" s="26" t="s">
        <v>2395</v>
      </c>
      <c r="B20" s="8"/>
    </row>
    <row r="21" spans="1:2">
      <c r="A21" s="32" t="s">
        <v>14</v>
      </c>
      <c r="B21" s="9">
        <v>159.10111111111109</v>
      </c>
    </row>
    <row r="22" spans="1:2">
      <c r="A22" s="32" t="s">
        <v>7</v>
      </c>
      <c r="B22" s="9">
        <v>121.479</v>
      </c>
    </row>
    <row r="23" spans="1:2">
      <c r="A23" s="27" t="s">
        <v>41</v>
      </c>
      <c r="B23" s="9">
        <v>77.850454545454568</v>
      </c>
    </row>
    <row r="24" spans="1:2">
      <c r="A24" s="27" t="s">
        <v>34</v>
      </c>
      <c r="B24" s="9">
        <v>75.335833333333341</v>
      </c>
    </row>
    <row r="25" spans="1:2">
      <c r="A25" s="27" t="s">
        <v>48</v>
      </c>
      <c r="B25" s="9">
        <v>61.852000000000011</v>
      </c>
    </row>
    <row r="26" spans="1:2">
      <c r="A26" s="27" t="s">
        <v>23</v>
      </c>
      <c r="B26" s="9">
        <v>103.6568</v>
      </c>
    </row>
    <row r="27" spans="1:2">
      <c r="A27" s="27" t="s">
        <v>16</v>
      </c>
      <c r="B27" s="9">
        <v>61.779230769230757</v>
      </c>
    </row>
    <row r="28" spans="1:2">
      <c r="A28" s="27" t="s">
        <v>50</v>
      </c>
      <c r="B28" s="9">
        <v>61.972307692307695</v>
      </c>
    </row>
    <row r="29" spans="1:2">
      <c r="A29" s="30" t="s">
        <v>10</v>
      </c>
      <c r="B29" s="9">
        <v>74.172592592592594</v>
      </c>
    </row>
    <row r="30" spans="1:2">
      <c r="A30" s="30" t="s">
        <v>12</v>
      </c>
      <c r="B30" s="9">
        <v>174.10904761904757</v>
      </c>
    </row>
    <row r="31" spans="1:2">
      <c r="A31" s="27" t="s">
        <v>39</v>
      </c>
      <c r="B31" s="9">
        <v>78.40789473684211</v>
      </c>
    </row>
    <row r="32" spans="1:2">
      <c r="A32" s="26" t="s">
        <v>2384</v>
      </c>
      <c r="B32" s="9">
        <v>62.165178997613353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C26" sqref="A1:C26"/>
    </sheetView>
  </sheetViews>
  <sheetFormatPr baseColWidth="10" defaultRowHeight="14.4"/>
  <cols>
    <col min="1" max="1" width="19.5546875" customWidth="1"/>
    <col min="2" max="2" width="15.6640625" customWidth="1"/>
    <col min="3" max="3" width="23.88671875" customWidth="1"/>
    <col min="4" max="4" width="20.33203125" customWidth="1"/>
  </cols>
  <sheetData>
    <row r="1" spans="1:3">
      <c r="A1" s="25" t="s">
        <v>2375</v>
      </c>
      <c r="B1" s="26">
        <v>2025</v>
      </c>
    </row>
    <row r="2" spans="1:3">
      <c r="A2" s="25" t="s">
        <v>57</v>
      </c>
      <c r="B2" t="s">
        <v>67</v>
      </c>
    </row>
    <row r="3" spans="1:3">
      <c r="A3" s="25" t="s">
        <v>1</v>
      </c>
      <c r="B3" t="s">
        <v>43</v>
      </c>
    </row>
    <row r="5" spans="1:3">
      <c r="A5" s="25" t="s">
        <v>2386</v>
      </c>
    </row>
    <row r="6" spans="1:3">
      <c r="A6" t="s">
        <v>2385</v>
      </c>
      <c r="B6" t="s">
        <v>2387</v>
      </c>
      <c r="C6" t="s">
        <v>2388</v>
      </c>
    </row>
    <row r="7" spans="1:3">
      <c r="A7" s="8">
        <v>19</v>
      </c>
      <c r="B7" s="8">
        <v>909.96960000000001</v>
      </c>
      <c r="C7" s="33">
        <v>0.52511543122681126</v>
      </c>
    </row>
    <row r="10" spans="1:3">
      <c r="A10" s="25" t="s">
        <v>2375</v>
      </c>
      <c r="B10" s="26">
        <v>2025</v>
      </c>
    </row>
    <row r="11" spans="1:3">
      <c r="A11" s="25" t="s">
        <v>57</v>
      </c>
      <c r="B11" t="s">
        <v>67</v>
      </c>
    </row>
    <row r="12" spans="1:3">
      <c r="A12" s="25" t="s">
        <v>1</v>
      </c>
      <c r="B12" t="s">
        <v>12</v>
      </c>
    </row>
    <row r="14" spans="1:3">
      <c r="A14" s="25" t="s">
        <v>2386</v>
      </c>
    </row>
    <row r="15" spans="1:3">
      <c r="A15" t="s">
        <v>2385</v>
      </c>
      <c r="B15" t="s">
        <v>2387</v>
      </c>
      <c r="C15" t="s">
        <v>2388</v>
      </c>
    </row>
    <row r="16" spans="1:3">
      <c r="A16" s="8">
        <v>61</v>
      </c>
      <c r="B16" s="34">
        <v>10466.429</v>
      </c>
      <c r="C16" s="31">
        <v>0.43989436245626512</v>
      </c>
    </row>
    <row r="18" spans="1:3">
      <c r="A18" s="25" t="s">
        <v>2375</v>
      </c>
      <c r="B18" s="26">
        <v>2025</v>
      </c>
    </row>
    <row r="19" spans="1:3">
      <c r="A19" s="25" t="s">
        <v>57</v>
      </c>
      <c r="B19" t="s">
        <v>67</v>
      </c>
    </row>
    <row r="20" spans="1:3">
      <c r="A20" s="25" t="s">
        <v>1</v>
      </c>
      <c r="B20" t="s">
        <v>10</v>
      </c>
    </row>
    <row r="22" spans="1:3">
      <c r="A22" s="25" t="s">
        <v>2386</v>
      </c>
    </row>
    <row r="23" spans="1:3">
      <c r="A23" t="s">
        <v>2385</v>
      </c>
      <c r="B23" t="s">
        <v>2387</v>
      </c>
      <c r="C23" t="s">
        <v>2388</v>
      </c>
    </row>
    <row r="24" spans="1:3">
      <c r="A24" s="34">
        <v>80</v>
      </c>
      <c r="B24" s="8">
        <v>5535.6745000000001</v>
      </c>
      <c r="C24" s="31">
        <v>0.32815012864487975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topLeftCell="A2" workbookViewId="0">
      <selection activeCell="C25" sqref="C25"/>
    </sheetView>
  </sheetViews>
  <sheetFormatPr baseColWidth="10" defaultRowHeight="14.4"/>
  <cols>
    <col min="1" max="1" width="29.5546875" bestFit="1" customWidth="1"/>
    <col min="2" max="2" width="24.33203125" bestFit="1" customWidth="1"/>
    <col min="3" max="3" width="16.109375" customWidth="1"/>
    <col min="4" max="4" width="17.88671875" customWidth="1"/>
    <col min="5" max="5" width="21.6640625" customWidth="1"/>
    <col min="6" max="6" width="14.5546875" customWidth="1"/>
    <col min="7" max="7" width="16.21875" customWidth="1"/>
    <col min="8" max="8" width="21.88671875" customWidth="1"/>
    <col min="9" max="9" width="15.109375" customWidth="1"/>
    <col min="10" max="10" width="17" customWidth="1"/>
    <col min="11" max="11" width="18.21875" customWidth="1"/>
    <col min="12" max="12" width="21.33203125" customWidth="1"/>
    <col min="13" max="13" width="20.6640625" customWidth="1"/>
    <col min="14" max="14" width="17.5546875" customWidth="1"/>
    <col min="15" max="15" width="25.77734375" customWidth="1"/>
    <col min="16" max="16" width="14.5546875" customWidth="1"/>
    <col min="17" max="17" width="15.44140625" customWidth="1"/>
    <col min="18" max="18" width="13.6640625" customWidth="1"/>
    <col min="19" max="19" width="11.109375" customWidth="1"/>
    <col min="20" max="20" width="9.5546875" customWidth="1"/>
    <col min="21" max="21" width="15.88671875" bestFit="1" customWidth="1"/>
    <col min="22" max="22" width="11.88671875" bestFit="1" customWidth="1"/>
  </cols>
  <sheetData>
    <row r="1" spans="1:2">
      <c r="A1" s="25" t="s">
        <v>2375</v>
      </c>
      <c r="B1" s="26">
        <v>2025</v>
      </c>
    </row>
    <row r="2" spans="1:2">
      <c r="A2" s="25" t="s">
        <v>57</v>
      </c>
      <c r="B2" t="s">
        <v>67</v>
      </c>
    </row>
    <row r="4" spans="1:2">
      <c r="A4" s="25" t="s">
        <v>2383</v>
      </c>
      <c r="B4" s="31" t="s">
        <v>2388</v>
      </c>
    </row>
    <row r="5" spans="1:2">
      <c r="A5" s="26" t="s">
        <v>26</v>
      </c>
      <c r="B5" s="8">
        <v>0.37248657187512979</v>
      </c>
    </row>
    <row r="6" spans="1:2">
      <c r="A6" s="27" t="s">
        <v>30</v>
      </c>
      <c r="B6" s="31">
        <v>0.43801593953000872</v>
      </c>
    </row>
    <row r="7" spans="1:2">
      <c r="A7" s="27" t="s">
        <v>25</v>
      </c>
      <c r="B7" s="9">
        <v>0.43594402298397117</v>
      </c>
    </row>
    <row r="8" spans="1:2">
      <c r="A8" s="27" t="s">
        <v>32</v>
      </c>
      <c r="B8" s="31">
        <v>0.31482135017251534</v>
      </c>
    </row>
    <row r="9" spans="1:2">
      <c r="A9" s="27" t="s">
        <v>28</v>
      </c>
      <c r="B9" s="31">
        <v>0.29222925638321712</v>
      </c>
    </row>
    <row r="10" spans="1:2">
      <c r="A10" s="26" t="s">
        <v>8</v>
      </c>
      <c r="B10" s="31">
        <v>0.34055509926380828</v>
      </c>
    </row>
    <row r="11" spans="1:2">
      <c r="A11" s="40" t="s">
        <v>12</v>
      </c>
      <c r="B11" s="39">
        <v>0.43989436245626523</v>
      </c>
    </row>
    <row r="12" spans="1:2">
      <c r="A12" s="30" t="s">
        <v>10</v>
      </c>
      <c r="B12" s="33">
        <v>0.32815012864487975</v>
      </c>
    </row>
    <row r="13" spans="1:2">
      <c r="A13" s="27" t="s">
        <v>14</v>
      </c>
      <c r="B13" s="31">
        <v>0.30783610159360109</v>
      </c>
    </row>
    <row r="14" spans="1:2">
      <c r="A14" s="27" t="s">
        <v>7</v>
      </c>
      <c r="B14" s="31">
        <v>0.28244268115046911</v>
      </c>
    </row>
    <row r="15" spans="1:2">
      <c r="A15" s="26" t="s">
        <v>17</v>
      </c>
      <c r="B15" s="31">
        <v>0.3684397031453257</v>
      </c>
    </row>
    <row r="16" spans="1:2">
      <c r="A16" s="27" t="s">
        <v>23</v>
      </c>
      <c r="B16" s="9">
        <v>0.4196731068092231</v>
      </c>
    </row>
    <row r="17" spans="1:2">
      <c r="A17" s="27" t="s">
        <v>19</v>
      </c>
      <c r="B17" s="31">
        <v>0.40462814351289295</v>
      </c>
    </row>
    <row r="18" spans="1:2">
      <c r="A18" s="27" t="s">
        <v>21</v>
      </c>
      <c r="B18" s="31">
        <v>0.33939877255368789</v>
      </c>
    </row>
    <row r="19" spans="1:2">
      <c r="A19" s="27" t="s">
        <v>16</v>
      </c>
      <c r="B19" s="31">
        <v>0.29698531228856512</v>
      </c>
    </row>
    <row r="20" spans="1:2">
      <c r="A20" s="26" t="s">
        <v>35</v>
      </c>
      <c r="B20" s="31">
        <v>0.37979756188285524</v>
      </c>
    </row>
    <row r="21" spans="1:2">
      <c r="A21" s="27" t="s">
        <v>41</v>
      </c>
      <c r="B21" s="31">
        <v>0.46525941745861787</v>
      </c>
    </row>
    <row r="22" spans="1:2">
      <c r="A22" s="27" t="s">
        <v>39</v>
      </c>
      <c r="B22" s="31">
        <v>0.43480827523563237</v>
      </c>
    </row>
    <row r="23" spans="1:2">
      <c r="A23" s="27" t="s">
        <v>34</v>
      </c>
      <c r="B23" s="31">
        <v>0.35918196185195272</v>
      </c>
    </row>
    <row r="24" spans="1:2">
      <c r="A24" s="27" t="s">
        <v>37</v>
      </c>
      <c r="B24" s="31">
        <v>0.29299077703900256</v>
      </c>
    </row>
    <row r="25" spans="1:2">
      <c r="A25" s="26" t="s">
        <v>44</v>
      </c>
      <c r="B25" s="31">
        <v>0.43054468888596864</v>
      </c>
    </row>
    <row r="26" spans="1:2">
      <c r="A26" s="40" t="s">
        <v>43</v>
      </c>
      <c r="B26" s="39">
        <v>0.52511543122681137</v>
      </c>
    </row>
    <row r="27" spans="1:2">
      <c r="A27" s="27" t="s">
        <v>50</v>
      </c>
      <c r="B27" s="31">
        <v>0.42811598237074161</v>
      </c>
    </row>
    <row r="28" spans="1:2">
      <c r="A28" s="27" t="s">
        <v>48</v>
      </c>
      <c r="B28" s="9">
        <v>0.41172305247411212</v>
      </c>
    </row>
    <row r="29" spans="1:2">
      <c r="A29" s="27" t="s">
        <v>46</v>
      </c>
      <c r="B29" s="31">
        <v>0.40207354630609399</v>
      </c>
    </row>
    <row r="30" spans="1:2">
      <c r="A30" s="26" t="s">
        <v>2384</v>
      </c>
      <c r="B30" s="31">
        <v>0.37785809555030347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C12"/>
  <sheetViews>
    <sheetView workbookViewId="0">
      <selection activeCell="B10" sqref="B10"/>
    </sheetView>
  </sheetViews>
  <sheetFormatPr baseColWidth="10" defaultRowHeight="14.4"/>
  <cols>
    <col min="2" max="2" width="28.21875" customWidth="1"/>
    <col min="3" max="3" width="23.109375" customWidth="1"/>
  </cols>
  <sheetData>
    <row r="2" spans="2:3">
      <c r="B2" t="s">
        <v>2389</v>
      </c>
      <c r="C2" t="s">
        <v>2394</v>
      </c>
    </row>
    <row r="4" spans="2:3">
      <c r="B4" s="28" t="s">
        <v>2392</v>
      </c>
      <c r="C4">
        <f>GETPIVOTDATA("cantidad",TD01_volumen_ventas!$A$4)</f>
        <v>366</v>
      </c>
    </row>
    <row r="6" spans="2:3">
      <c r="B6" s="28" t="s">
        <v>2390</v>
      </c>
      <c r="C6" s="9">
        <f>GETPIVOTDATA("Suma de ingresos",TD02_ingresos_costes_beneficios!$A$4)</f>
        <v>37683.9614</v>
      </c>
    </row>
    <row r="8" spans="2:3">
      <c r="B8" s="28" t="s">
        <v>2391</v>
      </c>
      <c r="C8">
        <f>GETPIVOTDATA("Suma de costes",TD02_ingresos_costes_beneficios!$A$4)</f>
        <v>23932.970000000008</v>
      </c>
    </row>
    <row r="10" spans="2:3">
      <c r="B10" s="28" t="s">
        <v>2418</v>
      </c>
      <c r="C10" s="9">
        <f>GETPIVOTDATA("Promedio de beneficio",TD02_ingresos_costes_beneficios!$A$4)</f>
        <v>123.88280540540539</v>
      </c>
    </row>
    <row r="12" spans="2:3">
      <c r="B12" s="28" t="s">
        <v>2393</v>
      </c>
      <c r="C12" s="11">
        <f>GETPIVOTDATA("beneficio_pct",TD03_beneficios_pct!$A$4)</f>
        <v>0.45588213787580262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B2:C8"/>
  <sheetViews>
    <sheetView workbookViewId="0">
      <selection activeCell="B7" sqref="B7"/>
    </sheetView>
  </sheetViews>
  <sheetFormatPr baseColWidth="10" defaultRowHeight="14.4"/>
  <cols>
    <col min="1" max="1" width="5.6640625" customWidth="1"/>
    <col min="2" max="2" width="34.109375" customWidth="1"/>
    <col min="3" max="3" width="26.88671875" customWidth="1"/>
  </cols>
  <sheetData>
    <row r="2" spans="2:3">
      <c r="B2" s="29" t="s">
        <v>2403</v>
      </c>
      <c r="C2" t="s">
        <v>2394</v>
      </c>
    </row>
    <row r="4" spans="2:3">
      <c r="B4" s="28" t="s">
        <v>2404</v>
      </c>
      <c r="C4" t="str">
        <f>TD01_volumen_ventas!A5</f>
        <v>Smartwatch</v>
      </c>
    </row>
    <row r="5" spans="2:3">
      <c r="B5" s="29" t="s">
        <v>2416</v>
      </c>
      <c r="C5" t="str">
        <f>TD02_ingresos_costes_beneficios!$A$6</f>
        <v>Tablet 10"</v>
      </c>
    </row>
    <row r="6" spans="2:3">
      <c r="B6" s="29" t="s">
        <v>2405</v>
      </c>
      <c r="C6" t="str">
        <f>TD02_ingresos_costes_beneficios!$A$6</f>
        <v>Tablet 10"</v>
      </c>
    </row>
    <row r="7" spans="2:3">
      <c r="B7" s="29" t="s">
        <v>2417</v>
      </c>
      <c r="C7" t="str">
        <f>TD03_beneficios_pct!A5</f>
        <v>Perfume eau de parfum 90ml</v>
      </c>
    </row>
    <row r="8" spans="2:3">
      <c r="B8" s="2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3"/>
  <sheetViews>
    <sheetView showGridLines="0" tabSelected="1" topLeftCell="E1" workbookViewId="0">
      <selection activeCell="E19" sqref="E19"/>
    </sheetView>
  </sheetViews>
  <sheetFormatPr baseColWidth="10" defaultRowHeight="14.4"/>
  <cols>
    <col min="3" max="3" width="24.6640625" customWidth="1"/>
    <col min="4" max="4" width="70.21875" customWidth="1"/>
    <col min="5" max="5" width="14" customWidth="1"/>
    <col min="6" max="6" width="30.6640625" customWidth="1"/>
    <col min="7" max="7" width="55.33203125" customWidth="1"/>
    <col min="8" max="8" width="10.5546875" customWidth="1"/>
    <col min="9" max="9" width="26.88671875" customWidth="1"/>
    <col min="10" max="10" width="70.88671875" customWidth="1"/>
  </cols>
  <sheetData>
    <row r="1" spans="1:12" ht="25.8">
      <c r="A1" s="49"/>
      <c r="B1" s="49"/>
      <c r="C1" s="47"/>
      <c r="D1" s="47"/>
      <c r="E1" s="47"/>
      <c r="F1" s="48" t="s">
        <v>2415</v>
      </c>
      <c r="G1" s="47"/>
      <c r="H1" s="47"/>
      <c r="I1" s="47"/>
      <c r="J1" s="47"/>
      <c r="K1" s="49"/>
      <c r="L1" s="49"/>
    </row>
    <row r="2" spans="1:12">
      <c r="A2" s="49"/>
      <c r="B2" s="50"/>
      <c r="K2" s="50"/>
      <c r="L2" s="49"/>
    </row>
    <row r="3" spans="1:12">
      <c r="A3" s="49"/>
      <c r="B3" s="50"/>
      <c r="C3" t="s">
        <v>2409</v>
      </c>
      <c r="D3" t="s">
        <v>2410</v>
      </c>
      <c r="F3" t="s">
        <v>2411</v>
      </c>
      <c r="G3" t="s">
        <v>2410</v>
      </c>
      <c r="I3" t="s">
        <v>2414</v>
      </c>
      <c r="J3" t="s">
        <v>2410</v>
      </c>
      <c r="K3" s="50"/>
      <c r="L3" s="49"/>
    </row>
    <row r="4" spans="1:12">
      <c r="A4" s="49"/>
      <c r="B4" s="50"/>
      <c r="C4" t="s">
        <v>10</v>
      </c>
      <c r="D4" t="s">
        <v>2407</v>
      </c>
      <c r="F4" t="s">
        <v>2412</v>
      </c>
      <c r="G4" t="s">
        <v>2413</v>
      </c>
      <c r="I4" t="s">
        <v>43</v>
      </c>
      <c r="J4" t="s">
        <v>2408</v>
      </c>
      <c r="K4" s="50"/>
      <c r="L4" s="49"/>
    </row>
    <row r="5" spans="1:12">
      <c r="A5" s="49"/>
      <c r="B5" s="50"/>
      <c r="K5" s="50"/>
      <c r="L5" s="49"/>
    </row>
    <row r="6" spans="1:12">
      <c r="A6" s="49"/>
      <c r="B6" s="50"/>
      <c r="C6" s="41" t="s">
        <v>2406</v>
      </c>
      <c r="D6" s="41" t="s">
        <v>2385</v>
      </c>
      <c r="F6" s="41" t="s">
        <v>2383</v>
      </c>
      <c r="G6" s="41" t="s">
        <v>2387</v>
      </c>
      <c r="I6" s="41" t="s">
        <v>2383</v>
      </c>
      <c r="J6" s="45" t="s">
        <v>2388</v>
      </c>
      <c r="K6" s="50"/>
      <c r="L6" s="49"/>
    </row>
    <row r="7" spans="1:12">
      <c r="A7" s="49"/>
      <c r="B7" s="50"/>
      <c r="C7" s="35" t="s">
        <v>10</v>
      </c>
      <c r="D7" s="34">
        <v>80</v>
      </c>
      <c r="F7" s="35" t="s">
        <v>12</v>
      </c>
      <c r="G7" s="36">
        <v>10466.429</v>
      </c>
      <c r="I7" s="35" t="s">
        <v>43</v>
      </c>
      <c r="J7" s="33">
        <v>0.52511543122681137</v>
      </c>
      <c r="K7" s="50"/>
      <c r="L7" s="49"/>
    </row>
    <row r="8" spans="1:12">
      <c r="A8" s="49"/>
      <c r="B8" s="50"/>
      <c r="C8" s="26" t="s">
        <v>37</v>
      </c>
      <c r="D8" s="8">
        <v>76</v>
      </c>
      <c r="F8" s="26" t="s">
        <v>14</v>
      </c>
      <c r="G8" s="9">
        <v>8258.2093000000004</v>
      </c>
      <c r="I8" s="26" t="s">
        <v>41</v>
      </c>
      <c r="J8" s="31">
        <v>0.46525941745861787</v>
      </c>
      <c r="K8" s="50"/>
      <c r="L8" s="49"/>
    </row>
    <row r="9" spans="1:12">
      <c r="A9" s="49"/>
      <c r="B9" s="50"/>
      <c r="C9" s="26" t="s">
        <v>16</v>
      </c>
      <c r="D9" s="8">
        <v>71</v>
      </c>
      <c r="F9" s="26" t="s">
        <v>7</v>
      </c>
      <c r="G9" s="9">
        <v>8029.3124000000007</v>
      </c>
      <c r="I9" s="38" t="s">
        <v>12</v>
      </c>
      <c r="J9" s="39">
        <v>0.43989436245626523</v>
      </c>
      <c r="K9" s="50"/>
      <c r="L9" s="49"/>
    </row>
    <row r="10" spans="1:12">
      <c r="A10" s="49"/>
      <c r="B10" s="50"/>
      <c r="C10" s="26" t="s">
        <v>25</v>
      </c>
      <c r="D10" s="8">
        <v>70</v>
      </c>
      <c r="F10" s="26" t="s">
        <v>10</v>
      </c>
      <c r="G10" s="9">
        <v>5535.6745000000001</v>
      </c>
      <c r="I10" s="26" t="s">
        <v>30</v>
      </c>
      <c r="J10" s="31">
        <v>0.43801593953000872</v>
      </c>
      <c r="K10" s="50"/>
      <c r="L10" s="49"/>
    </row>
    <row r="11" spans="1:12">
      <c r="A11" s="49"/>
      <c r="B11" s="50"/>
      <c r="C11" s="26" t="s">
        <v>46</v>
      </c>
      <c r="D11" s="8">
        <v>69</v>
      </c>
      <c r="F11" s="26" t="s">
        <v>23</v>
      </c>
      <c r="G11" s="9">
        <v>5394.3361999999997</v>
      </c>
      <c r="I11" s="26" t="s">
        <v>25</v>
      </c>
      <c r="J11" s="9">
        <v>0.43594402298397117</v>
      </c>
      <c r="K11" s="50"/>
      <c r="L11" s="49"/>
    </row>
    <row r="12" spans="1:12">
      <c r="A12" s="49"/>
      <c r="B12" s="50"/>
      <c r="C12" s="42" t="s">
        <v>2384</v>
      </c>
      <c r="D12" s="43">
        <v>366</v>
      </c>
      <c r="F12" s="42" t="s">
        <v>2384</v>
      </c>
      <c r="G12" s="44">
        <v>37683.9614</v>
      </c>
      <c r="I12" s="42" t="s">
        <v>2384</v>
      </c>
      <c r="J12" s="46">
        <v>0.45588213787580262</v>
      </c>
      <c r="K12" s="50"/>
      <c r="L12" s="49"/>
    </row>
    <row r="13" spans="1:12">
      <c r="A13" s="49"/>
      <c r="B13" s="50"/>
      <c r="K13" s="50"/>
      <c r="L13" s="49"/>
    </row>
    <row r="14" spans="1:12">
      <c r="A14" s="49"/>
      <c r="B14" s="50"/>
      <c r="K14" s="50"/>
      <c r="L14" s="49"/>
    </row>
    <row r="15" spans="1:12">
      <c r="A15" s="49"/>
      <c r="B15" s="50"/>
      <c r="K15" s="50"/>
      <c r="L15" s="49"/>
    </row>
    <row r="16" spans="1:12">
      <c r="A16" s="49"/>
      <c r="B16" s="50"/>
      <c r="K16" s="50"/>
      <c r="L16" s="49"/>
    </row>
    <row r="17" spans="1:12">
      <c r="A17" s="49"/>
      <c r="B17" s="50"/>
      <c r="K17" s="50"/>
      <c r="L17" s="49"/>
    </row>
    <row r="18" spans="1:12">
      <c r="A18" s="49"/>
      <c r="B18" s="50"/>
      <c r="K18" s="50"/>
      <c r="L18" s="49"/>
    </row>
    <row r="19" spans="1:12">
      <c r="A19" s="49"/>
      <c r="B19" s="50"/>
      <c r="K19" s="50"/>
      <c r="L19" s="49"/>
    </row>
    <row r="20" spans="1:12">
      <c r="A20" s="49"/>
      <c r="B20" s="50"/>
      <c r="K20" s="50"/>
      <c r="L20" s="49"/>
    </row>
    <row r="21" spans="1:12">
      <c r="A21" s="49"/>
      <c r="B21" s="50"/>
      <c r="K21" s="50"/>
      <c r="L21" s="49"/>
    </row>
    <row r="22" spans="1:12">
      <c r="A22" s="49"/>
      <c r="B22" s="50"/>
      <c r="K22" s="50"/>
      <c r="L22" s="49"/>
    </row>
    <row r="23" spans="1:12">
      <c r="A23" s="49"/>
      <c r="B23" s="50"/>
      <c r="K23" s="50"/>
      <c r="L23" s="49"/>
    </row>
    <row r="24" spans="1:12">
      <c r="A24" s="49"/>
      <c r="B24" s="50"/>
      <c r="K24" s="50"/>
      <c r="L24" s="49"/>
    </row>
    <row r="25" spans="1:12">
      <c r="A25" s="49"/>
      <c r="B25" s="50"/>
      <c r="K25" s="50"/>
      <c r="L25" s="49"/>
    </row>
    <row r="26" spans="1:12">
      <c r="A26" s="49"/>
      <c r="B26" s="50"/>
      <c r="K26" s="50"/>
      <c r="L26" s="49"/>
    </row>
    <row r="27" spans="1:12">
      <c r="A27" s="49"/>
      <c r="B27" s="50"/>
      <c r="K27" s="50"/>
      <c r="L27" s="49"/>
    </row>
    <row r="28" spans="1:12">
      <c r="A28" s="49"/>
      <c r="B28" s="50"/>
      <c r="K28" s="50"/>
      <c r="L28" s="49"/>
    </row>
    <row r="29" spans="1:12">
      <c r="A29" s="49"/>
      <c r="B29" s="50"/>
      <c r="K29" s="50"/>
      <c r="L29" s="49"/>
    </row>
    <row r="30" spans="1:12">
      <c r="A30" s="49"/>
      <c r="B30" s="50"/>
      <c r="K30" s="50"/>
      <c r="L30" s="49"/>
    </row>
    <row r="31" spans="1:1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  <row r="32" spans="1:1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</row>
    <row r="33" spans="1:12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00_maestro_productos</vt:lpstr>
      <vt:lpstr>01_datos_crudos</vt:lpstr>
      <vt:lpstr>TD01_volumen_ventas</vt:lpstr>
      <vt:lpstr>TD02_ingresos_costes_beneficios</vt:lpstr>
      <vt:lpstr>TD03_beneficios_pct</vt:lpstr>
      <vt:lpstr>TD04_gama</vt:lpstr>
      <vt:lpstr>TD05_analisis_productos</vt:lpstr>
      <vt:lpstr>TD06_beneficios_smartwatch</vt:lpstr>
      <vt:lpstr>KPIS</vt:lpstr>
      <vt:lpstr>TOP_productos</vt:lpstr>
      <vt:lpstr>informe_final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2026-08-27T08:35:53Z</dcterms:created>
  <dcterms:modified xsi:type="dcterms:W3CDTF">2026-08-28T18:21:07Z</dcterms:modified>
  <dc:language>en-US</dc:language>
</cp:coreProperties>
</file>